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eb Manajemen Data LPPM\new\public\file_abdimas\"/>
    </mc:Choice>
  </mc:AlternateContent>
  <xr:revisionPtr revIDLastSave="0" documentId="13_ncr:1_{0D9D8DC7-D875-4927-AAEA-5E4125BB9745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Publikasi implementasi" sheetId="67" state="hidden" r:id="rId1"/>
    <sheet name="DATA PNLT KHUSUS AKRE 2025" sheetId="73" state="hidden" r:id="rId2"/>
    <sheet name="PKM AUDIT" sheetId="80" state="hidden" r:id="rId3"/>
    <sheet name="DATA PKM KHUSUS AKRE 2025" sheetId="78" state="hidden" r:id="rId4"/>
    <sheet name="KEUANGAN INTERNAL AKRE 2025" sheetId="77" state="hidden" r:id="rId5"/>
    <sheet name="PKM MASTER DATA" sheetId="25" r:id="rId6"/>
  </sheets>
  <definedNames>
    <definedName name="_xlnm._FilterDatabase" localSheetId="3" hidden="1">'DATA PKM KHUSUS AKRE 2025'!$AH$2:$AH$113</definedName>
    <definedName name="_xlnm._FilterDatabase" localSheetId="1" hidden="1">'DATA PNLT KHUSUS AKRE 2025'!$B$1:$CJ$210</definedName>
    <definedName name="_xlnm._FilterDatabase" localSheetId="2" hidden="1">'PKM AUDIT'!$AE$2:$AE$113</definedName>
    <definedName name="_xlnm._FilterDatabase" localSheetId="5" hidden="1">'PKM MASTER DATA'!#REF!</definedName>
    <definedName name="_xlnm._FilterDatabase" localSheetId="0" hidden="1">'Publikasi implementasi'!$M$3:$M$780</definedName>
    <definedName name="data">#REF!</definedName>
    <definedName name="rapel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5" l="1"/>
  <c r="T2" i="25"/>
  <c r="Q2" i="25"/>
  <c r="Z193" i="25"/>
  <c r="Z185" i="25"/>
  <c r="Z186" i="25"/>
  <c r="Z178" i="25"/>
  <c r="Z179" i="25"/>
  <c r="Z172" i="25"/>
  <c r="Z173" i="25"/>
  <c r="Z174" i="25"/>
  <c r="Z166" i="25"/>
  <c r="Z167" i="25"/>
  <c r="Z168" i="25"/>
  <c r="Z169" i="25"/>
  <c r="Z165" i="25"/>
  <c r="Q166" i="25"/>
  <c r="Q167" i="25"/>
  <c r="Q168" i="25"/>
  <c r="Q169" i="25"/>
  <c r="Q170" i="25"/>
  <c r="Q171" i="25"/>
  <c r="Q172" i="25"/>
  <c r="Q173" i="25"/>
  <c r="Q174" i="25"/>
  <c r="Q175" i="25"/>
  <c r="Q176" i="25"/>
  <c r="Q177" i="25"/>
  <c r="Q178" i="25"/>
  <c r="Q179" i="25"/>
  <c r="Q180" i="25"/>
  <c r="Q181" i="25"/>
  <c r="Q182" i="25"/>
  <c r="Q183" i="25"/>
  <c r="Q184" i="25"/>
  <c r="Q185" i="25"/>
  <c r="Q186" i="25"/>
  <c r="Q187" i="25"/>
  <c r="Q188" i="25"/>
  <c r="Q189" i="25"/>
  <c r="Q190" i="25"/>
  <c r="Q191" i="25"/>
  <c r="Q192" i="25"/>
  <c r="Q193" i="25"/>
  <c r="Q165" i="25"/>
  <c r="Q123" i="25"/>
  <c r="Q124" i="25"/>
  <c r="Q125" i="25"/>
  <c r="Q126" i="25"/>
  <c r="Q127" i="25"/>
  <c r="Q128" i="25"/>
  <c r="Q129" i="25"/>
  <c r="Q130" i="25"/>
  <c r="Q131" i="25"/>
  <c r="Q132" i="25"/>
  <c r="Q133" i="25"/>
  <c r="Q134" i="25"/>
  <c r="Q135" i="25"/>
  <c r="Q136" i="25"/>
  <c r="Q137" i="25"/>
  <c r="Q138" i="25"/>
  <c r="Q139" i="25"/>
  <c r="Q140" i="25"/>
  <c r="Q141" i="25"/>
  <c r="Q142" i="25"/>
  <c r="Q143" i="25"/>
  <c r="Q144" i="25"/>
  <c r="Q145" i="25"/>
  <c r="Q146" i="25"/>
  <c r="Q147" i="25"/>
  <c r="Q148" i="25"/>
  <c r="Q149" i="25"/>
  <c r="Q150" i="25"/>
  <c r="Q151" i="25"/>
  <c r="Q152" i="25"/>
  <c r="Q153" i="25"/>
  <c r="Q154" i="25"/>
  <c r="Q155" i="25"/>
  <c r="Q156" i="25"/>
  <c r="Q157" i="25"/>
  <c r="Q158" i="25"/>
  <c r="Q159" i="25"/>
  <c r="Q160" i="25"/>
  <c r="Q161" i="25"/>
  <c r="Q162" i="25"/>
  <c r="Q163" i="25"/>
  <c r="Q122" i="25"/>
  <c r="Z64" i="25"/>
  <c r="Z39" i="25"/>
  <c r="W40" i="25"/>
  <c r="W41" i="25"/>
  <c r="W42" i="25"/>
  <c r="W43" i="25"/>
  <c r="W44" i="25"/>
  <c r="W45" i="25"/>
  <c r="W47" i="25"/>
  <c r="W48" i="25"/>
  <c r="W50" i="25"/>
  <c r="W51" i="25"/>
  <c r="W52" i="25"/>
  <c r="W53" i="25"/>
  <c r="W54" i="25"/>
  <c r="W56" i="25"/>
  <c r="W57" i="25"/>
  <c r="W58" i="25"/>
  <c r="W59" i="25"/>
  <c r="W60" i="25"/>
  <c r="W61" i="25"/>
  <c r="W62" i="25"/>
  <c r="W63" i="25"/>
  <c r="W64" i="25"/>
  <c r="W65" i="25"/>
  <c r="W66" i="25"/>
  <c r="W67" i="25"/>
  <c r="W68" i="25"/>
  <c r="W69" i="25"/>
  <c r="W70" i="25"/>
  <c r="W71" i="25"/>
  <c r="W72" i="25"/>
  <c r="W39" i="25"/>
  <c r="T40" i="25"/>
  <c r="T41" i="25"/>
  <c r="T42" i="25"/>
  <c r="T43" i="25"/>
  <c r="T44" i="25"/>
  <c r="T45" i="25"/>
  <c r="T46" i="25"/>
  <c r="T47" i="25"/>
  <c r="T48" i="25"/>
  <c r="T50" i="25"/>
  <c r="T51" i="25"/>
  <c r="T52" i="25"/>
  <c r="T53" i="25"/>
  <c r="T54" i="25"/>
  <c r="T55" i="25"/>
  <c r="T56" i="25"/>
  <c r="T57" i="25"/>
  <c r="T58" i="25"/>
  <c r="T59" i="25"/>
  <c r="T60" i="25"/>
  <c r="T61" i="25"/>
  <c r="T62" i="25"/>
  <c r="T63" i="25"/>
  <c r="T64" i="25"/>
  <c r="T65" i="25"/>
  <c r="T66" i="25"/>
  <c r="T67" i="25"/>
  <c r="T68" i="25"/>
  <c r="T69" i="25"/>
  <c r="T70" i="25"/>
  <c r="T71" i="25"/>
  <c r="T72" i="25"/>
  <c r="T39" i="25"/>
  <c r="Q40" i="25"/>
  <c r="Q41" i="25"/>
  <c r="Q42" i="25"/>
  <c r="Q43" i="25"/>
  <c r="Q44" i="25"/>
  <c r="Q45" i="25"/>
  <c r="Q46" i="25"/>
  <c r="Q47" i="25"/>
  <c r="Q48" i="25"/>
  <c r="Q49" i="25"/>
  <c r="Q50" i="25"/>
  <c r="Q51" i="25"/>
  <c r="Q52" i="25"/>
  <c r="Q53" i="25"/>
  <c r="Q54" i="25"/>
  <c r="Q55" i="25"/>
  <c r="Q56" i="25"/>
  <c r="Q57" i="25"/>
  <c r="Q58" i="25"/>
  <c r="Q59" i="25"/>
  <c r="Q60" i="25"/>
  <c r="Q61" i="25"/>
  <c r="Q62" i="25"/>
  <c r="Q63" i="25"/>
  <c r="Q64" i="25"/>
  <c r="Q65" i="25"/>
  <c r="Q66" i="25"/>
  <c r="Q67" i="25"/>
  <c r="Q68" i="25"/>
  <c r="Q69" i="25"/>
  <c r="Q70" i="25"/>
  <c r="Q71" i="25"/>
  <c r="Q72" i="25"/>
  <c r="Q73" i="25"/>
  <c r="Q74" i="25"/>
  <c r="Q75" i="25"/>
  <c r="Q39" i="25"/>
  <c r="AC22" i="25"/>
  <c r="AC19" i="25"/>
  <c r="Z19" i="25"/>
  <c r="Z20" i="25"/>
  <c r="Z21" i="25"/>
  <c r="Z22" i="25"/>
  <c r="Z23" i="25"/>
  <c r="Z24" i="25"/>
  <c r="W35" i="25"/>
  <c r="W36" i="25"/>
  <c r="W29" i="25"/>
  <c r="W30" i="25"/>
  <c r="W17" i="25"/>
  <c r="W18" i="25"/>
  <c r="W19" i="25"/>
  <c r="W20" i="25"/>
  <c r="W21" i="25"/>
  <c r="W22" i="25"/>
  <c r="W23" i="25"/>
  <c r="W24" i="25"/>
  <c r="W25" i="25"/>
  <c r="W9" i="25"/>
  <c r="W10" i="25"/>
  <c r="W11" i="25"/>
  <c r="W12" i="25"/>
  <c r="W13" i="25"/>
  <c r="W14" i="25"/>
  <c r="W8" i="25"/>
  <c r="Q9" i="25"/>
  <c r="Q10" i="25"/>
  <c r="Q11" i="25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35" i="25"/>
  <c r="Q36" i="25"/>
  <c r="Q37" i="25"/>
  <c r="Q8" i="25"/>
  <c r="AC5" i="25"/>
  <c r="AC6" i="25"/>
  <c r="Z2" i="25"/>
  <c r="Z3" i="25"/>
  <c r="Z5" i="25"/>
  <c r="Z6" i="25"/>
  <c r="Q3" i="25"/>
  <c r="Q4" i="25"/>
  <c r="Q5" i="25"/>
  <c r="Q6" i="25"/>
  <c r="AO193" i="25"/>
  <c r="AL193" i="25"/>
  <c r="AI193" i="25"/>
  <c r="AF193" i="25"/>
  <c r="AC193" i="25"/>
  <c r="I22" i="25"/>
  <c r="T142" i="25"/>
  <c r="T25" i="25"/>
  <c r="AI143" i="25"/>
  <c r="AF115" i="25"/>
  <c r="AF116" i="25"/>
  <c r="AF117" i="25"/>
  <c r="AF118" i="25"/>
  <c r="AF119" i="25"/>
  <c r="AF120" i="25"/>
  <c r="AF121" i="25"/>
  <c r="AF143" i="25"/>
  <c r="AF185" i="25"/>
  <c r="AC185" i="25"/>
  <c r="AC179" i="25"/>
  <c r="AC169" i="25"/>
  <c r="AC168" i="25"/>
  <c r="AC167" i="25"/>
  <c r="AC166" i="25"/>
  <c r="AC165" i="25"/>
  <c r="AC154" i="25"/>
  <c r="AC143" i="25"/>
  <c r="AC131" i="25"/>
  <c r="AC121" i="25"/>
  <c r="AC120" i="25"/>
  <c r="AC119" i="25"/>
  <c r="AC118" i="25"/>
  <c r="AC117" i="25"/>
  <c r="AC116" i="25"/>
  <c r="AC115" i="25"/>
  <c r="Z115" i="25"/>
  <c r="Z116" i="25"/>
  <c r="Z117" i="25"/>
  <c r="Z118" i="25"/>
  <c r="Z119" i="25"/>
  <c r="Z120" i="25"/>
  <c r="Z121" i="25"/>
  <c r="Z151" i="25"/>
  <c r="Z150" i="25"/>
  <c r="Z154" i="25"/>
  <c r="Z160" i="25"/>
  <c r="Q113" i="25"/>
  <c r="Q115" i="25"/>
  <c r="Q116" i="25"/>
  <c r="Q117" i="25"/>
  <c r="Q118" i="25"/>
  <c r="Q119" i="25"/>
  <c r="Q120" i="25"/>
  <c r="Q121" i="25"/>
  <c r="T31" i="25"/>
  <c r="T19" i="25"/>
  <c r="T32" i="25"/>
  <c r="T33" i="25"/>
  <c r="T34" i="25"/>
  <c r="T35" i="25"/>
  <c r="T36" i="25"/>
  <c r="T14" i="25"/>
  <c r="T15" i="25"/>
  <c r="T16" i="25"/>
  <c r="T17" i="25"/>
  <c r="T18" i="25"/>
  <c r="T20" i="25"/>
  <c r="T21" i="25"/>
  <c r="T22" i="25"/>
  <c r="T23" i="25"/>
  <c r="T24" i="25"/>
  <c r="T26" i="25"/>
  <c r="T27" i="25"/>
  <c r="T28" i="25"/>
  <c r="T29" i="25"/>
  <c r="T30" i="25"/>
  <c r="T8" i="25"/>
  <c r="T9" i="25"/>
  <c r="T10" i="25"/>
  <c r="T11" i="25"/>
  <c r="T12" i="25"/>
  <c r="T13" i="25"/>
  <c r="T3" i="25"/>
  <c r="T4" i="25"/>
  <c r="T5" i="25"/>
  <c r="T6" i="25"/>
  <c r="Q38" i="25"/>
  <c r="Z148" i="25"/>
  <c r="Z146" i="25"/>
  <c r="Z144" i="25"/>
  <c r="Z143" i="25"/>
  <c r="Z141" i="25"/>
  <c r="Z138" i="25"/>
  <c r="Z136" i="25"/>
  <c r="Z131" i="25"/>
  <c r="W193" i="25"/>
  <c r="W192" i="25"/>
  <c r="W191" i="25"/>
  <c r="W190" i="25"/>
  <c r="W189" i="25"/>
  <c r="W188" i="25"/>
  <c r="W186" i="25"/>
  <c r="W185" i="25"/>
  <c r="W184" i="25"/>
  <c r="W183" i="25"/>
  <c r="W182" i="25"/>
  <c r="W181" i="25"/>
  <c r="W180" i="25"/>
  <c r="W179" i="25"/>
  <c r="W178" i="25"/>
  <c r="W177" i="25"/>
  <c r="W176" i="25"/>
  <c r="W175" i="25"/>
  <c r="W174" i="25"/>
  <c r="W173" i="25"/>
  <c r="W172" i="25"/>
  <c r="W171" i="25"/>
  <c r="W170" i="25"/>
  <c r="W169" i="25"/>
  <c r="W168" i="25"/>
  <c r="W167" i="25"/>
  <c r="W166" i="25"/>
  <c r="W165" i="25"/>
  <c r="W163" i="25"/>
  <c r="W162" i="25"/>
  <c r="W161" i="25"/>
  <c r="W160" i="25"/>
  <c r="W158" i="25"/>
  <c r="W157" i="25"/>
  <c r="W156" i="25"/>
  <c r="W155" i="25"/>
  <c r="W154" i="25"/>
  <c r="W153" i="25"/>
  <c r="W152" i="25"/>
  <c r="W151" i="25"/>
  <c r="W150" i="25"/>
  <c r="W149" i="25"/>
  <c r="W148" i="25"/>
  <c r="W147" i="25"/>
  <c r="W146" i="25"/>
  <c r="W145" i="25"/>
  <c r="W144" i="25"/>
  <c r="W143" i="25"/>
  <c r="W142" i="25"/>
  <c r="W141" i="25"/>
  <c r="W140" i="25"/>
  <c r="W139" i="25"/>
  <c r="W138" i="25"/>
  <c r="W137" i="25"/>
  <c r="W136" i="25"/>
  <c r="W135" i="25"/>
  <c r="W134" i="25"/>
  <c r="W133" i="25"/>
  <c r="W132" i="25"/>
  <c r="W131" i="25"/>
  <c r="W130" i="25"/>
  <c r="W129" i="25"/>
  <c r="W121" i="25"/>
  <c r="W120" i="25"/>
  <c r="W119" i="25"/>
  <c r="W118" i="25"/>
  <c r="W117" i="25"/>
  <c r="W116" i="25"/>
  <c r="W115" i="25"/>
  <c r="W113" i="25"/>
  <c r="W112" i="25"/>
  <c r="W111" i="25"/>
  <c r="W110" i="25"/>
  <c r="W109" i="25"/>
  <c r="W108" i="25"/>
  <c r="W107" i="25"/>
  <c r="W106" i="25"/>
  <c r="W105" i="25"/>
  <c r="W104" i="25"/>
  <c r="W103" i="25"/>
  <c r="W102" i="25"/>
  <c r="W101" i="25"/>
  <c r="W100" i="25"/>
  <c r="W98" i="25"/>
  <c r="W96" i="25"/>
  <c r="W95" i="25"/>
  <c r="W94" i="25"/>
  <c r="W93" i="25"/>
  <c r="W92" i="25"/>
  <c r="W91" i="25"/>
  <c r="W90" i="25"/>
  <c r="W89" i="25"/>
  <c r="W88" i="25"/>
  <c r="W87" i="25"/>
  <c r="W85" i="25"/>
  <c r="W84" i="25"/>
  <c r="W82" i="25"/>
  <c r="W78" i="25"/>
  <c r="W79" i="25"/>
  <c r="W80" i="25"/>
  <c r="W77" i="25"/>
  <c r="T193" i="25"/>
  <c r="T192" i="25"/>
  <c r="T191" i="25"/>
  <c r="T190" i="25"/>
  <c r="T189" i="25"/>
  <c r="T188" i="25"/>
  <c r="T187" i="25"/>
  <c r="T186" i="25"/>
  <c r="T185" i="25"/>
  <c r="T184" i="25"/>
  <c r="T183" i="25"/>
  <c r="T182" i="25"/>
  <c r="T181" i="25"/>
  <c r="T180" i="25"/>
  <c r="T179" i="25"/>
  <c r="T178" i="25"/>
  <c r="T177" i="25"/>
  <c r="T176" i="25"/>
  <c r="T175" i="25"/>
  <c r="T174" i="25"/>
  <c r="T173" i="25"/>
  <c r="T172" i="25"/>
  <c r="T171" i="25"/>
  <c r="T170" i="25"/>
  <c r="T169" i="25"/>
  <c r="T168" i="25"/>
  <c r="T167" i="25"/>
  <c r="T166" i="25"/>
  <c r="T165" i="25"/>
  <c r="T163" i="25"/>
  <c r="T162" i="25"/>
  <c r="T161" i="25"/>
  <c r="T160" i="25"/>
  <c r="T159" i="25"/>
  <c r="T158" i="25"/>
  <c r="T157" i="25"/>
  <c r="T156" i="25"/>
  <c r="T155" i="25"/>
  <c r="T154" i="25"/>
  <c r="T153" i="25"/>
  <c r="T152" i="25"/>
  <c r="T151" i="25"/>
  <c r="T150" i="25"/>
  <c r="T149" i="25"/>
  <c r="T148" i="25"/>
  <c r="T147" i="25"/>
  <c r="T146" i="25"/>
  <c r="T145" i="25"/>
  <c r="T144" i="25"/>
  <c r="T143" i="25"/>
  <c r="T141" i="25"/>
  <c r="T140" i="25"/>
  <c r="T139" i="25"/>
  <c r="T138" i="25"/>
  <c r="T137" i="25"/>
  <c r="T136" i="25"/>
  <c r="T135" i="25"/>
  <c r="T134" i="25"/>
  <c r="T133" i="25"/>
  <c r="T132" i="25"/>
  <c r="T131" i="25"/>
  <c r="T130" i="25"/>
  <c r="T129" i="25"/>
  <c r="T113" i="25"/>
  <c r="T115" i="25"/>
  <c r="T116" i="25"/>
  <c r="T117" i="25"/>
  <c r="T118" i="25"/>
  <c r="T119" i="25"/>
  <c r="T120" i="25"/>
  <c r="T121" i="25"/>
  <c r="T78" i="25"/>
  <c r="T79" i="25"/>
  <c r="T80" i="25"/>
  <c r="T81" i="25"/>
  <c r="T82" i="25"/>
  <c r="T83" i="25"/>
  <c r="T84" i="25"/>
  <c r="T85" i="25"/>
  <c r="T86" i="25"/>
  <c r="T87" i="25"/>
  <c r="T88" i="25"/>
  <c r="T89" i="25"/>
  <c r="T90" i="25"/>
  <c r="T91" i="25"/>
  <c r="T92" i="25"/>
  <c r="T93" i="25"/>
  <c r="T94" i="25"/>
  <c r="T95" i="25"/>
  <c r="T96" i="25"/>
  <c r="T97" i="25"/>
  <c r="T98" i="25"/>
  <c r="T99" i="25"/>
  <c r="T100" i="25"/>
  <c r="T101" i="25"/>
  <c r="T102" i="25"/>
  <c r="T103" i="25"/>
  <c r="T104" i="25"/>
  <c r="T105" i="25"/>
  <c r="T106" i="25"/>
  <c r="T107" i="25"/>
  <c r="T108" i="25"/>
  <c r="T109" i="25"/>
  <c r="T110" i="25"/>
  <c r="T111" i="25"/>
  <c r="T112" i="25"/>
  <c r="T77" i="25"/>
  <c r="Q78" i="25"/>
  <c r="Q79" i="25"/>
  <c r="Q80" i="25"/>
  <c r="Q81" i="25"/>
  <c r="Q82" i="25"/>
  <c r="Q83" i="25"/>
  <c r="Q84" i="25"/>
  <c r="Q85" i="25"/>
  <c r="Q86" i="25"/>
  <c r="Q87" i="25"/>
  <c r="Q88" i="25"/>
  <c r="Q89" i="25"/>
  <c r="Q90" i="25"/>
  <c r="Q91" i="25"/>
  <c r="Q92" i="25"/>
  <c r="Q93" i="25"/>
  <c r="Q94" i="25"/>
  <c r="Q95" i="25"/>
  <c r="Q96" i="25"/>
  <c r="Q97" i="25"/>
  <c r="Q98" i="25"/>
  <c r="Q99" i="25"/>
  <c r="Q100" i="25"/>
  <c r="Q101" i="25"/>
  <c r="Q102" i="25"/>
  <c r="Q103" i="25"/>
  <c r="Q104" i="25"/>
  <c r="Q105" i="25"/>
  <c r="Q106" i="25"/>
  <c r="Q107" i="25"/>
  <c r="Q108" i="25"/>
  <c r="Q109" i="25"/>
  <c r="Q110" i="25"/>
  <c r="Q111" i="25"/>
  <c r="Q112" i="25"/>
  <c r="Q77" i="25"/>
  <c r="J212" i="25" l="1"/>
  <c r="CT3" i="80" l="1"/>
  <c r="CT5" i="80"/>
  <c r="CT2" i="80"/>
  <c r="U122" i="80"/>
  <c r="U123" i="80"/>
  <c r="U124" i="80"/>
  <c r="U125" i="80"/>
  <c r="U126" i="80"/>
  <c r="U127" i="80"/>
  <c r="U128" i="80"/>
  <c r="U129" i="80"/>
  <c r="AD129" i="80"/>
  <c r="AK129" i="80"/>
  <c r="U130" i="80"/>
  <c r="AD130" i="80"/>
  <c r="AK130" i="80"/>
  <c r="U131" i="80"/>
  <c r="AD131" i="80"/>
  <c r="AK131" i="80"/>
  <c r="AR131" i="80"/>
  <c r="AY131" i="80"/>
  <c r="U132" i="80"/>
  <c r="AD132" i="80"/>
  <c r="AK132" i="80"/>
  <c r="U133" i="80"/>
  <c r="AD133" i="80"/>
  <c r="AK133" i="80"/>
  <c r="U134" i="80"/>
  <c r="AD134" i="80"/>
  <c r="AK134" i="80"/>
  <c r="U135" i="80"/>
  <c r="AD135" i="80"/>
  <c r="AK135" i="80"/>
  <c r="U136" i="80"/>
  <c r="AD136" i="80"/>
  <c r="AK136" i="80"/>
  <c r="AR136" i="80"/>
  <c r="U137" i="80"/>
  <c r="AD137" i="80"/>
  <c r="AK137" i="80"/>
  <c r="U138" i="80"/>
  <c r="AD138" i="80"/>
  <c r="AK138" i="80"/>
  <c r="AR138" i="80"/>
  <c r="U139" i="80"/>
  <c r="AD139" i="80"/>
  <c r="AK139" i="80"/>
  <c r="U140" i="80"/>
  <c r="AD140" i="80"/>
  <c r="AK140" i="80"/>
  <c r="U141" i="80"/>
  <c r="AD141" i="80"/>
  <c r="AK141" i="80"/>
  <c r="AR141" i="80"/>
  <c r="U142" i="80"/>
  <c r="AD142" i="80"/>
  <c r="AK142" i="80"/>
  <c r="U143" i="80"/>
  <c r="AD143" i="80"/>
  <c r="AK143" i="80"/>
  <c r="AR143" i="80"/>
  <c r="AY143" i="80"/>
  <c r="BF143" i="80"/>
  <c r="BM143" i="80"/>
  <c r="U144" i="80"/>
  <c r="AD144" i="80"/>
  <c r="AK144" i="80"/>
  <c r="AR144" i="80"/>
  <c r="U145" i="80"/>
  <c r="AD145" i="80"/>
  <c r="AK145" i="80"/>
  <c r="U146" i="80"/>
  <c r="AD146" i="80"/>
  <c r="AK146" i="80"/>
  <c r="AR146" i="80"/>
  <c r="U147" i="80"/>
  <c r="AD147" i="80"/>
  <c r="AK147" i="80"/>
  <c r="U148" i="80"/>
  <c r="AD148" i="80"/>
  <c r="AK148" i="80"/>
  <c r="AR148" i="80"/>
  <c r="U149" i="80"/>
  <c r="AD149" i="80"/>
  <c r="AK149" i="80"/>
  <c r="U150" i="80"/>
  <c r="AD150" i="80"/>
  <c r="AK150" i="80"/>
  <c r="AR150" i="80"/>
  <c r="U151" i="80"/>
  <c r="AD151" i="80"/>
  <c r="AK151" i="80"/>
  <c r="AR151" i="80"/>
  <c r="U152" i="80"/>
  <c r="AD152" i="80"/>
  <c r="AK152" i="80"/>
  <c r="U153" i="80"/>
  <c r="AD153" i="80"/>
  <c r="AK153" i="80"/>
  <c r="U154" i="80"/>
  <c r="AD154" i="80"/>
  <c r="AK154" i="80"/>
  <c r="AR154" i="80"/>
  <c r="AY154" i="80"/>
  <c r="U155" i="80"/>
  <c r="AD155" i="80"/>
  <c r="AK155" i="80"/>
  <c r="U156" i="80"/>
  <c r="AD156" i="80"/>
  <c r="AK156" i="80"/>
  <c r="U157" i="80"/>
  <c r="AD157" i="80"/>
  <c r="AK157" i="80"/>
  <c r="U158" i="80"/>
  <c r="AD158" i="80"/>
  <c r="AK158" i="80"/>
  <c r="U159" i="80"/>
  <c r="AD159" i="80"/>
  <c r="U160" i="80"/>
  <c r="AD160" i="80"/>
  <c r="AK160" i="80"/>
  <c r="AR160" i="80"/>
  <c r="U161" i="80"/>
  <c r="AD161" i="80"/>
  <c r="AK161" i="80"/>
  <c r="U162" i="80"/>
  <c r="AD162" i="80"/>
  <c r="AK162" i="80"/>
  <c r="U163" i="80"/>
  <c r="AD163" i="80"/>
  <c r="AK163" i="80"/>
  <c r="U114" i="80"/>
  <c r="AD114" i="80"/>
  <c r="AK114" i="80"/>
  <c r="AR114" i="80"/>
  <c r="AY114" i="80"/>
  <c r="BF114" i="80"/>
  <c r="U115" i="80"/>
  <c r="AD115" i="80"/>
  <c r="AK115" i="80"/>
  <c r="AR115" i="80"/>
  <c r="AY115" i="80"/>
  <c r="BF115" i="80"/>
  <c r="U116" i="80"/>
  <c r="AD116" i="80"/>
  <c r="AK116" i="80"/>
  <c r="AR116" i="80"/>
  <c r="AY116" i="80"/>
  <c r="BF116" i="80"/>
  <c r="U117" i="80"/>
  <c r="AD117" i="80"/>
  <c r="AK117" i="80"/>
  <c r="AR117" i="80"/>
  <c r="AY117" i="80"/>
  <c r="BF117" i="80"/>
  <c r="U118" i="80"/>
  <c r="AD118" i="80"/>
  <c r="AK118" i="80"/>
  <c r="AR118" i="80"/>
  <c r="AY118" i="80"/>
  <c r="BF118" i="80"/>
  <c r="U119" i="80"/>
  <c r="AD119" i="80"/>
  <c r="AK119" i="80"/>
  <c r="AR119" i="80"/>
  <c r="AY119" i="80"/>
  <c r="BF119" i="80"/>
  <c r="U120" i="80"/>
  <c r="AD120" i="80"/>
  <c r="AK120" i="80"/>
  <c r="AR120" i="80"/>
  <c r="AY120" i="80"/>
  <c r="BF120" i="80"/>
  <c r="U77" i="80"/>
  <c r="AD77" i="80" s="1"/>
  <c r="U78" i="80"/>
  <c r="AD78" i="80" s="1"/>
  <c r="U79" i="80"/>
  <c r="AD79" i="80" s="1"/>
  <c r="U80" i="80"/>
  <c r="AK80" i="80" s="1"/>
  <c r="U81" i="80"/>
  <c r="AD81" i="80" s="1"/>
  <c r="U82" i="80"/>
  <c r="AD82" i="80" s="1"/>
  <c r="U83" i="80"/>
  <c r="AD83" i="80" s="1"/>
  <c r="U84" i="80"/>
  <c r="AD84" i="80" s="1"/>
  <c r="U85" i="80"/>
  <c r="AD85" i="80" s="1"/>
  <c r="U86" i="80"/>
  <c r="AD86" i="80" s="1"/>
  <c r="U87" i="80"/>
  <c r="AD87" i="80" s="1"/>
  <c r="U88" i="80"/>
  <c r="AD88" i="80" s="1"/>
  <c r="U89" i="80"/>
  <c r="AK89" i="80" s="1"/>
  <c r="U90" i="80"/>
  <c r="AK90" i="80" s="1"/>
  <c r="U91" i="80"/>
  <c r="AD91" i="80" s="1"/>
  <c r="U92" i="80"/>
  <c r="AD92" i="80" s="1"/>
  <c r="U93" i="80"/>
  <c r="AD93" i="80" s="1"/>
  <c r="U94" i="80"/>
  <c r="AD94" i="80" s="1"/>
  <c r="U95" i="80"/>
  <c r="AD95" i="80" s="1"/>
  <c r="U96" i="80"/>
  <c r="AD96" i="80" s="1"/>
  <c r="AK96" i="80" s="1"/>
  <c r="U97" i="80"/>
  <c r="AD97" i="80" s="1"/>
  <c r="U98" i="80"/>
  <c r="AD98" i="80" s="1"/>
  <c r="U99" i="80"/>
  <c r="AD99" i="80" s="1"/>
  <c r="U100" i="80"/>
  <c r="AD100" i="80" s="1"/>
  <c r="U101" i="80"/>
  <c r="AD101" i="80" s="1"/>
  <c r="U102" i="80"/>
  <c r="AD102" i="80" s="1"/>
  <c r="U103" i="80"/>
  <c r="AD103" i="80" s="1"/>
  <c r="U104" i="80"/>
  <c r="AK104" i="80" s="1"/>
  <c r="U105" i="80"/>
  <c r="AK105" i="80" s="1"/>
  <c r="U106" i="80"/>
  <c r="AD106" i="80" s="1"/>
  <c r="U107" i="80"/>
  <c r="AD107" i="80" s="1"/>
  <c r="U108" i="80"/>
  <c r="AD108" i="80" s="1"/>
  <c r="U109" i="80"/>
  <c r="AD109" i="80" s="1"/>
  <c r="U110" i="80"/>
  <c r="AD110" i="80" s="1"/>
  <c r="U111" i="80"/>
  <c r="AD111" i="80" s="1"/>
  <c r="AK111" i="80" s="1"/>
  <c r="U112" i="80"/>
  <c r="AD112" i="80" s="1"/>
  <c r="AK112" i="80" s="1"/>
  <c r="U39" i="80"/>
  <c r="AD39" i="80" s="1"/>
  <c r="U40" i="80"/>
  <c r="AD40" i="80" s="1"/>
  <c r="U41" i="80"/>
  <c r="AD41" i="80" s="1"/>
  <c r="U42" i="80"/>
  <c r="AK42" i="80" s="1"/>
  <c r="U43" i="80"/>
  <c r="AD43" i="80" s="1"/>
  <c r="U44" i="80"/>
  <c r="AK44" i="80" s="1"/>
  <c r="U45" i="80"/>
  <c r="AD45" i="80" s="1"/>
  <c r="U46" i="80"/>
  <c r="AD46" i="80" s="1"/>
  <c r="U47" i="80"/>
  <c r="AK47" i="80" s="1"/>
  <c r="U48" i="80"/>
  <c r="AD48" i="80" s="1"/>
  <c r="U49" i="80"/>
  <c r="U50" i="80"/>
  <c r="AD50" i="80" s="1"/>
  <c r="U51" i="80"/>
  <c r="AD51" i="80" s="1"/>
  <c r="U52" i="80"/>
  <c r="AD52" i="80" s="1"/>
  <c r="U53" i="80"/>
  <c r="AD53" i="80" s="1"/>
  <c r="U54" i="80"/>
  <c r="AD54" i="80" s="1"/>
  <c r="U55" i="80"/>
  <c r="AD55" i="80" s="1"/>
  <c r="U56" i="80"/>
  <c r="AD56" i="80" s="1"/>
  <c r="U57" i="80"/>
  <c r="AK57" i="80" s="1"/>
  <c r="U58" i="80"/>
  <c r="AD58" i="80" s="1"/>
  <c r="U59" i="80"/>
  <c r="AD59" i="80" s="1"/>
  <c r="U60" i="80"/>
  <c r="AD60" i="80" s="1"/>
  <c r="U61" i="80"/>
  <c r="AD61" i="80" s="1"/>
  <c r="U62" i="80"/>
  <c r="AD62" i="80" s="1"/>
  <c r="U63" i="80"/>
  <c r="AD63" i="80" s="1"/>
  <c r="U64" i="80"/>
  <c r="AD64" i="80" s="1"/>
  <c r="U65" i="80"/>
  <c r="AD65" i="80" s="1"/>
  <c r="U66" i="80"/>
  <c r="AD66" i="80" s="1"/>
  <c r="U67" i="80"/>
  <c r="AD67" i="80" s="1"/>
  <c r="U68" i="80"/>
  <c r="AD68" i="80" s="1"/>
  <c r="U69" i="80"/>
  <c r="AD69" i="80" s="1"/>
  <c r="U70" i="80"/>
  <c r="AD70" i="80" s="1"/>
  <c r="U71" i="80"/>
  <c r="AD71" i="80" s="1"/>
  <c r="U72" i="80"/>
  <c r="AD72" i="80" s="1"/>
  <c r="U73" i="80"/>
  <c r="U74" i="80"/>
  <c r="U75" i="80"/>
  <c r="AK36" i="80"/>
  <c r="AD36" i="80"/>
  <c r="U36" i="80"/>
  <c r="J8" i="80"/>
  <c r="U8" i="80"/>
  <c r="AD8" i="80"/>
  <c r="AK8" i="80"/>
  <c r="J9" i="80"/>
  <c r="U9" i="80"/>
  <c r="AD9" i="80"/>
  <c r="AK9" i="80"/>
  <c r="J10" i="80"/>
  <c r="U10" i="80"/>
  <c r="AD10" i="80"/>
  <c r="AK10" i="80"/>
  <c r="J11" i="80"/>
  <c r="U11" i="80"/>
  <c r="AD11" i="80"/>
  <c r="AK11" i="80"/>
  <c r="J12" i="80"/>
  <c r="U12" i="80"/>
  <c r="AD12" i="80"/>
  <c r="AK12" i="80"/>
  <c r="J13" i="80"/>
  <c r="U13" i="80"/>
  <c r="AD13" i="80"/>
  <c r="AK13" i="80"/>
  <c r="J14" i="80"/>
  <c r="U14" i="80"/>
  <c r="AD14" i="80"/>
  <c r="AK14" i="80"/>
  <c r="J15" i="80"/>
  <c r="U15" i="80"/>
  <c r="AD15" i="80"/>
  <c r="J16" i="80"/>
  <c r="U16" i="80"/>
  <c r="AD16" i="80"/>
  <c r="J17" i="80"/>
  <c r="U17" i="80"/>
  <c r="AD17" i="80"/>
  <c r="AK17" i="80"/>
  <c r="J18" i="80"/>
  <c r="U18" i="80"/>
  <c r="AD18" i="80"/>
  <c r="AK18" i="80"/>
  <c r="J19" i="80"/>
  <c r="U19" i="80"/>
  <c r="AD19" i="80"/>
  <c r="AK19" i="80"/>
  <c r="AR19" i="80"/>
  <c r="AY19" i="80"/>
  <c r="J20" i="80"/>
  <c r="U20" i="80"/>
  <c r="AD20" i="80"/>
  <c r="AK20" i="80"/>
  <c r="AR20" i="80"/>
  <c r="J21" i="80"/>
  <c r="U21" i="80"/>
  <c r="AD21" i="80"/>
  <c r="AK21" i="80"/>
  <c r="AR21" i="80"/>
  <c r="J22" i="80"/>
  <c r="U22" i="80"/>
  <c r="AD22" i="80"/>
  <c r="AK22" i="80"/>
  <c r="AR22" i="80"/>
  <c r="AY22" i="80"/>
  <c r="J23" i="80"/>
  <c r="U23" i="80"/>
  <c r="AD23" i="80"/>
  <c r="AK23" i="80"/>
  <c r="J24" i="80"/>
  <c r="U24" i="80"/>
  <c r="AD24" i="80"/>
  <c r="AK24" i="80"/>
  <c r="AR24" i="80"/>
  <c r="J25" i="80"/>
  <c r="U25" i="80"/>
  <c r="AK25" i="80"/>
  <c r="J26" i="80"/>
  <c r="U26" i="80"/>
  <c r="AD26" i="80"/>
  <c r="J27" i="80"/>
  <c r="U27" i="80"/>
  <c r="AD27" i="80"/>
  <c r="U28" i="80"/>
  <c r="AD28" i="80"/>
  <c r="U29" i="80"/>
  <c r="AD29" i="80"/>
  <c r="AK29" i="80"/>
  <c r="U30" i="80"/>
  <c r="AD30" i="80"/>
  <c r="AK30" i="80"/>
  <c r="U2" i="80"/>
  <c r="AD2" i="80" s="1"/>
  <c r="U3" i="80"/>
  <c r="AK3" i="80" s="1"/>
  <c r="U4" i="80"/>
  <c r="AD4" i="80"/>
  <c r="U5" i="80"/>
  <c r="AD5" i="80" s="1"/>
  <c r="U6" i="80"/>
  <c r="AD6" i="80" s="1"/>
  <c r="V122" i="78"/>
  <c r="V123" i="78"/>
  <c r="V124" i="78"/>
  <c r="V125" i="78"/>
  <c r="V126" i="78"/>
  <c r="V127" i="78"/>
  <c r="V128" i="78"/>
  <c r="V129" i="78"/>
  <c r="V130" i="78"/>
  <c r="V131" i="78"/>
  <c r="V132" i="78"/>
  <c r="V133" i="78"/>
  <c r="V134" i="78"/>
  <c r="V135" i="78"/>
  <c r="V136" i="78"/>
  <c r="V137" i="78"/>
  <c r="V138" i="78"/>
  <c r="V139" i="78"/>
  <c r="V140" i="78"/>
  <c r="V141" i="78"/>
  <c r="V142" i="78"/>
  <c r="V143" i="78"/>
  <c r="V144" i="78"/>
  <c r="V145" i="78"/>
  <c r="V146" i="78"/>
  <c r="V147" i="78"/>
  <c r="V148" i="78"/>
  <c r="V149" i="78"/>
  <c r="V150" i="78"/>
  <c r="V151" i="78"/>
  <c r="V152" i="78"/>
  <c r="V153" i="78"/>
  <c r="V154" i="78"/>
  <c r="V155" i="78"/>
  <c r="V156" i="78"/>
  <c r="V157" i="78"/>
  <c r="V158" i="78"/>
  <c r="V159" i="78"/>
  <c r="V160" i="78"/>
  <c r="V161" i="78"/>
  <c r="V162" i="78"/>
  <c r="V163" i="78"/>
  <c r="T86" i="73"/>
  <c r="T88" i="73"/>
  <c r="T89" i="73"/>
  <c r="T90" i="73"/>
  <c r="T91" i="73"/>
  <c r="T92" i="73"/>
  <c r="T93" i="73"/>
  <c r="T94" i="73"/>
  <c r="T95" i="73"/>
  <c r="T96" i="73"/>
  <c r="T97" i="73"/>
  <c r="T98" i="73"/>
  <c r="T99" i="73"/>
  <c r="T100" i="73"/>
  <c r="T101" i="73"/>
  <c r="T102" i="73"/>
  <c r="T103" i="73"/>
  <c r="T104" i="73"/>
  <c r="T105" i="73"/>
  <c r="T106" i="73"/>
  <c r="T107" i="73"/>
  <c r="T108" i="73"/>
  <c r="T109" i="73"/>
  <c r="T110" i="73"/>
  <c r="T111" i="73"/>
  <c r="T112" i="73"/>
  <c r="T113" i="73"/>
  <c r="T114" i="73"/>
  <c r="T115" i="73"/>
  <c r="T116" i="73"/>
  <c r="T117" i="73"/>
  <c r="T118" i="73"/>
  <c r="T119" i="73"/>
  <c r="T120" i="73"/>
  <c r="T121" i="73"/>
  <c r="T122" i="73"/>
  <c r="T123" i="73"/>
  <c r="T124" i="73"/>
  <c r="BE52" i="73"/>
  <c r="AW47" i="73"/>
  <c r="AW48" i="73"/>
  <c r="AW52" i="73"/>
  <c r="AW53" i="73"/>
  <c r="AW54" i="73"/>
  <c r="AW59" i="73"/>
  <c r="AN44" i="73"/>
  <c r="AN45" i="73"/>
  <c r="AN47" i="73"/>
  <c r="AN48" i="73"/>
  <c r="AN49" i="73"/>
  <c r="AN50" i="73"/>
  <c r="AN52" i="73"/>
  <c r="AN53" i="73"/>
  <c r="AN58" i="73"/>
  <c r="AN41" i="73"/>
  <c r="AN35" i="73"/>
  <c r="AN36" i="73"/>
  <c r="AN26" i="73"/>
  <c r="AN27" i="73"/>
  <c r="AN28" i="73"/>
  <c r="AN29" i="73"/>
  <c r="AN30" i="73"/>
  <c r="AN24" i="73"/>
  <c r="AE24" i="73"/>
  <c r="AE25" i="73"/>
  <c r="AE26" i="73"/>
  <c r="AE27" i="73"/>
  <c r="AE28" i="73"/>
  <c r="AE29" i="73"/>
  <c r="AE30" i="73"/>
  <c r="AE31" i="73"/>
  <c r="AE32" i="73"/>
  <c r="AE33" i="73"/>
  <c r="AE34" i="73"/>
  <c r="AE35" i="73"/>
  <c r="AE36" i="73"/>
  <c r="AE37" i="73"/>
  <c r="AE38" i="73"/>
  <c r="AE39" i="73"/>
  <c r="AE40" i="73"/>
  <c r="AE41" i="73"/>
  <c r="AE42" i="73"/>
  <c r="AE43" i="73"/>
  <c r="AE44" i="73"/>
  <c r="AE45" i="73"/>
  <c r="AE46" i="73"/>
  <c r="AE47" i="73"/>
  <c r="AE48" i="73"/>
  <c r="AE49" i="73"/>
  <c r="AE50" i="73"/>
  <c r="AE51" i="73"/>
  <c r="AE52" i="73"/>
  <c r="AE53" i="73"/>
  <c r="AE54" i="73"/>
  <c r="AE23" i="73"/>
  <c r="T62" i="73"/>
  <c r="T63" i="73"/>
  <c r="T64" i="73"/>
  <c r="T65" i="73"/>
  <c r="T66" i="73"/>
  <c r="T67" i="73"/>
  <c r="T68" i="73"/>
  <c r="T69" i="73"/>
  <c r="T70" i="73"/>
  <c r="T71" i="73"/>
  <c r="T72" i="73"/>
  <c r="T73" i="73"/>
  <c r="T74" i="73"/>
  <c r="T75" i="73"/>
  <c r="T76" i="73"/>
  <c r="T77" i="73"/>
  <c r="T78" i="73"/>
  <c r="T79" i="73"/>
  <c r="T80" i="73"/>
  <c r="T81" i="73"/>
  <c r="T82" i="73"/>
  <c r="T83" i="73"/>
  <c r="T84" i="73"/>
  <c r="T61" i="73"/>
  <c r="T24" i="73"/>
  <c r="T25" i="73"/>
  <c r="T26" i="73"/>
  <c r="T27" i="73"/>
  <c r="T28" i="73"/>
  <c r="T29" i="73"/>
  <c r="T30" i="73"/>
  <c r="T31" i="73"/>
  <c r="T32" i="73"/>
  <c r="T33" i="73"/>
  <c r="T34" i="73"/>
  <c r="T35" i="73"/>
  <c r="T36" i="73"/>
  <c r="T37" i="73"/>
  <c r="T38" i="73"/>
  <c r="T39" i="73"/>
  <c r="T40" i="73"/>
  <c r="T41" i="73"/>
  <c r="T42" i="73"/>
  <c r="T43" i="73"/>
  <c r="T44" i="73"/>
  <c r="T45" i="73"/>
  <c r="T46" i="73"/>
  <c r="T47" i="73"/>
  <c r="T48" i="73"/>
  <c r="T49" i="73"/>
  <c r="T50" i="73"/>
  <c r="T51" i="73"/>
  <c r="T52" i="73"/>
  <c r="T53" i="73"/>
  <c r="T54" i="73"/>
  <c r="T55" i="73"/>
  <c r="T56" i="73"/>
  <c r="T57" i="73"/>
  <c r="T58" i="73"/>
  <c r="T59" i="73"/>
  <c r="T23" i="73"/>
  <c r="T2" i="73"/>
  <c r="T5" i="73"/>
  <c r="T6" i="73"/>
  <c r="T7" i="73"/>
  <c r="T8" i="73"/>
  <c r="T9" i="73"/>
  <c r="T10" i="73"/>
  <c r="T11" i="73"/>
  <c r="T12" i="73"/>
  <c r="T13" i="73"/>
  <c r="T14" i="73"/>
  <c r="T15" i="73"/>
  <c r="T16" i="73"/>
  <c r="T17" i="73"/>
  <c r="T18" i="73"/>
  <c r="T19" i="73"/>
  <c r="T20" i="73"/>
  <c r="T21" i="73"/>
  <c r="T4" i="73"/>
  <c r="BE8" i="73"/>
  <c r="AW7" i="73"/>
  <c r="AW8" i="73"/>
  <c r="AW15" i="73"/>
  <c r="AW18" i="73"/>
  <c r="AW20" i="73"/>
  <c r="AN7" i="73"/>
  <c r="AN8" i="73"/>
  <c r="AN9" i="73"/>
  <c r="AN10" i="73"/>
  <c r="AN12" i="73"/>
  <c r="AN13" i="73"/>
  <c r="AN14" i="73"/>
  <c r="AN15" i="73"/>
  <c r="AN16" i="73"/>
  <c r="AN17" i="73"/>
  <c r="AN18" i="73"/>
  <c r="AN20" i="73"/>
  <c r="AN21" i="73"/>
  <c r="AE5" i="73"/>
  <c r="AE6" i="73"/>
  <c r="AE7" i="73"/>
  <c r="AE8" i="73"/>
  <c r="AE9" i="73"/>
  <c r="AE10" i="73"/>
  <c r="AE11" i="73"/>
  <c r="AE12" i="73"/>
  <c r="AE13" i="73"/>
  <c r="AE14" i="73"/>
  <c r="AE15" i="73"/>
  <c r="AE16" i="73"/>
  <c r="AE17" i="73"/>
  <c r="AE18" i="73"/>
  <c r="AE19" i="73"/>
  <c r="AE20" i="73"/>
  <c r="AE21" i="73"/>
  <c r="AE4" i="73"/>
  <c r="AE2" i="73"/>
  <c r="AR6" i="80" l="1"/>
  <c r="AK63" i="80"/>
  <c r="AD47" i="80"/>
  <c r="AD104" i="80"/>
  <c r="AD80" i="80"/>
  <c r="AK59" i="80"/>
  <c r="AD105" i="80"/>
  <c r="AK82" i="80"/>
  <c r="AD42" i="80"/>
  <c r="AK108" i="80"/>
  <c r="AD89" i="80"/>
  <c r="AK94" i="80"/>
  <c r="AR39" i="80"/>
  <c r="AK87" i="80"/>
  <c r="AK70" i="80"/>
  <c r="AK98" i="80"/>
  <c r="AK43" i="80"/>
  <c r="AK67" i="80"/>
  <c r="AD90" i="80"/>
  <c r="AK79" i="80"/>
  <c r="AK52" i="80"/>
  <c r="AK103" i="80"/>
  <c r="AK78" i="80"/>
  <c r="AY6" i="80"/>
  <c r="AD3" i="80"/>
  <c r="AD57" i="80"/>
  <c r="AY5" i="80"/>
  <c r="AD44" i="80"/>
  <c r="AK91" i="80"/>
  <c r="AK88" i="80"/>
  <c r="AR5" i="80"/>
  <c r="AK71" i="80"/>
  <c r="AK40" i="80"/>
  <c r="AK100" i="80"/>
  <c r="AK95" i="80"/>
  <c r="AK2" i="80"/>
  <c r="AK58" i="80"/>
  <c r="AK51" i="80"/>
  <c r="AK39" i="80"/>
  <c r="AK109" i="80"/>
  <c r="AK101" i="80"/>
  <c r="AK85" i="80"/>
  <c r="AK62" i="80"/>
  <c r="AK53" i="80"/>
  <c r="AK84" i="80"/>
  <c r="AK65" i="80"/>
  <c r="AK60" i="80"/>
  <c r="AK54" i="80"/>
  <c r="AK48" i="80"/>
  <c r="AK45" i="80"/>
  <c r="AK106" i="80"/>
  <c r="AK92" i="80"/>
  <c r="AK5" i="80"/>
  <c r="AK77" i="80"/>
  <c r="AR64" i="80"/>
  <c r="AK6" i="80"/>
  <c r="AK72" i="80"/>
  <c r="AK64" i="80"/>
  <c r="AK50" i="80"/>
  <c r="AK41" i="80"/>
  <c r="AK110" i="80"/>
  <c r="AK102" i="80"/>
  <c r="AK69" i="80"/>
  <c r="AK66" i="80"/>
  <c r="AK61" i="80"/>
  <c r="AK107" i="80"/>
  <c r="AK93" i="80"/>
  <c r="AP163" i="78"/>
  <c r="AG163" i="78"/>
  <c r="AP162" i="78"/>
  <c r="AG162" i="78"/>
  <c r="AP161" i="78"/>
  <c r="AG161" i="78"/>
  <c r="AY160" i="78"/>
  <c r="AP160" i="78"/>
  <c r="AG160" i="78"/>
  <c r="AG159" i="78"/>
  <c r="AP158" i="78"/>
  <c r="AG158" i="78"/>
  <c r="AP157" i="78"/>
  <c r="AG157" i="78"/>
  <c r="AP156" i="78"/>
  <c r="AG156" i="78"/>
  <c r="AP155" i="78"/>
  <c r="AG155" i="78"/>
  <c r="BG154" i="78"/>
  <c r="AY154" i="78"/>
  <c r="AP154" i="78"/>
  <c r="AG154" i="78"/>
  <c r="AP153" i="78"/>
  <c r="AG153" i="78"/>
  <c r="AP152" i="78"/>
  <c r="AG152" i="78"/>
  <c r="AY151" i="78"/>
  <c r="AP151" i="78"/>
  <c r="AG151" i="78"/>
  <c r="AY150" i="78"/>
  <c r="AP150" i="78"/>
  <c r="AG150" i="78"/>
  <c r="AP149" i="78"/>
  <c r="AG149" i="78"/>
  <c r="AY148" i="78"/>
  <c r="AP148" i="78"/>
  <c r="AG148" i="78"/>
  <c r="AP147" i="78"/>
  <c r="AG147" i="78"/>
  <c r="AY146" i="78"/>
  <c r="AP146" i="78"/>
  <c r="AG146" i="78"/>
  <c r="AP145" i="78"/>
  <c r="AG145" i="78"/>
  <c r="AY144" i="78"/>
  <c r="AP144" i="78"/>
  <c r="AG144" i="78"/>
  <c r="BV143" i="78"/>
  <c r="BO143" i="78"/>
  <c r="BG143" i="78"/>
  <c r="AY143" i="78"/>
  <c r="AP143" i="78"/>
  <c r="AG143" i="78"/>
  <c r="AP142" i="78"/>
  <c r="AG142" i="78"/>
  <c r="AY141" i="78"/>
  <c r="AP141" i="78"/>
  <c r="AG141" i="78"/>
  <c r="AP140" i="78"/>
  <c r="AG140" i="78"/>
  <c r="AP139" i="78"/>
  <c r="AG139" i="78"/>
  <c r="AY138" i="78"/>
  <c r="AP138" i="78"/>
  <c r="AG138" i="78"/>
  <c r="AP137" i="78"/>
  <c r="AG137" i="78"/>
  <c r="AY136" i="78"/>
  <c r="AP136" i="78"/>
  <c r="AG136" i="78"/>
  <c r="AP135" i="78"/>
  <c r="AG135" i="78"/>
  <c r="AP134" i="78"/>
  <c r="AG134" i="78"/>
  <c r="AP133" i="78"/>
  <c r="AG133" i="78"/>
  <c r="AP132" i="78"/>
  <c r="AG132" i="78"/>
  <c r="BG131" i="78"/>
  <c r="AY131" i="78"/>
  <c r="AP131" i="78"/>
  <c r="AG131" i="78"/>
  <c r="AP130" i="78"/>
  <c r="AG130" i="78"/>
  <c r="AP129" i="78"/>
  <c r="AG129" i="78"/>
  <c r="BO120" i="78"/>
  <c r="BG120" i="78"/>
  <c r="AY120" i="78"/>
  <c r="AP120" i="78"/>
  <c r="AG120" i="78"/>
  <c r="V120" i="78"/>
  <c r="BO119" i="78"/>
  <c r="BG119" i="78"/>
  <c r="AY119" i="78"/>
  <c r="AP119" i="78"/>
  <c r="AG119" i="78"/>
  <c r="V119" i="78"/>
  <c r="BO118" i="78"/>
  <c r="BG118" i="78"/>
  <c r="AY118" i="78"/>
  <c r="AP118" i="78"/>
  <c r="AG118" i="78"/>
  <c r="V118" i="78"/>
  <c r="BO117" i="78"/>
  <c r="BG117" i="78"/>
  <c r="AY117" i="78"/>
  <c r="AP117" i="78"/>
  <c r="AG117" i="78"/>
  <c r="V117" i="78"/>
  <c r="BO116" i="78"/>
  <c r="BG116" i="78"/>
  <c r="AY116" i="78"/>
  <c r="AP116" i="78"/>
  <c r="AG116" i="78"/>
  <c r="V116" i="78"/>
  <c r="BO115" i="78"/>
  <c r="BG115" i="78"/>
  <c r="AY115" i="78"/>
  <c r="AP115" i="78"/>
  <c r="AG115" i="78"/>
  <c r="V115" i="78"/>
  <c r="BO114" i="78"/>
  <c r="BG114" i="78"/>
  <c r="AY114" i="78"/>
  <c r="AP114" i="78"/>
  <c r="AG114" i="78"/>
  <c r="V114" i="78"/>
  <c r="K27" i="78"/>
  <c r="K26" i="78"/>
  <c r="K25" i="78"/>
  <c r="K24" i="78"/>
  <c r="K23" i="78"/>
  <c r="K22" i="78"/>
  <c r="K21" i="78"/>
  <c r="K20" i="78"/>
  <c r="K19" i="78"/>
  <c r="K18" i="78"/>
  <c r="K17" i="78"/>
  <c r="K16" i="78"/>
  <c r="K15" i="78"/>
  <c r="K14" i="78"/>
  <c r="K13" i="78"/>
  <c r="K12" i="78"/>
  <c r="K11" i="78"/>
  <c r="K10" i="78"/>
  <c r="K9" i="78"/>
  <c r="K8" i="78"/>
  <c r="N6" i="77"/>
  <c r="N7" i="77"/>
  <c r="N8" i="77"/>
  <c r="N9" i="77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5" i="77"/>
  <c r="N26" i="77"/>
  <c r="N30" i="77"/>
  <c r="N31" i="77"/>
  <c r="N32" i="77"/>
  <c r="N34" i="77"/>
  <c r="N36" i="77"/>
  <c r="N43" i="77"/>
  <c r="N46" i="77"/>
  <c r="N48" i="77"/>
  <c r="N49" i="77"/>
  <c r="N50" i="77"/>
  <c r="N51" i="77"/>
  <c r="N52" i="77"/>
  <c r="N53" i="77"/>
  <c r="N56" i="77"/>
  <c r="N58" i="77"/>
  <c r="N59" i="77"/>
  <c r="N60" i="77"/>
  <c r="N61" i="77"/>
  <c r="N62" i="77"/>
  <c r="N63" i="77"/>
  <c r="N64" i="77"/>
  <c r="N66" i="77"/>
  <c r="N67" i="77"/>
  <c r="N68" i="77"/>
  <c r="N69" i="77"/>
  <c r="N70" i="77"/>
  <c r="N73" i="77"/>
  <c r="N74" i="77"/>
  <c r="N75" i="77"/>
  <c r="N76" i="77"/>
  <c r="N77" i="77"/>
  <c r="N78" i="77"/>
  <c r="N79" i="77"/>
  <c r="N80" i="77"/>
  <c r="N81" i="77"/>
  <c r="N82" i="77"/>
  <c r="N83" i="77"/>
  <c r="N86" i="77"/>
  <c r="N87" i="77"/>
  <c r="N88" i="77"/>
  <c r="N89" i="77"/>
  <c r="N90" i="77"/>
  <c r="N92" i="77"/>
  <c r="N93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9" i="77"/>
  <c r="N112" i="77"/>
  <c r="N113" i="77"/>
  <c r="N115" i="77"/>
  <c r="N117" i="77"/>
  <c r="N118" i="77"/>
  <c r="N120" i="77"/>
  <c r="N121" i="77"/>
  <c r="M6" i="77"/>
  <c r="M8" i="77"/>
  <c r="M9" i="77"/>
  <c r="M14" i="77"/>
  <c r="M15" i="77"/>
  <c r="M18" i="77"/>
  <c r="M23" i="77"/>
  <c r="M25" i="77"/>
  <c r="M26" i="77"/>
  <c r="M31" i="77"/>
  <c r="M32" i="77"/>
  <c r="M33" i="77"/>
  <c r="M34" i="77"/>
  <c r="M36" i="77"/>
  <c r="M38" i="77"/>
  <c r="M39" i="77"/>
  <c r="M43" i="77"/>
  <c r="M48" i="77"/>
  <c r="M49" i="77"/>
  <c r="M52" i="77"/>
  <c r="M53" i="77"/>
  <c r="M54" i="77"/>
  <c r="M55" i="77"/>
  <c r="M56" i="77"/>
  <c r="M57" i="77"/>
  <c r="M60" i="77"/>
  <c r="M64" i="77"/>
  <c r="M67" i="77"/>
  <c r="M70" i="77"/>
  <c r="M71" i="77"/>
  <c r="M73" i="77"/>
  <c r="M75" i="77"/>
  <c r="M77" i="77"/>
  <c r="M79" i="77"/>
  <c r="M82" i="77"/>
  <c r="M87" i="77"/>
  <c r="M89" i="77"/>
  <c r="M91" i="77"/>
  <c r="M94" i="77"/>
  <c r="M112" i="77"/>
  <c r="M113" i="77"/>
  <c r="M116" i="77"/>
  <c r="M118" i="77"/>
  <c r="M120" i="77"/>
  <c r="M121" i="77"/>
  <c r="M5" i="77"/>
  <c r="L6" i="77"/>
  <c r="L9" i="77"/>
  <c r="L16" i="77"/>
  <c r="L18" i="77"/>
  <c r="L22" i="77"/>
  <c r="L25" i="77"/>
  <c r="L29" i="77"/>
  <c r="L31" i="77"/>
  <c r="L43" i="77"/>
  <c r="L46" i="77"/>
  <c r="L47" i="77"/>
  <c r="L48" i="77"/>
  <c r="L49" i="77"/>
  <c r="L50" i="77"/>
  <c r="L55" i="77"/>
  <c r="L58" i="77"/>
  <c r="L75" i="77"/>
  <c r="L78" i="77"/>
  <c r="L107" i="77"/>
  <c r="L112" i="77"/>
  <c r="L5" i="77"/>
  <c r="K6" i="77"/>
  <c r="K7" i="77"/>
  <c r="K8" i="77"/>
  <c r="K9" i="77"/>
  <c r="K11" i="77"/>
  <c r="K13" i="77"/>
  <c r="K15" i="77"/>
  <c r="K17" i="77"/>
  <c r="K19" i="77"/>
  <c r="K20" i="77"/>
  <c r="K22" i="77"/>
  <c r="K23" i="77"/>
  <c r="K25" i="77"/>
  <c r="K26" i="77"/>
  <c r="K27" i="77"/>
  <c r="K28" i="77"/>
  <c r="K30" i="77"/>
  <c r="K31" i="77"/>
  <c r="K32" i="77"/>
  <c r="K33" i="77"/>
  <c r="K34" i="77"/>
  <c r="K36" i="77"/>
  <c r="K37" i="77"/>
  <c r="K42" i="77"/>
  <c r="K43" i="77"/>
  <c r="K44" i="77"/>
  <c r="K45" i="77"/>
  <c r="K46" i="77"/>
  <c r="K48" i="77"/>
  <c r="K49" i="77"/>
  <c r="K50" i="77"/>
  <c r="K51" i="77"/>
  <c r="K53" i="77"/>
  <c r="K54" i="77"/>
  <c r="K55" i="77"/>
  <c r="K56" i="77"/>
  <c r="K57" i="77"/>
  <c r="K58" i="77"/>
  <c r="K60" i="77"/>
  <c r="K63" i="77"/>
  <c r="K64" i="77"/>
  <c r="K67" i="77"/>
  <c r="K68" i="77"/>
  <c r="K69" i="77"/>
  <c r="K70" i="77"/>
  <c r="K71" i="77"/>
  <c r="K72" i="77"/>
  <c r="K75" i="77"/>
  <c r="K76" i="77"/>
  <c r="K77" i="77"/>
  <c r="K79" i="77"/>
  <c r="K80" i="77"/>
  <c r="K82" i="77"/>
  <c r="K84" i="77"/>
  <c r="K85" i="77"/>
  <c r="K86" i="77"/>
  <c r="K87" i="77"/>
  <c r="K88" i="77"/>
  <c r="K90" i="77"/>
  <c r="K91" i="77"/>
  <c r="K92" i="77"/>
  <c r="K93" i="77"/>
  <c r="K94" i="77"/>
  <c r="K95" i="77"/>
  <c r="K98" i="77"/>
  <c r="K99" i="77"/>
  <c r="K101" i="77"/>
  <c r="K103" i="77"/>
  <c r="K104" i="77"/>
  <c r="K107" i="77"/>
  <c r="K109" i="77"/>
  <c r="K112" i="77"/>
  <c r="K113" i="77"/>
  <c r="K115" i="77"/>
  <c r="K116" i="77"/>
  <c r="K118" i="77"/>
  <c r="K119" i="77"/>
  <c r="K120" i="77"/>
  <c r="K121" i="77"/>
  <c r="K5" i="77"/>
  <c r="J7" i="77"/>
  <c r="J12" i="77"/>
  <c r="J17" i="77"/>
  <c r="J19" i="77"/>
  <c r="J22" i="77"/>
  <c r="J24" i="77"/>
  <c r="J26" i="77"/>
  <c r="J27" i="77"/>
  <c r="J31" i="77"/>
  <c r="J34" i="77"/>
  <c r="J36" i="77"/>
  <c r="J41" i="77"/>
  <c r="J42" i="77"/>
  <c r="J43" i="77"/>
  <c r="J49" i="77"/>
  <c r="J50" i="77"/>
  <c r="J51" i="77"/>
  <c r="J56" i="77"/>
  <c r="J58" i="77"/>
  <c r="J60" i="77"/>
  <c r="J61" i="77"/>
  <c r="J73" i="77"/>
  <c r="J75" i="77"/>
  <c r="J76" i="77"/>
  <c r="J77" i="77"/>
  <c r="J78" i="77"/>
  <c r="J80" i="77"/>
  <c r="J85" i="77"/>
  <c r="J92" i="77"/>
  <c r="J98" i="77"/>
  <c r="J102" i="77"/>
  <c r="J103" i="77"/>
  <c r="J104" i="77"/>
  <c r="J105" i="77"/>
  <c r="J106" i="77"/>
  <c r="J109" i="77"/>
  <c r="J111" i="77"/>
  <c r="J112" i="77"/>
  <c r="J120" i="77"/>
  <c r="J121" i="77"/>
  <c r="I7" i="77"/>
  <c r="I12" i="77"/>
  <c r="I13" i="77"/>
  <c r="I15" i="77"/>
  <c r="I17" i="77"/>
  <c r="I20" i="77"/>
  <c r="I22" i="77"/>
  <c r="I24" i="77"/>
  <c r="I25" i="77"/>
  <c r="I26" i="77"/>
  <c r="I27" i="77"/>
  <c r="I30" i="77"/>
  <c r="I31" i="77"/>
  <c r="I34" i="77"/>
  <c r="I36" i="77"/>
  <c r="I41" i="77"/>
  <c r="I42" i="77"/>
  <c r="I43" i="77"/>
  <c r="I47" i="77"/>
  <c r="I49" i="77"/>
  <c r="I50" i="77"/>
  <c r="I51" i="77"/>
  <c r="I53" i="77"/>
  <c r="I54" i="77"/>
  <c r="I55" i="77"/>
  <c r="I57" i="77"/>
  <c r="I58" i="77"/>
  <c r="I71" i="77"/>
  <c r="I73" i="77"/>
  <c r="I76" i="77"/>
  <c r="I77" i="77"/>
  <c r="I78" i="77"/>
  <c r="I79" i="77"/>
  <c r="I80" i="77"/>
  <c r="I82" i="77"/>
  <c r="I83" i="77"/>
  <c r="I85" i="77"/>
  <c r="I87" i="77"/>
  <c r="I88" i="77"/>
  <c r="I90" i="77"/>
  <c r="I92" i="77"/>
  <c r="I93" i="77"/>
  <c r="I95" i="77"/>
  <c r="I102" i="77"/>
  <c r="I103" i="77"/>
  <c r="I104" i="77"/>
  <c r="I105" i="77"/>
  <c r="I106" i="77"/>
  <c r="I107" i="77"/>
  <c r="I108" i="77"/>
  <c r="I109" i="77"/>
  <c r="I112" i="77"/>
  <c r="I113" i="77"/>
  <c r="I114" i="77"/>
  <c r="I115" i="77"/>
  <c r="I120" i="77"/>
  <c r="I121" i="77"/>
  <c r="I5" i="77"/>
  <c r="F7" i="77"/>
  <c r="F8" i="77"/>
  <c r="F9" i="77"/>
  <c r="F11" i="77"/>
  <c r="F13" i="77"/>
  <c r="F17" i="77"/>
  <c r="F22" i="77"/>
  <c r="F24" i="77"/>
  <c r="F27" i="77"/>
  <c r="F29" i="77"/>
  <c r="F30" i="77"/>
  <c r="F31" i="77"/>
  <c r="F32" i="77"/>
  <c r="F34" i="77"/>
  <c r="F38" i="77"/>
  <c r="F39" i="77"/>
  <c r="F41" i="77"/>
  <c r="F42" i="77"/>
  <c r="F43" i="77"/>
  <c r="F46" i="77"/>
  <c r="F48" i="77"/>
  <c r="F49" i="77"/>
  <c r="F50" i="77"/>
  <c r="F54" i="77"/>
  <c r="F58" i="77"/>
  <c r="F78" i="77"/>
  <c r="F79" i="77"/>
  <c r="F82" i="77"/>
  <c r="F84" i="77"/>
  <c r="F85" i="77"/>
  <c r="F90" i="77"/>
  <c r="F92" i="77"/>
  <c r="F96" i="77"/>
  <c r="F98" i="77"/>
  <c r="F99" i="77"/>
  <c r="F100" i="77"/>
  <c r="F101" i="77"/>
  <c r="F102" i="77"/>
  <c r="F103" i="77"/>
  <c r="F104" i="77"/>
  <c r="F105" i="77"/>
  <c r="F106" i="77"/>
  <c r="F107" i="77"/>
  <c r="F111" i="77"/>
  <c r="F112" i="77"/>
  <c r="F116" i="77"/>
  <c r="F118" i="77"/>
  <c r="F119" i="77"/>
  <c r="F120" i="77"/>
  <c r="F121" i="77"/>
  <c r="H9" i="77"/>
  <c r="H12" i="77"/>
  <c r="H16" i="77"/>
  <c r="H19" i="77"/>
  <c r="H20" i="77"/>
  <c r="H21" i="77"/>
  <c r="H22" i="77"/>
  <c r="H24" i="77"/>
  <c r="H27" i="77"/>
  <c r="H31" i="77"/>
  <c r="H39" i="77"/>
  <c r="H40" i="77"/>
  <c r="H43" i="77"/>
  <c r="H44" i="77"/>
  <c r="H45" i="77"/>
  <c r="H49" i="77"/>
  <c r="H50" i="77"/>
  <c r="H55" i="77"/>
  <c r="H58" i="77"/>
  <c r="H64" i="77"/>
  <c r="H65" i="77"/>
  <c r="H66" i="77"/>
  <c r="H67" i="77"/>
  <c r="H70" i="77"/>
  <c r="H71" i="77"/>
  <c r="H72" i="77"/>
  <c r="H73" i="77"/>
  <c r="H75" i="77"/>
  <c r="H77" i="77"/>
  <c r="H78" i="77"/>
  <c r="H81" i="77"/>
  <c r="H82" i="77"/>
  <c r="H84" i="77"/>
  <c r="H85" i="77"/>
  <c r="H91" i="77"/>
  <c r="H94" i="77"/>
  <c r="H105" i="77"/>
  <c r="H112" i="77"/>
  <c r="H119" i="77"/>
  <c r="G121" i="77"/>
  <c r="G120" i="77"/>
  <c r="G119" i="77"/>
  <c r="G118" i="77"/>
  <c r="G117" i="77"/>
  <c r="G116" i="77"/>
  <c r="G114" i="77"/>
  <c r="G112" i="77"/>
  <c r="G111" i="77"/>
  <c r="G110" i="77"/>
  <c r="G108" i="77"/>
  <c r="G106" i="77"/>
  <c r="G105" i="77"/>
  <c r="G104" i="77"/>
  <c r="G103" i="77"/>
  <c r="G102" i="77"/>
  <c r="G101" i="77"/>
  <c r="G100" i="77"/>
  <c r="G92" i="77"/>
  <c r="G90" i="77"/>
  <c r="G89" i="77"/>
  <c r="G88" i="77"/>
  <c r="G87" i="77"/>
  <c r="G85" i="77"/>
  <c r="G84" i="77"/>
  <c r="G83" i="77"/>
  <c r="G82" i="77"/>
  <c r="G81" i="77"/>
  <c r="G78" i="77"/>
  <c r="G73" i="77"/>
  <c r="G72" i="77"/>
  <c r="G71" i="77"/>
  <c r="G70" i="77"/>
  <c r="G69" i="77"/>
  <c r="G68" i="77"/>
  <c r="G67" i="77"/>
  <c r="G66" i="77"/>
  <c r="G65" i="77"/>
  <c r="G64" i="77"/>
  <c r="G63" i="77"/>
  <c r="G62" i="77"/>
  <c r="G58" i="77"/>
  <c r="G55" i="77"/>
  <c r="G53" i="77"/>
  <c r="G51" i="77"/>
  <c r="G50" i="77"/>
  <c r="G49" i="77"/>
  <c r="G48" i="77"/>
  <c r="G43" i="77"/>
  <c r="G42" i="77"/>
  <c r="G41" i="77"/>
  <c r="G40" i="77"/>
  <c r="G39" i="77"/>
  <c r="G38" i="77"/>
  <c r="G31" i="77"/>
  <c r="G30" i="77"/>
  <c r="G27" i="77"/>
  <c r="G26" i="77"/>
  <c r="G25" i="77"/>
  <c r="G24" i="77"/>
  <c r="G22" i="77"/>
  <c r="G17" i="77"/>
  <c r="G13" i="77"/>
  <c r="G12" i="77"/>
  <c r="G11" i="77"/>
  <c r="G10" i="77"/>
  <c r="G9" i="77"/>
  <c r="G7" i="77"/>
  <c r="E7" i="77"/>
  <c r="E8" i="77"/>
  <c r="E9" i="77"/>
  <c r="E10" i="77"/>
  <c r="E11" i="77"/>
  <c r="E12" i="77"/>
  <c r="E20" i="77"/>
  <c r="E22" i="77"/>
  <c r="E24" i="77"/>
  <c r="E27" i="77"/>
  <c r="E31" i="77"/>
  <c r="E32" i="77"/>
  <c r="E38" i="77"/>
  <c r="E39" i="77"/>
  <c r="E40" i="77"/>
  <c r="E41" i="77"/>
  <c r="E42" i="77"/>
  <c r="E43" i="77"/>
  <c r="E48" i="77"/>
  <c r="E49" i="77"/>
  <c r="E50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8" i="77"/>
  <c r="E81" i="77"/>
  <c r="E82" i="77"/>
  <c r="E83" i="77"/>
  <c r="E84" i="77"/>
  <c r="E85" i="77"/>
  <c r="E87" i="77"/>
  <c r="E89" i="77"/>
  <c r="E90" i="77"/>
  <c r="E92" i="77"/>
  <c r="E100" i="77"/>
  <c r="E101" i="77"/>
  <c r="E102" i="77"/>
  <c r="E103" i="77"/>
  <c r="E104" i="77"/>
  <c r="E105" i="77"/>
  <c r="E106" i="77"/>
  <c r="E109" i="77"/>
  <c r="E110" i="77"/>
  <c r="E111" i="77"/>
  <c r="E112" i="77"/>
  <c r="E116" i="77"/>
  <c r="E117" i="77"/>
  <c r="E118" i="77"/>
  <c r="E119" i="77"/>
  <c r="E120" i="77"/>
  <c r="E121" i="77"/>
  <c r="D6" i="77"/>
  <c r="D7" i="77"/>
  <c r="D8" i="77"/>
  <c r="D9" i="77"/>
  <c r="D10" i="77"/>
  <c r="D11" i="77"/>
  <c r="D12" i="77"/>
  <c r="D13" i="77"/>
  <c r="D14" i="77"/>
  <c r="D17" i="77"/>
  <c r="D20" i="77"/>
  <c r="D21" i="77"/>
  <c r="D22" i="77"/>
  <c r="D24" i="77"/>
  <c r="D25" i="77"/>
  <c r="D26" i="77"/>
  <c r="D27" i="77"/>
  <c r="D29" i="77"/>
  <c r="D30" i="77"/>
  <c r="D31" i="77"/>
  <c r="D32" i="77"/>
  <c r="D33" i="77"/>
  <c r="D37" i="77"/>
  <c r="D38" i="77"/>
  <c r="D39" i="77"/>
  <c r="D40" i="77"/>
  <c r="D41" i="77"/>
  <c r="D42" i="77"/>
  <c r="D43" i="77"/>
  <c r="D46" i="77"/>
  <c r="D47" i="77"/>
  <c r="D48" i="77"/>
  <c r="D49" i="77"/>
  <c r="D50" i="77"/>
  <c r="D51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2" i="77"/>
  <c r="D93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5" i="77"/>
  <c r="D116" i="77"/>
  <c r="D117" i="77"/>
  <c r="D118" i="77"/>
  <c r="D119" i="77"/>
  <c r="D120" i="77"/>
  <c r="D121" i="77"/>
  <c r="D5" i="77"/>
  <c r="C6" i="77"/>
  <c r="C7" i="77"/>
  <c r="C8" i="77"/>
  <c r="C9" i="77"/>
  <c r="C10" i="77"/>
  <c r="C11" i="77"/>
  <c r="C12" i="77"/>
  <c r="C14" i="77"/>
  <c r="C20" i="77"/>
  <c r="C21" i="77"/>
  <c r="C22" i="77"/>
  <c r="C24" i="77"/>
  <c r="C28" i="77"/>
  <c r="C29" i="77"/>
  <c r="C30" i="77"/>
  <c r="C31" i="77"/>
  <c r="C32" i="77"/>
  <c r="C36" i="77"/>
  <c r="C37" i="77"/>
  <c r="C38" i="77"/>
  <c r="C39" i="77"/>
  <c r="C40" i="77"/>
  <c r="C41" i="77"/>
  <c r="C42" i="77"/>
  <c r="C43" i="77"/>
  <c r="C46" i="77"/>
  <c r="C47" i="77"/>
  <c r="C48" i="77"/>
  <c r="C49" i="77"/>
  <c r="C50" i="77"/>
  <c r="C51" i="77"/>
  <c r="C54" i="77"/>
  <c r="C55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7" i="77"/>
  <c r="C79" i="77"/>
  <c r="C81" i="77"/>
  <c r="C82" i="77"/>
  <c r="C83" i="77"/>
  <c r="C84" i="77"/>
  <c r="C85" i="77"/>
  <c r="C89" i="77"/>
  <c r="C90" i="77"/>
  <c r="C92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5" i="77"/>
  <c r="C116" i="77"/>
  <c r="C117" i="77"/>
  <c r="C118" i="77"/>
  <c r="C119" i="77"/>
  <c r="C120" i="77"/>
  <c r="C121" i="77"/>
  <c r="W55" i="77"/>
  <c r="V55" i="77"/>
  <c r="U55" i="77"/>
  <c r="T55" i="77"/>
  <c r="Y48" i="77"/>
  <c r="W48" i="77"/>
  <c r="U48" i="77"/>
  <c r="Y47" i="77"/>
  <c r="W47" i="77"/>
  <c r="U47" i="77"/>
  <c r="Y42" i="77"/>
  <c r="W42" i="77"/>
  <c r="U42" i="77"/>
  <c r="Y41" i="77"/>
  <c r="W41" i="77"/>
  <c r="U41" i="77"/>
  <c r="Y40" i="77"/>
  <c r="W40" i="77"/>
  <c r="U40" i="77"/>
  <c r="Y39" i="77"/>
  <c r="W39" i="77"/>
  <c r="U39" i="77"/>
  <c r="Y38" i="77"/>
  <c r="W38" i="77"/>
  <c r="U38" i="77"/>
  <c r="Y37" i="77"/>
  <c r="W37" i="77"/>
  <c r="U37" i="77"/>
  <c r="Y36" i="77"/>
  <c r="AV7" i="77" s="1"/>
  <c r="W36" i="77"/>
  <c r="AU7" i="77" s="1"/>
  <c r="U36" i="77"/>
  <c r="AT7" i="77" s="1"/>
  <c r="AW7" i="77" s="1"/>
  <c r="Y35" i="77"/>
  <c r="W35" i="77"/>
  <c r="U35" i="77"/>
  <c r="Y34" i="77"/>
  <c r="W34" i="77"/>
  <c r="U34" i="77"/>
  <c r="Y33" i="77"/>
  <c r="W33" i="77"/>
  <c r="U33" i="77"/>
  <c r="Y32" i="77"/>
  <c r="W32" i="77"/>
  <c r="U32" i="77"/>
  <c r="Y31" i="77"/>
  <c r="W31" i="77"/>
  <c r="U31" i="77"/>
  <c r="Y30" i="77"/>
  <c r="W30" i="77"/>
  <c r="U30" i="77"/>
  <c r="Y29" i="77"/>
  <c r="W29" i="77"/>
  <c r="U29" i="77"/>
  <c r="Y28" i="77"/>
  <c r="AV6" i="77" s="1"/>
  <c r="W28" i="77"/>
  <c r="AU6" i="77" s="1"/>
  <c r="U28" i="77"/>
  <c r="AT6" i="77" s="1"/>
  <c r="AW6" i="77" s="1"/>
  <c r="Y27" i="77"/>
  <c r="W27" i="77"/>
  <c r="U27" i="77"/>
  <c r="Y26" i="77"/>
  <c r="W26" i="77"/>
  <c r="U26" i="77"/>
  <c r="Y23" i="77"/>
  <c r="W23" i="77"/>
  <c r="W50" i="77" s="1"/>
  <c r="U23" i="77"/>
  <c r="U50" i="77" s="1"/>
  <c r="Y22" i="77"/>
  <c r="W22" i="77"/>
  <c r="U22" i="77"/>
  <c r="Y21" i="77"/>
  <c r="W21" i="77"/>
  <c r="U21" i="77"/>
  <c r="Y20" i="77"/>
  <c r="W20" i="77"/>
  <c r="U20" i="77"/>
  <c r="Y19" i="77"/>
  <c r="W19" i="77"/>
  <c r="U19" i="77"/>
  <c r="Y18" i="77"/>
  <c r="W18" i="77"/>
  <c r="U18" i="77"/>
  <c r="Y17" i="77"/>
  <c r="W17" i="77"/>
  <c r="U17" i="77"/>
  <c r="Y16" i="77"/>
  <c r="W16" i="77"/>
  <c r="U16" i="77"/>
  <c r="Y13" i="77"/>
  <c r="AV5" i="77" s="1"/>
  <c r="W13" i="77"/>
  <c r="AU5" i="77" s="1"/>
  <c r="U13" i="77"/>
  <c r="AT5" i="77" s="1"/>
  <c r="AW5" i="77" s="1"/>
  <c r="Y12" i="77"/>
  <c r="W12" i="77"/>
  <c r="W63" i="77" s="1"/>
  <c r="W65" i="77" s="1"/>
  <c r="W66" i="77" s="1"/>
  <c r="U12" i="77"/>
  <c r="U63" i="77" s="1"/>
  <c r="U65" i="77" s="1"/>
  <c r="U66" i="77" s="1"/>
  <c r="Y11" i="77"/>
  <c r="W11" i="77"/>
  <c r="W58" i="77" s="1"/>
  <c r="W60" i="77" s="1"/>
  <c r="W61" i="77" s="1"/>
  <c r="W68" i="77" s="1"/>
  <c r="U11" i="77"/>
  <c r="U58" i="77" s="1"/>
  <c r="U60" i="77" s="1"/>
  <c r="U61" i="77" s="1"/>
  <c r="U68" i="77" s="1"/>
  <c r="Y10" i="77"/>
  <c r="W10" i="77"/>
  <c r="U10" i="77"/>
  <c r="Y9" i="77"/>
  <c r="W9" i="77"/>
  <c r="U9" i="77"/>
  <c r="Y8" i="77"/>
  <c r="W8" i="77"/>
  <c r="U8" i="77"/>
  <c r="Y7" i="77"/>
  <c r="W7" i="77"/>
  <c r="U7" i="77"/>
  <c r="Y6" i="77"/>
  <c r="W6" i="77"/>
  <c r="U6" i="77"/>
  <c r="Y5" i="77"/>
  <c r="AV8" i="77" s="1"/>
  <c r="W5" i="77"/>
  <c r="AU8" i="77" s="1"/>
  <c r="U5" i="77"/>
  <c r="AT8" i="77" s="1"/>
  <c r="AW8" i="77" s="1"/>
  <c r="L32" i="77"/>
  <c r="L7" i="77"/>
  <c r="L17" i="77"/>
  <c r="L104" i="77"/>
  <c r="H101" i="77"/>
  <c r="H100" i="77"/>
  <c r="H69" i="77"/>
  <c r="N65" i="77"/>
  <c r="N71" i="77"/>
  <c r="L72" i="77"/>
  <c r="F10" i="77"/>
  <c r="L12" i="77"/>
  <c r="F63" i="77"/>
  <c r="F68" i="77"/>
  <c r="F40" i="77"/>
  <c r="F117" i="77"/>
  <c r="F72" i="77"/>
  <c r="L64" i="77"/>
  <c r="F61" i="77"/>
  <c r="L86" i="77"/>
  <c r="N42" i="77"/>
  <c r="L103" i="77"/>
  <c r="L92" i="77"/>
  <c r="H41" i="77"/>
  <c r="L121" i="77"/>
  <c r="L24" i="77"/>
  <c r="L27" i="77"/>
  <c r="H11" i="77"/>
  <c r="L8" i="77"/>
  <c r="L10" i="77"/>
  <c r="L105" i="77"/>
  <c r="L87" i="77"/>
  <c r="H42" i="77"/>
  <c r="L108" i="77"/>
  <c r="L110" i="77"/>
  <c r="F81" i="77"/>
  <c r="F109" i="77"/>
  <c r="F59" i="77"/>
  <c r="L73" i="77"/>
  <c r="F69" i="77"/>
  <c r="F62" i="77"/>
  <c r="L71" i="77"/>
  <c r="N116" i="77"/>
  <c r="N119" i="77"/>
  <c r="L84" i="77"/>
  <c r="N85" i="77"/>
  <c r="L39" i="77"/>
  <c r="N38" i="77"/>
  <c r="L21" i="77"/>
  <c r="L20" i="77"/>
  <c r="L41" i="77"/>
  <c r="L102" i="77"/>
  <c r="H90" i="77"/>
  <c r="L83" i="77"/>
  <c r="L51" i="77"/>
  <c r="H106" i="77"/>
  <c r="L89" i="77"/>
  <c r="L115" i="77"/>
  <c r="L120" i="77"/>
  <c r="J79" i="77"/>
  <c r="J84" i="77"/>
  <c r="J110" i="77"/>
  <c r="J113" i="77"/>
  <c r="J52" i="77"/>
  <c r="J81" i="77"/>
  <c r="J67" i="77"/>
  <c r="J53" i="77"/>
  <c r="J64" i="77"/>
  <c r="J91" i="77"/>
  <c r="J9" i="77"/>
  <c r="J10" i="77"/>
  <c r="L118" i="77"/>
  <c r="J69" i="77"/>
  <c r="J68" i="77"/>
  <c r="N111" i="77"/>
  <c r="H109" i="77"/>
  <c r="H107" i="77"/>
  <c r="H34" i="77"/>
  <c r="J97" i="77"/>
  <c r="H62" i="77"/>
  <c r="H47" i="77"/>
  <c r="H86" i="77"/>
  <c r="H29" i="77"/>
  <c r="H37" i="77"/>
  <c r="H15" i="77"/>
  <c r="F115" i="77"/>
  <c r="F23" i="77"/>
  <c r="N5" i="77"/>
  <c r="D18" i="77"/>
  <c r="F75" i="77"/>
  <c r="F51" i="77"/>
  <c r="D36" i="77"/>
  <c r="D16" i="77"/>
  <c r="D35" i="77"/>
  <c r="F6" i="77"/>
  <c r="F80" i="77"/>
  <c r="F76" i="77"/>
  <c r="J55" i="77"/>
  <c r="N57" i="77"/>
  <c r="F25" i="77"/>
  <c r="F26" i="77"/>
  <c r="F15" i="77"/>
  <c r="L77" i="77"/>
  <c r="L36" i="77"/>
  <c r="F44" i="77"/>
  <c r="F93" i="77"/>
  <c r="D34" i="77"/>
  <c r="N29" i="77"/>
  <c r="D28" i="77"/>
  <c r="D23" i="77"/>
  <c r="D19" i="77"/>
  <c r="M28" i="77"/>
  <c r="M98" i="77"/>
  <c r="M59" i="77"/>
  <c r="M58" i="77"/>
  <c r="M61" i="77"/>
  <c r="M7" i="77"/>
  <c r="M11" i="77"/>
  <c r="M13" i="77"/>
  <c r="M12" i="77"/>
  <c r="M90" i="77"/>
  <c r="M114" i="77"/>
  <c r="M88" i="77"/>
  <c r="M19" i="77"/>
  <c r="M109" i="77"/>
  <c r="M51" i="77"/>
  <c r="M106" i="77"/>
  <c r="M27" i="77"/>
  <c r="M69" i="77"/>
  <c r="M117" i="77"/>
  <c r="M104" i="77"/>
  <c r="M16" i="77"/>
  <c r="M108" i="77"/>
  <c r="M107" i="77"/>
  <c r="M44" i="77"/>
  <c r="M47" i="77"/>
  <c r="M50" i="77"/>
  <c r="M80" i="77"/>
  <c r="M42" i="77"/>
  <c r="M37" i="77"/>
  <c r="M72" i="77"/>
  <c r="M76" i="77"/>
  <c r="M35" i="77"/>
  <c r="M40" i="77"/>
  <c r="M46" i="77"/>
  <c r="M63" i="77"/>
  <c r="M81" i="77"/>
  <c r="M22" i="77"/>
  <c r="M96" i="77"/>
  <c r="M21" i="77"/>
  <c r="M17" i="77"/>
  <c r="K47" i="77"/>
  <c r="K114" i="77"/>
  <c r="K106" i="77"/>
  <c r="K117" i="77"/>
  <c r="K65" i="77"/>
  <c r="K105" i="77"/>
  <c r="K52" i="77"/>
  <c r="K100" i="77"/>
  <c r="K102" i="77"/>
  <c r="K12" i="77"/>
  <c r="K96" i="77"/>
  <c r="K97" i="77"/>
  <c r="K14" i="77"/>
  <c r="K66" i="77"/>
  <c r="K24" i="77"/>
  <c r="K74" i="77"/>
  <c r="I28" i="77"/>
  <c r="I29" i="77"/>
  <c r="I32" i="77"/>
  <c r="I37" i="77"/>
  <c r="I64" i="77"/>
  <c r="I67" i="77"/>
  <c r="I110" i="77"/>
  <c r="I84" i="77"/>
  <c r="I70" i="77"/>
  <c r="I33" i="77"/>
  <c r="I75" i="77"/>
  <c r="I56" i="77"/>
  <c r="I11" i="77"/>
  <c r="G20" i="77"/>
  <c r="G115" i="77"/>
  <c r="G8" i="77"/>
  <c r="G32" i="77"/>
  <c r="G79" i="77"/>
  <c r="G109" i="77"/>
  <c r="G21" i="77"/>
  <c r="G16" i="77"/>
  <c r="G33" i="77"/>
  <c r="G98" i="77"/>
  <c r="G47" i="77"/>
  <c r="G52" i="77"/>
  <c r="G44" i="77"/>
  <c r="E54" i="77"/>
  <c r="E47" i="77"/>
  <c r="E29" i="77"/>
  <c r="C56" i="77"/>
  <c r="C18" i="77"/>
  <c r="C26" i="77"/>
  <c r="C58" i="77"/>
  <c r="C44" i="77"/>
  <c r="C17" i="77"/>
  <c r="AN313" i="73"/>
  <c r="AE313" i="73"/>
  <c r="T313" i="73"/>
  <c r="AN312" i="73"/>
  <c r="AE312" i="73"/>
  <c r="T312" i="73"/>
  <c r="AE311" i="73"/>
  <c r="T311" i="73"/>
  <c r="AN310" i="73"/>
  <c r="AE310" i="73"/>
  <c r="T310" i="73"/>
  <c r="AN309" i="73"/>
  <c r="AE309" i="73"/>
  <c r="T309" i="73"/>
  <c r="AN308" i="73"/>
  <c r="AE308" i="73"/>
  <c r="T308" i="73"/>
  <c r="AE307" i="73"/>
  <c r="T307" i="73"/>
  <c r="AN306" i="73"/>
  <c r="AE306" i="73"/>
  <c r="T306" i="73"/>
  <c r="AN305" i="73"/>
  <c r="AE305" i="73"/>
  <c r="T305" i="73"/>
  <c r="AN304" i="73"/>
  <c r="AE304" i="73"/>
  <c r="T304" i="73"/>
  <c r="AE303" i="73"/>
  <c r="T303" i="73"/>
  <c r="AE302" i="73"/>
  <c r="T302" i="73"/>
  <c r="AN301" i="73"/>
  <c r="AE301" i="73"/>
  <c r="T301" i="73"/>
  <c r="AE300" i="73"/>
  <c r="T300" i="73"/>
  <c r="AN299" i="73"/>
  <c r="AE299" i="73"/>
  <c r="T299" i="73"/>
  <c r="AE298" i="73"/>
  <c r="T298" i="73"/>
  <c r="AN297" i="73"/>
  <c r="AE297" i="73"/>
  <c r="T297" i="73"/>
  <c r="AN296" i="73"/>
  <c r="AE296" i="73"/>
  <c r="T296" i="73"/>
  <c r="AN295" i="73"/>
  <c r="AE295" i="73"/>
  <c r="T295" i="73"/>
  <c r="AN294" i="73"/>
  <c r="AE294" i="73"/>
  <c r="T294" i="73"/>
  <c r="AE293" i="73"/>
  <c r="T293" i="73"/>
  <c r="AN292" i="73"/>
  <c r="AE292" i="73"/>
  <c r="T292" i="73"/>
  <c r="AN291" i="73"/>
  <c r="AE291" i="73"/>
  <c r="T291" i="73"/>
  <c r="AN290" i="73"/>
  <c r="AE290" i="73"/>
  <c r="T290" i="73"/>
  <c r="AN289" i="73"/>
  <c r="AE289" i="73"/>
  <c r="T289" i="73"/>
  <c r="AN288" i="73"/>
  <c r="AE288" i="73"/>
  <c r="T288" i="73"/>
  <c r="AN287" i="73"/>
  <c r="AE287" i="73"/>
  <c r="T287" i="73"/>
  <c r="AN286" i="73"/>
  <c r="AE286" i="73"/>
  <c r="T286" i="73"/>
  <c r="AN285" i="73"/>
  <c r="AE285" i="73"/>
  <c r="T285" i="73"/>
  <c r="AN284" i="73"/>
  <c r="AE284" i="73"/>
  <c r="T284" i="73"/>
  <c r="AN283" i="73"/>
  <c r="AE283" i="73"/>
  <c r="T283" i="73"/>
  <c r="AN282" i="73"/>
  <c r="AE282" i="73"/>
  <c r="T282" i="73"/>
  <c r="AN281" i="73"/>
  <c r="AE281" i="73"/>
  <c r="T281" i="73"/>
  <c r="AN280" i="73"/>
  <c r="AE280" i="73"/>
  <c r="T280" i="73"/>
  <c r="AN279" i="73"/>
  <c r="AE279" i="73"/>
  <c r="T279" i="73"/>
  <c r="AE278" i="73"/>
  <c r="T278" i="73"/>
  <c r="AN277" i="73"/>
  <c r="AE277" i="73"/>
  <c r="T277" i="73"/>
  <c r="AN276" i="73"/>
  <c r="AE276" i="73"/>
  <c r="T276" i="73"/>
  <c r="AE275" i="73"/>
  <c r="T275" i="73"/>
  <c r="T270" i="73"/>
  <c r="AN270" i="73" s="1"/>
  <c r="T269" i="73"/>
  <c r="AE269" i="73" s="1"/>
  <c r="T268" i="73"/>
  <c r="AN268" i="73" s="1"/>
  <c r="T267" i="73"/>
  <c r="AN267" i="73" s="1"/>
  <c r="T266" i="73"/>
  <c r="AE266" i="73" s="1"/>
  <c r="T265" i="73"/>
  <c r="T264" i="73"/>
  <c r="AE264" i="73" s="1"/>
  <c r="T263" i="73"/>
  <c r="AE263" i="73" s="1"/>
  <c r="T262" i="73"/>
  <c r="AN262" i="73" s="1"/>
  <c r="T261" i="73"/>
  <c r="AN261" i="73" s="1"/>
  <c r="T260" i="73"/>
  <c r="AE260" i="73" s="1"/>
  <c r="T259" i="73"/>
  <c r="T258" i="73"/>
  <c r="AE258" i="73" s="1"/>
  <c r="T257" i="73"/>
  <c r="AE257" i="73" s="1"/>
  <c r="T256" i="73"/>
  <c r="AN256" i="73" s="1"/>
  <c r="T255" i="73"/>
  <c r="T254" i="73"/>
  <c r="AE254" i="73" s="1"/>
  <c r="T253" i="73"/>
  <c r="AE253" i="73" s="1"/>
  <c r="T252" i="73"/>
  <c r="AN252" i="73" s="1"/>
  <c r="T251" i="73"/>
  <c r="AE251" i="73" s="1"/>
  <c r="T250" i="73"/>
  <c r="AN250" i="73" s="1"/>
  <c r="T249" i="73"/>
  <c r="AE249" i="73" s="1"/>
  <c r="T248" i="73"/>
  <c r="AN248" i="73" s="1"/>
  <c r="T247" i="73"/>
  <c r="AW247" i="73" s="1"/>
  <c r="T246" i="73"/>
  <c r="AE246" i="73" s="1"/>
  <c r="T245" i="73"/>
  <c r="AE245" i="73" s="1"/>
  <c r="T244" i="73"/>
  <c r="AN244" i="73" s="1"/>
  <c r="T243" i="73"/>
  <c r="AN243" i="73" s="1"/>
  <c r="T242" i="73"/>
  <c r="AW242" i="73" s="1"/>
  <c r="T241" i="73"/>
  <c r="AE241" i="73" s="1"/>
  <c r="T240" i="73"/>
  <c r="AE240" i="73" s="1"/>
  <c r="T239" i="73"/>
  <c r="AN239" i="73" s="1"/>
  <c r="T238" i="73"/>
  <c r="AE238" i="73" s="1"/>
  <c r="T237" i="73"/>
  <c r="AN237" i="73" s="1"/>
  <c r="T236" i="73"/>
  <c r="T235" i="73"/>
  <c r="T234" i="73"/>
  <c r="T233" i="73"/>
  <c r="T232" i="73"/>
  <c r="T231" i="73"/>
  <c r="AW231" i="73" s="1"/>
  <c r="T230" i="73"/>
  <c r="AE230" i="73" s="1"/>
  <c r="AE229" i="73"/>
  <c r="T229" i="73"/>
  <c r="BO228" i="73"/>
  <c r="BE228" i="73"/>
  <c r="AW228" i="73"/>
  <c r="AN228" i="73"/>
  <c r="AE228" i="73"/>
  <c r="T228" i="73"/>
  <c r="BO227" i="73"/>
  <c r="BE227" i="73"/>
  <c r="AE227" i="73"/>
  <c r="T227" i="73"/>
  <c r="T226" i="73"/>
  <c r="T225" i="73"/>
  <c r="T224" i="73"/>
  <c r="T223" i="73"/>
  <c r="T217" i="73"/>
  <c r="BE217" i="73" s="1"/>
  <c r="T216" i="73"/>
  <c r="AE216" i="73" s="1"/>
  <c r="AN216" i="73" s="1"/>
  <c r="T215" i="73"/>
  <c r="BE215" i="73" s="1"/>
  <c r="T214" i="73"/>
  <c r="AW214" i="73" s="1"/>
  <c r="T213" i="73"/>
  <c r="BE213" i="73" s="1"/>
  <c r="T212" i="73"/>
  <c r="AW212" i="73" s="1"/>
  <c r="T211" i="73"/>
  <c r="AW211" i="73" s="1"/>
  <c r="T210" i="73"/>
  <c r="AE210" i="73" s="1"/>
  <c r="AN210" i="73" s="1"/>
  <c r="T209" i="73"/>
  <c r="AE209" i="73" s="1"/>
  <c r="AE208" i="73"/>
  <c r="AN208" i="73" s="1"/>
  <c r="AN207" i="73"/>
  <c r="AE207" i="73"/>
  <c r="T207" i="73"/>
  <c r="AE206" i="73"/>
  <c r="T206" i="73"/>
  <c r="AS205" i="73"/>
  <c r="AR205" i="73"/>
  <c r="AO205" i="73"/>
  <c r="T205" i="73"/>
  <c r="AN205" i="73" s="1"/>
  <c r="AN204" i="73"/>
  <c r="AE204" i="73"/>
  <c r="T204" i="73"/>
  <c r="AN203" i="73"/>
  <c r="AE203" i="73"/>
  <c r="T203" i="73"/>
  <c r="AN202" i="73"/>
  <c r="AE202" i="73"/>
  <c r="T202" i="73"/>
  <c r="T201" i="73"/>
  <c r="AE201" i="73" s="1"/>
  <c r="T200" i="73"/>
  <c r="AN200" i="73" s="1"/>
  <c r="T199" i="73"/>
  <c r="AE199" i="73" s="1"/>
  <c r="T198" i="73"/>
  <c r="AE198" i="73" s="1"/>
  <c r="T197" i="73"/>
  <c r="AE197" i="73" s="1"/>
  <c r="AN197" i="73" s="1"/>
  <c r="T196" i="73"/>
  <c r="AE196" i="73" s="1"/>
  <c r="AN196" i="73" s="1"/>
  <c r="T195" i="73"/>
  <c r="AW195" i="73" s="1"/>
  <c r="T194" i="73"/>
  <c r="AE194" i="73" s="1"/>
  <c r="T193" i="73"/>
  <c r="AE193" i="73" s="1"/>
  <c r="T192" i="73"/>
  <c r="AN192" i="73" s="1"/>
  <c r="T191" i="73"/>
  <c r="AW191" i="73" s="1"/>
  <c r="T190" i="73"/>
  <c r="AE190" i="73" s="1"/>
  <c r="T189" i="73"/>
  <c r="AE189" i="73" s="1"/>
  <c r="T188" i="73"/>
  <c r="AE188" i="73" s="1"/>
  <c r="T187" i="73"/>
  <c r="AE187" i="73" s="1"/>
  <c r="T186" i="73"/>
  <c r="AE186" i="73" s="1"/>
  <c r="T185" i="73"/>
  <c r="AE185" i="73" s="1"/>
  <c r="T184" i="73"/>
  <c r="T183" i="73"/>
  <c r="T182" i="73"/>
  <c r="AE182" i="73" s="1"/>
  <c r="T181" i="73"/>
  <c r="AN181" i="73" s="1"/>
  <c r="T180" i="73"/>
  <c r="AE180" i="73" s="1"/>
  <c r="T179" i="73"/>
  <c r="AN179" i="73" s="1"/>
  <c r="T178" i="73"/>
  <c r="AE178" i="73" s="1"/>
  <c r="T177" i="73"/>
  <c r="AW177" i="73" s="1"/>
  <c r="T176" i="73"/>
  <c r="T175" i="73"/>
  <c r="AE175" i="73" s="1"/>
  <c r="T174" i="73"/>
  <c r="AE174" i="73" s="1"/>
  <c r="T173" i="73"/>
  <c r="AE173" i="73" s="1"/>
  <c r="T172" i="73"/>
  <c r="AE172" i="73" s="1"/>
  <c r="T171" i="73"/>
  <c r="AN171" i="73" s="1"/>
  <c r="T170" i="73"/>
  <c r="AN170" i="73" s="1"/>
  <c r="T169" i="73"/>
  <c r="AE169" i="73" s="1"/>
  <c r="T168" i="73"/>
  <c r="AE168" i="73" s="1"/>
  <c r="T167" i="73"/>
  <c r="AE167" i="73" s="1"/>
  <c r="T166" i="73"/>
  <c r="AE166" i="73" s="1"/>
  <c r="T165" i="73"/>
  <c r="AN165" i="73" s="1"/>
  <c r="T164" i="73"/>
  <c r="AE164" i="73" s="1"/>
  <c r="T163" i="73"/>
  <c r="AE163" i="73" s="1"/>
  <c r="T162" i="73"/>
  <c r="AN162" i="73" s="1"/>
  <c r="T160" i="73"/>
  <c r="T159" i="73"/>
  <c r="T158" i="73"/>
  <c r="AE158" i="73" s="1"/>
  <c r="T157" i="73"/>
  <c r="AW157" i="73" s="1"/>
  <c r="T156" i="73"/>
  <c r="AE156" i="73" s="1"/>
  <c r="T155" i="73"/>
  <c r="AN155" i="73" s="1"/>
  <c r="T154" i="73"/>
  <c r="AE154" i="73" s="1"/>
  <c r="T153" i="73"/>
  <c r="AE153" i="73" s="1"/>
  <c r="T152" i="73"/>
  <c r="AN152" i="73" s="1"/>
  <c r="T151" i="73"/>
  <c r="AE151" i="73" s="1"/>
  <c r="T150" i="73"/>
  <c r="AN150" i="73" s="1"/>
  <c r="T149" i="73"/>
  <c r="AE149" i="73" s="1"/>
  <c r="T148" i="73"/>
  <c r="T147" i="73"/>
  <c r="AE147" i="73" s="1"/>
  <c r="T146" i="73"/>
  <c r="AW146" i="73" s="1"/>
  <c r="T145" i="73"/>
  <c r="AE145" i="73" s="1"/>
  <c r="AW144" i="73"/>
  <c r="AN144" i="73"/>
  <c r="T144" i="73"/>
  <c r="AE144" i="73" s="1"/>
  <c r="T143" i="73"/>
  <c r="AE143" i="73" s="1"/>
  <c r="T142" i="73"/>
  <c r="AE142" i="73" s="1"/>
  <c r="T141" i="73"/>
  <c r="AE141" i="73" s="1"/>
  <c r="T140" i="73"/>
  <c r="AE140" i="73" s="1"/>
  <c r="T139" i="73"/>
  <c r="AN139" i="73" s="1"/>
  <c r="T138" i="73"/>
  <c r="AN138" i="73" s="1"/>
  <c r="T137" i="73"/>
  <c r="AE137" i="73" s="1"/>
  <c r="T136" i="73"/>
  <c r="AE136" i="73" s="1"/>
  <c r="T135" i="73"/>
  <c r="AN135" i="73" s="1"/>
  <c r="T134" i="73"/>
  <c r="AE134" i="73" s="1"/>
  <c r="T133" i="73"/>
  <c r="AE133" i="73" s="1"/>
  <c r="T132" i="73"/>
  <c r="AN132" i="73" s="1"/>
  <c r="T131" i="73"/>
  <c r="AE131" i="73" s="1"/>
  <c r="T130" i="73"/>
  <c r="AN130" i="73" s="1"/>
  <c r="T129" i="73"/>
  <c r="AN129" i="73" s="1"/>
  <c r="T128" i="73"/>
  <c r="AE128" i="73" s="1"/>
  <c r="T127" i="73"/>
  <c r="AE127" i="73" s="1"/>
  <c r="T126" i="73"/>
  <c r="AN122" i="73"/>
  <c r="AE122" i="73"/>
  <c r="AN121" i="73"/>
  <c r="AE121" i="73"/>
  <c r="BE120" i="73"/>
  <c r="AW120" i="73"/>
  <c r="AN120" i="73"/>
  <c r="AE120" i="73"/>
  <c r="AE115" i="73"/>
  <c r="AE114" i="73"/>
  <c r="AE113" i="73"/>
  <c r="AE112" i="73"/>
  <c r="AE111" i="73"/>
  <c r="AE110" i="73"/>
  <c r="AE109" i="73"/>
  <c r="AE108" i="73"/>
  <c r="AE107" i="73"/>
  <c r="AE105" i="73"/>
  <c r="AE104" i="73"/>
  <c r="AN103" i="73"/>
  <c r="AE102" i="73"/>
  <c r="AN101" i="73"/>
  <c r="AN100" i="73"/>
  <c r="AE99" i="73"/>
  <c r="AE98" i="73"/>
  <c r="AN97" i="73"/>
  <c r="AN96" i="73"/>
  <c r="AN95" i="73"/>
  <c r="AE94" i="73"/>
  <c r="AE92" i="73"/>
  <c r="AN91" i="73"/>
  <c r="AE90" i="73"/>
  <c r="J87" i="73"/>
  <c r="T87" i="73" s="1"/>
  <c r="J85" i="73"/>
  <c r="AN84" i="73"/>
  <c r="AW82" i="73"/>
  <c r="AN81" i="73"/>
  <c r="AE79" i="73"/>
  <c r="AE78" i="73"/>
  <c r="AN77" i="73"/>
  <c r="AE76" i="73"/>
  <c r="AN75" i="73"/>
  <c r="AN74" i="73"/>
  <c r="AE73" i="73"/>
  <c r="AN72" i="73"/>
  <c r="AE71" i="73"/>
  <c r="AE70" i="73"/>
  <c r="AN69" i="73"/>
  <c r="AN68" i="73"/>
  <c r="AE67" i="73"/>
  <c r="AE66" i="73"/>
  <c r="AN65" i="73"/>
  <c r="AE64" i="73"/>
  <c r="AE63" i="73"/>
  <c r="AN62" i="73"/>
  <c r="AE61" i="73"/>
  <c r="AE59" i="73"/>
  <c r="H8" i="77" l="1"/>
  <c r="J20" i="77"/>
  <c r="H52" i="77"/>
  <c r="M41" i="77"/>
  <c r="M119" i="77"/>
  <c r="F66" i="77"/>
  <c r="I100" i="77"/>
  <c r="K38" i="77"/>
  <c r="F28" i="77"/>
  <c r="AH13" i="77" s="1"/>
  <c r="F70" i="77"/>
  <c r="M74" i="77"/>
  <c r="C95" i="77"/>
  <c r="M30" i="77"/>
  <c r="F20" i="77"/>
  <c r="N39" i="77"/>
  <c r="L23" i="77"/>
  <c r="H96" i="77"/>
  <c r="F71" i="77"/>
  <c r="D53" i="77"/>
  <c r="I63" i="77"/>
  <c r="M111" i="77"/>
  <c r="M110" i="77"/>
  <c r="N47" i="77"/>
  <c r="N37" i="77"/>
  <c r="M24" i="77"/>
  <c r="H117" i="77"/>
  <c r="N55" i="77"/>
  <c r="G61" i="77"/>
  <c r="N91" i="77"/>
  <c r="M83" i="77"/>
  <c r="F14" i="77"/>
  <c r="F88" i="77"/>
  <c r="H93" i="77"/>
  <c r="F67" i="77"/>
  <c r="H17" i="77"/>
  <c r="L44" i="77"/>
  <c r="E55" i="77"/>
  <c r="F19" i="77"/>
  <c r="H98" i="77"/>
  <c r="H30" i="77"/>
  <c r="I52" i="77"/>
  <c r="M103" i="77"/>
  <c r="M102" i="77"/>
  <c r="M97" i="77"/>
  <c r="F113" i="77"/>
  <c r="N28" i="77"/>
  <c r="M78" i="77"/>
  <c r="K81" i="77"/>
  <c r="L35" i="77"/>
  <c r="L13" i="77"/>
  <c r="L96" i="77"/>
  <c r="H104" i="77"/>
  <c r="O104" i="77" s="1"/>
  <c r="F83" i="77"/>
  <c r="F21" i="77"/>
  <c r="J95" i="77"/>
  <c r="L79" i="77"/>
  <c r="N94" i="77"/>
  <c r="L68" i="77"/>
  <c r="L56" i="77"/>
  <c r="L97" i="77"/>
  <c r="L30" i="77"/>
  <c r="H121" i="77"/>
  <c r="O121" i="77" s="1"/>
  <c r="H103" i="77"/>
  <c r="J93" i="77"/>
  <c r="L40" i="77"/>
  <c r="L62" i="77"/>
  <c r="L109" i="77"/>
  <c r="O109" i="77" s="1"/>
  <c r="L93" i="77"/>
  <c r="H120" i="77"/>
  <c r="O120" i="77" s="1"/>
  <c r="H102" i="77"/>
  <c r="O102" i="77" s="1"/>
  <c r="L111" i="77"/>
  <c r="L34" i="77"/>
  <c r="N84" i="77"/>
  <c r="N23" i="77"/>
  <c r="L81" i="77"/>
  <c r="L33" i="77"/>
  <c r="L99" i="77"/>
  <c r="H83" i="77"/>
  <c r="H10" i="77"/>
  <c r="F12" i="77"/>
  <c r="O12" i="77" s="1"/>
  <c r="J87" i="77"/>
  <c r="J29" i="77"/>
  <c r="J15" i="77"/>
  <c r="L15" i="77"/>
  <c r="N107" i="77"/>
  <c r="N35" i="77"/>
  <c r="N27" i="77"/>
  <c r="L19" i="77"/>
  <c r="H115" i="77"/>
  <c r="J86" i="77"/>
  <c r="J28" i="77"/>
  <c r="L94" i="77"/>
  <c r="H32" i="77"/>
  <c r="L98" i="77"/>
  <c r="L100" i="77"/>
  <c r="H51" i="77"/>
  <c r="H7" i="77"/>
  <c r="O7" i="77" s="1"/>
  <c r="F73" i="77"/>
  <c r="F65" i="77"/>
  <c r="L91" i="77"/>
  <c r="L26" i="77"/>
  <c r="N41" i="77"/>
  <c r="N33" i="77"/>
  <c r="F97" i="77"/>
  <c r="F114" i="77"/>
  <c r="J47" i="77"/>
  <c r="L90" i="77"/>
  <c r="H92" i="77"/>
  <c r="O92" i="77" s="1"/>
  <c r="H68" i="77"/>
  <c r="F110" i="77"/>
  <c r="F64" i="77"/>
  <c r="O64" i="77" s="1"/>
  <c r="L45" i="77"/>
  <c r="N72" i="77"/>
  <c r="N40" i="77"/>
  <c r="N24" i="77"/>
  <c r="J116" i="77"/>
  <c r="F36" i="77"/>
  <c r="F55" i="77"/>
  <c r="F18" i="77"/>
  <c r="F91" i="77"/>
  <c r="F47" i="77"/>
  <c r="L61" i="77"/>
  <c r="F16" i="77"/>
  <c r="F35" i="77"/>
  <c r="L88" i="77"/>
  <c r="F57" i="77"/>
  <c r="F37" i="77"/>
  <c r="K21" i="77"/>
  <c r="M62" i="77"/>
  <c r="M20" i="77"/>
  <c r="L119" i="77"/>
  <c r="L42" i="77"/>
  <c r="O42" i="77" s="1"/>
  <c r="M101" i="77"/>
  <c r="M100" i="77"/>
  <c r="M115" i="77"/>
  <c r="M10" i="77"/>
  <c r="H114" i="77"/>
  <c r="L117" i="77"/>
  <c r="L11" i="77"/>
  <c r="L69" i="77"/>
  <c r="M105" i="77"/>
  <c r="O49" i="77"/>
  <c r="I62" i="77"/>
  <c r="I61" i="77"/>
  <c r="M86" i="77"/>
  <c r="F77" i="77"/>
  <c r="F108" i="77"/>
  <c r="L70" i="77"/>
  <c r="L66" i="77"/>
  <c r="L113" i="77"/>
  <c r="M68" i="77"/>
  <c r="M93" i="77"/>
  <c r="L106" i="77"/>
  <c r="O106" i="77" s="1"/>
  <c r="L14" i="77"/>
  <c r="I66" i="77"/>
  <c r="H97" i="77"/>
  <c r="C80" i="77"/>
  <c r="M65" i="77"/>
  <c r="M84" i="77"/>
  <c r="M99" i="77"/>
  <c r="M85" i="77"/>
  <c r="F33" i="77"/>
  <c r="F53" i="77"/>
  <c r="F52" i="77"/>
  <c r="L60" i="77"/>
  <c r="L67" i="77"/>
  <c r="AW85" i="73"/>
  <c r="T85" i="73"/>
  <c r="I97" i="77"/>
  <c r="I18" i="77"/>
  <c r="M29" i="77"/>
  <c r="M92" i="77"/>
  <c r="M66" i="77"/>
  <c r="F56" i="77"/>
  <c r="L85" i="77"/>
  <c r="O85" i="77" s="1"/>
  <c r="AN245" i="73"/>
  <c r="BE177" i="73"/>
  <c r="AN151" i="73"/>
  <c r="AE165" i="73"/>
  <c r="AE256" i="73"/>
  <c r="AE152" i="73"/>
  <c r="AE244" i="73"/>
  <c r="AW94" i="73"/>
  <c r="AW110" i="73"/>
  <c r="AN177" i="73"/>
  <c r="AE91" i="73"/>
  <c r="AN63" i="73"/>
  <c r="AE62" i="73"/>
  <c r="AE268" i="73"/>
  <c r="AN166" i="73"/>
  <c r="AF13" i="77"/>
  <c r="G37" i="77"/>
  <c r="I89" i="77"/>
  <c r="I40" i="77"/>
  <c r="I8" i="77"/>
  <c r="J96" i="77"/>
  <c r="J48" i="77"/>
  <c r="J16" i="77"/>
  <c r="M95" i="77"/>
  <c r="AW180" i="73"/>
  <c r="AE248" i="73"/>
  <c r="J63" i="77"/>
  <c r="AN99" i="73"/>
  <c r="AN112" i="73"/>
  <c r="BE212" i="73"/>
  <c r="G15" i="77"/>
  <c r="I118" i="77"/>
  <c r="I86" i="77"/>
  <c r="I38" i="77"/>
  <c r="J94" i="77"/>
  <c r="J62" i="77"/>
  <c r="J30" i="77"/>
  <c r="K83" i="77"/>
  <c r="K35" i="77"/>
  <c r="M45" i="77"/>
  <c r="I117" i="77"/>
  <c r="I101" i="77"/>
  <c r="I21" i="77"/>
  <c r="J13" i="77"/>
  <c r="K18" i="77"/>
  <c r="AN249" i="73"/>
  <c r="F95" i="77"/>
  <c r="AN114" i="73"/>
  <c r="AE138" i="73"/>
  <c r="F94" i="77"/>
  <c r="I35" i="77"/>
  <c r="I19" i="77"/>
  <c r="J59" i="77"/>
  <c r="K16" i="77"/>
  <c r="G45" i="77"/>
  <c r="F45" i="77"/>
  <c r="I98" i="77"/>
  <c r="J90" i="77"/>
  <c r="O24" i="77"/>
  <c r="J89" i="77"/>
  <c r="K110" i="77"/>
  <c r="K78" i="77"/>
  <c r="O78" i="77" s="1"/>
  <c r="K62" i="77"/>
  <c r="AE139" i="73"/>
  <c r="AE200" i="73"/>
  <c r="AE217" i="73"/>
  <c r="AN217" i="73" s="1"/>
  <c r="I96" i="77"/>
  <c r="I48" i="77"/>
  <c r="I16" i="77"/>
  <c r="J40" i="77"/>
  <c r="J8" i="77"/>
  <c r="K61" i="77"/>
  <c r="K29" i="77"/>
  <c r="AN104" i="73"/>
  <c r="AW217" i="73"/>
  <c r="G80" i="77"/>
  <c r="H35" i="77"/>
  <c r="I111" i="77"/>
  <c r="AF9" i="77" s="1"/>
  <c r="J119" i="77"/>
  <c r="J39" i="77"/>
  <c r="K108" i="77"/>
  <c r="J118" i="77"/>
  <c r="J38" i="77"/>
  <c r="J6" i="77"/>
  <c r="K59" i="77"/>
  <c r="D55" i="77"/>
  <c r="O105" i="77"/>
  <c r="I45" i="77"/>
  <c r="J117" i="77"/>
  <c r="J21" i="77"/>
  <c r="K10" i="77"/>
  <c r="L95" i="77"/>
  <c r="H99" i="77"/>
  <c r="H118" i="77"/>
  <c r="O27" i="77"/>
  <c r="I60" i="77"/>
  <c r="I44" i="77"/>
  <c r="K89" i="77"/>
  <c r="K73" i="77"/>
  <c r="K41" i="77"/>
  <c r="O41" i="77" s="1"/>
  <c r="F86" i="77"/>
  <c r="I59" i="77"/>
  <c r="J99" i="77"/>
  <c r="J83" i="77"/>
  <c r="J35" i="77"/>
  <c r="I74" i="77"/>
  <c r="I10" i="77"/>
  <c r="J66" i="77"/>
  <c r="O112" i="77"/>
  <c r="E74" i="77"/>
  <c r="G57" i="77"/>
  <c r="O22" i="77"/>
  <c r="G18" i="77"/>
  <c r="G74" i="77"/>
  <c r="G19" i="77"/>
  <c r="G35" i="77"/>
  <c r="G59" i="77"/>
  <c r="G91" i="77"/>
  <c r="G99" i="77"/>
  <c r="G23" i="77"/>
  <c r="E79" i="77"/>
  <c r="E23" i="77"/>
  <c r="G5" i="77"/>
  <c r="G28" i="77"/>
  <c r="G36" i="77"/>
  <c r="G60" i="77"/>
  <c r="G76" i="77"/>
  <c r="G6" i="77"/>
  <c r="G46" i="77"/>
  <c r="G54" i="77"/>
  <c r="G86" i="77"/>
  <c r="AE7" i="77" s="1"/>
  <c r="G94" i="77"/>
  <c r="H36" i="77"/>
  <c r="H26" i="77"/>
  <c r="H18" i="77"/>
  <c r="H113" i="77"/>
  <c r="H57" i="77"/>
  <c r="H56" i="77"/>
  <c r="H48" i="77"/>
  <c r="O43" i="77"/>
  <c r="H111" i="77"/>
  <c r="H95" i="77"/>
  <c r="H79" i="77"/>
  <c r="H54" i="77"/>
  <c r="H6" i="77"/>
  <c r="H61" i="77"/>
  <c r="H13" i="77"/>
  <c r="O103" i="77"/>
  <c r="O50" i="77"/>
  <c r="O58" i="77"/>
  <c r="D15" i="77"/>
  <c r="O84" i="77"/>
  <c r="E96" i="77"/>
  <c r="E94" i="77"/>
  <c r="E86" i="77"/>
  <c r="E14" i="77"/>
  <c r="E6" i="77"/>
  <c r="C93" i="77"/>
  <c r="E45" i="77"/>
  <c r="E13" i="77"/>
  <c r="E108" i="77"/>
  <c r="E52" i="77"/>
  <c r="E44" i="77"/>
  <c r="E36" i="77"/>
  <c r="E28" i="77"/>
  <c r="C45" i="77"/>
  <c r="E99" i="77"/>
  <c r="E91" i="77"/>
  <c r="E35" i="77"/>
  <c r="E19" i="77"/>
  <c r="E5" i="77"/>
  <c r="E114" i="77"/>
  <c r="E26" i="77"/>
  <c r="E18" i="77"/>
  <c r="E113" i="77"/>
  <c r="E33" i="77"/>
  <c r="E17" i="77"/>
  <c r="D56" i="77"/>
  <c r="D94" i="77"/>
  <c r="D91" i="77"/>
  <c r="C52" i="77"/>
  <c r="C75" i="77"/>
  <c r="C27" i="77"/>
  <c r="C5" i="77"/>
  <c r="C114" i="77"/>
  <c r="C57" i="77"/>
  <c r="C33" i="77"/>
  <c r="C88" i="77"/>
  <c r="C16" i="77"/>
  <c r="O31" i="77"/>
  <c r="J65" i="77"/>
  <c r="D52" i="77"/>
  <c r="H53" i="77"/>
  <c r="D57" i="77"/>
  <c r="J100" i="77"/>
  <c r="J71" i="77"/>
  <c r="J115" i="77"/>
  <c r="H38" i="77"/>
  <c r="J18" i="77"/>
  <c r="J74" i="77"/>
  <c r="H63" i="77"/>
  <c r="J57" i="77"/>
  <c r="J5" i="77"/>
  <c r="J37" i="77"/>
  <c r="J54" i="77"/>
  <c r="J107" i="77"/>
  <c r="H33" i="77"/>
  <c r="H25" i="77"/>
  <c r="H88" i="77"/>
  <c r="H108" i="77"/>
  <c r="F74" i="77"/>
  <c r="H23" i="77"/>
  <c r="H28" i="77"/>
  <c r="J114" i="77"/>
  <c r="H46" i="77"/>
  <c r="H5" i="77"/>
  <c r="H87" i="77"/>
  <c r="J32" i="77"/>
  <c r="J45" i="77"/>
  <c r="D74" i="77"/>
  <c r="H116" i="77"/>
  <c r="J70" i="77"/>
  <c r="J108" i="77"/>
  <c r="H14" i="77"/>
  <c r="H60" i="77"/>
  <c r="H110" i="77"/>
  <c r="H89" i="77"/>
  <c r="J72" i="77"/>
  <c r="I119" i="77"/>
  <c r="G56" i="77"/>
  <c r="K111" i="77"/>
  <c r="E107" i="77"/>
  <c r="E25" i="77"/>
  <c r="C34" i="77"/>
  <c r="I72" i="77"/>
  <c r="C23" i="77"/>
  <c r="C13" i="77"/>
  <c r="E98" i="77"/>
  <c r="E95" i="77"/>
  <c r="I116" i="77"/>
  <c r="E34" i="77"/>
  <c r="C86" i="77"/>
  <c r="G14" i="77"/>
  <c r="I99" i="77"/>
  <c r="C74" i="77"/>
  <c r="E80" i="77"/>
  <c r="E77" i="77"/>
  <c r="E46" i="77"/>
  <c r="E88" i="77"/>
  <c r="G107" i="77"/>
  <c r="AE9" i="77" s="1"/>
  <c r="C76" i="77"/>
  <c r="C19" i="77"/>
  <c r="I6" i="77"/>
  <c r="C15" i="77"/>
  <c r="C87" i="77"/>
  <c r="C113" i="77"/>
  <c r="I9" i="77"/>
  <c r="O9" i="77" s="1"/>
  <c r="I81" i="77"/>
  <c r="I46" i="77"/>
  <c r="K40" i="77"/>
  <c r="C78" i="77"/>
  <c r="C25" i="77"/>
  <c r="E76" i="77"/>
  <c r="E30" i="77"/>
  <c r="G77" i="77"/>
  <c r="G96" i="77"/>
  <c r="G29" i="77"/>
  <c r="I14" i="77"/>
  <c r="I23" i="77"/>
  <c r="K39" i="77"/>
  <c r="C53" i="77"/>
  <c r="C35" i="77"/>
  <c r="E57" i="77"/>
  <c r="E37" i="77"/>
  <c r="E15" i="77"/>
  <c r="E75" i="77"/>
  <c r="E97" i="77"/>
  <c r="E51" i="77"/>
  <c r="G113" i="77"/>
  <c r="AE10" i="77" s="1"/>
  <c r="G34" i="77"/>
  <c r="I39" i="77"/>
  <c r="E53" i="77"/>
  <c r="E115" i="77"/>
  <c r="I69" i="77"/>
  <c r="AN94" i="73"/>
  <c r="AN110" i="73"/>
  <c r="AN157" i="73"/>
  <c r="AN189" i="73"/>
  <c r="AN253" i="73"/>
  <c r="AW257" i="73"/>
  <c r="AN263" i="73"/>
  <c r="AN70" i="73"/>
  <c r="AE100" i="73"/>
  <c r="AE146" i="73"/>
  <c r="AW158" i="73"/>
  <c r="BE158" i="73" s="1"/>
  <c r="AN172" i="73"/>
  <c r="AE211" i="73"/>
  <c r="AN211" i="73" s="1"/>
  <c r="AE237" i="73"/>
  <c r="AE243" i="73"/>
  <c r="AN254" i="73"/>
  <c r="AN258" i="73"/>
  <c r="AN264" i="73"/>
  <c r="AN111" i="73"/>
  <c r="AN146" i="73"/>
  <c r="AE155" i="73"/>
  <c r="AN164" i="73"/>
  <c r="AN178" i="73"/>
  <c r="AE181" i="73"/>
  <c r="BE211" i="73"/>
  <c r="AW216" i="73"/>
  <c r="AN231" i="73"/>
  <c r="AE250" i="73"/>
  <c r="AW178" i="73"/>
  <c r="AN98" i="73"/>
  <c r="AE162" i="73"/>
  <c r="AE179" i="73"/>
  <c r="AW182" i="73"/>
  <c r="AN193" i="73"/>
  <c r="AE267" i="73"/>
  <c r="AN90" i="73"/>
  <c r="AW153" i="73"/>
  <c r="BE209" i="73"/>
  <c r="AW213" i="73"/>
  <c r="AN64" i="73"/>
  <c r="AN67" i="73"/>
  <c r="AN108" i="73"/>
  <c r="AN134" i="73"/>
  <c r="AN140" i="73"/>
  <c r="AN153" i="73"/>
  <c r="AN158" i="73"/>
  <c r="AN175" i="73"/>
  <c r="AN180" i="73"/>
  <c r="AN182" i="73"/>
  <c r="AN186" i="73"/>
  <c r="AN198" i="73"/>
  <c r="AW209" i="73"/>
  <c r="AE213" i="73"/>
  <c r="AN213" i="73" s="1"/>
  <c r="BE214" i="73"/>
  <c r="AN238" i="73"/>
  <c r="AN241" i="73"/>
  <c r="AN246" i="73"/>
  <c r="AN251" i="73"/>
  <c r="AN257" i="73"/>
  <c r="AN260" i="73"/>
  <c r="AN269" i="73"/>
  <c r="AE65" i="73"/>
  <c r="AE68" i="73"/>
  <c r="AE74" i="73"/>
  <c r="AE77" i="73"/>
  <c r="AE81" i="73"/>
  <c r="AE84" i="73"/>
  <c r="AE96" i="73"/>
  <c r="AE129" i="73"/>
  <c r="AE132" i="73"/>
  <c r="AE135" i="73"/>
  <c r="BE153" i="73"/>
  <c r="AE170" i="73"/>
  <c r="BE180" i="73"/>
  <c r="AE205" i="73"/>
  <c r="AE215" i="73"/>
  <c r="AN215" i="73" s="1"/>
  <c r="BE216" i="73"/>
  <c r="AE239" i="73"/>
  <c r="AE242" i="73"/>
  <c r="AE247" i="73"/>
  <c r="AE252" i="73"/>
  <c r="AE261" i="73"/>
  <c r="AE270" i="73"/>
  <c r="AE157" i="73"/>
  <c r="AE177" i="73"/>
  <c r="AE212" i="73"/>
  <c r="AN212" i="73" s="1"/>
  <c r="AE231" i="73"/>
  <c r="AN242" i="73"/>
  <c r="AN247" i="73"/>
  <c r="AW215" i="73"/>
  <c r="AE69" i="73"/>
  <c r="AE72" i="73"/>
  <c r="AE75" i="73"/>
  <c r="AE82" i="73"/>
  <c r="AE97" i="73"/>
  <c r="AE103" i="73"/>
  <c r="AE130" i="73"/>
  <c r="AE171" i="73"/>
  <c r="AE192" i="73"/>
  <c r="AE195" i="73"/>
  <c r="AE214" i="73"/>
  <c r="AN214" i="73" s="1"/>
  <c r="AE262" i="73"/>
  <c r="AN82" i="73"/>
  <c r="AN195" i="73"/>
  <c r="AI12" i="77" l="1"/>
  <c r="O69" i="77"/>
  <c r="AI18" i="77"/>
  <c r="J11" i="77"/>
  <c r="O11" i="77" s="1"/>
  <c r="O20" i="77"/>
  <c r="O17" i="77"/>
  <c r="O71" i="77"/>
  <c r="O81" i="77"/>
  <c r="O8" i="77"/>
  <c r="O67" i="77"/>
  <c r="AH8" i="77"/>
  <c r="J101" i="77"/>
  <c r="AJ8" i="77" s="1"/>
  <c r="O10" i="77"/>
  <c r="O32" i="77"/>
  <c r="AE18" i="77"/>
  <c r="O29" i="77"/>
  <c r="L59" i="77"/>
  <c r="O115" i="77"/>
  <c r="J23" i="77"/>
  <c r="O23" i="77" s="1"/>
  <c r="I65" i="77"/>
  <c r="AH12" i="77"/>
  <c r="AH10" i="77"/>
  <c r="I68" i="77"/>
  <c r="O68" i="77" s="1"/>
  <c r="O90" i="77"/>
  <c r="O62" i="77"/>
  <c r="O47" i="77"/>
  <c r="O73" i="77"/>
  <c r="G97" i="77"/>
  <c r="O97" i="77" s="1"/>
  <c r="AF6" i="77"/>
  <c r="K122" i="77"/>
  <c r="AI17" i="77"/>
  <c r="AE12" i="77"/>
  <c r="AF7" i="77"/>
  <c r="O55" i="77"/>
  <c r="I91" i="77"/>
  <c r="O91" i="77" s="1"/>
  <c r="M122" i="77"/>
  <c r="L38" i="77"/>
  <c r="O38" i="77" s="1"/>
  <c r="N44" i="77"/>
  <c r="N45" i="77"/>
  <c r="N110" i="77"/>
  <c r="L65" i="77"/>
  <c r="J33" i="77"/>
  <c r="AJ17" i="77" s="1"/>
  <c r="L37" i="77"/>
  <c r="O37" i="77" s="1"/>
  <c r="AH9" i="77"/>
  <c r="L54" i="77"/>
  <c r="O54" i="77" s="1"/>
  <c r="L57" i="77"/>
  <c r="O57" i="77" s="1"/>
  <c r="O110" i="77"/>
  <c r="D114" i="77"/>
  <c r="N114" i="77"/>
  <c r="L63" i="77"/>
  <c r="O63" i="77" s="1"/>
  <c r="L101" i="77"/>
  <c r="F5" i="77"/>
  <c r="AH11" i="77" s="1"/>
  <c r="J88" i="77"/>
  <c r="AJ7" i="77" s="1"/>
  <c r="O72" i="77"/>
  <c r="H80" i="77"/>
  <c r="L80" i="77"/>
  <c r="L116" i="77"/>
  <c r="O116" i="77" s="1"/>
  <c r="L28" i="77"/>
  <c r="O28" i="77" s="1"/>
  <c r="N108" i="77"/>
  <c r="L114" i="77"/>
  <c r="O114" i="77" s="1"/>
  <c r="J46" i="77"/>
  <c r="AJ18" i="77" s="1"/>
  <c r="J82" i="77"/>
  <c r="L82" i="77"/>
  <c r="L53" i="77"/>
  <c r="O53" i="77" s="1"/>
  <c r="J25" i="77"/>
  <c r="D54" i="77"/>
  <c r="N54" i="77"/>
  <c r="O66" i="77"/>
  <c r="F89" i="77"/>
  <c r="O89" i="77" s="1"/>
  <c r="J14" i="77"/>
  <c r="O14" i="77" s="1"/>
  <c r="F87" i="77"/>
  <c r="O87" i="77" s="1"/>
  <c r="H76" i="77"/>
  <c r="L76" i="77"/>
  <c r="L52" i="77"/>
  <c r="O52" i="77" s="1"/>
  <c r="F60" i="77"/>
  <c r="O60" i="77" s="1"/>
  <c r="L74" i="77"/>
  <c r="O119" i="77"/>
  <c r="AH18" i="77"/>
  <c r="O30" i="77"/>
  <c r="O48" i="77"/>
  <c r="AH17" i="77"/>
  <c r="J44" i="77"/>
  <c r="O44" i="77" s="1"/>
  <c r="O118" i="77"/>
  <c r="O39" i="77"/>
  <c r="O99" i="77"/>
  <c r="I126" i="77"/>
  <c r="AF17" i="77"/>
  <c r="O111" i="77"/>
  <c r="AJ9" i="77"/>
  <c r="I94" i="77"/>
  <c r="AF12" i="77"/>
  <c r="E16" i="77"/>
  <c r="O16" i="77" s="1"/>
  <c r="O70" i="77"/>
  <c r="O79" i="77"/>
  <c r="O15" i="77"/>
  <c r="O117" i="77"/>
  <c r="O100" i="77"/>
  <c r="AJ10" i="77"/>
  <c r="AJ5" i="77"/>
  <c r="AD10" i="77"/>
  <c r="AI8" i="77"/>
  <c r="O40" i="77"/>
  <c r="O6" i="77"/>
  <c r="O83" i="77"/>
  <c r="AF5" i="77"/>
  <c r="O98" i="77"/>
  <c r="H74" i="77"/>
  <c r="O35" i="77"/>
  <c r="AF11" i="77"/>
  <c r="O36" i="77"/>
  <c r="AE13" i="77"/>
  <c r="O61" i="77"/>
  <c r="AE11" i="77"/>
  <c r="H126" i="77"/>
  <c r="AJ12" i="77"/>
  <c r="AE17" i="77"/>
  <c r="AF10" i="77"/>
  <c r="H59" i="77"/>
  <c r="AI5" i="77" s="1"/>
  <c r="O13" i="77"/>
  <c r="AF18" i="77"/>
  <c r="AF8" i="77"/>
  <c r="G93" i="77"/>
  <c r="G95" i="77"/>
  <c r="E21" i="77"/>
  <c r="O21" i="77" s="1"/>
  <c r="G126" i="77"/>
  <c r="O113" i="77"/>
  <c r="G75" i="77"/>
  <c r="O75" i="77" s="1"/>
  <c r="E56" i="77"/>
  <c r="O56" i="77" s="1"/>
  <c r="O108" i="77"/>
  <c r="AE5" i="77"/>
  <c r="O107" i="77"/>
  <c r="O96" i="77"/>
  <c r="C94" i="77"/>
  <c r="O34" i="77"/>
  <c r="AD11" i="77"/>
  <c r="E93" i="77"/>
  <c r="AI7" i="77"/>
  <c r="AI10" i="77"/>
  <c r="O18" i="77"/>
  <c r="AI13" i="77"/>
  <c r="O26" i="77"/>
  <c r="AI9" i="77"/>
  <c r="O77" i="77"/>
  <c r="O19" i="77"/>
  <c r="AI11" i="77"/>
  <c r="AH6" i="77"/>
  <c r="AD8" i="77"/>
  <c r="O51" i="77"/>
  <c r="AD18" i="77"/>
  <c r="AD17" i="77"/>
  <c r="AD13" i="77"/>
  <c r="AD9" i="77"/>
  <c r="AG9" i="77" s="1"/>
  <c r="O45" i="77"/>
  <c r="O86" i="77"/>
  <c r="AD7" i="77"/>
  <c r="AG7" i="77" s="1"/>
  <c r="AD6" i="77"/>
  <c r="D44" i="77"/>
  <c r="D45" i="77"/>
  <c r="C126" i="77"/>
  <c r="C91" i="77"/>
  <c r="O33" i="77" l="1"/>
  <c r="AJ11" i="77"/>
  <c r="AK11" i="77" s="1"/>
  <c r="O101" i="77"/>
  <c r="D127" i="77"/>
  <c r="AK12" i="77"/>
  <c r="O80" i="77"/>
  <c r="O65" i="77"/>
  <c r="O82" i="77"/>
  <c r="I127" i="77"/>
  <c r="AJ6" i="77"/>
  <c r="N122" i="77"/>
  <c r="AH22" i="77"/>
  <c r="AK17" i="77"/>
  <c r="F127" i="77"/>
  <c r="O46" i="77"/>
  <c r="AE8" i="77"/>
  <c r="AG8" i="77" s="1"/>
  <c r="C122" i="77"/>
  <c r="C130" i="77" s="1"/>
  <c r="O88" i="77"/>
  <c r="O94" i="77"/>
  <c r="J127" i="77"/>
  <c r="AH5" i="77"/>
  <c r="AK5" i="77" s="1"/>
  <c r="L122" i="77"/>
  <c r="J126" i="77"/>
  <c r="AG13" i="77"/>
  <c r="AI22" i="77"/>
  <c r="AG10" i="77"/>
  <c r="AH7" i="77"/>
  <c r="AK7" i="77" s="1"/>
  <c r="O76" i="77"/>
  <c r="AJ13" i="77"/>
  <c r="AK13" i="77" s="1"/>
  <c r="AK18" i="77"/>
  <c r="O5" i="77"/>
  <c r="O25" i="77"/>
  <c r="F122" i="77"/>
  <c r="F130" i="77" s="1"/>
  <c r="AI6" i="77"/>
  <c r="F126" i="77"/>
  <c r="J122" i="77"/>
  <c r="O74" i="77"/>
  <c r="AK9" i="77"/>
  <c r="AK8" i="77"/>
  <c r="I122" i="77"/>
  <c r="AK10" i="77"/>
  <c r="AE22" i="77"/>
  <c r="AG17" i="77"/>
  <c r="AG18" i="77"/>
  <c r="O93" i="77"/>
  <c r="AG11" i="77"/>
  <c r="O59" i="77"/>
  <c r="H127" i="77"/>
  <c r="E126" i="77"/>
  <c r="H122" i="77"/>
  <c r="H130" i="77" s="1"/>
  <c r="AE6" i="77"/>
  <c r="AD12" i="77"/>
  <c r="AG12" i="77" s="1"/>
  <c r="G122" i="77"/>
  <c r="G130" i="77" s="1"/>
  <c r="E122" i="77"/>
  <c r="E130" i="77" s="1"/>
  <c r="O95" i="77"/>
  <c r="G127" i="77"/>
  <c r="AD5" i="77"/>
  <c r="E127" i="77"/>
  <c r="D122" i="77"/>
  <c r="D130" i="77" s="1"/>
  <c r="D126" i="77"/>
  <c r="C127" i="77"/>
  <c r="AK6" i="77" l="1"/>
  <c r="AE21" i="77"/>
  <c r="AG6" i="77"/>
  <c r="AH21" i="77"/>
  <c r="AI21" i="77"/>
  <c r="AD22" i="77"/>
  <c r="C133" i="77"/>
  <c r="AG5" i="77"/>
  <c r="AD21" i="77"/>
  <c r="I27" i="25" l="1"/>
  <c r="I26" i="25"/>
  <c r="I25" i="25"/>
  <c r="I24" i="25"/>
  <c r="I23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W2" i="25" l="1"/>
  <c r="W3" i="25"/>
  <c r="W5" i="25"/>
  <c r="W6" i="25"/>
  <c r="T26" i="77" l="1"/>
  <c r="V6" i="77"/>
  <c r="T13" i="77"/>
  <c r="T36" i="77"/>
  <c r="T11" i="77"/>
  <c r="T58" i="77" s="1"/>
  <c r="T60" i="77" s="1"/>
  <c r="T61" i="77" s="1"/>
  <c r="T7" i="77"/>
  <c r="V5" i="77"/>
  <c r="V18" i="77"/>
  <c r="T47" i="77"/>
  <c r="V20" i="77"/>
  <c r="T48" i="77"/>
  <c r="T23" i="77"/>
  <c r="T50" i="77" s="1"/>
  <c r="T34" i="77"/>
  <c r="T33" i="77"/>
  <c r="V38" i="77"/>
  <c r="T16" i="77"/>
  <c r="T20" i="77"/>
  <c r="T35" i="77"/>
  <c r="T18" i="77"/>
  <c r="V23" i="77"/>
  <c r="V50" i="77" s="1"/>
  <c r="V48" i="77"/>
  <c r="V34" i="77"/>
  <c r="T38" i="77"/>
  <c r="T28" i="77"/>
  <c r="T5" i="77"/>
  <c r="V28" i="77"/>
  <c r="T29" i="77"/>
  <c r="V36" i="77"/>
  <c r="T19" i="77"/>
  <c r="T17" i="77"/>
  <c r="V7" i="77"/>
  <c r="V21" i="77"/>
  <c r="V41" i="77"/>
  <c r="V8" i="77"/>
  <c r="V30" i="77"/>
  <c r="V35" i="77"/>
  <c r="V27" i="77"/>
  <c r="V10" i="77"/>
  <c r="V40" i="77"/>
  <c r="V17" i="77"/>
  <c r="V32" i="77"/>
  <c r="V22" i="77"/>
  <c r="V42" i="77"/>
  <c r="V37" i="77"/>
  <c r="V29" i="77"/>
  <c r="V12" i="77"/>
  <c r="V63" i="77" s="1"/>
  <c r="V65" i="77" s="1"/>
  <c r="V66" i="77" s="1"/>
  <c r="V39" i="77"/>
  <c r="V31" i="77"/>
  <c r="V26" i="77"/>
  <c r="V9" i="77"/>
  <c r="V47" i="77"/>
  <c r="V11" i="77"/>
  <c r="V58" i="77" s="1"/>
  <c r="V60" i="77" s="1"/>
  <c r="V61" i="77" s="1"/>
  <c r="T9" i="77"/>
  <c r="T39" i="77"/>
  <c r="T31" i="77"/>
  <c r="T21" i="77"/>
  <c r="T41" i="77"/>
  <c r="T8" i="77"/>
  <c r="T30" i="77"/>
  <c r="T27" i="77"/>
  <c r="T10" i="77"/>
  <c r="T6" i="77"/>
  <c r="T40" i="77"/>
  <c r="T32" i="77"/>
  <c r="T22" i="77"/>
  <c r="T42" i="77"/>
  <c r="T12" i="77"/>
  <c r="T63" i="77" s="1"/>
  <c r="T65" i="77" s="1"/>
  <c r="T66" i="77" s="1"/>
  <c r="T37" i="77"/>
  <c r="V33" i="77"/>
  <c r="V19" i="77"/>
  <c r="V13" i="77"/>
  <c r="V16" i="77"/>
  <c r="T68" i="77" l="1"/>
  <c r="AP7" i="77"/>
  <c r="AQ8" i="77"/>
  <c r="AP5" i="77"/>
  <c r="AQ6" i="77"/>
  <c r="AP8" i="77"/>
  <c r="AP6" i="77"/>
  <c r="AQ7" i="77"/>
  <c r="V68" i="77"/>
  <c r="AQ5" i="77"/>
  <c r="X16" i="77" l="1"/>
  <c r="X41" i="77"/>
  <c r="X39" i="77"/>
  <c r="X28" i="77"/>
  <c r="X34" i="77"/>
  <c r="X12" i="77"/>
  <c r="X9" i="77"/>
  <c r="X7" i="77"/>
  <c r="X27" i="77"/>
  <c r="X48" i="77"/>
  <c r="X8" i="77"/>
  <c r="X11" i="77"/>
  <c r="X38" i="77"/>
  <c r="X19" i="77"/>
  <c r="X23" i="77"/>
  <c r="X5" i="77"/>
  <c r="X13" i="77"/>
  <c r="X10" i="77"/>
  <c r="X6" i="77"/>
  <c r="X30" i="77"/>
  <c r="X32" i="77"/>
  <c r="X35" i="77"/>
  <c r="X37" i="77"/>
  <c r="X36" i="77"/>
  <c r="X17" i="77"/>
  <c r="X31" i="77"/>
  <c r="X18" i="77"/>
  <c r="X21" i="77"/>
  <c r="X40" i="77"/>
  <c r="X20" i="77"/>
  <c r="X26" i="77"/>
  <c r="X47" i="77"/>
  <c r="X29" i="77"/>
  <c r="X22" i="77"/>
  <c r="X33" i="77"/>
  <c r="X42" i="77"/>
  <c r="CT6" i="80" l="1"/>
  <c r="AR5" i="77"/>
  <c r="AS5" i="77" s="1"/>
  <c r="AR8" i="77"/>
  <c r="AS8" i="77" s="1"/>
  <c r="AR7" i="77"/>
  <c r="AS7" i="77" s="1"/>
  <c r="AR6" i="77"/>
  <c r="AS6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</authors>
  <commentList>
    <comment ref="A27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kekurangan di igracias:
- lap akhir</t>
        </r>
      </text>
    </comment>
    <comment ref="A5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kekurangan di igracias:
- lap akhir</t>
        </r>
      </text>
    </comment>
    <comment ref="A80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berkas yang kurang di igracias:
- kontrak
- laporan akhir
- hasil monev akhir</t>
        </r>
      </text>
    </comment>
    <comment ref="A8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89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kekurangan berkas di igracias:
- laporan akhir</t>
        </r>
      </text>
    </comment>
    <comment ref="A10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11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</t>
        </r>
      </text>
    </comment>
    <comment ref="A11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kekurangan di igracias:
- dana yang dipakai
- hasil monev akhir</t>
        </r>
      </text>
    </comment>
    <comment ref="A11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kekurangan berkas di igracias:
- hasil monev akhir
- dana yang dipakai</t>
        </r>
      </text>
    </comment>
    <comment ref="A128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kekurangan berkas diigracias:
- lap akhir</t>
        </r>
      </text>
    </comment>
    <comment ref="A152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kekurangan berkas:
- lap kemajuan &amp; hasil monev
- lap akhir &amp; hasil monev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  <author>LEMBAGA PENELITIAN DAN PENGABDIAN MASYARAKAT KAMPUS SURABAYA</author>
  </authors>
  <commentList>
    <comment ref="C109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beda kontrak di igracias</t>
        </r>
      </text>
    </comment>
    <comment ref="BR170" authorId="1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 xml:space="preserve">LEMBAGA PENELITIAN DAN PENGABDIAN MASYARAKAT KAMPUS SURABAYA: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  <author>LEMBAGA PENELITIAN DAN PENGABDIAN MASYARAKAT KAMPUS SURABAYA</author>
  </authors>
  <commentList>
    <comment ref="C109" authorId="0" shapeId="0" xr:uid="{00000000-0006-0000-0F00-000001000000}">
      <text>
        <r>
          <rPr>
            <sz val="11"/>
            <color theme="1"/>
            <rFont val="Calibri"/>
            <family val="2"/>
            <scheme val="minor"/>
          </rPr>
          <t>beda kontrak di igracias</t>
        </r>
      </text>
    </comment>
    <comment ref="CA170" authorId="1" shapeId="0" xr:uid="{00000000-0006-0000-0F00-000002000000}">
      <text>
        <r>
          <rPr>
            <sz val="11"/>
            <color theme="1"/>
            <rFont val="Calibri"/>
            <family val="2"/>
            <scheme val="minor"/>
          </rPr>
          <t xml:space="preserve">LEMBAGA PENELITIAN DAN PENGABDIAN MASYARAKAT KAMPUS SURABAYA: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muham</author>
    <author>tc={D9ECAE8F-F6D8-4AFB-BA00-33A43EC4D0D4}</author>
    <author>tc={4EB0D1BA-8BC2-48EE-A755-2BCDF56ED51F}</author>
    <author>tc={56E524BE-AF66-40D1-B194-11ABB53B80BB}</author>
  </authors>
  <commentList>
    <comment ref="B39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resign 2024</t>
        </r>
      </text>
    </comment>
    <comment ref="B95" authorId="1" shapeId="0" xr:uid="{00000000-0006-0000-1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RPL</t>
      </text>
    </comment>
    <comment ref="B113" authorId="2" shapeId="0" xr:uid="{00000000-0006-0000-11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Teknik industri</t>
      </text>
    </comment>
    <comment ref="B114" authorId="3" shapeId="0" xr:uid="{00000000-0006-0000-11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RPL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LPPM ITTS</author>
    <author>LEMBAGA PENELITIAN DAN PENGABDIAN MASYARAKAT KAMPUS SURABAYA</author>
  </authors>
  <commentList>
    <comment ref="B109" authorId="0" shapeId="0" xr:uid="{00000000-0006-0000-0D00-000001000000}">
      <text>
        <r>
          <rPr>
            <sz val="11"/>
            <color theme="1"/>
            <rFont val="Calibri"/>
            <family val="2"/>
            <scheme val="minor"/>
          </rPr>
          <t>beda kontrak di igracias</t>
        </r>
      </text>
    </comment>
    <comment ref="AR170" authorId="1" shapeId="0" xr:uid="{00000000-0006-0000-0D00-000002000000}">
      <text>
        <r>
          <rPr>
            <sz val="11"/>
            <color theme="1"/>
            <rFont val="Calibri"/>
            <family val="2"/>
            <scheme val="minor"/>
          </rPr>
          <t xml:space="preserve">LEMBAGA PENELITIAN DAN PENGABDIAN MASYARAKAT KAMPUS SURABAYA:
</t>
        </r>
      </text>
    </comment>
  </commentList>
</comments>
</file>

<file path=xl/sharedStrings.xml><?xml version="1.0" encoding="utf-8"?>
<sst xmlns="http://schemas.openxmlformats.org/spreadsheetml/2006/main" count="36485" uniqueCount="5949">
  <si>
    <t>Kategori Sumber Dana</t>
  </si>
  <si>
    <t>Tahun Usulan</t>
  </si>
  <si>
    <t>Total</t>
  </si>
  <si>
    <t>Total Keseluruhan</t>
  </si>
  <si>
    <t>Sumber Dana</t>
  </si>
  <si>
    <t xml:space="preserve"> Penelitian Dasar</t>
  </si>
  <si>
    <t>Rizqa Amelia Zunaidi</t>
  </si>
  <si>
    <t>Penelitian Dana Internal (PDI)</t>
  </si>
  <si>
    <t>Abduh Sayid Albana</t>
  </si>
  <si>
    <t>Bernadus Anggo Seno Aji</t>
  </si>
  <si>
    <t>Billy Montolalu</t>
  </si>
  <si>
    <t>Dewi Rahmawati</t>
  </si>
  <si>
    <t>Dimas Adiputra</t>
  </si>
  <si>
    <t>Dominggo Bayu Baskara</t>
  </si>
  <si>
    <t>Dwi Edi Setyawan</t>
  </si>
  <si>
    <t>Farah Zakiyah Rahmanti</t>
  </si>
  <si>
    <t>Hamzah Ulinuha Mustakim</t>
  </si>
  <si>
    <t>Hawwin Mardhiana</t>
  </si>
  <si>
    <t>Helmy Widyantara</t>
  </si>
  <si>
    <t>Isa Hafidz</t>
  </si>
  <si>
    <t>Khodijah Amiroh</t>
  </si>
  <si>
    <t>Moch. Iskandar Riansyah</t>
  </si>
  <si>
    <t>Muhsin</t>
  </si>
  <si>
    <t>Nilla Rachmaningrum</t>
  </si>
  <si>
    <t>Rahaditya Dimas Prihadianto</t>
  </si>
  <si>
    <t>Rokhmatul Insani</t>
  </si>
  <si>
    <t>Titus Kristanto</t>
  </si>
  <si>
    <t>Ubaidillah Umar</t>
  </si>
  <si>
    <t>Ully Asfari</t>
  </si>
  <si>
    <t>Wahyu Andy Prastyabudi</t>
  </si>
  <si>
    <t>Yupit Sudianto</t>
  </si>
  <si>
    <t>Penelitian Dasar</t>
  </si>
  <si>
    <t>Achmad Muzakki</t>
  </si>
  <si>
    <t>Adzanil Rachmadhi Putra</t>
  </si>
  <si>
    <t>Ahmad Wali Satria Bahari Johan</t>
  </si>
  <si>
    <t>Alifiansyah Arrizqy Hidayat</t>
  </si>
  <si>
    <t>Alqis Rausanfita</t>
  </si>
  <si>
    <t>Anisa Dzulkarnain</t>
  </si>
  <si>
    <t>Ardian Yusuf Wicaksono</t>
  </si>
  <si>
    <t>Aris Kusumawati</t>
  </si>
  <si>
    <t>Ayu Endah Wahyuni</t>
  </si>
  <si>
    <t>Berlian Rahmy Lidiawaty</t>
  </si>
  <si>
    <t>Caesareano Lafado Yesa</t>
  </si>
  <si>
    <t>Desita Nur Rachmaniar</t>
  </si>
  <si>
    <t>Granita Hajar</t>
  </si>
  <si>
    <t>Huki Chandra</t>
  </si>
  <si>
    <t>Kharisma Monika Dian Pertiwi</t>
  </si>
  <si>
    <t>Noerma Pudji Istyanto</t>
  </si>
  <si>
    <t>Oktavia Ayu Permata</t>
  </si>
  <si>
    <t>Pangestu Widodo</t>
  </si>
  <si>
    <t>Perdana Suteja Putra</t>
  </si>
  <si>
    <t>Rifdatun Ni'mah</t>
  </si>
  <si>
    <t>Rifki Dwi Putranto</t>
  </si>
  <si>
    <t>Rizky Fenaldo Maulana</t>
  </si>
  <si>
    <t>Rosyid Abdillah</t>
  </si>
  <si>
    <t xml:space="preserve">Sekar Widyasari Putri </t>
  </si>
  <si>
    <t>Silvi Istiqomah</t>
  </si>
  <si>
    <t>Muhamad Nasrullah</t>
  </si>
  <si>
    <t>Penelitian Dasar Penugasan</t>
  </si>
  <si>
    <t>Penelitian Kerjasama Institusi</t>
  </si>
  <si>
    <t>Susijanto Tri Rasmana</t>
  </si>
  <si>
    <t>Penelitian Kerjasama Institusi (Darul Ulum Lamongan)</t>
  </si>
  <si>
    <t>Moh.Hamim Zajuli Al Faroby</t>
  </si>
  <si>
    <t>Penelitian Kerjasama Institusi (PAKERTI ITS)</t>
  </si>
  <si>
    <t xml:space="preserve"> Prasetiyono Hari Mukti</t>
  </si>
  <si>
    <t>(kosong)</t>
  </si>
  <si>
    <t>Penelitian Kerjasama Luar Negeri</t>
  </si>
  <si>
    <t>Mochamad Nizar Palefi Ma'ady</t>
  </si>
  <si>
    <t>Penelitian Kerjasama Perguruan Tinggi (PEKERTI)</t>
  </si>
  <si>
    <t>Achmad Zaki Yamani</t>
  </si>
  <si>
    <t>Kiki Sudiana</t>
  </si>
  <si>
    <t>Muhammad Dzulfikar Fauzi</t>
  </si>
  <si>
    <t>Penelitian Mandiri</t>
  </si>
  <si>
    <t>Agus Sulistya</t>
  </si>
  <si>
    <t>Almira Ivah</t>
  </si>
  <si>
    <t>Amalia Nur Alifah</t>
  </si>
  <si>
    <t>Anfazul Faridatul Azizah</t>
  </si>
  <si>
    <t>Anifatul Faricha</t>
  </si>
  <si>
    <t>Bagas Putra</t>
  </si>
  <si>
    <t>Helisyah Nur Fadhilah</t>
  </si>
  <si>
    <t>Mawanda Almuhayar</t>
  </si>
  <si>
    <t xml:space="preserve">Nicko Nur Rakhmaddian
</t>
  </si>
  <si>
    <t>Risdillah Mimma Untsa</t>
  </si>
  <si>
    <t>Walid Maulana Hadiansyah</t>
  </si>
  <si>
    <t>Penelitian Pengembangan</t>
  </si>
  <si>
    <t>Lora Khaula Amifia</t>
  </si>
  <si>
    <t>Penelitian Penugasan</t>
  </si>
  <si>
    <t>Arrizky Ayu Faradila Purnama</t>
  </si>
  <si>
    <t>Benazir Imam Arif Muttaqin</t>
  </si>
  <si>
    <t>Fidi Wincoko Putro</t>
  </si>
  <si>
    <t>Penelitian Research Center</t>
  </si>
  <si>
    <t>Penelitian Terapan</t>
  </si>
  <si>
    <t>Ardiansyah Al Farouq</t>
  </si>
  <si>
    <t>Arliyanti Nurdin</t>
  </si>
  <si>
    <t>Aulia Rahma Annisa</t>
  </si>
  <si>
    <t>Benazir Imam Arif Muttawin</t>
  </si>
  <si>
    <t>Darlin Aulia</t>
  </si>
  <si>
    <t>Mohammad Yanuar Hariyawan</t>
  </si>
  <si>
    <t>Penelitian Terapan (Penugasan)</t>
  </si>
  <si>
    <t>Penulisan Buku Ajar</t>
  </si>
  <si>
    <t>PENELITIAN DASAR PERIODE 1</t>
  </si>
  <si>
    <t xml:space="preserve">AFFIFIANA PRISYANTI </t>
  </si>
  <si>
    <t xml:space="preserve">AHMAD WALI SATRIA BAHARI JOHAN </t>
  </si>
  <si>
    <t xml:space="preserve">ANIFATUL FARICHA </t>
  </si>
  <si>
    <t xml:space="preserve">ANITA HAKIM NASUTION </t>
  </si>
  <si>
    <t xml:space="preserve">AUFAR FIKRI DIMYATI </t>
  </si>
  <si>
    <t xml:space="preserve">CHAIRONI LATIF </t>
  </si>
  <si>
    <t xml:space="preserve">EKA SARI OKTARINA </t>
  </si>
  <si>
    <t>Fannush Shofi Akbar</t>
  </si>
  <si>
    <t xml:space="preserve">HENDY BRIANTORO </t>
  </si>
  <si>
    <t xml:space="preserve">ISA HAFIDZ </t>
  </si>
  <si>
    <t xml:space="preserve">KHARISMA MONIKA DIAN PERTIWI </t>
  </si>
  <si>
    <t>MUHAMMAD ILHAM ALHARI</t>
  </si>
  <si>
    <t xml:space="preserve">MUHSIN </t>
  </si>
  <si>
    <t>Mustafa Kamal</t>
  </si>
  <si>
    <t>PARAMADITYA ARISMAWATI</t>
  </si>
  <si>
    <t xml:space="preserve">PERDANA SUTEJA PUTRA </t>
  </si>
  <si>
    <t>PHILIP TOBIANTO DAELY</t>
  </si>
  <si>
    <t xml:space="preserve">PIMA HANI SAFITRI </t>
  </si>
  <si>
    <t>PURNAMA ANAKING</t>
  </si>
  <si>
    <t xml:space="preserve">RAHADITYA DIMAS PRIHADIANTO </t>
  </si>
  <si>
    <t>Regita Putri Permata</t>
  </si>
  <si>
    <t xml:space="preserve">RISDILAH MIMMA UNTSA </t>
  </si>
  <si>
    <t>SRI HIDAYATI</t>
  </si>
  <si>
    <t xml:space="preserve">TITUS KRISTANTO </t>
  </si>
  <si>
    <t xml:space="preserve">WACHDA YUNIAR ROCHMAH </t>
  </si>
  <si>
    <t xml:space="preserve">YOHANES SETIAWAN </t>
  </si>
  <si>
    <t xml:space="preserve">YUPIT SUDIANTO </t>
  </si>
  <si>
    <t>PENELITIAN TERAPAN PERIODE 1</t>
  </si>
  <si>
    <t>PENELITIAN KEMITRAAN DALAM NEGERI PERIODE 1</t>
  </si>
  <si>
    <t>PENELITIAN KEMITRAAN LUAR NEGERI PERIODE 1</t>
  </si>
  <si>
    <t>PENELITIAN STRATEGIS PERIODE 1</t>
  </si>
  <si>
    <t>PENELITIAN MANDIRI PERIODE 1</t>
  </si>
  <si>
    <t>PENELITIAN DASAR PERIODE 2</t>
  </si>
  <si>
    <t>Muhammad Adib Kamali</t>
  </si>
  <si>
    <t>FANDISYA RAHMAN</t>
  </si>
  <si>
    <t>TANZILAL MUSTAQIM</t>
  </si>
  <si>
    <t>NISA ISROFI</t>
  </si>
  <si>
    <t>Penelitian Non Kerja Sama Eksternal</t>
  </si>
  <si>
    <t>Wachda Yuniar Rochmah</t>
  </si>
  <si>
    <t>Tri Arief Sardjono</t>
  </si>
  <si>
    <t>ERLY EKAYANTI ROSYIDA</t>
  </si>
  <si>
    <t>VESSA RIZKY OKTAVIA</t>
  </si>
  <si>
    <t>MOH. HAMIM ZAJULI AL FAROBY</t>
  </si>
  <si>
    <t xml:space="preserve">BAMBANG AGUS SUMANTRI </t>
  </si>
  <si>
    <t>SEKAR WIDYASARI PUTRI</t>
  </si>
  <si>
    <t>DAHLIAR ANANDA</t>
  </si>
  <si>
    <t>Penelitian Non Kerja Sama Eksternal Batch 2</t>
  </si>
  <si>
    <t>Mochamad Nizar Palefi Ma’ady</t>
  </si>
  <si>
    <t>No</t>
  </si>
  <si>
    <t>Afiliasi</t>
  </si>
  <si>
    <t>Teknik Komputer</t>
  </si>
  <si>
    <t>Fakultas Teknik Elektro</t>
  </si>
  <si>
    <t>Tri Agus Djoko Kuntjoro</t>
  </si>
  <si>
    <t>Teknik Telekomunikasi</t>
  </si>
  <si>
    <t>Teknik Elektro</t>
  </si>
  <si>
    <t>Teknologi Informasi</t>
  </si>
  <si>
    <t>Fakultas Informatika</t>
  </si>
  <si>
    <t>Dimas</t>
  </si>
  <si>
    <t>Institut Teknologi Sepuluh Nopember</t>
  </si>
  <si>
    <t>Teknik Industri</t>
  </si>
  <si>
    <t>Fakultas Rekayasa Industri</t>
  </si>
  <si>
    <t>RPL</t>
  </si>
  <si>
    <t>Philip Tobianto Daely</t>
  </si>
  <si>
    <t>Rekayasa Perangkat Lunak</t>
  </si>
  <si>
    <t>Mohammad Sholik</t>
  </si>
  <si>
    <t>Sistem Informasi</t>
  </si>
  <si>
    <t>Mohamad Yani</t>
  </si>
  <si>
    <t>Ubaidillah</t>
  </si>
  <si>
    <t>Digital Bisnis</t>
  </si>
  <si>
    <t>Fakultas Ekonomi dan Bisnis</t>
  </si>
  <si>
    <t>Informatika</t>
  </si>
  <si>
    <t>Teknik Logistik</t>
  </si>
  <si>
    <t>Risdilah Mimma Untsa</t>
  </si>
  <si>
    <t>Sekar Widyasari Putri</t>
  </si>
  <si>
    <t>Sains Data</t>
  </si>
  <si>
    <t>Moh. Hamim Zajuli Al Faroby</t>
  </si>
  <si>
    <t>Nisa Isrofi</t>
  </si>
  <si>
    <t>Purnama Anaking</t>
  </si>
  <si>
    <t>Raulia Riski</t>
  </si>
  <si>
    <t>Sri Hidayati</t>
  </si>
  <si>
    <t>Silvi</t>
  </si>
  <si>
    <t>Agoes Windarto</t>
  </si>
  <si>
    <t>Affifiana Prisyanti</t>
  </si>
  <si>
    <t>Anita Hakim Nasution</t>
  </si>
  <si>
    <t>Arip Ramadan</t>
  </si>
  <si>
    <t>Yohanes Setiawan</t>
  </si>
  <si>
    <t>Vessa Rizky Oktavia</t>
  </si>
  <si>
    <t>Tita Ayu Rospricilia</t>
  </si>
  <si>
    <t>Dahliar Ananda</t>
  </si>
  <si>
    <t>Hendy Briantoro</t>
  </si>
  <si>
    <t>Chaironi Latif</t>
  </si>
  <si>
    <t>Aufar Fikri Dimyati</t>
  </si>
  <si>
    <t>Muhammad Ilham Alhari</t>
  </si>
  <si>
    <t>Adisya Resti Rahmadanti</t>
  </si>
  <si>
    <t>Arni Muarifah Amri</t>
  </si>
  <si>
    <t>Daud Muhajir</t>
  </si>
  <si>
    <t>Dyah Putri Rahmawati</t>
  </si>
  <si>
    <t>Eka Sari Oktarina</t>
  </si>
  <si>
    <t>Krisnayanti Aditasari</t>
  </si>
  <si>
    <t>Pima Hani Safitri</t>
  </si>
  <si>
    <t>Tanzilal Mustaqim</t>
  </si>
  <si>
    <t>Mastuty Ayu Ningtyas</t>
  </si>
  <si>
    <t>Paramaditya Arismawati</t>
  </si>
  <si>
    <t>Fandisya Rahman</t>
  </si>
  <si>
    <t>Rudi Harianto</t>
  </si>
  <si>
    <t>Bambang Lelono Widjiantoro</t>
  </si>
  <si>
    <t>Universitas Airlangga</t>
  </si>
  <si>
    <t>Bambang Agus Sumantri</t>
  </si>
  <si>
    <t>Erly Ekayanti Rosyida</t>
  </si>
  <si>
    <t>Nama Skema</t>
  </si>
  <si>
    <t>SDG</t>
  </si>
  <si>
    <t>2024-2025</t>
  </si>
  <si>
    <t>KOLABORASI DALAM NEGERI</t>
  </si>
  <si>
    <t>PENDAMPINGAN/PELATIHAN PERIODE 1</t>
  </si>
  <si>
    <t>PENDAMPINGAN/PELATIHAN PERIODE 2</t>
  </si>
  <si>
    <t>TEKNOLOGI TEPAT GUNA (TTG) PERIODE 1</t>
  </si>
  <si>
    <t>TEKNOLOGI TEPAT GUNA (TTG) PERIODE 2</t>
  </si>
  <si>
    <t>Tahun Pelaksanaan Kegiatan</t>
  </si>
  <si>
    <t>DATA PUBLIKASI</t>
  </si>
  <si>
    <t>DATA PENULIS KORESPONDING</t>
  </si>
  <si>
    <t>DATA PENULIS (1)</t>
  </si>
  <si>
    <t>DATA PENULIS (2)</t>
  </si>
  <si>
    <t>DATA PENULIS (3)</t>
  </si>
  <si>
    <t>DATA PENULIS (4)</t>
  </si>
  <si>
    <t>DATA PENULIS (5)</t>
  </si>
  <si>
    <t>DATA PENULIS (6)</t>
  </si>
  <si>
    <t>DATA PENULIS LAINNYA</t>
  </si>
  <si>
    <t>Judul Publikasi</t>
  </si>
  <si>
    <t>Nama Jurnal</t>
  </si>
  <si>
    <t>Implementasi</t>
  </si>
  <si>
    <t>Akreditasi/ Index Jurnal</t>
  </si>
  <si>
    <t>Lembaga Pengindeks</t>
  </si>
  <si>
    <t>Tahun Submit</t>
  </si>
  <si>
    <t>Tahun Accepted</t>
  </si>
  <si>
    <t>Tahun Published</t>
  </si>
  <si>
    <t>Nama Penulis Koresponding</t>
  </si>
  <si>
    <t>Sinta ID</t>
  </si>
  <si>
    <t>NIDN</t>
  </si>
  <si>
    <t>Prodi</t>
  </si>
  <si>
    <t>Nama Penulis (1)</t>
  </si>
  <si>
    <t>Prodi2</t>
  </si>
  <si>
    <t>Afiliasi3</t>
  </si>
  <si>
    <t>Sinta ID4</t>
  </si>
  <si>
    <t>NIDN5</t>
  </si>
  <si>
    <t>Nama Penulis (2)</t>
  </si>
  <si>
    <t>Prodi6</t>
  </si>
  <si>
    <t>Afiliasi7</t>
  </si>
  <si>
    <t>Sinta ID8</t>
  </si>
  <si>
    <t>NIDN9</t>
  </si>
  <si>
    <t>Nama Penulis (3)</t>
  </si>
  <si>
    <t>Prodi10</t>
  </si>
  <si>
    <t>Afiliasi11</t>
  </si>
  <si>
    <t>Sinta ID12</t>
  </si>
  <si>
    <t>NIDN13</t>
  </si>
  <si>
    <t>Nama Penulis (4)</t>
  </si>
  <si>
    <t>Prodi14</t>
  </si>
  <si>
    <t>Afiliasi15</t>
  </si>
  <si>
    <t>Sinta ID16</t>
  </si>
  <si>
    <t>NIDN17</t>
  </si>
  <si>
    <t>Nama Penulis (5)</t>
  </si>
  <si>
    <t>Prodi18</t>
  </si>
  <si>
    <t>Afiliasi19</t>
  </si>
  <si>
    <t>Sinta ID20</t>
  </si>
  <si>
    <t>NIDN21</t>
  </si>
  <si>
    <t>Nama Penulis (6)</t>
  </si>
  <si>
    <t>Prodi22</t>
  </si>
  <si>
    <t>Afiliasi23</t>
  </si>
  <si>
    <t>Sinta ID24</t>
  </si>
  <si>
    <t>NIDN25</t>
  </si>
  <si>
    <t>Nama Penulis Lain</t>
  </si>
  <si>
    <t>Prodi26</t>
  </si>
  <si>
    <t>Afiliasi27</t>
  </si>
  <si>
    <t>Sinta ID28</t>
  </si>
  <si>
    <t>NIDN29</t>
  </si>
  <si>
    <t>Low-cost Transverse Electromagnetic (TEM) cell design for radiated emission measurement</t>
  </si>
  <si>
    <t xml:space="preserve">IOP Conference Series: Materials Science and Engineering 1073 (1), 012040, 2021 </t>
  </si>
  <si>
    <t>Prosiding Internasional</t>
  </si>
  <si>
    <t>Muhammad Yanuar Hariawan</t>
  </si>
  <si>
    <t>TK</t>
  </si>
  <si>
    <t>ITTELKOM Surabaya</t>
  </si>
  <si>
    <t>Rizadi Sasmita Darwis</t>
  </si>
  <si>
    <t>Politeknik Caltex Riau</t>
  </si>
  <si>
    <t>B A Habibi</t>
  </si>
  <si>
    <t>Simulasi Efisiensi dan Akurasi Shielding Effectiveness pada Kabel Coaxial</t>
  </si>
  <si>
    <t xml:space="preserve">ABEC Indonesia 9, 1263-1274, 2021 </t>
  </si>
  <si>
    <t>Prosiding Nasional</t>
  </si>
  <si>
    <t>Putri Cahyanda</t>
  </si>
  <si>
    <t>RANCANG MAGNETIC NEAR FIELD PROBE UNTUK PENGUJIAN RADIATED EMISSION PADA FREKUENSI RENDAH</t>
  </si>
  <si>
    <t xml:space="preserve">ABEC Indonesia 9, 1040-1049, 2021 </t>
  </si>
  <si>
    <t>Yospet Pradika</t>
  </si>
  <si>
    <t>RANCANG BANGUN ALAT MONITORING KUALITAS UDARA BERBASIS NODEMCU ESP8266 (HARDWARE)</t>
  </si>
  <si>
    <t xml:space="preserve">ABEC Indonesia 9, 837-846, 2021 </t>
  </si>
  <si>
    <t>Raywanda Affandi Harahap</t>
  </si>
  <si>
    <t>Filter EMI Aktif menggunakan Op-Amp untuk Mereduksi Near-Field EMI pada PCB</t>
  </si>
  <si>
    <t xml:space="preserve">ABEC Indonesia 9, 847-856, 2021 </t>
  </si>
  <si>
    <t>Wahyudi Nasrianza1</t>
  </si>
  <si>
    <t>SISTEM MONITORING KUALITAS UDARA BERBASIS NODEMCU ESP8266 DENGAN METODE FUZZY LOGIC (SOFTWARE)</t>
  </si>
  <si>
    <t xml:space="preserve">ABEC Indonesia 9, 1050-1062, 2021 </t>
  </si>
  <si>
    <t>Diemas Ibnus Pasedja</t>
  </si>
  <si>
    <t>Pengaruh Ketebalan Material Terhadap Shielding effectiveness pada Frekuensi Rendah</t>
  </si>
  <si>
    <t xml:space="preserve">Jurnal Elektro dan Mesin Terapan 7 (2), 18-24, 2021 </t>
  </si>
  <si>
    <t>S4</t>
  </si>
  <si>
    <t>SINTA</t>
  </si>
  <si>
    <t>Prediksi Jarak Bola Pada Citra Kamera Katadioptrik Menggunakan Metode Artifical Neural Network</t>
  </si>
  <si>
    <t>ELKOMIKA: Jurnal Teknik Energi Elektrik, Teknik Telekomunikasi, &amp;amp; Teknik Elektronika</t>
  </si>
  <si>
    <t>S2</t>
  </si>
  <si>
    <t>ZENDI ZAKARIA RAGA PERMANA</t>
  </si>
  <si>
    <t>Universitas Dinamika</t>
  </si>
  <si>
    <t>TE</t>
  </si>
  <si>
    <t>IRA PUSPASARI</t>
  </si>
  <si>
    <t>A Systematic Review on the Autonomous Emergency Steering Assessments and Tests Methodology in ASEAN</t>
  </si>
  <si>
    <t xml:space="preserve">Journal of the Society of Automotive Engineers Malaysia 5 (2), 185-193, 2021 </t>
  </si>
  <si>
    <t>Jurnal ber-ISSN</t>
  </si>
  <si>
    <t>M.A.Abdul Rahman</t>
  </si>
  <si>
    <t>UTM</t>
  </si>
  <si>
    <t>A.Dwijotomo</t>
  </si>
  <si>
    <t>M.H.Mohammed Ariff</t>
  </si>
  <si>
    <t>N.Abu Husain</t>
  </si>
  <si>
    <t>Pengendali Tingkat Keasaman Air Kolam untuk Peternak Ikan Lele</t>
  </si>
  <si>
    <t xml:space="preserve">JMM (Jurnal Masyarakat Mandiri) 5 (6), 3135-3144, 2021 </t>
  </si>
  <si>
    <t>S3</t>
  </si>
  <si>
    <t>Mochammad Iskandar Riansyah</t>
  </si>
  <si>
    <t>Muhammad Dwi Hariyanto</t>
  </si>
  <si>
    <t>Anak Agung Kusuma Jaya Ningrat</t>
  </si>
  <si>
    <t>Jesica Febriani Nura</t>
  </si>
  <si>
    <t>KINERJA KARYAWAN (KONSEP PENILAIAN KINERJA DI PERUSAHAAN)</t>
  </si>
  <si>
    <t xml:space="preserve">CV WIDINA MEDIA UTAMA, 2021 </t>
  </si>
  <si>
    <t>Buku</t>
  </si>
  <si>
    <t>Hartini Hartini</t>
  </si>
  <si>
    <t>Alnisa Min Fadlillah</t>
  </si>
  <si>
    <t>Hetty Ismainar</t>
  </si>
  <si>
    <t>Retno Setyorini</t>
  </si>
  <si>
    <t>Ahmad Bairizki</t>
  </si>
  <si>
    <t>Afdol Muftiasa</t>
  </si>
  <si>
    <t>Kewirausahaan (Teori dan Praktis)</t>
  </si>
  <si>
    <t>Agus Alimuddin</t>
  </si>
  <si>
    <t>Adih Supriadi</t>
  </si>
  <si>
    <t>Ujang Enas</t>
  </si>
  <si>
    <t>Fauzan Aziz</t>
  </si>
  <si>
    <t>Komang Trisna Sari Dewi</t>
  </si>
  <si>
    <t>Nikmatul Khoiriyah</t>
  </si>
  <si>
    <t>Marketing Digital Usaha Mikro</t>
  </si>
  <si>
    <t>Rudy Irwansyah</t>
  </si>
  <si>
    <t>Danil Syahputra</t>
  </si>
  <si>
    <t>Supiah Ningsih</t>
  </si>
  <si>
    <t>Muhammad Hasan</t>
  </si>
  <si>
    <t>Lucky Nugroho</t>
  </si>
  <si>
    <t>Diana Triwardhani</t>
  </si>
  <si>
    <t>Pelatihan Dan Pendampingan Pemasaran Online Produk Nasi Tiwul Di Masa Pandemi Covid-19</t>
  </si>
  <si>
    <t xml:space="preserve">JMM (Jurnal Masyarakat Mandiri) 5 (4), 1681-1688, 2021 </t>
  </si>
  <si>
    <t>TI</t>
  </si>
  <si>
    <t>Muhammad Nasrullah</t>
  </si>
  <si>
    <t>SI</t>
  </si>
  <si>
    <t>Reza Arindra Fadillah</t>
  </si>
  <si>
    <t>Amanda Amalia</t>
  </si>
  <si>
    <t>PELATIHAN PENINGKATAN KEMAMPUAN MENGGUNAKAN MICROSOFT DYNAMICS 365 BUSINESS CENTRAL</t>
  </si>
  <si>
    <t xml:space="preserve">Prosiding Konferensi Nasional Pengabdian Kepada Masyarakat dan Corporate &amp;#8230;, 2021 </t>
  </si>
  <si>
    <t>Pengujian Black Box Menggunakan Teknik Equivalence Partitions Pada Aplikasi E-Learning Berbasis Web</t>
  </si>
  <si>
    <t xml:space="preserve">Building of Informatics, Technology and Science (BITS) 3 (3), 269-274, 2021 </t>
  </si>
  <si>
    <t>Salva Wanda Putri Hamidah</t>
  </si>
  <si>
    <t>PENGARUH KREATIVITAS DAN MOTIVASI TERHADAP KARAKTERISTIK KINERJA MANAJERIAL PT PAL INDONESIA (PERSERO) MENGGUNAKAN METODE GRAPHIC RATING SCALE</t>
  </si>
  <si>
    <t xml:space="preserve">Prosiding Seminar Nasional MIPATI 1 (1), 2021 </t>
  </si>
  <si>
    <t>Rosdiana Marpaung</t>
  </si>
  <si>
    <t>Sekolah Tinggi Ilmu Ekonomi Indonesia</t>
  </si>
  <si>
    <t>Dwi Mustika Kusumawardani</t>
  </si>
  <si>
    <t>ITTP</t>
  </si>
  <si>
    <t>EndorseGram: Interactive Visualization of Influencer Endorsement Marketplace</t>
  </si>
  <si>
    <t xml:space="preserve">2021 International Conference on Computer Science, Information Technology and Electrical Engineering (ICOMITEE), 2021 </t>
  </si>
  <si>
    <t>Mochamad Nizar Palefi Ma’Ady</t>
  </si>
  <si>
    <t>Shinta Amalia Kusuma Wardhani</t>
  </si>
  <si>
    <t>Universitas Nahdlatul Ulama Sunan Giri</t>
  </si>
  <si>
    <t>EFFECTIVE MANAGEMENT OF ONLINE LEARNING DURING PANDEMIC AT SDN 1 TANAH TINGGI</t>
  </si>
  <si>
    <t xml:space="preserve">PROGRES PENDIDIKAN 2 (2), 115-118, 2021 </t>
  </si>
  <si>
    <t>S5</t>
  </si>
  <si>
    <t>Ina Magdalena</t>
  </si>
  <si>
    <t>Universitas Muhammadiyah Tangerang</t>
  </si>
  <si>
    <t>Davina Dewi Hartana</t>
  </si>
  <si>
    <t>The Development of TRAM Model for Blockchain Use Readiness Among MSMEs in Indonesia</t>
  </si>
  <si>
    <t>Ninth International Conference on Entrepreneurship and Business Management (ICEBM 2020)</t>
  </si>
  <si>
    <t>Anita Juraida</t>
  </si>
  <si>
    <t>Universitas Widyatama</t>
  </si>
  <si>
    <t>Asep Anwar</t>
  </si>
  <si>
    <t>Readiness factor identification Bandung city MSMEs use blockchain technology</t>
  </si>
  <si>
    <t xml:space="preserve">Jurnal Sistem dan Manajemen Industri 5 (2), 53-62, 2021 </t>
  </si>
  <si>
    <t>Pembuatan Film Animasi Permainan Tradisional Anak-Anak Berbasis 3 Dimensi</t>
  </si>
  <si>
    <t xml:space="preserve">eProceeding of TIK 1 (1), 2021 </t>
  </si>
  <si>
    <t>Mursyidah</t>
  </si>
  <si>
    <t>Politeknik Negeri Lhokseumawe</t>
  </si>
  <si>
    <t>Muhammad Nasir</t>
  </si>
  <si>
    <t>PEMBUATAN WORKBENCH ERGONOMIS UNTUK MENDUKUNG AKTIVITAS PEMILAHAN, PENGEPRESAN, DAN PENGARUNGAN SAMPAH AIR MINUM DALAM KEMASAN DI KELURAHAN WONKUSUMO SURABAYA</t>
  </si>
  <si>
    <t xml:space="preserve">LOGISTA-Jurnal Ilmiah Pengabdian kepada Masyarakat 5 (2), 330-335, 2021 </t>
  </si>
  <si>
    <t>Hendrawan Widianto</t>
  </si>
  <si>
    <t>MENGGAGAS MEJA DIGITAL PRIBADI (DIGITALLY PERSONALIZED DESKS) UNTUK ANAK USIA DINI DALAM SISTEM PEMBELAJARAN</t>
  </si>
  <si>
    <t xml:space="preserve">Lomba Karya Tulis Ilmiah 2 (1), 109-114, 2021 </t>
  </si>
  <si>
    <t>Jurnal tidak ber-ISSN</t>
  </si>
  <si>
    <t>Amarrangga Kumara Prada</t>
  </si>
  <si>
    <t>Iftitah Kurnia</t>
  </si>
  <si>
    <t>Mohammad Robi Maulana</t>
  </si>
  <si>
    <t>Fuzzy Gain Scheduling for Cascaded PI-Control for DC Motor</t>
  </si>
  <si>
    <t xml:space="preserve">2021 IEEE Conference on Energy Conversion (CENCON), 158-162, 2021 </t>
  </si>
  <si>
    <t>Deany Putri Aulia</t>
  </si>
  <si>
    <t>Universitas Pertamina</t>
  </si>
  <si>
    <t>Alfiyah Shaldzabila Yustin</t>
  </si>
  <si>
    <t>Amien Marzuq Hilman</t>
  </si>
  <si>
    <t>Eng Wahyu Kunto Wibowo</t>
  </si>
  <si>
    <t>Rancang Bangun Sistem Alat Fototerapi Untuk Bayi Hiperbilirubinemia Berbasis Internet Of Things (IoT)</t>
  </si>
  <si>
    <t xml:space="preserve">Kilat 11 (2), 111-188, 2022 </t>
  </si>
  <si>
    <t>Annida Sakinah Ramadhani</t>
  </si>
  <si>
    <t>Herminarto Nugroho</t>
  </si>
  <si>
    <t>Implementasi Virtual Reality Berbasis Foto 360o Untuk Memvisualisasikan Fasilitas Perguruan Tinggi Surabaya</t>
  </si>
  <si>
    <t xml:space="preserve">Jurnal RESTI (Rekayasa Sistem Dan Teknologi Informasi) 5 (1), 155-162, 2021 </t>
  </si>
  <si>
    <t>Nadiah Ratnaduhita</t>
  </si>
  <si>
    <t>Ian Mahendra Putra</t>
  </si>
  <si>
    <t>Modeling of salt supply chains to achieve competitive salt prices</t>
  </si>
  <si>
    <t xml:space="preserve">International Journal on Food System Dynamics 12 (1), 51-67, 2021 </t>
  </si>
  <si>
    <t>Q2</t>
  </si>
  <si>
    <t>Isnaini Muhandhis</t>
  </si>
  <si>
    <t>Universitas Wijaya Putra</t>
  </si>
  <si>
    <t>Budisantoso Wirjodirdjo</t>
  </si>
  <si>
    <t>ITS</t>
  </si>
  <si>
    <t>Erma Suryani</t>
  </si>
  <si>
    <t>Heri Susanto</t>
  </si>
  <si>
    <t>System Dynamic Framework: Increasing Productivity Of Sugarcane To Support Sustainable Cultivation</t>
  </si>
  <si>
    <t xml:space="preserve">Sustainability in Food and Agriculture (SFNA) 2 (2), 105-109, 2021 </t>
  </si>
  <si>
    <t>3D Virtual prototyping dalam Perbaikan Desain Fasilitas Tempat Kerja: Studi Kasus CV. XYZ</t>
  </si>
  <si>
    <t xml:space="preserve">Jurnal IPTEK 25 (1), 69-76, 2021 </t>
  </si>
  <si>
    <t>Shanggabuana Adhitya Shamaradewa</t>
  </si>
  <si>
    <t>Gagas Putra Dawangga</t>
  </si>
  <si>
    <t>Faktor yang Mempengaruhi Implementasi Green Human Resource Management pada Ormawa: Model Konseptual: Indonesia</t>
  </si>
  <si>
    <t xml:space="preserve">Journal of Advances in Information and Industrial Technology 3 (1), 11-18, 2021 </t>
  </si>
  <si>
    <t>Moch. Yusuf Fathussalam</t>
  </si>
  <si>
    <t>I G Ag Kom Agnam M</t>
  </si>
  <si>
    <t>Irene Dyah Ayuwati</t>
  </si>
  <si>
    <t>Desy Fitri A. L.</t>
  </si>
  <si>
    <t>Yuniar Revi A. L</t>
  </si>
  <si>
    <t>Geraldo Brata Hiroshi P.</t>
  </si>
  <si>
    <t>Pengaruh Pelatihan dan Pengembangan SDM Pada ABA Collection Terhadap Kinerja Pegawai Menggunakan Metode Regresi Linear Berganda</t>
  </si>
  <si>
    <t xml:space="preserve">Journal of Advances in Information and Industrial Technology 3 (1), 19-30, 2021 </t>
  </si>
  <si>
    <t>Rio Armando</t>
  </si>
  <si>
    <t>Salsabila Qatrunnada</t>
  </si>
  <si>
    <t>Tanang Satriyo Adi</t>
  </si>
  <si>
    <t>Tanfirul Roibafi</t>
  </si>
  <si>
    <t>Wan Azizah Sri Nuraini</t>
  </si>
  <si>
    <t>INOVASI KINERJA PRODUKSI KOPI UNTUK MENINGKATKAN KEUNTUNGAN MELALUI KEGIATAN PENGABDIAN MASYARAKAT KE UKM KOPI ARABICA TRADISIONAL</t>
  </si>
  <si>
    <t xml:space="preserve">Prosiding Seminar Nasional &amp;amp; Call for Paper&amp;quot; Peran Perempuan Sebagai &amp;#8230;, 2021 </t>
  </si>
  <si>
    <t>Imam Kholik</t>
  </si>
  <si>
    <t>Edge Computing Based Pickup and Delivery Optimization for Warehouse</t>
  </si>
  <si>
    <t xml:space="preserve">KICS Winter Conference 2021, 323-324, 2021 </t>
  </si>
  <si>
    <t>IT</t>
  </si>
  <si>
    <t>Jae-Woo Kim</t>
  </si>
  <si>
    <t>Kumoh National Institute of Technology</t>
  </si>
  <si>
    <t>Jae Min Lee</t>
  </si>
  <si>
    <t>Dong-Seong Kim</t>
  </si>
  <si>
    <t>Dynamic VRP optimization using discrete PSO in edge computing environment</t>
  </si>
  <si>
    <t xml:space="preserve">2021 International Conference on Information and Communication Technology Convergence (ICTC);, 2021 </t>
  </si>
  <si>
    <t>Yohana Jayanti Aruan</t>
  </si>
  <si>
    <t>The design of the emerging 5g using hybrid gpon and xgs-pon technology</t>
  </si>
  <si>
    <t xml:space="preserve">2022 International Conference on Information and Communication Technology Convergence (ICTC);, 2021 </t>
  </si>
  <si>
    <t>Gabriel Avelino Ramos Sampedro</t>
  </si>
  <si>
    <t>Battery Insulation Performance Analysis in Electric Vehicles for the Improvement of Battery Lifetime</t>
  </si>
  <si>
    <t xml:space="preserve">Jurnal Ilmiah Teknik Elektro Komputer dan Informatika (JITEKI) 7 (3), 412-422, 2021 </t>
  </si>
  <si>
    <t xml:space="preserve">Lora Khaula Amifia </t>
  </si>
  <si>
    <t>Nuansa Dipa Bismoko</t>
  </si>
  <si>
    <t>PT. Telekomunikasi Seluler</t>
  </si>
  <si>
    <t>Prediction Point of Fault Location on Its Campus Power Grid by using Neural Artificial Method</t>
  </si>
  <si>
    <t xml:space="preserve">IOP Conference Series: Materials Science and Engineering 1096 (1), 012068, 2021 </t>
  </si>
  <si>
    <t>A Syamsudin</t>
  </si>
  <si>
    <t>D Rahmatullah</t>
  </si>
  <si>
    <t>Universitas Hang Tuah</t>
  </si>
  <si>
    <t>D A Asfani</t>
  </si>
  <si>
    <t>I M Y Negara</t>
  </si>
  <si>
    <t>Upaya Peningkatan Kualitas Pendidikan melalui Penerapan ICT di Sekolah Menengah Atas</t>
  </si>
  <si>
    <t xml:space="preserve">E-Dimas: Jurnal Pengabdian kepada Masyarakat 12 (2), 329-334, 2021 </t>
  </si>
  <si>
    <t>Development of Digital Ventilator with Internet of Things for Preparation of the Next Outbreak in Indonesia</t>
  </si>
  <si>
    <t xml:space="preserve">Kinetik: Game Technology, Information System, Computer Network, Computing &amp;#8230;, 2021 </t>
  </si>
  <si>
    <t>Fauzan Rasyid</t>
  </si>
  <si>
    <t>Modified Critical Trajectory Algorithm to Determine the Critical Clearing Time for Unbalanced Fault</t>
  </si>
  <si>
    <t xml:space="preserve">2021 International Electronics Symposium (IES), 36-40, 2021 </t>
  </si>
  <si>
    <t>Ardyono Priyadi</t>
  </si>
  <si>
    <t>Margo Pujiantara</t>
  </si>
  <si>
    <t>Sjamsjul Anam</t>
  </si>
  <si>
    <t>Naoto Yorino</t>
  </si>
  <si>
    <t>Hiroshima University</t>
  </si>
  <si>
    <t>Mauridhi Hery Purnomo</t>
  </si>
  <si>
    <t>Power Monitoring and Passanger Classification on Logistics Elevator</t>
  </si>
  <si>
    <t xml:space="preserve">Elinvo (Electronics, Informatics, and Vocational Education) 6 (2), 2021 </t>
  </si>
  <si>
    <t>Aldhitiansyah Putra</t>
  </si>
  <si>
    <t>Rifky Dwi Putranto</t>
  </si>
  <si>
    <t>Rafly Daffaldi</t>
  </si>
  <si>
    <t>Dinda Karisma Ulfa</t>
  </si>
  <si>
    <t>5G Network as a Technology to Fight Covid-19 Pan-demic in Indonesia: a Review</t>
  </si>
  <si>
    <t xml:space="preserve">Journal of Computer, Electronic, and Telecommunication (COMPLETE) 2 (2), 2021 </t>
  </si>
  <si>
    <t>Hamzah U. Mustakim</t>
  </si>
  <si>
    <t>TT</t>
  </si>
  <si>
    <t>Ulcerative colitis in hemophilia a patient: case report</t>
  </si>
  <si>
    <t xml:space="preserve">Materia Socio-medica 33 (1), 75, 2021 </t>
  </si>
  <si>
    <t>Fauzi Yusuf</t>
  </si>
  <si>
    <t>Universitas Syiah Kuala</t>
  </si>
  <si>
    <t>Reno Keumalazia Kamarlis</t>
  </si>
  <si>
    <t>Alterations of Gut Microbiota Composition in Severe Acute Respiratory Syndrome Coronavirus 2 Infection: A Brief Review</t>
  </si>
  <si>
    <t xml:space="preserve">Annals of the Romanian Society for Cell Biology 25 (6), 13136-13143, 2021 </t>
  </si>
  <si>
    <t>Q4</t>
  </si>
  <si>
    <t>Azzaki Abubakar</t>
  </si>
  <si>
    <t>Desi Maghfirah</t>
  </si>
  <si>
    <t>Marhami Fahriani</t>
  </si>
  <si>
    <t>Muhammad Iqhrammullah</t>
  </si>
  <si>
    <t>Anxiety to COVID-19 pandemic amongst university students is related with gastrointestinal symptoms</t>
  </si>
  <si>
    <t xml:space="preserve">Bali Medical Journal 10 (2), 847-850, 2021 </t>
  </si>
  <si>
    <t>Muhammad Fadhlan Ma'ruf</t>
  </si>
  <si>
    <t>Muhammad Mizfaruddin</t>
  </si>
  <si>
    <t>Implementasi Process Mining pada Proses Praktik Kerja Lapangan (PKL)</t>
  </si>
  <si>
    <t xml:space="preserve">Techno. Com 20 (4), 579-587, 2021 </t>
  </si>
  <si>
    <t>Afina Lina Nurlaili</t>
  </si>
  <si>
    <t>UPN Veteran Jatim</t>
  </si>
  <si>
    <t>Eristya Maya Safitri</t>
  </si>
  <si>
    <t>Performance Evaluation of Inductive Miner for Internship Program Workflow</t>
  </si>
  <si>
    <t xml:space="preserve">Jurnal Mantik 5 (3), 1619-1624, 2021 </t>
  </si>
  <si>
    <t>Dhian Satria Yudha Kartika</t>
  </si>
  <si>
    <t>Analisis Desain Eksperimen Perbandingan Aplikasi Pencarian Lokasi</t>
  </si>
  <si>
    <t xml:space="preserve">Scan: Jurnal Teknologi Informasi dan Komunikasi 16 (2), 29-33, 2021 </t>
  </si>
  <si>
    <t>Mochammad Arief Ridwan</t>
  </si>
  <si>
    <t>Sectoral dual-polarized MIMO antenna for 5G-NR band N77 base station</t>
  </si>
  <si>
    <t xml:space="preserve">Indonesian Journal of Electrical Engineering and Computer Sciences 21 (3), 2021 </t>
  </si>
  <si>
    <t>Aulia Saharani</t>
  </si>
  <si>
    <t>Indah Rahmawati Utami</t>
  </si>
  <si>
    <t>Anomaly detection using control flow pattern and fuzzy regression in port container handling</t>
  </si>
  <si>
    <t xml:space="preserve">Journal of King Saud University-Computer and Information Sciences 33 (1), 11-20, 2021 </t>
  </si>
  <si>
    <t>Q1</t>
  </si>
  <si>
    <t>Dewi Rahmawati</t>
  </si>
  <si>
    <t>Riyanarto Sarno</t>
  </si>
  <si>
    <t>A New Hybrid Region-Based Segmentation for 2D Corpus Callosum Segmentation</t>
  </si>
  <si>
    <t xml:space="preserve">2021 5th International Conference on Informatics and Computational Sciences &amp;#8230;, 2021 </t>
  </si>
  <si>
    <t>Chastine Fatichah</t>
  </si>
  <si>
    <t>Intelligent System for Fall Prediction Based on Accelerometer and Gyroscope of Fatal Injury in Geriatric</t>
  </si>
  <si>
    <t xml:space="preserve">JURNAL NASIONAL TEKNIK ELEKTRO, 2021 </t>
  </si>
  <si>
    <t>Desain Arsitektur IoT untuk Budidaya Gurami</t>
  </si>
  <si>
    <t xml:space="preserve">Jurnal Teknologi Informasi dan Ilmu Komputer 8 (1), 111-118, 2021 </t>
  </si>
  <si>
    <t>Polyaniline-atomic Au modified platinum electrode with ionic liquid as configuration for enhanced electrochemical sensing</t>
  </si>
  <si>
    <t xml:space="preserve">2021 IEEE Sensors, 1-4, 2021 </t>
  </si>
  <si>
    <t>Parthojit Chakraborty</t>
  </si>
  <si>
    <t>Tokyo Institute of Technology</t>
  </si>
  <si>
    <t>Hiroki Kawakami</t>
  </si>
  <si>
    <t>Tso-Fu Mark Chang</t>
  </si>
  <si>
    <t>Masato Sone</t>
  </si>
  <si>
    <t>Takamichi Nakamoto</t>
  </si>
  <si>
    <t>Study of gas sensing measurement using room temperature ionic liquid coated on interdigitated array electrodes and quartz crystal microbalance</t>
  </si>
  <si>
    <t>「センサ・マイクロマシンと応用システム」 シンポジウム論文集 電気学会センサ・マイクロマシン部門 [編] 38 (2021)</t>
  </si>
  <si>
    <t>Unmanned Aerial Vehicle Robot untuk Pemadam Api dengan Rancangan Alat Pemadam yang Efisien</t>
  </si>
  <si>
    <t>Jurnal Nasional Teknik Elektro</t>
  </si>
  <si>
    <t>Ahmad Habibi</t>
  </si>
  <si>
    <t>Customer rejection to guide lead time quotation and pricing decisions</t>
  </si>
  <si>
    <t xml:space="preserve">Journal of the Operational Research Society 72 (6), 1358-1372, 2021 </t>
  </si>
  <si>
    <t>Ramzi Hammami</t>
  </si>
  <si>
    <t>Rennes School of Business</t>
  </si>
  <si>
    <t>Yannick Frein</t>
  </si>
  <si>
    <t>University of Grenoble Alpes</t>
  </si>
  <si>
    <t>PENGARUH PEMBELAJARAN DIGITAL DENGAN MODEL BLANDED POE2WE BAGI SISWA/MAHASISWA</t>
  </si>
  <si>
    <t xml:space="preserve">Lomba Karya Tulis Ilmiah 2 (1), 139-148, 2021 </t>
  </si>
  <si>
    <t>Yesika Purba</t>
  </si>
  <si>
    <t>Nur Rizki Madani</t>
  </si>
  <si>
    <t>Farrel Abednego Darea</t>
  </si>
  <si>
    <t>A Parallel Permutation Flow-Shop Scheduling Model by Using a Two-Step Evolutionary Algorithm to Minimize Intermediate Storage with Tolerable Maximum Completion Time</t>
  </si>
  <si>
    <t xml:space="preserve">International Journal of Intelligent Engineering and Systems 14 (6), 464-475, 2021 </t>
  </si>
  <si>
    <t>Purba Daru Kusuma</t>
  </si>
  <si>
    <t>Universitas Telkom</t>
  </si>
  <si>
    <t>University course timetabling model in joint courses program to minimize the number of unserved requests</t>
  </si>
  <si>
    <t xml:space="preserve">International Journal of Advanced Computer Science and Applications 12 (10), 2021 </t>
  </si>
  <si>
    <t>Q3</t>
  </si>
  <si>
    <t>An improved spectral temporal average method for mitigating Doppler effects in V2V communications</t>
  </si>
  <si>
    <t xml:space="preserve">International Journal of Vehicle Information and Communication Systems 6 (3 &amp;#8230;, 2021 </t>
  </si>
  <si>
    <t>Wahyu Pamungkas</t>
  </si>
  <si>
    <t>Jans Hendry</t>
  </si>
  <si>
    <t>UGM</t>
  </si>
  <si>
    <t>Implementation of Importance-Performance Analysis on Integrated Information System Institut Teknologi Telkom Purwokerto</t>
  </si>
  <si>
    <t xml:space="preserve">Jurnal Ilmiah Teknik Industri 20 (2), 184-194, 2021 </t>
  </si>
  <si>
    <t>Dina Rachmawaty</t>
  </si>
  <si>
    <t>Famila Dwi Winati</t>
  </si>
  <si>
    <t>USABILITY TESTING OF THE ONLINE PLATFORM FOR SELLING FOODSTUFFS IN INDONESIA</t>
  </si>
  <si>
    <t xml:space="preserve">Journal of Industrial Engineering Management 6 (3), 183-193, 2021 </t>
  </si>
  <si>
    <t>Adek Dhea Resmi Purbantari</t>
  </si>
  <si>
    <t>Analysis of EMG Signals during Stance and Swing Phases for Controlling Magnetorheological Brake applications</t>
  </si>
  <si>
    <t xml:space="preserve">Open Engineering 11 (1), 112-119, 2021 </t>
  </si>
  <si>
    <t>Nurhazimah Nazmi</t>
  </si>
  <si>
    <t>Malaysia-Japan International Institute of Technology</t>
  </si>
  <si>
    <t>Malaysia-Japan International Institute of Technolog</t>
  </si>
  <si>
    <t>Mohd Azizi Abdul Rahman</t>
  </si>
  <si>
    <t>Saiful Amri Mazlan</t>
  </si>
  <si>
    <t>Irfan Bahiuddin</t>
  </si>
  <si>
    <t>Muhammad Kashfi Shabdin</t>
  </si>
  <si>
    <t>Nurul Afifah Abdul Razak, Mohd Hatta Mohammed Ariff</t>
  </si>
  <si>
    <t>Sensor number optimization using neural network for ankle foot orthosis equipped with magnetorheological brake</t>
  </si>
  <si>
    <t xml:space="preserve">Open Engineering 11 (1), 91-101, 2021 </t>
  </si>
  <si>
    <t>Personalized Gait Treatment Using Passive Controllable Ankle Foot Orthosis</t>
  </si>
  <si>
    <t xml:space="preserve">IOP Conference Series: Materials Science and Engineering 1096 (1), 012002, 2021 </t>
  </si>
  <si>
    <t>IMPLEMENTASI KAHOOT! DALAM MENUNJANG PEMBELAJARAN DARING INTERAKTIF</t>
  </si>
  <si>
    <t xml:space="preserve">Lomba Karya Tulis Ilmiah 2 (1), 123-138, 2021 </t>
  </si>
  <si>
    <t>Muhammad Nasrulloh Mubarak</t>
  </si>
  <si>
    <t>Simplified Walking Simulation for Tuning a Passive Controllable Ankle Foot Orthosis</t>
  </si>
  <si>
    <t>Dasar Pemrograman Dalam Bahasa C</t>
  </si>
  <si>
    <t xml:space="preserve">Deepublish, 2021 </t>
  </si>
  <si>
    <t>Undergraduate Thesis System Information Service Evaluation Using UTAUT–5 Factors Based Chatbot</t>
  </si>
  <si>
    <t>2021 International Seminar on Application for Technology of Information and Communication (iSemantic)</t>
  </si>
  <si>
    <t>Septian Enggar Sukmana</t>
  </si>
  <si>
    <t>Politeknik Negeri Malang</t>
  </si>
  <si>
    <t>Rokhimatul Wakhidah</t>
  </si>
  <si>
    <t>Putri Khoirin Nashiroh</t>
  </si>
  <si>
    <t>Universitas Negeri Semarang</t>
  </si>
  <si>
    <t>A Study of Conveyor System with UV Light for Vegetable and Fruit Sterilization for Farmer</t>
  </si>
  <si>
    <t xml:space="preserve">2021 International Conference on Computer Science, Information Technology &amp;#8230;, 2021 </t>
  </si>
  <si>
    <t>Wiranti Maharani</t>
  </si>
  <si>
    <t>Riska Aprilia</t>
  </si>
  <si>
    <t>Mochammad Rafi Adityawarman</t>
  </si>
  <si>
    <t>ANALISIS KONTEN PEMBELAJARAN DIGITAL UNTUK MENGUKUR TINGKAT INTERAKSI DAN PEMAHAMAN MAHASISWA</t>
  </si>
  <si>
    <t xml:space="preserve">Lomba Karya Tulis Ilmiah 2 (1), 115-122, 2021 </t>
  </si>
  <si>
    <t>Muhammad Bayu Prasetyo</t>
  </si>
  <si>
    <t>Adrianus Satria Pinandita</t>
  </si>
  <si>
    <t>Yakfi Zamzami Achmad</t>
  </si>
  <si>
    <t>Penerapan System Thinking Untuk Peningkatan Branding dan Optimalisasi Manajemen Usaha Pada UKM Handy Craft Az-Zahra</t>
  </si>
  <si>
    <t>Arda Erico Yuda</t>
  </si>
  <si>
    <t>IF</t>
  </si>
  <si>
    <t>An Inventory Policy On Agroindustry Supply Chain: A Case Study Of Fruit Seasonal In East Java</t>
  </si>
  <si>
    <t xml:space="preserve">Food &amp;amp; Agribusiness Management (FABM) 2 (2), 46-50, 2021 </t>
  </si>
  <si>
    <t>A CONCEPTUAL DESIGN OF WASTE MANAGEMENT: SMART BIN DEPLOYMENT IN SURABAYA SMART CITY</t>
  </si>
  <si>
    <t>Acta Mechanica Malaysia</t>
  </si>
  <si>
    <t>PERLUASAN PLATFORM E-LEARNING UNTUK MENUNJANG PEMBELAJARAN DI DAERAH TERPENCIL</t>
  </si>
  <si>
    <t xml:space="preserve">Lomba Karya Tulis Ilmiah 2 (1), 99-108, 2021 </t>
  </si>
  <si>
    <t>Rafi Juniar Saputra</t>
  </si>
  <si>
    <t>Asri Kartika Dewi</t>
  </si>
  <si>
    <t>Era Anzha Naelil Munna</t>
  </si>
  <si>
    <t>Notifikasi Real-time Pada Sistem Nurse Call Nirkabel Berbasis Zigbee Menggunakan Protokol WebSocket</t>
  </si>
  <si>
    <t xml:space="preserve">SYSTEMIC (Information System and Informatic Journal) 7 (1), 49-54, 2021 </t>
  </si>
  <si>
    <t>A Study of Human State Pattern Acquisition Method for Partner Robots</t>
  </si>
  <si>
    <t xml:space="preserve">2021 International Symposium on Micro-NanoMehatronics and Human Science (MHS &amp;#8230;, 2021 </t>
  </si>
  <si>
    <t>Nao Yamada</t>
  </si>
  <si>
    <t>Tokyo Metropolitan University</t>
  </si>
  <si>
    <t>Yani Mohamad</t>
  </si>
  <si>
    <t>Naoyuki Kubota</t>
  </si>
  <si>
    <t>Gradient-Free Deep Q-Networks Reinforcement learning: Benchmark and Evaluation</t>
  </si>
  <si>
    <t xml:space="preserve">2021 IEEE Symposium Series on Computational Intelligence (SSCI), 1-5, 2021 </t>
  </si>
  <si>
    <t>Fernando Ardilla</t>
  </si>
  <si>
    <t>PENS</t>
  </si>
  <si>
    <t>Azhar Aulia Saputra</t>
  </si>
  <si>
    <t>Deep Convolutional Networks with Genetic Algorithm for Reinforcement Learning Problem</t>
  </si>
  <si>
    <t xml:space="preserve">The 7th International Workshop on Advanced Computational Intelligence and &amp;#8230;, 2021 </t>
  </si>
  <si>
    <t>Pengembangan Sistem Penukaran Tiket Suroboyo Bus Melalui Digitalisasi Pencatatan Penukaran Sampah Berbasis Android</t>
  </si>
  <si>
    <t xml:space="preserve">JEPIN (Jurnal Edukasi dan Penelitian Informatika) 7 (1), 100-105, 2021 </t>
  </si>
  <si>
    <t>Auldy Ansya Rullah</t>
  </si>
  <si>
    <t>CARITA: PENDIDIKAN KARAKTER ANAK USIA DINI MELALUI SERIAL WEBTOON INTERAKTIF</t>
  </si>
  <si>
    <t xml:space="preserve">Lomba Karya Tulis Ilmiah 2 (1), 177-190, 2021 </t>
  </si>
  <si>
    <t>Berliana Amelia Aryanti Zain</t>
  </si>
  <si>
    <t>Alfito De Vaga Mayavanny</t>
  </si>
  <si>
    <t>Muhammad Ma`'sum Juniyanto</t>
  </si>
  <si>
    <t>Implementation of dosimetry protocol for radionuclide therapy in Indonesia: Collaborative works in nuclear medicine</t>
  </si>
  <si>
    <t xml:space="preserve">AIP Conference Proceedings 2346 (1), 030007, 2021 </t>
  </si>
  <si>
    <t>N. R. Hidayati</t>
  </si>
  <si>
    <t>Center for Technology of Radiation Safety and Metrology</t>
  </si>
  <si>
    <t>W. Mailana</t>
  </si>
  <si>
    <t>A. R. Dewi</t>
  </si>
  <si>
    <t>Dharmais National Cancer Hospital</t>
  </si>
  <si>
    <t>E. Rosilawaty</t>
  </si>
  <si>
    <t>Hasan Sadikin General Hospital</t>
  </si>
  <si>
    <t>R. Shintawati
H. Budiawan
A. H. S. Kartamihardja
I. A. S. Mu'minah</t>
  </si>
  <si>
    <t>Hasan Sadikin General Hospital
Hasan Sadikin General Hospital
Hasan Sadikin General Hospital
Universitas Indonesia Depok</t>
  </si>
  <si>
    <t>Sidelobe level suppression and scan-loss compensation in a wide-angular scanning linear array using subarrays amplitude control</t>
  </si>
  <si>
    <t xml:space="preserve">2020 50th European Microwave Conference (EuMC), 352-355, 2021 </t>
  </si>
  <si>
    <t>Fannush S. Akbar</t>
  </si>
  <si>
    <t>Leo Ligthart</t>
  </si>
  <si>
    <t>Delft University of Technology</t>
  </si>
  <si>
    <t>Gamantyo Hendrantoro</t>
  </si>
  <si>
    <t>Ioan E. Lager</t>
  </si>
  <si>
    <t>Linear Array Thinning with Cavity backed U-slot Patch Antenna using Genetic Algorithm</t>
  </si>
  <si>
    <t xml:space="preserve">Journal of Science and Applicative Technology 5 (1), 9-16, 2021 </t>
  </si>
  <si>
    <t>Novalia Pertiwi</t>
  </si>
  <si>
    <t>nstitut Teknologi Sumatera</t>
  </si>
  <si>
    <t>Institut Teknologi Sumatera</t>
  </si>
  <si>
    <t>Eko Setijadi</t>
  </si>
  <si>
    <t>A Toolbox of Subarrays for Optimizing Wide-Angular Scanning Arrays Using Trade-Offs Between Scan Loss and Side Lobe Level</t>
  </si>
  <si>
    <t xml:space="preserve">IEEE Access 9, 16337-16359, 2021 </t>
  </si>
  <si>
    <t>The Use Of Subarrays In Sparse Phased Array Antenna For Wide-Angular Scanning Radar Applications</t>
  </si>
  <si>
    <t xml:space="preserve">Institut Teknologi Sepuluh Nopember, 2021 </t>
  </si>
  <si>
    <t>Doctoral Thesis</t>
  </si>
  <si>
    <t>Dampak Pandemi Covid-19 Terhadap Pengangguran Di Indonesia</t>
  </si>
  <si>
    <t xml:space="preserve">JISIP (Jurnal Ilmu Sosial dan Pendidikan) 5 (4), 2021 </t>
  </si>
  <si>
    <t>Verina Ruth Krisnandika</t>
  </si>
  <si>
    <t>Sekolah Tinggi Media Nusantara Citra</t>
  </si>
  <si>
    <t>DB</t>
  </si>
  <si>
    <t>Luluul Jannah</t>
  </si>
  <si>
    <t>Pengaruh Covid-19 Terhadap Perekonomian Di Negara Asean</t>
  </si>
  <si>
    <t xml:space="preserve">JISIP (Jurnal Ilmu Sosial Dan Pendidikan) 5 (3), 2021 </t>
  </si>
  <si>
    <t>Azzahra Aulia Dewi</t>
  </si>
  <si>
    <t>Kurnia Indah Sumunar</t>
  </si>
  <si>
    <t>Erni Hernawati</t>
  </si>
  <si>
    <t>Pengaruh Female Independent Directors dan Family Ownership terhadap Financial Reporting Quality dengan Financial Irregulaties sebagai Variabel Moderasi</t>
  </si>
  <si>
    <t>Pengaruh Female Tainted Director Terhadap Biaya Audit dan Kualitas Laporan Keuangan dengan Variabel Moderasi Political Connection</t>
  </si>
  <si>
    <t>Budi S. Kramadibrata</t>
  </si>
  <si>
    <t>Rizal Kamsurya</t>
  </si>
  <si>
    <t>Sekolah Tinggi Ilmu Keguruan dan Ilmu Pendidikan Media Nusantara Citra</t>
  </si>
  <si>
    <t>Dampak Financial Technology (Fintech) Dan Intellectual Capital Terhadap Kinerja Keuangan Perbankan Komersial di Indonesia</t>
  </si>
  <si>
    <t xml:space="preserve">SEIKO: Journal of Management &amp;amp; Business 4 (2), 198-202, 2021 </t>
  </si>
  <si>
    <t>Muhammad Fauzan Tanjung</t>
  </si>
  <si>
    <t>Kegiatan Pengabdian Masyarakat IT Telkom Purwokerto Berupa Optimasi Produk Kopi Di Desa Melung Pasca Pandemi Corona Virus Disease (COVID-19)</t>
  </si>
  <si>
    <t xml:space="preserve">Magistrorum et Scholarium: Jurnal Pengabdian Masyarakat 1 (3), 347-360, 2021 </t>
  </si>
  <si>
    <t>Kholidiyah Masykuroh</t>
  </si>
  <si>
    <t>Nanda Iryani</t>
  </si>
  <si>
    <t>Sarah Astiti</t>
  </si>
  <si>
    <t>Prototype smart door lock by using wireless network based on arduino uno</t>
  </si>
  <si>
    <t xml:space="preserve">2021 IEEE International Conference on Communication, Networks and Satellite &amp;#8230;, 2021 </t>
  </si>
  <si>
    <t>Fikra Titan Syifa</t>
  </si>
  <si>
    <t>Gatot Rizky Setiyanto</t>
  </si>
  <si>
    <t>Afifah Dwi Ramadhani</t>
  </si>
  <si>
    <t>Danny Kurnianto</t>
  </si>
  <si>
    <t>Analisis Performansi Routing OSPF menggunakan RYU Controller dan POX Controller pada Software Defined Networking</t>
  </si>
  <si>
    <t xml:space="preserve">InComTech: Jurnal Telekomunikasi dan Komputer 11 (1), 73-84, 2021 </t>
  </si>
  <si>
    <t>Mayang Karmila Sari</t>
  </si>
  <si>
    <t>Analisis Performansi Dynamic Multipoint Virtual Private Network pada Routing Protocol BGP dengan FRRouting. 6 (1)</t>
  </si>
  <si>
    <t>JTERA (Jurnal Teknologi Rekayasa), 6(1), 61-66</t>
  </si>
  <si>
    <t>Dyas Dendi Andika</t>
  </si>
  <si>
    <t>Analisis Perbandingan Performansi Eksternal Border Gateway Protocol (EBGP) pada Jaringan Konvensional dan Jaringan Software Defined Network</t>
  </si>
  <si>
    <t xml:space="preserve">RESISTOR (Elektronika Kendali Telekomunikasi Tenaga Listrik Komputer) 4 (2 &amp;#8230;, 2021 </t>
  </si>
  <si>
    <t>Lu’lu’ Hasna’ Mahdiyah</t>
  </si>
  <si>
    <t>Jafaruddin Gusti Amri Ginting</t>
  </si>
  <si>
    <t>Analisis Qos dan Qoe Pada Video Pembelajaran Online di Institut Teknologi Telkom Purwokerto (ITTP)</t>
  </si>
  <si>
    <t xml:space="preserve">Jurnal Ilmiah Teknik Elektro 23 (2), 40-47, 2021 </t>
  </si>
  <si>
    <t>Implementasi Dynamic Multipoint Virtual Private Network Dual Hub</t>
  </si>
  <si>
    <t xml:space="preserve">InComTech: Jurnal Telekomunikasi dan Komputer 11 (2), 118-129, 2021 </t>
  </si>
  <si>
    <t>Analisis Performansi Dynamic Multipoint Virtual Private Network pada Routing Protocol BGP dengan FRRouting</t>
  </si>
  <si>
    <t xml:space="preserve">JTERA (Jurnal Teknologi Rekayasa) 6 (1), 61-66, 2021 </t>
  </si>
  <si>
    <t>Requirement Engineering terhadap Virtual Team pada Proyek Software Engineering</t>
  </si>
  <si>
    <t xml:space="preserve">Journal of Advances in Information and Industrial Technology 3 (1), 1-10, 2021 </t>
  </si>
  <si>
    <t>Nisa Dwi Angresti</t>
  </si>
  <si>
    <t>Politeknik Negeri Padang</t>
  </si>
  <si>
    <t>Sayekti Harits Suryawan</t>
  </si>
  <si>
    <t>Universitas Muhammadiyah Kalimantan Timur</t>
  </si>
  <si>
    <t>Faizal Mahananto</t>
  </si>
  <si>
    <t>Perancangan Data Warehouse untuk Profiling Data Pelanggan pada Bidang Telekomunikasi</t>
  </si>
  <si>
    <t xml:space="preserve">Journal of Advances in Information and Industrial Technology 3 (2), 19-30, 2021 </t>
  </si>
  <si>
    <t>SOSIALISASI PENGGUNAAN FINGER PRINT PADA SEKOLAH AUTIS DI KOTA SURABAYA</t>
  </si>
  <si>
    <t xml:space="preserve">JMM (Jurnal Masyarakat Mandiri) 5 (5), 2779-2789, 2021 </t>
  </si>
  <si>
    <t>Anfazul F Azizah</t>
  </si>
  <si>
    <t>Nabilah Monica Hidayat</t>
  </si>
  <si>
    <t>The improved security system in smart wheelchairs for detecting stair descent using image analysis</t>
  </si>
  <si>
    <t>2021 10th International Conference on Software and Computer Applications </t>
  </si>
  <si>
    <t>Fitri Utaminingrum</t>
  </si>
  <si>
    <t>Universitas Brawijaya</t>
  </si>
  <si>
    <t>Yuita Arum Sari</t>
  </si>
  <si>
    <t>I Komang Somawirata</t>
  </si>
  <si>
    <t>ITN Malang</t>
  </si>
  <si>
    <t>Abass Abolarinwa A Olaode</t>
  </si>
  <si>
    <t>School of Electrical Computer and Telecommunication University of Wollongong</t>
  </si>
  <si>
    <t>Descending stairs and floors classification as control reference in autonomous smart wheelchair</t>
  </si>
  <si>
    <t xml:space="preserve">Journal of King Saud University-Computer and Information Sciences, 2021 </t>
  </si>
  <si>
    <t>Risnandar</t>
  </si>
  <si>
    <t>LIPI</t>
  </si>
  <si>
    <t>Anindita Septiarini</t>
  </si>
  <si>
    <t>Mulawarman University</t>
  </si>
  <si>
    <t>Modified KNN-LVQ for Stairs Down Detection Based on Digital Image</t>
  </si>
  <si>
    <t xml:space="preserve">Lontar Komputer : Jurnal Ilmiah Teknologi Informasi 12 (03), 141, 2021 </t>
  </si>
  <si>
    <t>TL</t>
  </si>
  <si>
    <t>PENGUKURAN KEPUASAN MAHASISWA TERHADAP E-LEARNING INSTITUT TEKNOLOGI TELKOM SURABAYA BERDASAR KRITERIA</t>
  </si>
  <si>
    <t xml:space="preserve">Prosiding Seminar Nasional Manajemen Industri dan Rantai Pasok 2nd, Jakarta &amp;#8230;, 2021 </t>
  </si>
  <si>
    <t>Nicko Nur Rakhmaddian</t>
  </si>
  <si>
    <t>nicko nur rakhmaddian</t>
  </si>
  <si>
    <t>Nisa Asrofi</t>
  </si>
  <si>
    <t>PENERAPAN TEKNIK MOTION CAPTURE SEBAGAI PENGGERAK EKSPRESI WAJAH DALAM PEMBUATAN ANIMASI KARAKTER 2D</t>
  </si>
  <si>
    <t xml:space="preserve">Universitas AMIKOM Yogyakarta, 2021 </t>
  </si>
  <si>
    <t>Doctoral Disertation</t>
  </si>
  <si>
    <t>Modelling food security for staple protein in Indonesia using system dynamics approach</t>
  </si>
  <si>
    <t xml:space="preserve">Cogent Engineering 8 (1), 2003945, 2021 </t>
  </si>
  <si>
    <t>SCOPUS</t>
  </si>
  <si>
    <t>Iwan Vanany</t>
  </si>
  <si>
    <t>Ni Made Cyntia Utami</t>
  </si>
  <si>
    <t>Lalu Muhamad Jaelani</t>
  </si>
  <si>
    <t>Perancangan Strategi E-Commerce untuk Usaha Kecil Menengah (Studi Kasus Kafe XYZ Surabaya)</t>
  </si>
  <si>
    <t xml:space="preserve">SATIN-Sains dan Teknologi Informasi 7 (2), 142-151, 2021 </t>
  </si>
  <si>
    <t>Riza Akhsani Setyo Prayoga</t>
  </si>
  <si>
    <t>Asep Syahrul Mubarok</t>
  </si>
  <si>
    <t>IAIN Ponorogo</t>
  </si>
  <si>
    <t>Pemanfaatan Kelayakan Investasi Sistem Point of Sales Pada Dapoer Mie Galau</t>
  </si>
  <si>
    <t xml:space="preserve">Jurnal Terapan Ekonomi Bisnis 1 (1), 20-30, 2021 </t>
  </si>
  <si>
    <t>PENGGUNAAN APLIKASI REKAP SURAT BERBASIS DESKTOP DI PMI KOTA MALANG</t>
  </si>
  <si>
    <t xml:space="preserve">Aptekmas Jurnal Pengabdian pada Masyarakat 4 (3), 60-64, 2021 </t>
  </si>
  <si>
    <t>S6</t>
  </si>
  <si>
    <t>Techno-Economic Analysis of Random Phase Multiple Access Planning for AMI Services in Surabaya City</t>
  </si>
  <si>
    <t xml:space="preserve">2021 2nd International Conference on ICT for Rural Development (IC-ICTRuDev &amp;#8230;, 2021 </t>
  </si>
  <si>
    <t>Muhammad Imam Nashiruddin</t>
  </si>
  <si>
    <t>Muhammad Ary Murti</t>
  </si>
  <si>
    <t>Pendekatan Systems Thinking Peningkatan Pangsa Pasar Dan Profitabilitas Guna Meningkatkan Pendapatan UMKM Frozen Food</t>
  </si>
  <si>
    <t xml:space="preserve">Sewagati 5 (2), 124-130, 2021 </t>
  </si>
  <si>
    <t>Rully Agus Hendrawan</t>
  </si>
  <si>
    <t>Ulfa Emi Rahmawati</t>
  </si>
  <si>
    <t>Gustin Ayu Cahyandini</t>
  </si>
  <si>
    <t>Muhammad Andika</t>
  </si>
  <si>
    <t>System Dynamics Model for Improving Salt Quality to Achieve Self-Sufficiency of Industrial Salt</t>
  </si>
  <si>
    <t xml:space="preserve">IPTEK Journal of Proceedings Series, 132-137, 2021 </t>
  </si>
  <si>
    <t>System thinking approach to increase eco-friendly maize production to support food security</t>
  </si>
  <si>
    <t xml:space="preserve">IPTEK Journal of Proceedings Series, 17-23, 2021 </t>
  </si>
  <si>
    <t>System Dynamics Model of Transit Oriented Development Implementation to Reduce Carbon Emission from Urban Transportation</t>
  </si>
  <si>
    <t xml:space="preserve">IPTEK Journal of Proceedings Series, 440-445, 2021 </t>
  </si>
  <si>
    <t>An assessment of public and private transport competitiveness in Jakarta with the focus on MRT</t>
  </si>
  <si>
    <t xml:space="preserve">Urban Rail Transit: Proceedings of the 6th Thailand Rail Academic Symposium &amp;#8230;, 2021 </t>
  </si>
  <si>
    <t>Ahmad Faisal Dahlan</t>
  </si>
  <si>
    <t>Anna Fraszczyk</t>
  </si>
  <si>
    <t>Mahidol University</t>
  </si>
  <si>
    <t>Decentralized extended Kalman filter of multi-robot position</t>
  </si>
  <si>
    <t xml:space="preserve">Journal of Physics: Conference Series 1821 (1), 012021, 2021 </t>
  </si>
  <si>
    <t>Erna Apriliani</t>
  </si>
  <si>
    <t>Mardlijah</t>
  </si>
  <si>
    <t>Didik Khusnul Arif</t>
  </si>
  <si>
    <t>DS</t>
  </si>
  <si>
    <t>Prediksi Penyebaran Covid-19 di Indonesia dan Jawa Timur dengan Metode Extended Kalman Filter</t>
  </si>
  <si>
    <t xml:space="preserve">Limits: Journal of Mathematics and Its Applications 18 (1), 1-13, 2021 </t>
  </si>
  <si>
    <t>COVID-19 Outbreak Prediction in Indonesia Based on Machine Learning and SIRD-Based Hybrid Methods</t>
  </si>
  <si>
    <t xml:space="preserve">Nonlinear Dynamics and Systems Theory 21 (5), 495, 2021 </t>
  </si>
  <si>
    <t>M. Iqbal</t>
  </si>
  <si>
    <t>E. R. M. Putri</t>
  </si>
  <si>
    <t>M. L. Shahab</t>
  </si>
  <si>
    <t>I. Mukhlash</t>
  </si>
  <si>
    <t xml:space="preserve">E. Apriliani
H. Susanto </t>
  </si>
  <si>
    <t>ITS
Univ. of Essex &amp; Khalifa University</t>
  </si>
  <si>
    <t>Application Scorecard Logistics Method for Comparative Analysis of Performance Measurement: A Case Study</t>
  </si>
  <si>
    <t xml:space="preserve">Singapore: IEOM Society International, 2021 </t>
  </si>
  <si>
    <t>Avia Bilqis Viana</t>
  </si>
  <si>
    <t>Universitas Sebelas Maret</t>
  </si>
  <si>
    <t>Anida Norma Cahyati</t>
  </si>
  <si>
    <t>Sofi Desi Susanti</t>
  </si>
  <si>
    <t>Wahyudi Sutopo</t>
  </si>
  <si>
    <t>Yuniaristanto</t>
  </si>
  <si>
    <t>Model Development Framework for Determining Optimal Location and Investment Feasibility of Charging Station</t>
  </si>
  <si>
    <t xml:space="preserve">International Conference on Industrial Engineering and Operations Management &amp;#8230;, 2021 </t>
  </si>
  <si>
    <t>Muh. Hisjam</t>
  </si>
  <si>
    <t>A Local-Cloud Edge based Keyword Spotting using Deep Learning</t>
  </si>
  <si>
    <t>대한인간공학회 학술대회논문집, 127-127</t>
  </si>
  <si>
    <t>M. Adib Kamali</t>
  </si>
  <si>
    <t>Paul Angelo Oroceo</t>
  </si>
  <si>
    <t>Alexander Pascual</t>
  </si>
  <si>
    <t>Angela Caliwag</t>
  </si>
  <si>
    <t>Wansu Lim</t>
  </si>
  <si>
    <t>Generative Adversarial Network with Face Alignment for Face Generation</t>
  </si>
  <si>
    <t>한국통신학회 학술대회논문집, 258-259</t>
  </si>
  <si>
    <t>Udurume Miracle</t>
  </si>
  <si>
    <t>Udeogu Chigozie Uzochukwu</t>
  </si>
  <si>
    <t>Performance Comparison of Data Driven-based Capacity Forecasting for Supercapacitor</t>
  </si>
  <si>
    <t>한국통신학회 학술대회논문집, 423-424</t>
  </si>
  <si>
    <t>Novel SOH estimation of lithium-ion batteries for real-time embedded applications</t>
  </si>
  <si>
    <t>IEEE Embedded Systems Letters, 2021, 13.4: 206-209</t>
  </si>
  <si>
    <t>Design and Implementation of an IoT-Based Door Signage Control System</t>
  </si>
  <si>
    <t>한국통신학회논문지, 2021, 46.4: 696-705</t>
  </si>
  <si>
    <t>Henar M. O. Canilang</t>
  </si>
  <si>
    <t>EJ M. F. C. Caliwag</t>
  </si>
  <si>
    <t>Real-Time State of Charge estimation of Li-Ion Battery Considering The Effect of State of Health</t>
  </si>
  <si>
    <t>한국통신학회 학술대회논문집, 2021, 575-576</t>
  </si>
  <si>
    <t>Reliable Communication Systems for Monitoring of Transportation in Mining Industries</t>
  </si>
  <si>
    <t xml:space="preserve">Proceedings of the 1st International Conference on Islam, Science and &amp;#8230;, 2021 </t>
  </si>
  <si>
    <t>Khoirul Anwar</t>
  </si>
  <si>
    <t>Desti Madya Saputri</t>
  </si>
  <si>
    <t>Beef Supply Chain Analysis to Improve Availability and Supply Chain Value Using System Dynamics Methodology</t>
  </si>
  <si>
    <t xml:space="preserve">IPTEK Journal of Proceedings Series, 229-234, 2021 </t>
  </si>
  <si>
    <t>ISSN</t>
  </si>
  <si>
    <t>Feature Selection with Particle Swarm Optimization for Human Activity Recognition Using Learning Vector Quantization</t>
  </si>
  <si>
    <t xml:space="preserve">6th International Conference on Sustainable Information Engineering and &amp;#8230;, 2021 </t>
  </si>
  <si>
    <t>Fitra A. Bachtiar</t>
  </si>
  <si>
    <t>Zainal Arifien</t>
  </si>
  <si>
    <t>Pasca Imanuddin Akbar</t>
  </si>
  <si>
    <t>Detection of Point Source Pollution with RPLIDAR Sensors</t>
  </si>
  <si>
    <t>Fatwa Ramdani</t>
  </si>
  <si>
    <t>Eko Setiawan</t>
  </si>
  <si>
    <t>UTAUT Model of Mobile Application: Literature Review</t>
  </si>
  <si>
    <t xml:space="preserve">2021 International Conference on Electrical and Information Technology (IEIT &amp;#8230;, 2021 </t>
  </si>
  <si>
    <t>Apol Pribadi Subriadi</t>
  </si>
  <si>
    <t>A Transit-Oriented Development Concept Model to Reduce Traffic Congestion in Urban Area</t>
  </si>
  <si>
    <t xml:space="preserve">IPTEK Journal of Proceedings Series, 138-143, 2021 </t>
  </si>
  <si>
    <t>Muhammad Andika Satrugna</t>
  </si>
  <si>
    <t>Alifiansyah Arrizqi Hidayat</t>
  </si>
  <si>
    <t>Deciphering Social Opinion Polarization Towards Political Event Based on Content and Structural Analysis</t>
  </si>
  <si>
    <t>International Journal of Innovation, Creativity and Change</t>
  </si>
  <si>
    <t>Andry Alamsyah</t>
  </si>
  <si>
    <t>Arina Nahya Nurnafia</t>
  </si>
  <si>
    <t>Unraveling the Disruptive Innovation in Indonesia's Tutoring Field Using Text Mining</t>
  </si>
  <si>
    <t xml:space="preserve">Proceedings of the 1st International Conference on Sustainable Management &amp;#8230;, 2021 </t>
  </si>
  <si>
    <t>Gadang Ramantoko</t>
  </si>
  <si>
    <t>Astri Ghina</t>
  </si>
  <si>
    <t>Pemanfaatan Formula Haversine pada Aplikasi Smart Attendance</t>
  </si>
  <si>
    <t xml:space="preserve">Seminar Nasional Informatika dan Aplikasinya (SNIA), E14-E17, 2021 </t>
  </si>
  <si>
    <t>Faisal Reza Pradhana</t>
  </si>
  <si>
    <t>Universitas Darussalam Gontor</t>
  </si>
  <si>
    <t>Ledi Diniyatullah</t>
  </si>
  <si>
    <t>The Risk Assessment of Genset Installation Project Using Fault Tree Analysis In Indonesia</t>
  </si>
  <si>
    <t xml:space="preserve">IPTEK Journal of Proceedings Series, 11-17, 2021 </t>
  </si>
  <si>
    <t>Akhmad Khilmy</t>
  </si>
  <si>
    <t>Mohammad Isa Irawan</t>
  </si>
  <si>
    <t>Design Library Applications Using Java Netbeans And Mysql Database</t>
  </si>
  <si>
    <t xml:space="preserve">The 2nd International Conference on Management of Technology, Innovation &amp;#8230;, 2021 </t>
  </si>
  <si>
    <t>Fadelis Sukya</t>
  </si>
  <si>
    <t>Evila Nur Aini</t>
  </si>
  <si>
    <t>Mita Aprillia</t>
  </si>
  <si>
    <t>Irba Tsabita Alfafaun Ni’ma</t>
  </si>
  <si>
    <t>House Price Information System In Java Based On Application Using JFrame</t>
  </si>
  <si>
    <t>Salsa Nabilah</t>
  </si>
  <si>
    <t>Muhammad Nur Faisal</t>
  </si>
  <si>
    <t>Muhammad Agam Ashofa</t>
  </si>
  <si>
    <t>An Adaptive Information Simple Game to Clarify The Fact and The Myth of Pregnancy</t>
  </si>
  <si>
    <t>Tazkia Aulia Prismadana</t>
  </si>
  <si>
    <t>Travel Simulation System To Develop Domestic Indonesian Destination Tour</t>
  </si>
  <si>
    <t>Andrian Laksono Putro</t>
  </si>
  <si>
    <t>Ananda Vina Wulandari</t>
  </si>
  <si>
    <t>Rara Dewi Arumsari</t>
  </si>
  <si>
    <t>An improvement of transmission power optimization method considering channel assignment for concurrently communicating three access-points in wireless local-area network</t>
  </si>
  <si>
    <t xml:space="preserve">IEICE Conferences Archives, 2021 </t>
  </si>
  <si>
    <t>Nobuo Funabiki</t>
  </si>
  <si>
    <t>Okayama University</t>
  </si>
  <si>
    <t>Md. Mahbubur Rahman</t>
  </si>
  <si>
    <t>Kwenga Ismael Munene</t>
  </si>
  <si>
    <t>Sujan Chandra Roy</t>
  </si>
  <si>
    <t>Minoru Kuribayashi</t>
  </si>
  <si>
    <t>Joint optimization method of channel assignment and transmission power for concurrently communicating multiple access-points in wireless local-area network</t>
  </si>
  <si>
    <t xml:space="preserve">International Journal of Networking and Computing 11 (2), 251-266, 2021 </t>
  </si>
  <si>
    <t>Wen-Chung Kao</t>
  </si>
  <si>
    <t>National Taiwan Normal University</t>
  </si>
  <si>
    <t>Design of Covid-19 Tracing System based on Bluetooth Low Energy</t>
  </si>
  <si>
    <t xml:space="preserve">2021 International Electronics Symposium (IES), 374-379, 2021 </t>
  </si>
  <si>
    <t>Mochammad Fahmi Ali</t>
  </si>
  <si>
    <t>Moch. Zen Samsono Hadi</t>
  </si>
  <si>
    <t>Rahardhita Widyatra Sudibyo</t>
  </si>
  <si>
    <t>A Study of Transmission Power Optimization Considering Channel Assignment for Access-Points in Wireless Local-Area Network</t>
  </si>
  <si>
    <t>Graduate School of Natural Science and Technology of Okayama University</t>
  </si>
  <si>
    <t>A study of throughput drop estimation model for concurrently communicating links under coexistence of channel bonding and non-bonding in IEEE 802.11 n WLAN</t>
  </si>
  <si>
    <t xml:space="preserve">Complex, Intelligent and Software Intensive Systems: Proceedings of the 15th &amp;#8230;, 2021 </t>
  </si>
  <si>
    <t>Feasibility Investigations of Access-Point Transmission Power Optimization Method under Co-use of Channel Bonding and Non Channel Bonding in Wireless Local-Area Network</t>
  </si>
  <si>
    <t xml:space="preserve">2021 Ninth International Symposium on Computing and Networking Workshops &amp;#8230;, 2021 </t>
  </si>
  <si>
    <t>IEEE</t>
  </si>
  <si>
    <t>Fatema Akhter</t>
  </si>
  <si>
    <t>Sun Yuanshuai</t>
  </si>
  <si>
    <t>Applicability Investigation of Transmission Power Optimization Method for Concurrently Communicating Access-Points Using Channel Bonding and Non-Bonding in WLAN</t>
  </si>
  <si>
    <t xml:space="preserve">2021 Fourth International Conference on Vocational Education and Electrical &amp;#8230;, 2021 </t>
  </si>
  <si>
    <t>A Study of Throughput Drop Estimation Model for Two-Link Concurrent Communications in 5GHz IEEE 802.11 ac WLAN</t>
  </si>
  <si>
    <t>Application of Throughput Drop Estimation Model to Frequency Channel and Channel Bonding Assignment in IEEE 802.11 n WLAN</t>
  </si>
  <si>
    <t>A throughput drop estimation model for concurrent communications under partially overlapping channels without channel bonding and its application to channel assignment in IEEE &amp;#8230;</t>
  </si>
  <si>
    <t xml:space="preserve">IEICE TRANSACTIONS on Information and Systems 104 (5), 585-596, 2021 </t>
  </si>
  <si>
    <t>Flood Early Warning System Using River Water Level Prediction With Artificial Neural Network (Case Study: jakarta City)</t>
  </si>
  <si>
    <t>2022 IEEE 8th Information Technology International Seminar (ITIS)</t>
  </si>
  <si>
    <t>Dimas Bagus Saputro</t>
  </si>
  <si>
    <t>-</t>
  </si>
  <si>
    <t>0719069101</t>
  </si>
  <si>
    <t>0721068802</t>
  </si>
  <si>
    <t>Modified EKF for Covid-19 Prediction With 3 Mobility Restrictions (Study Case: Indonesia)</t>
  </si>
  <si>
    <t>AIP Conference Proceedings</t>
  </si>
  <si>
    <t>0707019501</t>
  </si>
  <si>
    <t>0729129403</t>
  </si>
  <si>
    <t>Mohammad Hamim Zajuli Al Faroby</t>
  </si>
  <si>
    <t>0724079501</t>
  </si>
  <si>
    <t>MA</t>
  </si>
  <si>
    <t>0030097304</t>
  </si>
  <si>
    <t>Classification Method in Fault Diagnosis of Oil-Immersed Power Transformers by Considering Dissolved Gas Analysis</t>
  </si>
  <si>
    <t>EMITTER International Journal of Engineering Technology</t>
  </si>
  <si>
    <t>0016095811</t>
  </si>
  <si>
    <t>Rosmaliati</t>
  </si>
  <si>
    <t>07111460010013</t>
  </si>
  <si>
    <t>Bernandus Anggo Seno Aji</t>
  </si>
  <si>
    <t>0704039202</t>
  </si>
  <si>
    <t>0728059203</t>
  </si>
  <si>
    <t>0027097303</t>
  </si>
  <si>
    <t>Decentralized Observer-based Controller Design for Linear Interconnected Systems</t>
  </si>
  <si>
    <t>2022 International Seminar on Intelligent Technology and Its Applications (ISITIA)</t>
  </si>
  <si>
    <t>0014016705</t>
  </si>
  <si>
    <t>Guisheng Zhai</t>
  </si>
  <si>
    <t>Shibaura Institute of Technology</t>
  </si>
  <si>
    <t>Dieky Adzkiya</t>
  </si>
  <si>
    <t>0017058302</t>
  </si>
  <si>
    <t>Analisis Perbandingan Mod Security dan Deep Packet Inspection pada Web Server Terhadap Seranagn DDoS Slow Headers</t>
  </si>
  <si>
    <t>JTERA (Jurnal Teknologi Rekayasa)</t>
  </si>
  <si>
    <t>0604059302</t>
  </si>
  <si>
    <t>Dhanar Yusuf Febriansyah</t>
  </si>
  <si>
    <t>Eko Fajar Cahyadi</t>
  </si>
  <si>
    <t>0616098703</t>
  </si>
  <si>
    <t>Reserach Partner Recommender System for Academia in Higher Education using Non-Linear Approach</t>
  </si>
  <si>
    <t>2022 5th International Conference of Computer and Informatics Engineering (IC2IE)</t>
  </si>
  <si>
    <t>0708119103</t>
  </si>
  <si>
    <t>0724098701</t>
  </si>
  <si>
    <t>0711039403</t>
  </si>
  <si>
    <t>The Effect of Covid-19  Pandemic  on Increasing  Rice  Tiwul  Business Income Using System Dynamic Approach</t>
  </si>
  <si>
    <t>Nusantara Science and Technology Proceedings</t>
  </si>
  <si>
    <t>0710028604</t>
  </si>
  <si>
    <t>0709039401</t>
  </si>
  <si>
    <t>0401078801</t>
  </si>
  <si>
    <t>0709059004</t>
  </si>
  <si>
    <t>Risk Priority Analysis for Change Management on E-Government using RIPC4 and AHP</t>
  </si>
  <si>
    <t>Journal of Information Systems and Informatics</t>
  </si>
  <si>
    <t>Univ. Muhammadiyah Kaltim</t>
  </si>
  <si>
    <t>0725059004</t>
  </si>
  <si>
    <t>Prediksi Pelaku Perjalanan Luar Negeri Di Masa Pandemi COVID-19 Menggunakan Metode Regresi Linier Sederhana</t>
  </si>
  <si>
    <t>Journal of Information System Research (JOSH)</t>
  </si>
  <si>
    <t>Brian Freega Setya Pratama</t>
  </si>
  <si>
    <t>Daninsyah Bagas Abiansa</t>
  </si>
  <si>
    <t>REKAYASA PERANGKAT LUNAK</t>
  </si>
  <si>
    <t>CV WIDINA MEDIA UTAMA</t>
  </si>
  <si>
    <t>Analisa &amp; Perancangan Sistem Informasi Berorientasi Objek</t>
  </si>
  <si>
    <t>Penerbit Widina</t>
  </si>
  <si>
    <t>PENGAJARAN BERBASIS TEKNOLOGI DIGITAL (Perkembangan dan Praktik)</t>
  </si>
  <si>
    <t>Buku Chapter</t>
  </si>
  <si>
    <t>Pelatihan Pembuatan Database dan Pelaporan Keuangan Bagi Pegawai Bank Indonesia</t>
  </si>
  <si>
    <t>Jurnal Berdaya Mandiri</t>
  </si>
  <si>
    <t>0709128101</t>
  </si>
  <si>
    <t>Rancang Bangun Aplikasi Pemeliharaan Alat Menggunakan QR-Code (Studi Kasus Telkom Property Surabaya Utara)</t>
  </si>
  <si>
    <t>Journal of Computer System and Informatics (JoSYC)</t>
  </si>
  <si>
    <t>Dhimas Bintang Bagaskara</t>
  </si>
  <si>
    <t>Bagus Kurniawan</t>
  </si>
  <si>
    <t>0730058702</t>
  </si>
  <si>
    <t>0727099201</t>
  </si>
  <si>
    <t>Amirah Diandra</t>
  </si>
  <si>
    <t>Manajemen SDM (strategi Organisasi Bisnis Modern)</t>
  </si>
  <si>
    <t>Thesis Commons</t>
  </si>
  <si>
    <t>Manajemen SDM:(Strategi Organisasi Bisnis Modern)</t>
  </si>
  <si>
    <t>Seval Literindo Kreasi</t>
  </si>
  <si>
    <t>Penerapan Teknologi Hidroponik Berbasis IoT Untuk Mendukung Pengembangan Desa Wisata Edukasi</t>
  </si>
  <si>
    <t>ABDINE: Jurnal Pengabdian Masyarakat</t>
  </si>
  <si>
    <t>0725059301</t>
  </si>
  <si>
    <t>0702039003</t>
  </si>
  <si>
    <t>Gilbert Wednestwo Samuel</t>
  </si>
  <si>
    <t>Syakira Andriyani</t>
  </si>
  <si>
    <t>Christian Jose Anto Kurniawan</t>
  </si>
  <si>
    <t>Pengembangan Kampung Wisata Edukasi dengan Penerapan Teknologi dan Pemberdayaan Masyarakat (Studi Kasus: kampoeng songo Surabaya)</t>
  </si>
  <si>
    <t>TERANG : Jurnal Pengabdian Pada Masyarakat Menerangi Negeri</t>
  </si>
  <si>
    <t>Muhammad Sholik</t>
  </si>
  <si>
    <t>Muhammad Syarif Hidayatullah</t>
  </si>
  <si>
    <t>Nursyahjaya Ramadaniputra</t>
  </si>
  <si>
    <t>Rizky Agung Prayogi</t>
  </si>
  <si>
    <t>Analysis of Trust Mechanism in Social Commerce: A Systematic Literature Review</t>
  </si>
  <si>
    <t>International Journal of Electronic Commerce Studies</t>
  </si>
  <si>
    <t>Fuzzy Information Enrichment for Self-healing Recommendation Systems of COVID-19 Patient</t>
  </si>
  <si>
    <t xml:space="preserve">Teknologi: Jurnal Ilmiah Sistem Informasi </t>
  </si>
  <si>
    <t>Sahri</t>
  </si>
  <si>
    <t>Univ. NU Sunan Giri</t>
  </si>
  <si>
    <t>The Important of Supply Chain Resilience During Covid-19 Pandemic For Enterprise Risk Management: A Systematic Literature Review</t>
  </si>
  <si>
    <t xml:space="preserve">ICONIC-RS 2022: Proceedings of the 1st International Conference on &amp;#8230;, 2022 </t>
  </si>
  <si>
    <t>Iwan Vanan\y</t>
  </si>
  <si>
    <t>0724089201</t>
  </si>
  <si>
    <t>PEMBUATAN SISTEM MONITORING SUHU, PH, TDS, DO, AMONIA DAN NITRIT AIR KOLAM BAGI UMKM FULLOBSTER SURABAYA BERBASIS MACHINE LEARNING</t>
  </si>
  <si>
    <t>Jurnal Penelitian dan Pengabdian Kepada Masyarakat UNSIQ</t>
  </si>
  <si>
    <t>Research Partner Recommender System for Academia in Higher Education using Non-Linear Approach</t>
  </si>
  <si>
    <t>2022 5th International Conference of Computer and Informatics Engineering</t>
  </si>
  <si>
    <t>Rekomendasi Pengambilan Kebijakan Belanja Dana Desa Berbasis Open Government Partnership dan Dynamic Programming</t>
  </si>
  <si>
    <t>Seminar Nasional Sistem Informasi (SENASIF)</t>
  </si>
  <si>
    <t>Tabina Shafa Nabila Syahda</t>
  </si>
  <si>
    <t>Nurul Hidayah</t>
  </si>
  <si>
    <t>Ashfa Ashfiyak</t>
  </si>
  <si>
    <t>Iqbal Abd. Muhbir Hadi Anam</t>
  </si>
  <si>
    <t>Kecerdasan Buatan Untuk Sistem Pengawasan dan Pengklasifikasi Kualitas Air Tambak Pada UMKM Budidaya Lobster Air Tawar</t>
  </si>
  <si>
    <t xml:space="preserve">Seminar Nasional Sistem Informasi (SENASIF) </t>
  </si>
  <si>
    <t>Denny Daffa Rizaldy</t>
  </si>
  <si>
    <t>Bintang Marwan Putra Pradana</t>
  </si>
  <si>
    <t>Rendy Adi Fatma Saputra</t>
  </si>
  <si>
    <t>Muhammad Taufikurahman</t>
  </si>
  <si>
    <t>Grading Problem-Solving for Clustering Students Score Using Dynamic Programming Procedure in The Context of Dynamic Time Warping</t>
  </si>
  <si>
    <t>2022 Seventh International Conference on Informatics and Computing (ICIC)</t>
  </si>
  <si>
    <t>Anindya Salwa Salsabila</t>
  </si>
  <si>
    <t>Federated Learning in Indonesia: Challenges and Opportunities</t>
  </si>
  <si>
    <t>2022 1st International Conference on Software Engineering and Information</t>
  </si>
  <si>
    <t>Peningkatan Literasi Komputer Melalui Pelatihan Micosoft Excel Advanced Untuk Efisiensi Pekerjaan di Instansi Pemerintahan</t>
  </si>
  <si>
    <t xml:space="preserve">TERANG 4 (2), 209-214, 2022 </t>
  </si>
  <si>
    <t>Meredita Susanty</t>
  </si>
  <si>
    <t>Erwin Setiawan</t>
  </si>
  <si>
    <t>Wahyu Kunto Wibowo</t>
  </si>
  <si>
    <t>Ade Irawan</t>
  </si>
  <si>
    <t>Tasmi</t>
  </si>
  <si>
    <t xml:space="preserve">KILAT 11 (2), 167-181, 2022 </t>
  </si>
  <si>
    <t>Rancang Bangun Smart System Green House untuk Budidaya Melon Berbasis PLC</t>
  </si>
  <si>
    <t xml:space="preserve">Journal of Technology and Informatics (JoTI) 4 (1), 26-30, 2022 </t>
  </si>
  <si>
    <t>Muhammad Yanuar Muhaimin</t>
  </si>
  <si>
    <t xml:space="preserve"> </t>
  </si>
  <si>
    <t xml:space="preserve">Procedia Computer Science 197, 61-67, 2022 </t>
  </si>
  <si>
    <t>Grandys Frieska Prassida</t>
  </si>
  <si>
    <t>UISI</t>
  </si>
  <si>
    <t>Ully Asfari </t>
  </si>
  <si>
    <t>Perancangan Data Warehouse Untuk Menunjang Akreditasi Program Studi</t>
  </si>
  <si>
    <t xml:space="preserve">Jurnal Teknologi Informasi dan Ilmu Komputer (JTIIK) 9 (4), 2022 </t>
  </si>
  <si>
    <t>I G AG Kom Agnam Melyantara</t>
  </si>
  <si>
    <t>Robot Ankle Foot Orthosis with Auto Flexion Mode for Foot Drop Training on Post-Stroke Patient in Indonesia</t>
  </si>
  <si>
    <t xml:space="preserve">Kinetik: Game Technology, Information System, Computer Network, Computing &amp;#8230;, 2022 </t>
  </si>
  <si>
    <t>Hari Sulistiyo Budi Waspada</t>
  </si>
  <si>
    <t>CV. Kenzie Teknopedis</t>
  </si>
  <si>
    <t>Reza Humaidi</t>
  </si>
  <si>
    <t>Bagas Wahyu Prakoso</t>
  </si>
  <si>
    <t>Andi Nur Halisyah</t>
  </si>
  <si>
    <t>PENERAPAN PANEL SURYA UNTUK MENDUKUNG BUDIDAYA IKAN BERBASIS INTERNET OF THINGS DI KAMPUNG OASE ONDOMOHEN</t>
  </si>
  <si>
    <t xml:space="preserve">Abdimas Galuh 4 (2), 1350-1360, 2022 </t>
  </si>
  <si>
    <t>Bily Montolalu</t>
  </si>
  <si>
    <t>Mohammad Fahmi Ilmi Yogianto</t>
  </si>
  <si>
    <t>Hernadimas Alfattah</t>
  </si>
  <si>
    <t>Annisa Salsabila</t>
  </si>
  <si>
    <t>INOVASI BERBASIS E-COMMERCE GUNA MENINGKATKAN PEREKONOMIAN MASYARAKAT DALAM RANGKA PENJUALAN HASIL LAUT</t>
  </si>
  <si>
    <t xml:space="preserve">Lomba Karya Tulis Ilmiah 3 (1), 243-254, 2022 </t>
  </si>
  <si>
    <t>Ramadika Wijaya Poetra Subijanto</t>
  </si>
  <si>
    <t>Syahrina Laylia Rahma</t>
  </si>
  <si>
    <t>Achmad Maulana</t>
  </si>
  <si>
    <t>Multi-Vehicle Routing for Pickup Service in Dynamic Scenario</t>
  </si>
  <si>
    <t xml:space="preserve">KICS Winter Conference 2022, 1030-1031, 2022 </t>
  </si>
  <si>
    <t>Philip Tobianto Daely+L113:X113</t>
  </si>
  <si>
    <t>An Improvement Using Global Positioning System (GPS) and Cloud Firestore for Integration of Information System in Surabaya Public Transportation</t>
  </si>
  <si>
    <t xml:space="preserve">EDUTEC: Journal of Education And Technology 5 (4), 894-909, 2022 </t>
  </si>
  <si>
    <t>Anas Ittaqullah</t>
  </si>
  <si>
    <t>Dynamic Delivery Truck Routing System with Task Clustering and Particle Swarm Optimization</t>
  </si>
  <si>
    <t xml:space="preserve">KICS Summer Conference 2022, 1344-1345, 2022 </t>
  </si>
  <si>
    <t>Backhaul Aggregator Design for Real-Time 3D Printer System</t>
  </si>
  <si>
    <t xml:space="preserve">2022 13th International Conference on Information and Communication &amp;#8230;, 2022 </t>
  </si>
  <si>
    <t>Made Adi Paramartha Putra</t>
  </si>
  <si>
    <t>Adinda Riztia Putri</t>
  </si>
  <si>
    <t>Development of the System Architecture for Black Ice Detection to Prevent Transportation Calamities</t>
  </si>
  <si>
    <t>Proceedings of the conference of the Korean Society for Communications and Communications</t>
  </si>
  <si>
    <t>Mohtasin Golam</t>
  </si>
  <si>
    <t>Adinda Riztia</t>
  </si>
  <si>
    <t>Ayesha Khatun</t>
  </si>
  <si>
    <t>Jung-Hyeon Kim</t>
  </si>
  <si>
    <t>Jeong-Ho Lee</t>
  </si>
  <si>
    <t>Seokyung Industry</t>
  </si>
  <si>
    <t>Young-Rea Cho, Dong-Seong Kim,  Jae Min Lee</t>
  </si>
  <si>
    <t>PENINGKATAN KAPASITAS DENGAN PENERANGAN JALAN UMUM TENAGA SURYA BERBASIS ICT DI DESA NGENI</t>
  </si>
  <si>
    <t xml:space="preserve">Panrita Abdi-Jurnal Pengabdian pada Masyarakat 6 (4), 804-813, 2022 </t>
  </si>
  <si>
    <t>Robin Addwiyansyah Alfaro Samrat</t>
  </si>
  <si>
    <t>Aditya Yudhistira, Ahmad Habibi</t>
  </si>
  <si>
    <t>Optimal Placement of Resistive Superconducting Fault Current Limiter by Considering Short-Circuit Current and Transient Stability of Power System</t>
  </si>
  <si>
    <t>IET Generation, Transmission &amp; Distribution</t>
  </si>
  <si>
    <t>Scopus</t>
  </si>
  <si>
    <t>Rafin Aqsa Mahendra</t>
  </si>
  <si>
    <t xml:space="preserve">EMITTER International Journal of Engineering Technology, 233-245, 2022 </t>
  </si>
  <si>
    <t>Performance Enhancement of Overcurrent Relay in Distribution Systems by Extending Stability Limits and Considering High-Impedance-Fault</t>
  </si>
  <si>
    <t xml:space="preserve">International Review of Electrical Engineering 17 (6), 556-569, 2022 </t>
  </si>
  <si>
    <t>Ramdhan Husin</t>
  </si>
  <si>
    <t>Muhammad Iqbal Ferdiansyah</t>
  </si>
  <si>
    <t>Focal Region Ray Tracing of Dielectric Lens Antennas for Multibeam Designing</t>
  </si>
  <si>
    <t xml:space="preserve">2022 International Symposium on Antennas and Propagation (ISAP), 343-344, 2022 </t>
  </si>
  <si>
    <t>M. Muhsin</t>
  </si>
  <si>
    <t>Kamilia Kamardin</t>
  </si>
  <si>
    <t>Yoshihide Yamada</t>
  </si>
  <si>
    <t>Framework Development for The Assessment of The Supply Chain Resilience Using The House of Risk</t>
  </si>
  <si>
    <t xml:space="preserve">Indonesian Journal of Business and Entrepreneurship (IJBE) 8 (2), 304-304, 2022 </t>
  </si>
  <si>
    <t>Ensemble machine learning approach for electronic nose signal processing</t>
  </si>
  <si>
    <t xml:space="preserve">Sensing and Bio-Sensing Research 36, 100495, 2022 </t>
  </si>
  <si>
    <t>Dedy Rahman Wijaya</t>
  </si>
  <si>
    <t>Farah Afianti</t>
  </si>
  <si>
    <t>Anditya Arifianto</t>
  </si>
  <si>
    <t>Vassilis S. Kodogiannis</t>
  </si>
  <si>
    <t>University of Westminster</t>
  </si>
  <si>
    <t>Spring-Charged Particles Model to Improved Shape Recovery: An Application for X-Ray Spinal Segmentation</t>
  </si>
  <si>
    <t xml:space="preserve">IEEE Access 10, 110323-110334, 2022 </t>
  </si>
  <si>
    <t>Tri A. Sardjono</t>
  </si>
  <si>
    <t>Peter M. A. Van Ooijen</t>
  </si>
  <si>
    <t>University of Groningen</t>
  </si>
  <si>
    <t>I. Ketut Eddy Purnama</t>
  </si>
  <si>
    <t>Berlian Al Kindhi</t>
  </si>
  <si>
    <t>Eko M. Yuniarno</t>
  </si>
  <si>
    <t>G. J. Verkerke
Mauridhi Hery Purnomo
Michael H. F. Wilkinson</t>
  </si>
  <si>
    <t xml:space="preserve">University of Groningen
ITS
University of Groningen	</t>
  </si>
  <si>
    <t>PENINGKATAN KEMAMPUAN ONLINE STREAMING BAGI PENGURUS LANGGAR WAKAF AL QODIR</t>
  </si>
  <si>
    <t xml:space="preserve">BUDIMAS: JURNAL PENGABDIAN MASYARAKAT 4 (2), 522-529, 2022 </t>
  </si>
  <si>
    <t>PEMANFAATAN ROBOT CERDAS SATGAS COVID-19 SEBAGAI PELAYANAN ISOLASI MANDIRI WARGA DESA TEMBOK GEDE 3 SURABAYA</t>
  </si>
  <si>
    <t xml:space="preserve">Kumawula: Jurnal Pengabdian Kepada Masyarakat 5 (1), 57-63, 2022 </t>
  </si>
  <si>
    <t>Anindya Rachma Dwicahyani</t>
  </si>
  <si>
    <t>ITATS</t>
  </si>
  <si>
    <t>Irfansah Wardhana</t>
  </si>
  <si>
    <t>Riyo Oktavian Pradana</t>
  </si>
  <si>
    <t>Optimization of battery management system with soc estimation by comparing two methods</t>
  </si>
  <si>
    <t xml:space="preserve">Proceedings of the 2nd International Conference on Electronics, Biomedical &amp;#8230;, 2022 </t>
  </si>
  <si>
    <t>Adellia Puspita Ratri</t>
  </si>
  <si>
    <t>Firman Adi Rifansyah </t>
  </si>
  <si>
    <t>Bagas Wahyu Prakoso </t>
  </si>
  <si>
    <t>PERANGKAT PEMBAYARAN OTOMATIS PADA PARKIRAN MALL UNTUK KENDARAAN BERMOTOR MENGGUNAKAN TEKNOLOGI ULTRA WIDEBAND (UWB)</t>
  </si>
  <si>
    <t xml:space="preserve">Lomba Karya Tulis Ilmiah 3 (1), 147-162, 2022 </t>
  </si>
  <si>
    <t>Ahmad Zufar</t>
  </si>
  <si>
    <t>Tengku Naufal Adam Akbar Maulana</t>
  </si>
  <si>
    <t>Muhammad Rifqy Attaufi Pratama Nurdhiansyah</t>
  </si>
  <si>
    <t>The susceptible-infected-recovered-dead model for long-term identification of key epidemiological parameters of COVID-19 in Indonesia.</t>
  </si>
  <si>
    <t xml:space="preserve">International Journal of Electrical &amp;amp; Computer Engineering (2088-8708) 12 (3), 2022 </t>
  </si>
  <si>
    <t>Muhammad Achirul Nanda</t>
  </si>
  <si>
    <t>Universitas Padjadjaran</t>
  </si>
  <si>
    <t>Siti Maghfirotul Ulyah</t>
  </si>
  <si>
    <t>UNAIR</t>
  </si>
  <si>
    <t>Ni'matut Tamimah</t>
  </si>
  <si>
    <t>PPNS</t>
  </si>
  <si>
    <t>Enny Indasyah</t>
  </si>
  <si>
    <t>Muhammad Falahudin Malich Salaz</t>
  </si>
  <si>
    <t>Pharmaceutical Industry</t>
  </si>
  <si>
    <t>Qurrotun 'Ayun M. R.
Ulfah Abqari</t>
  </si>
  <si>
    <t>Dr. Soegiri Regional Public Hospital
University Medical Center</t>
  </si>
  <si>
    <t>Characterization of planar electrochemical gas sensor based on atomic gold decorated polyaniline nanocomposite</t>
  </si>
  <si>
    <t>In 電気学会研究会資料. CHS= The papers of technical meeting on" chemical sensor, IEE Japan</t>
  </si>
  <si>
    <t>Disertasi</t>
  </si>
  <si>
    <t>Keisuke Okamoto</t>
  </si>
  <si>
    <t>Comparison study of transfer function and artificial neural network for cash flow analysis at Bank Rakyat Indonesia</t>
  </si>
  <si>
    <t xml:space="preserve">International Journal of Electrical and Computer Engineering (IJECE) 12 (6 &amp;#8230;, 2022 </t>
  </si>
  <si>
    <t>S1</t>
  </si>
  <si>
    <t>Rika Susanti</t>
  </si>
  <si>
    <t>Ilma Amira Rahmayanti</t>
  </si>
  <si>
    <t>Christopher Andreas</t>
  </si>
  <si>
    <t>Microgravimetric and Amperometric Sensor Coated With Room Temperature Ionic Liquid to Enhance Butanol Isomers Gas Separation</t>
  </si>
  <si>
    <t xml:space="preserve">IEEE Sensors Journal 22 (24), 24471-24478, 2022 </t>
  </si>
  <si>
    <t>The Impact of Sand Mass Flow Rate on Pipe Erosion Rates in Natural Gas Processing Based on Newton Interpolation</t>
  </si>
  <si>
    <t>EasyChair</t>
  </si>
  <si>
    <t>Aslam Chitami Priawan Siregar</t>
  </si>
  <si>
    <t>Ni’matut Tamimah</t>
  </si>
  <si>
    <t>Comparison study using ARIMAX and VARX in cash flow forecasting</t>
  </si>
  <si>
    <t xml:space="preserve">AIP Conference Proceedings 2641 (1), 030023, 2022 </t>
  </si>
  <si>
    <t>M. Achirul Nanda</t>
  </si>
  <si>
    <t>Firman Adi R.</t>
  </si>
  <si>
    <t>Dampak Laju Aliran Massa Pasir pada Laju Erosi Pipa di Pengolahan Gas Bumi Berbasis Interpolasi Newton</t>
  </si>
  <si>
    <t xml:space="preserve">Proceedings of National Conference on Piping Engineering and Its Application &amp;#8230;, 2022 </t>
  </si>
  <si>
    <t>Perangkat Budidaya Microgreen berbasis Internet of Things</t>
  </si>
  <si>
    <t xml:space="preserve">ELKOMIKA: Jurnal Teknik Energi Elektrik, Teknik Telekomunikasi, &amp;amp; Teknik &amp;#8230;, 2022 </t>
  </si>
  <si>
    <t>MAS ALY AFANDI</t>
  </si>
  <si>
    <t>FATHURROZAQ FADHLAN</t>
  </si>
  <si>
    <t>RADITYA ARTHA ROCHMANTO</t>
  </si>
  <si>
    <t>HELMY WIDYANTARA</t>
  </si>
  <si>
    <t>Pengenalan Pemrograman Perangkat Bergerak bagi Siswa SMA/SMK dalam Kegiatan Seminar Ilmiah Populer Online</t>
  </si>
  <si>
    <t xml:space="preserve">Jurnal Pengabdian Masyarakat Indonesia 2 (3), 237-243, 2022 </t>
  </si>
  <si>
    <t>Ignatia Indreswari</t>
  </si>
  <si>
    <t>Muhammad Iqbal Maulana, Muhammad Rafi Irzam</t>
  </si>
  <si>
    <t>Navigation and Formation of Swarm Robotics with Local Positioning System: Sistem Pemosisian didalam ruangan</t>
  </si>
  <si>
    <t xml:space="preserve">JURNAL NASIONAL TEKNIK ELEKTRO, 2022 </t>
  </si>
  <si>
    <t>Mas Aly Afandi</t>
  </si>
  <si>
    <t>Ristanti Akseptori</t>
  </si>
  <si>
    <t>Ubaidilah Umar</t>
  </si>
  <si>
    <t>Design of indoor smart air sterilization system with air quality monitoring based on iot</t>
  </si>
  <si>
    <t xml:space="preserve">AIP Conference Proceedings 2499 (1), 060010, 2022 </t>
  </si>
  <si>
    <t>Muhammad Rafi Irzam</t>
  </si>
  <si>
    <t>Fitria Rahma Wulandari</t>
  </si>
  <si>
    <t>Indonesias Open Unemployment Rate Prediction System Using Deep Learning</t>
  </si>
  <si>
    <t xml:space="preserve">2022 IEEE 8th Information Technology International Seminar (ITIS), 7-10, 2022 </t>
  </si>
  <si>
    <t>Basuki Rahmat</t>
  </si>
  <si>
    <t>Intan Yuniar Purbasari</t>
  </si>
  <si>
    <t>Ni Ketut Sari</t>
  </si>
  <si>
    <t>Widiwurjani</t>
  </si>
  <si>
    <t>Budi Nugroho</t>
  </si>
  <si>
    <t>Development of I-Graciass Adoption and Implementation Model at Telkom Education Foundation Lemdikti Knowledge Management Systems Based</t>
  </si>
  <si>
    <t xml:space="preserve">Journal of Information Systems and Informatics 4 (3), 753-771, 2022 </t>
  </si>
  <si>
    <t>Analisis Unified Theory Of Acceptance And Use Of Technology (UTAUT) Terhadap Penerimaan Adopsi Teknologi E-Learning Pada Fitur Video Conference Di Kalangan Mahasiswa Kampus &amp;#8230;</t>
  </si>
  <si>
    <t xml:space="preserve">Journal of Technology and Informatics (JoTI) 4 (1), 18-25, 2022 </t>
  </si>
  <si>
    <t>Nabillah Monica Hidayat</t>
  </si>
  <si>
    <t>Real-Time Field Segmentation and Depth Map Using Stereo, Color and Ball Pattern</t>
  </si>
  <si>
    <t xml:space="preserve">Proceedings of the 2nd International Conference on Electronics, Biomedical 8230;, 2022 </t>
  </si>
  <si>
    <t>Putu Duta Hasta Putra</t>
  </si>
  <si>
    <t>Localization Design and Implementation Using Combined Rotary Encoder, IMU, and ROS on Delivery Service Robots in Building Area</t>
  </si>
  <si>
    <t xml:space="preserve">2022 8th International Conference on Science and Technology (ICST) 1, 1-6, 2022 </t>
  </si>
  <si>
    <t>On the interplay between local lead times, overall lead time, prices, and profits in decentralized supply chains</t>
  </si>
  <si>
    <t xml:space="preserve">International Journal of Production Economics 243, 108324, 2022 </t>
  </si>
  <si>
    <t>Ramzi Hammami</t>
  </si>
  <si>
    <t>Yannick Frein</t>
  </si>
  <si>
    <t>Univ. Grenoble Alpes</t>
  </si>
  <si>
    <t>Imen Nouira</t>
  </si>
  <si>
    <t>Abduh Sayid Albana</t>
  </si>
  <si>
    <t>The Optimal Location of EV Charging Stations at Surabaya Using the Location Set Covering Problem</t>
  </si>
  <si>
    <t xml:space="preserve">2022 International Conference on Technology and Policy in Energy and &amp;#8230;, 2022 </t>
  </si>
  <si>
    <t>Arsalan Rafi Muzakki</t>
  </si>
  <si>
    <t>Implementation of Quality Function Deployment (QFD) for Decision Making in Improving Integrated Academic Information System</t>
  </si>
  <si>
    <t xml:space="preserve">INTENSIF: Jurnal Ilmiah Penelitian dan Penerapan Teknologi Sistem Informasi &amp;#8230;, 2022 </t>
  </si>
  <si>
    <t>Dina Rachmawati</t>
  </si>
  <si>
    <t>Familia Dwi Winati</t>
  </si>
  <si>
    <t>Lecturer-Course Assignment Model in National Joint Courses Program to Improve Education Quality and LecturersTime Preference</t>
  </si>
  <si>
    <t xml:space="preserve">International Journal of Intelligent Engineering and Systems, 361-369, 2022 </t>
  </si>
  <si>
    <t>Universtas Telkom</t>
  </si>
  <si>
    <t>A Review for Designing a Low-Cost Online Lower Limb Monitoring System of a Post-stroke Rehabilitation</t>
  </si>
  <si>
    <t>Moch. Rafly</t>
  </si>
  <si>
    <t>Cut Silvia</t>
  </si>
  <si>
    <t>Effect of Magnetorheological Greass Viscosity to the Torque Performance in Magnetorheological Brake</t>
  </si>
  <si>
    <t xml:space="preserve">Materials 15 (16), 5717, 2022 </t>
  </si>
  <si>
    <t>Khairul Anwar Abdul Kadir</t>
  </si>
  <si>
    <t>Norzilawati Mohamad</t>
  </si>
  <si>
    <t>Universiti Malaysia Sabah</t>
  </si>
  <si>
    <t>Universiti Putra Malaysia</t>
  </si>
  <si>
    <t>Nur Azmah Nordin
Shahir Mohd Yusuf 
Ubaidillah</t>
  </si>
  <si>
    <t>MJIIT
MJIIT
Universitas Sebelas Maret</t>
  </si>
  <si>
    <t>Coordinated Ambulance Routing Problem for COVID-19 by Using Cloud-Theory-based Simulated Annealing to Minimize Number of Unserved Patients and Total Travel Distance.</t>
  </si>
  <si>
    <t xml:space="preserve">Engineering Letters 30 (3), 2022 </t>
  </si>
  <si>
    <t>Ratna Astuti Nugrahaeni</t>
  </si>
  <si>
    <t>Modified Social Forces Algorithm: from Pedestrian Dynamic to Metaheuristic Optimization</t>
  </si>
  <si>
    <t xml:space="preserve">International Journal of Intelligent Engineering and Systems 15 (3), 294-303, 2022 </t>
  </si>
  <si>
    <t>Real-Time Accident Detection Using KNN Algorithm to Support IoT-based Smart City</t>
  </si>
  <si>
    <t xml:space="preserve">Jurnal Nasional Teknik Elektro, 65-70, 2022 </t>
  </si>
  <si>
    <t>PKM-Penerapan Desa Mandiri Energi Berkelanjutan Melalui Pengembangan Teknologi PLTHV Di Desa Duren Berbasis Peningkatan Soft Skill</t>
  </si>
  <si>
    <t xml:space="preserve">Sasambo: Jurnal Abdimas (Journal of Community Service) 4 (4), 568-577, 2022 </t>
  </si>
  <si>
    <t>Muhammad Hasan Basri</t>
  </si>
  <si>
    <t>Universitas Nurul Jadid</t>
  </si>
  <si>
    <t>Ilmirrizki Imaduddin</t>
  </si>
  <si>
    <t>Penerapan K-Means dan Analisis Jaringan untuk Identifikasi Protein-Meningitis Signifikan Berdasarkan Interaksi Antar Protein</t>
  </si>
  <si>
    <t xml:space="preserve">SENADA 2 (1), 39-50, 2022 </t>
  </si>
  <si>
    <t>Irma Octavia Chaniago</t>
  </si>
  <si>
    <t>Perbandingan Sistem Deteksi Banjir Menggunakan Algoritma Naive Bayes Dan K-NN Berbasis IOT</t>
  </si>
  <si>
    <t xml:space="preserve">IJCIT (Indonesian Journal on Computer and Information Technology) 7 (1), 2022 </t>
  </si>
  <si>
    <t>Ayu Ainun A’ziziyyah</t>
  </si>
  <si>
    <t>Ignatia Indreswari Nugroho</t>
  </si>
  <si>
    <t>Rasyid Sabillillah</t>
  </si>
  <si>
    <t>Rekomendasi Pemilihan Program Studi Menggunakan Support Vector Regression</t>
  </si>
  <si>
    <t xml:space="preserve">IJCIT (Indonesian Journal on Computer and Information Technology) 7 (2), 2022 </t>
  </si>
  <si>
    <t>Strengthening MSMEs crafting soft skills through the implementation of system thinking business model innovation</t>
  </si>
  <si>
    <t xml:space="preserve">Abdimas: Jurnal Pengabdian Masyarakat Universitas Merdeka Malang 7 (2), 230-241, 2022 </t>
  </si>
  <si>
    <t>Wahyu Andy Prastyabud</t>
  </si>
  <si>
    <t>Direct Comparison Using Coulomb Counting and Open Circuit Voltage Method for the State of Health Li-Po Battery</t>
  </si>
  <si>
    <t xml:space="preserve">Journal of Robotics and Control (JRC) 3 (4), 455-463, 2022 </t>
  </si>
  <si>
    <t>Model Parameter Identification of State of Charge Based on Three Battery Modelling using Kalman Filter</t>
  </si>
  <si>
    <t>Penerapan Algoritma Apriori pada Penjualan Suku Cadang Kendaraan Roda Dua (Studi Kasus: Toko Prima Motor Sidomulyo)</t>
  </si>
  <si>
    <t xml:space="preserve">Jurnal Teknoinfo 16 (2), 225-232, 2022 </t>
  </si>
  <si>
    <t>Zaenal Abidin</t>
  </si>
  <si>
    <t>Universitas Teknokrat Indonesia</t>
  </si>
  <si>
    <t>Arsya Kharisma Amartya</t>
  </si>
  <si>
    <t>Topological based Environmental Reconstruction for Efficient Multi-Level Control of Robot Locomotion</t>
  </si>
  <si>
    <t xml:space="preserve">2022 International Electronics Symposium (IES), 491-496, 2022 </t>
  </si>
  <si>
    <t>Chin Wei Hong</t>
  </si>
  <si>
    <t>Adnan Rachmat Anom Besari</t>
  </si>
  <si>
    <t>Yuichiro Toda</t>
  </si>
  <si>
    <t>Topological mapping based on perceiving-acting cycle in sharing cognitive environments for robot partners</t>
  </si>
  <si>
    <t xml:space="preserve">Communications in Information and Systems 22 (4), 431-458, 2022 </t>
  </si>
  <si>
    <t>Jurnal Internasional Tidak Terakreditasi</t>
  </si>
  <si>
    <t>Peningkatan Branding Penjualan Arang Briket Oleh Kelompok Masyarakat Kampung Oase Ondomohen</t>
  </si>
  <si>
    <t xml:space="preserve">Amaliah: Jurnal Pengabdian Kepada Masyarakat 6 (1), 135-139, 2022 </t>
  </si>
  <si>
    <t>Raynor Cavan Suharto</t>
  </si>
  <si>
    <t>Market Simulator Konsep Produk Baru Sepatu Wanita Bagi UMKM Klastik Footwear</t>
  </si>
  <si>
    <t xml:space="preserve">Journal of Advances in Information and Industrial Technology 4 (1), 29-36, 2022 </t>
  </si>
  <si>
    <t>Sistem Pengendalian Suhu Ruang Berbasis IoT Dengan Menggunakan Metode KNN</t>
  </si>
  <si>
    <t xml:space="preserve">Journal of Advances in Information and Industrial Technology 4 (1), 9-16, 2022 </t>
  </si>
  <si>
    <t>Grahito Ardani Bimanta</t>
  </si>
  <si>
    <t>Catharina Prisca</t>
  </si>
  <si>
    <t>Ilham Mukti Pradana</t>
  </si>
  <si>
    <t>Rancang Bangun Antena Mikrostrip MIMO 4 Elemen Untuk Komunikasi 5G Pada Frekuensi Band N40</t>
  </si>
  <si>
    <t xml:space="preserve">Emitor: Jurnal Teknik Elektro 22 (2), 126-133, 2022 </t>
  </si>
  <si>
    <t>Robustness Analysis of 5-Element Overlapped Linear Subarrays for Wide Angular Scanning Applications</t>
  </si>
  <si>
    <t xml:space="preserve">2022 IEEE International Conference on Communication, Networks and Satellite &amp;#8230;, 2022 </t>
  </si>
  <si>
    <t>Titis Cahya Pertiwi</t>
  </si>
  <si>
    <t>Leo P. Ligthart</t>
  </si>
  <si>
    <t>Pengembangan Website Katalog Digital Lapas Kelas 1 Surabaya</t>
  </si>
  <si>
    <t xml:space="preserve">Abdi Masyarakat 4 (2), 2022 </t>
  </si>
  <si>
    <t>Tsalits Agnita Ulfatun Nisa</t>
  </si>
  <si>
    <t>Valencia Octora Kharisma</t>
  </si>
  <si>
    <t>Irza Rania Nareswary</t>
  </si>
  <si>
    <t>Irvinanda Priyono</t>
  </si>
  <si>
    <t>Pelatihan Pemanfaatan Fintech Lending dan Payment pada UMKM</t>
  </si>
  <si>
    <t>Gadis Artha Mevia Eka</t>
  </si>
  <si>
    <t>Nada' Alfi Nabila Tsabita</t>
  </si>
  <si>
    <t>Pengaruh Liputan Media Terhadap Efisiensi Investasi Pada Perusahaan Non Keuangan dalam Perspektif Syariah</t>
  </si>
  <si>
    <t xml:space="preserve">Al-Mashrof: Islamic Banking and Finance 3 (2), 145-164, 2022 </t>
  </si>
  <si>
    <t>Mia Selvina</t>
  </si>
  <si>
    <t>UIN Raden Intan Lampung</t>
  </si>
  <si>
    <t>Penggunaan E-Money, Intensitas Jumlah Uang Beredar, dan Laju Inflasi di Indonesia</t>
  </si>
  <si>
    <t xml:space="preserve">JURNAL MANEKSI 11 (2), 352-363, 2022 </t>
  </si>
  <si>
    <t>Asriatun Nafiah</t>
  </si>
  <si>
    <t>Universitas Media Nusantara Citra</t>
  </si>
  <si>
    <t>Pengaruh Aset Perusahaan dan Legitimasi Organisasi Terhadap Kinerja Keuangan dengan Digitalisasi Sebagai Variabel Moderasi Pada Lembaga Perbankan di Indonesia</t>
  </si>
  <si>
    <t xml:space="preserve">Jurnal Multidisiplin Indonesia 1 (1), 319-329, 2022 </t>
  </si>
  <si>
    <t>Nuroh Supriatin</t>
  </si>
  <si>
    <t>Perubahan Perilaku Pengguna Non Tunai di Indonesia (Dampak dari Pandemi Covid-19)</t>
  </si>
  <si>
    <t xml:space="preserve">Jurnal Multidisiplin Indonesia 1 (1), 295-308, 2022 </t>
  </si>
  <si>
    <t>Damarati Noorpuji</t>
  </si>
  <si>
    <t>STRATEGI BISNIS, MARKETPLACE, IDE BISNIS DAN MENTAL ACCOUNTING</t>
  </si>
  <si>
    <t xml:space="preserve">CAPITAL: Jurnal Ekonomi dan Manajemen 6 (1), 303-313, 2022 </t>
  </si>
  <si>
    <t>Enhancements in the Management of Relationships with Customers as a Means of Preserving Sales Performance</t>
  </si>
  <si>
    <t xml:space="preserve">Journal of Applied Management and Business 3 (1), 11-19, 2022 </t>
  </si>
  <si>
    <t>Analisis Pendeteksian Serangan ARP Poisoning dengan Menggunakan Metode Live Forensic</t>
  </si>
  <si>
    <t xml:space="preserve">InfoTekJar: Jurnal Nasional Informatika dan Teknologi Jaringan 6 (2), 173-176, 2022 </t>
  </si>
  <si>
    <t>Muhammad Rizky Choiruman</t>
  </si>
  <si>
    <t>Perbandingan Kontroler POX, Ryu dan ONOS Pada Arsitektur Software Defined Network (SDN) Menggunakan Topologi Linear</t>
  </si>
  <si>
    <t xml:space="preserve">Journal of Telecommunication, Electronics, and Control Engineering (JTECE) 4 &amp;#8230;, 2022 </t>
  </si>
  <si>
    <t>Eka Wahyudi</t>
  </si>
  <si>
    <t>Mega Safira Nuraeni</t>
  </si>
  <si>
    <t>Feasibility Evaluation of Compact Flow Features for Real-time DDoS Attacks Classifications</t>
  </si>
  <si>
    <t>Muhammad Fajar Sidiq</t>
  </si>
  <si>
    <t>Akbari Indra Basuki</t>
  </si>
  <si>
    <t>National Research and Innovation Agency</t>
  </si>
  <si>
    <t>Arief Indriarto Haris</t>
  </si>
  <si>
    <t>Rd Angga Ferianda</t>
  </si>
  <si>
    <t>Analisis performansi high availability cluster server menggunakan heartbeat pada private cloud: Performance analysis of high availability cluster servers using heartbeat on &amp;#8230;</t>
  </si>
  <si>
    <t xml:space="preserve">JITEL (Jurnal Ilmiah Telekomunikasi, Elektronika, dan Listrik Tenaga) 2 (2 &amp;#8230;, 2022 </t>
  </si>
  <si>
    <t>Kholifah Dyah Ayatri</t>
  </si>
  <si>
    <t>Reni Dyah Wahyuningrum</t>
  </si>
  <si>
    <t>Analisis Unjuk Kerja Load Balancing F5 BIG-IP LTM menggunakan Algoritma Least Connection dan Round Robin pada Web Server</t>
  </si>
  <si>
    <t xml:space="preserve">Jurnal Litek: Jurnal Listrik Telekomunikasi Elektronika 19 (2), 57-62, 2022 </t>
  </si>
  <si>
    <t>Muhammad Ismail</t>
  </si>
  <si>
    <t>Analisis Pengelolaan dan Pengembangan Sumber Daya Manusia Perusahaan Furniture (Studi Kasus: CV. DNA Bali)</t>
  </si>
  <si>
    <t xml:space="preserve">Journal of Technology and Informatics (JoTI) 4 (1), 13-17, 2022 </t>
  </si>
  <si>
    <t>Yuni Qoriah Verdiana</t>
  </si>
  <si>
    <t>Karina Putri Permatasari</t>
  </si>
  <si>
    <t>Rijal Zuhdi Muwaffaq</t>
  </si>
  <si>
    <t>IT Support Website Security Evaluation Using Vulnerability Assessment Tools</t>
  </si>
  <si>
    <t xml:space="preserve">Journal of Information Systems and Informatics 4 (4), 949-957, 2022 </t>
  </si>
  <si>
    <t>I G Ag Kom Agnam Melyantara</t>
  </si>
  <si>
    <t>Rizma Elfariani</t>
  </si>
  <si>
    <t>Desy Fitri Aulia Latuconsina</t>
  </si>
  <si>
    <t>Machine Learning for the Prediction of Antiviral Compounds Targeting Avian Influenza A/H9N2 Viral Proteins</t>
  </si>
  <si>
    <t xml:space="preserve">Symmetry 14 (6), 1114, 2022 </t>
  </si>
  <si>
    <t>Siti Amiroch</t>
  </si>
  <si>
    <t>Imam Mukhlash</t>
  </si>
  <si>
    <t>Chairul Anwar Nidom</t>
  </si>
  <si>
    <t>XGB-Hybrid Fingerprint Classification Model for Virtual Screening of Meningitis Drug Compounds Candidate</t>
  </si>
  <si>
    <t>Rahmat Sigit Hidayat</t>
  </si>
  <si>
    <t>Identifikasi Interaksi Protein-Protein Meningitis Menggunakan ClusterONE dan Analisis Jaringan</t>
  </si>
  <si>
    <t xml:space="preserve">Journal of Advances in Information and Industrial Technology 4 (1), 17-28, 2022 </t>
  </si>
  <si>
    <t>Fikri Hartanta Sembiring</t>
  </si>
  <si>
    <t>Regression Analysis of CAR, NPL-Net, LDR on Increasing Return on Asset (Case Study on Banking Companies Listed on IDX in 2018-2020)</t>
  </si>
  <si>
    <t xml:space="preserve">Internasional Journal of Data Science, Engineering, and Anaylitics 2 (1), 52-61, 2022 </t>
  </si>
  <si>
    <t>Analysis of protein-protein interaction to obtain significant protein in influenza virus type A/H9N2</t>
  </si>
  <si>
    <t xml:space="preserve">AIP Conference Proceedings 2498 (1), 020021, 2022 </t>
  </si>
  <si>
    <t>Classification of IGF1R ligand compounds for identification of herbal extracts using extreme gradient boosting.</t>
  </si>
  <si>
    <t xml:space="preserve">Jurnal Informatika 16 (3), 2022 </t>
  </si>
  <si>
    <t>Avriono Aritonang</t>
  </si>
  <si>
    <t>Pengaruh Marketing Mix Terhadap Keputusan Pembelian Bubur Ayam UMKM X di Surabaya Pada Era Pandemic Covid-19</t>
  </si>
  <si>
    <t xml:space="preserve">JUMINTEN 3 (1), 169-180, 2022 </t>
  </si>
  <si>
    <t>Analisis Faktor Pengaruh Pendapatan UMKM Kota Surabaya dengan Metode Structural Equation Model</t>
  </si>
  <si>
    <t xml:space="preserve">Syntax Literate; Jurnal Ilmiah Indonesia 7 (9), 13012-13027, 2022 </t>
  </si>
  <si>
    <t>Almira Ivah Edina</t>
  </si>
  <si>
    <t>Klasterisasi KabupatenKota di Jawa Barat Berdasarkan Tingkat Kenyamanan dengan Metode K-Means Clustering</t>
  </si>
  <si>
    <t xml:space="preserve">SENADA 2 (1), 30-38, 2022 </t>
  </si>
  <si>
    <t>Thesion Marta Sianipar</t>
  </si>
  <si>
    <t>PEMANFAATAN AUGMENTED REALITY (AR) DALAM MENINGKATKAN MINAT ANAK-ANAK PADA LITERASI AL-QURAN</t>
  </si>
  <si>
    <t xml:space="preserve">Lomba Karya Tulis Ilmiah 3 (1), 123-130, 2022 </t>
  </si>
  <si>
    <t>Raditya Adi Santoso</t>
  </si>
  <si>
    <t>Machfud Ichsan Khoirudin</t>
  </si>
  <si>
    <t>Maoreen Damar Safira Subakti</t>
  </si>
  <si>
    <t>CHAR: APLIKASI PENYEDIA DATA DAN STATISTIK PENDIDIKAN KARAKTER ANAK UNTUK CALON ORANG TUA</t>
  </si>
  <si>
    <t xml:space="preserve">Lomba Karya Tulis Ilmiah 3 (1), 115-122, 2022 </t>
  </si>
  <si>
    <t>Rafi Ardinata Riskiansyah</t>
  </si>
  <si>
    <t>Muhammad Radif Aftamaulana</t>
  </si>
  <si>
    <t>Andika Dinar Saputra</t>
  </si>
  <si>
    <t>ANALISIS EFEKTIVITAS DRONE PENGANGKUT BARANG MENUJU KAPAL</t>
  </si>
  <si>
    <t xml:space="preserve">Lomba Karya Tulis Ilmiah 3 (1), 131-146, 2022 </t>
  </si>
  <si>
    <t>Gabriella Angelique Christy Sutrahitu</t>
  </si>
  <si>
    <t>Krisvany Afril Patricia</t>
  </si>
  <si>
    <t>Dean Igo Wibowo</t>
  </si>
  <si>
    <t>D-LOCODE: APLIKASI PENINGKATAN KEAMANAN DATA PENGGUNA LAYANAN LOGISTIK DENGAN METODE QUICK RESPONSE CODE PADA SISTEM PENGIRIMAN BARANG</t>
  </si>
  <si>
    <t xml:space="preserve">Lomba Karya Tulis Ilmiah 3 (1), 31-46, 2022 </t>
  </si>
  <si>
    <t>Alya Irsyadah Fadlila</t>
  </si>
  <si>
    <t>Birgita Yolanda Frisciela Ardhya Hermawan</t>
  </si>
  <si>
    <t>Rimbi Titi Pinasti</t>
  </si>
  <si>
    <t>The effect of destination attractiveness on destination attachment and its impact on tourist sustainable behavior</t>
  </si>
  <si>
    <t xml:space="preserve">Jurnal Siasat BIsnis, 222-234, 2022 </t>
  </si>
  <si>
    <t>Sri Astuti Pratminingsih</t>
  </si>
  <si>
    <t>A.W. Satria Bahari Johan</t>
  </si>
  <si>
    <t>Imanirrahma Salsabil</t>
  </si>
  <si>
    <t xml:space="preserve">Journal of King Saud University-Computer and Information Sciences 34 (8 &amp;#8230;, 2022 </t>
  </si>
  <si>
    <t>Fitri Utaminingrum</t>
  </si>
  <si>
    <t>I. Komang Somawirata</t>
  </si>
  <si>
    <t>Universitas Mulawarman</t>
  </si>
  <si>
    <t>E-POSYANDU: SISTEM PENGARSIPAN POSYANDU GUNA EFISIENSI PENDATAAN KESEHATAN PASIEN POSYANDU</t>
  </si>
  <si>
    <t xml:space="preserve">Aptekmas Jurnal Pengabdian pada Masyarakat 5 (2), 98-104, 2022 </t>
  </si>
  <si>
    <t>IMPLEMENTASI GREEN MARKETING DAN DIGITAL MARKETING PADA UMKM BINAAN TELKOM COMMUNITY DEVELOPMENT CENTER SURABAYA</t>
  </si>
  <si>
    <t xml:space="preserve">Aptekmas Jurnal Pengabdian pada Masyarakat 5 (4), 60-68, 2022 </t>
  </si>
  <si>
    <t>Jenny Ghifrina</t>
  </si>
  <si>
    <t>M. Ghouzul A’dhom</t>
  </si>
  <si>
    <t>Vagnes Angela</t>
  </si>
  <si>
    <t>PENGEMBANGAN WEBSITE KAMPUNG WISATA EDUKASI (STUDI KASUS KAMPUNG ONDOMOHEN SURABAYA)</t>
  </si>
  <si>
    <t xml:space="preserve">Aptekmas Jurnal Pengabdian pada Masyarakat 5 (2), 78-82, 2022 </t>
  </si>
  <si>
    <t>Rancang Bangun Sistem Otentikasi Terpusat Berbasiskan Model Single Sign On di IT Telkom Surabaya</t>
  </si>
  <si>
    <t xml:space="preserve">JURNAL ILMU KOMPUTER 15 (1), 64-71, 2022 </t>
  </si>
  <si>
    <t>Implementasi dan Analisa Performa Berbagai Platform Web server pada Lingkungan Multicore</t>
  </si>
  <si>
    <t xml:space="preserve">Jurnal Edukasi dan Penelitian Informatika 8 (2), 275 - 283, 2022 </t>
  </si>
  <si>
    <t>REKOMENDASI PENJADWALAN PERAWATAN UNTUK MENGURANGI DOWNTIME PADA MESIN GLOSS CALENDAR II DENGAN METODE FMEA &amp;amp; MTBF</t>
  </si>
  <si>
    <t xml:space="preserve">KAIZEN: Management Systems &amp;amp; Industrial Engineering Journal 5 (2), 20-28, 2022 </t>
  </si>
  <si>
    <t>Kajian Permasalahan Lingkungan dan Usulan Pengaplikasian Cleaner Production di Industri Kertas</t>
  </si>
  <si>
    <t xml:space="preserve">JUMINTEN 3 (1), 145-156, 2022 </t>
  </si>
  <si>
    <t>Analisa Pengaruh Colors of Noise Terhadap Produktivitas Kinerja Pekerja Pada Proses Menjahit dengan Metode Wilcoxon</t>
  </si>
  <si>
    <t xml:space="preserve">Journal of Advances in Information and Industrial Technology 4 (2), 81-88, 2022 </t>
  </si>
  <si>
    <t>Faktor Yang Berpengaruh Pada Pembelian Produk Minuman Herbal UMKM Rejeki Syeger</t>
  </si>
  <si>
    <t xml:space="preserve">SITEKIN: Jurnal Sains, Teknologi dan Industri 20 (1), 176-182, 2022 </t>
  </si>
  <si>
    <t>Moh. Jufriyanto</t>
  </si>
  <si>
    <t>Universitas Muhammadiyah Gresik</t>
  </si>
  <si>
    <t>Yulia Nur Ainiyah</t>
  </si>
  <si>
    <t>Rifqy Maulana Yusron</t>
  </si>
  <si>
    <t>Universitas Trunojoyo Madura</t>
  </si>
  <si>
    <t>OPTIMASI PENENTUAN RUTE PENGIRIMAN DENGAN VEHICLE ROUTING PROBLEM SIMULTANEOUS DELIVERY AND PICKUP WITH SPLIT LOAD</t>
  </si>
  <si>
    <t xml:space="preserve">Journal of Industrial Engineering and Operation Management 5 (1), 2022 </t>
  </si>
  <si>
    <t>Penentuan Pembukaan Gerai dengan Menggunakan Analytic Hierarchy Process Empat Layer</t>
  </si>
  <si>
    <t xml:space="preserve">Jurnal Sistem Komputer dan Informatika (JSON) 3 (4), 458-463, 2022 </t>
  </si>
  <si>
    <t>Abdul Kholik</t>
  </si>
  <si>
    <t>Universitas Indo Global Mandiri</t>
  </si>
  <si>
    <t>VEHICLE ROUTING PROBLEM SIMULTANEOUS DELIVERY AND PICKUP WITH SPLIT LOAD FOR ROUTING DELIVERY OPTIMIZATION</t>
  </si>
  <si>
    <t xml:space="preserve">Management (JIEOM) 5 (1), 84-91, 2022 </t>
  </si>
  <si>
    <t>A Hybrid DenseNet201-SVM for Robust Weed and Potato Plant Classification</t>
  </si>
  <si>
    <t xml:space="preserve">J. Ilm. Tek. Elek. Kom. dan Inform.(JITEKI) 8 (2), 298-306, 2022 </t>
  </si>
  <si>
    <t>Faisal Dharma Adhinata</t>
  </si>
  <si>
    <t>Nur Ghaniaviyanto Ramadhan</t>
  </si>
  <si>
    <t>Nia Annisa Ferani Tanjung</t>
  </si>
  <si>
    <t>Pelatihan Karya Seni Akrilik Guna Meningkatkan Kewirausahaan Masyarakat Binaan Desa Bandar Setia</t>
  </si>
  <si>
    <t xml:space="preserve">Mejuajua: Jurnal Pengabdian pada Masyarakat 2 (2), 16-21, 2022 </t>
  </si>
  <si>
    <t>Syafriwel</t>
  </si>
  <si>
    <t>Universitas Tjut Nyak Dhien</t>
  </si>
  <si>
    <t>Taufik Ismail Simanjuntak</t>
  </si>
  <si>
    <t>Richard Parlindungan Simanjuntak</t>
  </si>
  <si>
    <t>Muhammad Fadlan Siregar</t>
  </si>
  <si>
    <t>Tomi Abdilah</t>
  </si>
  <si>
    <t>Dila Handayani</t>
  </si>
  <si>
    <t>Pemodelan proses bisnis coffee shop menggunakan business model canvas dan empathy map</t>
  </si>
  <si>
    <t xml:space="preserve">Journal Industrial Servicess 7 (2), 308-313, 2022 </t>
  </si>
  <si>
    <t>Perkembangan Faktor Yang Mempengaruhi Penggunaan E-Money (Studi Kasus Mahasiswa Di Kabupaten Ponorogo)</t>
  </si>
  <si>
    <t xml:space="preserve">JAE (JURNAL AKUNTANSI DAN EKONOMI) 7 (1), 1-10, 2022 </t>
  </si>
  <si>
    <t>SISTEM PENDUKUNG KEPUTUSAN MEMILIH PEMASOK KOPI DENGAN METODE SMART PADA COFFEE SHOP ABC PONOROGO</t>
  </si>
  <si>
    <t xml:space="preserve">Jurnal INSTEK (Informatika Sains dan Teknologi) 7 (1), 69-78, 2022 </t>
  </si>
  <si>
    <t>Sistem Pendukung Keputusan Pemilihan Perumahan dengan Metode ARAS (Studi Kasus Kabupaten Ponorogo)</t>
  </si>
  <si>
    <t xml:space="preserve">Jurnal Sains dan Informatika 8 (1), 31-40, 2022 </t>
  </si>
  <si>
    <t>Pratiwi Susanti</t>
  </si>
  <si>
    <t>Universitas PGRI Madiun</t>
  </si>
  <si>
    <t>Perencanaan Strategis Sistem Informasi Menggunakan TOGAF Pada SMK Swasta Ponorogo</t>
  </si>
  <si>
    <t xml:space="preserve">Jurnal Ilmiah Media Sisfo 16 (2), 71-80, 2022 </t>
  </si>
  <si>
    <t>SISTEM PENDUKUNG KEPUTUSAN PEMILIHAN PEMASOK MENGGUNAKAN METODE SIMPLE ADDITIVE WEIGHTING STUDI KASUS PT. KAYU PUTIH ABC</t>
  </si>
  <si>
    <t xml:space="preserve">JIPI (Jurnal Ilmiah Penelitian dan Pembelajaran Informatika) 7 (4), 1121-1130, 2022 </t>
  </si>
  <si>
    <t>Modeling of Multiplexing Indoor Light Fidelity (Li-Fi) Technology Using Movable LED Panel</t>
  </si>
  <si>
    <t>I Wayan Mustika</t>
  </si>
  <si>
    <t>Fauza Khair</t>
  </si>
  <si>
    <t>Anggun Fitrian Isnawati</t>
  </si>
  <si>
    <t>Tiara Apsari Dewi</t>
  </si>
  <si>
    <t>Analysis of Transmitter Half Angle and FOV Variations on Multiplexing Indoor Li-Fi Communication</t>
  </si>
  <si>
    <t>Annisa Nur Aini Maryadi</t>
  </si>
  <si>
    <t>Comparison of K-Means, Fuzzy C-Means, Fuzzy Gustafson Kessel, and DBSCAN for Village Grouping in Surabaya Based on Poverty Indicators</t>
  </si>
  <si>
    <t xml:space="preserve">Jurnal Pendidikan Matematika (Kudus) 5 (2), 185-198, 2022 </t>
  </si>
  <si>
    <t>Aviolla Terza Darmaliana</t>
  </si>
  <si>
    <t>Classification of Drought Impact by Drought Vulnerability Indicators in Probolinggo Regrency Using Naive Bayes</t>
  </si>
  <si>
    <t xml:space="preserve">Internasional Journal of Data Science, Engineering, and Anaylitics 2 (1), 74-85, 2022 </t>
  </si>
  <si>
    <t>Implementation of Quantile Regression Neural Network Model for Forecasting Electricity Demand in East Java</t>
  </si>
  <si>
    <t xml:space="preserve">2022 IEEE 8th Information Technology International Seminar (ITIS), 229-234, 2022 </t>
  </si>
  <si>
    <t>Pengaruh Desain Kemasan dan Feed Instagram Terhadap Minat Beli Masyarakat Menggunakan Metode Regresi Logistik Biner</t>
  </si>
  <si>
    <t xml:space="preserve">Journal of Advances in Information and Industrial Technology 4 (1), 1-8, 2022 </t>
  </si>
  <si>
    <t>Adela Dewi Fortuna Putry</t>
  </si>
  <si>
    <t>Durrotul Faiqoh</t>
  </si>
  <si>
    <t>Siti Aminah, Tyrela Disya Arivani</t>
  </si>
  <si>
    <t>Pengaruh Motivasi dan Kepuasan Kerja Terhadap Prestasi Kerja dengan Metode Regresi Study Case: PT. X</t>
  </si>
  <si>
    <t xml:space="preserve">JUMINTEN 3 (1), 157-168, 2022 </t>
  </si>
  <si>
    <t>Mengoptimalkan Perencanaan Strategis Sistem Informasi Perusahaan untuk Meningkatkan Kinerja Pelayanan (Studi kasus: BUMN Pengelola Pelabuhan)</t>
  </si>
  <si>
    <t xml:space="preserve">Journal of Information System, Graphics, Hospitality and Technology 4 (01 &amp;#8230;, 2022 </t>
  </si>
  <si>
    <t>Politeknik Negeri Jember</t>
  </si>
  <si>
    <t>Prasasti Karunia Farista Ananto</t>
  </si>
  <si>
    <t>UIN Sunan Ampel Surabaya</t>
  </si>
  <si>
    <t xml:space="preserve">2022 International Seminar on Intelligent Technology and Its Applications &amp;#8230;, 2022 </t>
  </si>
  <si>
    <t>Automatic Guided Vehicle (AGV) tracking model estimation with Ensemble Kalman Filter</t>
  </si>
  <si>
    <t xml:space="preserve">AIP Conference Proceedings 2641 (1), 2022 </t>
  </si>
  <si>
    <t>Belgis Ainatul Iza</t>
  </si>
  <si>
    <t>Qori Afiata Fiddina</t>
  </si>
  <si>
    <t>Optimizing Electric Motorcycle-Charging Station Locations for Easy Accessibility and Public Benefit: A Case Study in Surakarta</t>
  </si>
  <si>
    <t xml:space="preserve">World Electric Vehicle Journal 13 (12), 232, 2022 </t>
  </si>
  <si>
    <t xml:space="preserve">Wahyudi Sutopo </t>
  </si>
  <si>
    <t>Muhammad Hisjam</t>
  </si>
  <si>
    <t>Hendro Wicaksono</t>
  </si>
  <si>
    <t>Jacobs University Bremen German</t>
  </si>
  <si>
    <t>Lesson Learned in Developing and Implementation a Global Business Strategy in Agriculture Companies: A Comparative Study</t>
  </si>
  <si>
    <t xml:space="preserve">Proceedings of the International Conference on Industrial Engineering and &amp;#8230;, 2022 </t>
  </si>
  <si>
    <t>Andrian Listyo Kawuri</t>
  </si>
  <si>
    <t>Commercializing a Technology Use Global Business Strategy Approach: A Lesson Learned from HVAC Companies</t>
  </si>
  <si>
    <t>Dessy Srikandi</t>
  </si>
  <si>
    <t>Lesson Learned a Global Business Strategy in Electronic Book Reader: A Comparative Study</t>
  </si>
  <si>
    <t>Alifah Dian Rahmania</t>
  </si>
  <si>
    <t>Comparative Study of Global Business Strategy: Lessons Learned from Excellent Sports-wear Companies (Nike and Adidas)</t>
  </si>
  <si>
    <t>Almira Zana Pratama</t>
  </si>
  <si>
    <t>A Manufacturer Opening Decision of Electric Motorcycle Conversion Kit Using The Mixed Integer Linear Programming Method</t>
  </si>
  <si>
    <t>Tasya Santi Rahmawati</t>
  </si>
  <si>
    <t>Research Group Industrial Engineering and Techno-Economic</t>
  </si>
  <si>
    <t>PENGGUNAAN WEBSITE CSA SEBAGAI WADAH INFORMASI BAGI MASYARAKAT KURANG MAMPU UNTUK MENINJAU DANA BANTUAN SOSIAL DI INDONESIA SECARA EFEKTIF</t>
  </si>
  <si>
    <t xml:space="preserve">Lomba Karya Tulis Ilmiah 3 (1), 231-242, 2022 </t>
  </si>
  <si>
    <t>Ekky Dea Audry Jaya</t>
  </si>
  <si>
    <t>Arjuna January Putra Dirgantara</t>
  </si>
  <si>
    <t>MENINGKATKAN POTENSI PERIKANAN MARITIM INDONESIA DENGAN APLIKASI FISHERY</t>
  </si>
  <si>
    <t xml:space="preserve">Lomba Karya Tulis Ilmiah 3 (1), 103-114, 2022 </t>
  </si>
  <si>
    <t>Allan Putra Pratama</t>
  </si>
  <si>
    <t>Belinda Agni Helena Dewi</t>
  </si>
  <si>
    <t>Muhammad Adam Arifda Putra Ruwi</t>
  </si>
  <si>
    <t>Edge-Oriented Social Distance Monitoring System Based on MTCNN</t>
  </si>
  <si>
    <t xml:space="preserve">IEEE Transactions on Industrial Informatics, 2022 </t>
  </si>
  <si>
    <t>Erick C. Valverde</t>
  </si>
  <si>
    <t>Paul P. Oroceo</t>
  </si>
  <si>
    <t>Angela C. Caliwag</t>
  </si>
  <si>
    <t>Martin Maier</t>
  </si>
  <si>
    <t>Deep learning based SOC estimation for Hybrid Energy Storage System</t>
  </si>
  <si>
    <t>한국통신학회 학술대회논문집</t>
  </si>
  <si>
    <t>PENGEMBANGAN TALENT MANAGEMENT UNTUK MEMBENTUK KOMITMEN ORGANISASI:(STUDI KASUS PADA PT BANK MEGA Tbk. SEMARANG DIVISI CARD COLLECTION)</t>
  </si>
  <si>
    <t xml:space="preserve">Fair Value: Jurnal Ilmiah Akuntansi dan Keuangan 4 (6), 2292-2311, 2022 </t>
  </si>
  <si>
    <t>Bulan Prabawani</t>
  </si>
  <si>
    <t>UNDIP</t>
  </si>
  <si>
    <t>Hari Susanta Nugraha</t>
  </si>
  <si>
    <t>IMPLEMENTASI GREEN MARKETING PADA PRODUK URBAN FARMING UMKM LOKAL</t>
  </si>
  <si>
    <t xml:space="preserve">Aptekmas Jurnal Pengabdian pada Masyarakat 5 (2), 137-143, 2022 </t>
  </si>
  <si>
    <t>Tiar Anindya Putri</t>
  </si>
  <si>
    <t>Urban Village Clustering in Surabaya City based on Live Birth Rate using K-Means with Principle Component Analysis</t>
  </si>
  <si>
    <t xml:space="preserve">Internasional Journal of Data Science, Engineering, and Anaylitics 2 (2), 41-45, 2022 </t>
  </si>
  <si>
    <t>Rifdatun Ni’mah</t>
  </si>
  <si>
    <t>Amri Muhaimin</t>
  </si>
  <si>
    <t>Analisis Penerimaan Cellular Tool Mobile Application berdasarkan persepsi pelanggan dengan modifikasi model UTAUT2</t>
  </si>
  <si>
    <t xml:space="preserve">Institut Teknologi Sepuluh Nopember, 2022 </t>
  </si>
  <si>
    <t>Pengembangan Digitalisasi Industri Penjualan Produk Interior dalam Rangka Meningkatkan Profit pada CV Tita Jaya</t>
  </si>
  <si>
    <t xml:space="preserve">Sewagati 6 (3), 272-281, 2022 </t>
  </si>
  <si>
    <t>Novia Paramita Shandra</t>
  </si>
  <si>
    <t>Heru Yunianta</t>
  </si>
  <si>
    <t>Goals of Customer Relationship Management in Hospitals based on the Customer Life Cycle: A systematic literature review</t>
  </si>
  <si>
    <t xml:space="preserve">2022 International Seminar on Application for Technology of Information and &amp;#8230;, 2022 </t>
  </si>
  <si>
    <t>Mudjahidin</t>
  </si>
  <si>
    <t>Integrated scheduling of the procurement system: System dynamics modeling</t>
  </si>
  <si>
    <t xml:space="preserve">Procedia Computer Science 197, 256-263, 2022 </t>
  </si>
  <si>
    <t>Alifiansyah Arrizqy Hidayat</t>
  </si>
  <si>
    <t>Ariani Dwi Wulandari </t>
  </si>
  <si>
    <t>Yusroniya Eka Putri Rachman Waliulu</t>
  </si>
  <si>
    <t>Bakari Omari Bakari</t>
  </si>
  <si>
    <t>Conceptual model of use behavior for peer-to-peer lending in Indonesia</t>
  </si>
  <si>
    <t xml:space="preserve">Procedia Computer Science 197, 215-222, 2022 </t>
  </si>
  <si>
    <t>Andre Parvian Aristio</t>
  </si>
  <si>
    <t>Pengembangan Model UTAUT2 untuk Meningkatkan Use Behaviour pengguna Peer-to-peer Lending di Jawa Timur</t>
  </si>
  <si>
    <t>Analisis Dan Perancangan UI/UX Website Roya La-Tansa Mart Menggunakan Metode User Centered Design (UCD)</t>
  </si>
  <si>
    <t xml:space="preserve">Prosiding SENDIKO (Seminar Nasional Hasil Penelitian &amp;amp; Pengabdian Masyarakat &amp;#8230;, 2022 </t>
  </si>
  <si>
    <t>Nahdita Fitriani Hakim</t>
  </si>
  <si>
    <t>Dihin Muriyatmoko</t>
  </si>
  <si>
    <t>Rancang Bangun Sistem Informasi Rekam Medis Rawat Jalan Pada Darussalam Medical Center (DMC)</t>
  </si>
  <si>
    <t>Noor Cahyaningrum</t>
  </si>
  <si>
    <t>Oddy Virgantara Putra</t>
  </si>
  <si>
    <t>Keywords Generator From Paragraph Text Using Text Mining in Bahasa Indonesia</t>
  </si>
  <si>
    <t xml:space="preserve">2022 Interdisciplinary Research in Technology and Management (IRTM), 1-4, 2022 </t>
  </si>
  <si>
    <t>Muhammad Estu Zulfaqor</t>
  </si>
  <si>
    <t>POLINEMA</t>
  </si>
  <si>
    <t>Okcelen Diyantara</t>
  </si>
  <si>
    <t>Dian Retiana Shinta Dewi</t>
  </si>
  <si>
    <t>Quadcopter Main Board Design with PID Algorithm as Controller</t>
  </si>
  <si>
    <t xml:space="preserve">Inform: Jurnal Ilmiah Bidang Teknologi Informasi dan Komunikasi 7 (2), 148-155, 2022 </t>
  </si>
  <si>
    <t>Mochamad Bachtiar</t>
  </si>
  <si>
    <t>Iwan Kurnianto Wibowo</t>
  </si>
  <si>
    <t>Nur Cahyo Ihsan Prastyawan</t>
  </si>
  <si>
    <t>Maretha Ruswiansari</t>
  </si>
  <si>
    <t>Nofria Hanafi</t>
  </si>
  <si>
    <t>Niam Tamami, Hendhi Hermawan, Eko Budi Utomo</t>
  </si>
  <si>
    <t>A throughput drop estimation model and its application to joint optimization of transmission power, frequency channel, and channel bonding in IEEE 802.11 n WLAN for large-scale  IoT environments</t>
  </si>
  <si>
    <t xml:space="preserve">Internet of Things 20, 100583, 2022 </t>
  </si>
  <si>
    <t>Nobuo Funabiki</t>
  </si>
  <si>
    <t>Kwenga Ismael Munene</t>
  </si>
  <si>
    <t>Sujan Chandra Roy</t>
  </si>
  <si>
    <t>Minoru Kuribayashi</t>
  </si>
  <si>
    <t>Improvement of PSNR by Using Shannon-Fano Compression Technique in AES-LSB StegoCrypto</t>
  </si>
  <si>
    <t xml:space="preserve">2022 International Electronics Symposium (IES), 285-290, 2022 </t>
  </si>
  <si>
    <t>Wildan Dharma Walidaniy</t>
  </si>
  <si>
    <t>Mike Yuliana</t>
  </si>
  <si>
    <t>Operasi Ekonomis Motor Pompa Air pada Water Treatment Plant menggunakan Metode Iterasi Lambda</t>
  </si>
  <si>
    <t xml:space="preserve">Voteteknika (Vocational Teknik Elektronika dan Informatika) 10 (4), 1-6, 2022 </t>
  </si>
  <si>
    <t>Ciptian Weried Priananda</t>
  </si>
  <si>
    <t>Ferian Bagus Kusuma</t>
  </si>
  <si>
    <t>Tegar Esa Herlambang</t>
  </si>
  <si>
    <t>Fivitria Istiqomah</t>
  </si>
  <si>
    <t>Arif Musthofa</t>
  </si>
  <si>
    <t>Penerapan Teknologi IoT pada Sistem Monitoring Tekanan Ban Mobil yang Berjalan</t>
  </si>
  <si>
    <t xml:space="preserve">INOVTEK Polbeng-Seri Informatika 7 (2), 308-318, 2022 </t>
  </si>
  <si>
    <t>Evaluations of the predistortion technique by neural network algorithm in MIMO-OFDM system using USRP</t>
  </si>
  <si>
    <t xml:space="preserve">Jurnal Infotel 14 (4), 287-293, 2022 </t>
  </si>
  <si>
    <t>M Wisnu Gunawan</t>
  </si>
  <si>
    <t>Naufal Ammar Priambodo</t>
  </si>
  <si>
    <t>Melki Mario Gulo</t>
  </si>
  <si>
    <t>Arifin Arifin</t>
  </si>
  <si>
    <t>Yoedy Moegiharto</t>
  </si>
  <si>
    <t>Energy efficiency in D2D cooperative communication system UAV-assisted for energy harvesting process at source and relay</t>
  </si>
  <si>
    <t xml:space="preserve">2022 International Electronics Symposium (IES), 199-203, 2022 </t>
  </si>
  <si>
    <t>Annysa Aprilya</t>
  </si>
  <si>
    <t>Meyra Chusna Mayarakaca</t>
  </si>
  <si>
    <t>Arifin</t>
  </si>
  <si>
    <t>Energy Efficiency of The Cooperative Communication Systems With Energy Harvested at Source and Relay Using Battery Power at Relay</t>
  </si>
  <si>
    <t xml:space="preserve">2022 International Electronics Symposium (IES), 216-219, 2022 </t>
  </si>
  <si>
    <t>Ines Sastre Umayya</t>
  </si>
  <si>
    <t>Muhamad Milchan</t>
  </si>
  <si>
    <t>Performance Analysis Of The Energy Harvesting Techniques In Cooperative Communication Systems of NBIoT Devices With Amplify And Forward (AF) Relaying Protocol</t>
  </si>
  <si>
    <t xml:space="preserve">Elinvo (Electronics, Informatics, and Vocational Education) 7 (2), 127-134, 2022 </t>
  </si>
  <si>
    <t>ITTS MART: Mobile Application Design Using LEAN-UX</t>
  </si>
  <si>
    <t>2022 6th International Conference on Information Technology, Information Systems and Electrical Engineering (ICITISEE)</t>
  </si>
  <si>
    <t>0711069301</t>
  </si>
  <si>
    <t>Ahmad Ihsan Fuady</t>
  </si>
  <si>
    <t>Fidelia Adinda Syafani</t>
  </si>
  <si>
    <t>Analisis Kredit Pembayaran Biaya Kuliah Dengan Pendekatan Pembelajaran Mesin</t>
  </si>
  <si>
    <t>Jurnal Teknologi Informasi dan Ilmu Komputer</t>
  </si>
  <si>
    <t>Muhammad Arkan Fauzan W.</t>
  </si>
  <si>
    <t>Agi Lobita Japtara M.</t>
  </si>
  <si>
    <t>FINANCIAL FEASIBILITY STUDY OF BRIQUETTE PRODUCTION FROM USED CHARCOAL AND TREE BRANCHES IN KAMPUNG OASE ONDOMOHEN SURABAYA</t>
  </si>
  <si>
    <t>Internasional Conference on Sustainable Environment, Development, and Energy</t>
  </si>
  <si>
    <t>Scopus; Google Scholar</t>
  </si>
  <si>
    <t>D. D. Deria</t>
  </si>
  <si>
    <t>0303069102</t>
  </si>
  <si>
    <t>World Electric Vehicle Journal</t>
  </si>
  <si>
    <t>0025067701</t>
  </si>
  <si>
    <t>Univ. Sebelas Maret</t>
  </si>
  <si>
    <t>0523119601</t>
  </si>
  <si>
    <t>0026067003</t>
  </si>
  <si>
    <t>Jacobs University</t>
  </si>
  <si>
    <t>International Conference on Software Engineering and Information Technology (ICoSEIT)</t>
  </si>
  <si>
    <t>0723119302</t>
  </si>
  <si>
    <t>Implementation of Quantile Regression Neural Network  Model for Forecasting Electricity Demand in East Java</t>
  </si>
  <si>
    <t>Aviolla Terza Damaliana</t>
  </si>
  <si>
    <t>0002089402</t>
  </si>
  <si>
    <t>UPN Veteran Jawa Timur</t>
  </si>
  <si>
    <t>Pemanfaatan Digitalisasi Untuk Mencetak Wirausaha Muda Di Sepanjang Asri Paska Pandemi Covid-19</t>
  </si>
  <si>
    <t>JMM (Jurnal Masyarakat Mandiri)</t>
  </si>
  <si>
    <t>SINTA; Google Scholar</t>
  </si>
  <si>
    <t>0704068902</t>
  </si>
  <si>
    <t>Rizki Afifatus Sa’diyah</t>
  </si>
  <si>
    <t>M. Dawud Emerulloh</t>
  </si>
  <si>
    <t>DIGITALISASI PEMESANAN AIR MINUM ISI ULANG PADA UD. DEPO BAHAGIA</t>
  </si>
  <si>
    <t>Tyrela Disya Arivani</t>
  </si>
  <si>
    <t>Tasya Andini Tesalonika</t>
  </si>
  <si>
    <t>Pelatihan Pembuatan Content Management System (CMS) Prestashop di SMK Ihyaul Ulum Gresik</t>
  </si>
  <si>
    <t>ABDIKAN : Jurnal Pengabdian Masyarakat Bidang Sains dan Teknologi</t>
  </si>
  <si>
    <t>Google Scholar</t>
  </si>
  <si>
    <t>0702048705</t>
  </si>
  <si>
    <t>Decentralized Static Output Feedback Controller Design For Linear Interconnected Systems</t>
  </si>
  <si>
    <t>International Journal of Applied Mathematics and Computer Science</t>
  </si>
  <si>
    <t>Shibaura Intitute of Technology</t>
  </si>
  <si>
    <t>Performance Analysis of The Energy Harvesting Techniques in Cooperative Communication Systems of NBIoT Devices Using Amplify and Forward (AF) Relaying Protocol</t>
  </si>
  <si>
    <t>Elinvo (Electronics, Informatics, and Vocational Education)</t>
  </si>
  <si>
    <t>0006116003</t>
  </si>
  <si>
    <t>0031055806</t>
  </si>
  <si>
    <t>Monitoring System and Control of Air Quality and Light Intensity at ITTelkom Surabaya Grenhouse with Fuzzy logic</t>
  </si>
  <si>
    <t>2022 1st International Conference on Software Engineering and Information Technology (ICoSEIT)</t>
  </si>
  <si>
    <t>0717017902</t>
  </si>
  <si>
    <t>Design of Indoor Smart Air Sterilization System With Air Quality Monitoring Based on IoT</t>
  </si>
  <si>
    <t>0705109002</t>
  </si>
  <si>
    <t>SFCL Influence on Critical Clearing Time Improvement using Critical Trajectory Method</t>
  </si>
  <si>
    <t>Rafin Aqsa Izza Mahendra</t>
  </si>
  <si>
    <t>0018036603</t>
  </si>
  <si>
    <t>Implementation of Extreme Learning Machine to Predict Distribution Power Transformer Lifetime</t>
  </si>
  <si>
    <t>International Review of Electrical Engineering (IREE)</t>
  </si>
  <si>
    <t>Universitas Mataram</t>
  </si>
  <si>
    <t>0017076807</t>
  </si>
  <si>
    <t>Oddy V. Putra</t>
  </si>
  <si>
    <t>Taufik</t>
  </si>
  <si>
    <t>A Note on Grid-Type Directed Acyclic Graph for Important Property of Resource Allocation Problem</t>
  </si>
  <si>
    <t>6th International Conference of Combinatorics, Graph Theory, and Network</t>
  </si>
  <si>
    <t>Quality evaluation of Food Product Sales Online Platform</t>
  </si>
  <si>
    <t>Proposed Marketing Concepts Using the Conjoin Method in MSMEs Sego Berkat Bu Murni</t>
  </si>
  <si>
    <t xml:space="preserve">JMK (Jurnal Manajemen dan Kewirausahaan) </t>
  </si>
  <si>
    <t>Hesti Dita Pramesti</t>
  </si>
  <si>
    <t>Pembuatan Smart Urban Farming Berbasis IoT untuk Kelompok Tani</t>
  </si>
  <si>
    <t>JIPEMAS</t>
  </si>
  <si>
    <t>0713029701</t>
  </si>
  <si>
    <t>Design and Analysis of Switching Power Vertical Wind Turbines and Solar Panels in the Equatorial Region</t>
  </si>
  <si>
    <t>0713068702</t>
  </si>
  <si>
    <t>Grading Problem -Solving of Clustering Students' Scores Using Dynamic Programming Prosedure in the Context of Dynamic Time Warping</t>
  </si>
  <si>
    <t>0703129001</t>
  </si>
  <si>
    <t>Water Quality Monitoring with Regression based PPM Sensor for Controlling Hydroponic Dissolved Nutrient</t>
  </si>
  <si>
    <t>Jurnal Ilmiah Teknik Elektro Komputer dan Informatika (JITEKI)</t>
  </si>
  <si>
    <t>Gilbert Wednestwo Samue</t>
  </si>
  <si>
    <t>Nursyahjaya Ramadaniputra, Era Anzha Naelil Munna</t>
  </si>
  <si>
    <t>RPL; TI</t>
  </si>
  <si>
    <t>1201202040; 1203200070</t>
  </si>
  <si>
    <t>Implementasi Metode Rebranding pada Produk Hasil Urban Farming Masyarakat Lokal di Masa Pandemi</t>
  </si>
  <si>
    <t>BEMAS: Jurnal Bermasyarakat</t>
  </si>
  <si>
    <t>0722069004</t>
  </si>
  <si>
    <t>0725059202</t>
  </si>
  <si>
    <t>Application of Data Mining for the Selection Process  of Prospective Students at ITTelkom Surabaya by using the SPSS Modeler</t>
  </si>
  <si>
    <t>Conference: International Conference on Advanced Information Scientific Development</t>
  </si>
  <si>
    <t>Anfazul Azizah</t>
  </si>
  <si>
    <t>Edriand Raygrandi</t>
  </si>
  <si>
    <t>Low-Cost Portable Throttle Curve Manipulator for Smooth Initial Movement of an Electric Vehicle</t>
  </si>
  <si>
    <t>Indonesian Journal of Electrical Engineering and Computer Science</t>
  </si>
  <si>
    <t>0721058310</t>
  </si>
  <si>
    <t>Aldo Juan Widodo</t>
  </si>
  <si>
    <t>Yosefan Alfeus Bayuaji</t>
  </si>
  <si>
    <t>Nadia Dinda Pratama Putri</t>
  </si>
  <si>
    <t>Membonsai Pemrograman Dinamis untuk Pencarian Solusi Optimal</t>
  </si>
  <si>
    <t>Deepublish</t>
  </si>
  <si>
    <t>Sinta</t>
  </si>
  <si>
    <t>0720088905</t>
  </si>
  <si>
    <t>Analisis Kesenjangan Performa Layanan &amp; Harapan Konsumen pada Sebuah Usaha Pangkas Rambut di Malang</t>
  </si>
  <si>
    <t>MAMEN: Jurnal Manajemen</t>
  </si>
  <si>
    <t>0723079501</t>
  </si>
  <si>
    <t>0725059501</t>
  </si>
  <si>
    <t>0707029303</t>
  </si>
  <si>
    <t>Bunga Pasha Maulidina</t>
  </si>
  <si>
    <t>ANALISIS PENGENDALIAN PERSEDIAAN BAHAN BAKU TEPUNG DENGAN METODE ECONOMIC ORDER QUANTITY (EOQ) DI UKM AJI BERKAH</t>
  </si>
  <si>
    <t>Jurnal Kelola: Jurnal Ilmu Sosial</t>
  </si>
  <si>
    <t>Muhammad Irzan</t>
  </si>
  <si>
    <t>Erni Damayanti</t>
  </si>
  <si>
    <t>Analysis of E-Government Health Application Features Acceptance on Partner Applications During COVID-19</t>
  </si>
  <si>
    <t>INTENSIF: Jurnal Ilmiah Penelitian dan Penerapan Teknologi Sistem Informasi</t>
  </si>
  <si>
    <t>Analysis of technological, organizational, environmental, and digital adoption factors on the net benefit of the mses sector in east java-indonesia</t>
  </si>
  <si>
    <t>Jurnal Mantik</t>
  </si>
  <si>
    <t>Aisyah Putri Amni Ramadhanti</t>
  </si>
  <si>
    <t>Farid Duta Hadyanto</t>
  </si>
  <si>
    <t>Array of Miniaturized Amperometric Gas Sensors Using Atomic Gold Decorated Pt/PANI Electrodes in Room Temperature Ionic Liquid Films</t>
  </si>
  <si>
    <t>Sensors</t>
  </si>
  <si>
    <t>0704069202</t>
  </si>
  <si>
    <t>Shohei Yoshida</t>
  </si>
  <si>
    <t>Data Mining berbasis Nearest Neighbor dan Seleksi Fitur untuk Deteksi Kanker Payudara</t>
  </si>
  <si>
    <t>Jurnal Informatika: Jurnal pengembangan IT (JPIT)</t>
  </si>
  <si>
    <t>0705069501</t>
  </si>
  <si>
    <t>Desain Dan Implementasi Aplikasi Penghafal Al-Quran Android Di Rumah Tahfidz Rabbunalloh Surabaya</t>
  </si>
  <si>
    <t>Jurnal Teknologi Dan Sistem Informasi Bisnis</t>
  </si>
  <si>
    <t>Muhammad Ath Thariq Luqmana</t>
  </si>
  <si>
    <t>Mochammad Sholik</t>
  </si>
  <si>
    <t>Design and Realization Of 2-Way Unequal-Split Power Divider Based On Branchline Coupler For S-Band Radar Applications</t>
  </si>
  <si>
    <t>The 5th International Conference On Vocational Education And Technology</t>
  </si>
  <si>
    <t>0722119101</t>
  </si>
  <si>
    <t>0408067804</t>
  </si>
  <si>
    <t>Development of IoT-Based Portable Power Quality Monitoring on Microgrids by Enhancing Protection Features</t>
  </si>
  <si>
    <t>IEEE Access</t>
  </si>
  <si>
    <t>072859203</t>
  </si>
  <si>
    <t>ARDYONO PRIYADI</t>
  </si>
  <si>
    <t>Profesi</t>
  </si>
  <si>
    <t>MARGO PUJIANTARA</t>
  </si>
  <si>
    <t>DIMAS OKKY ANGGRIAWAN</t>
  </si>
  <si>
    <t>0019019101</t>
  </si>
  <si>
    <t>MAURIDHI HERY PURNOMO</t>
  </si>
  <si>
    <t>D-Tags Design by Combining Bluetooth Router, IoT, and Mobile Phone to Track Personal Items</t>
  </si>
  <si>
    <t>ELKHA: Jurnal Teknik Elektro</t>
  </si>
  <si>
    <t>0714029301</t>
  </si>
  <si>
    <t>Rizal Fathurrahman</t>
  </si>
  <si>
    <t>EFFECTIVENESS OF THE HIGHER CURIOSITY LEARNING (HCL) MODEL ON CREATIVITY FOR EARLY CHILDHOOD</t>
  </si>
  <si>
    <t>Journal of Southwest Jiaotong University</t>
  </si>
  <si>
    <t>Lita Erdiana</t>
  </si>
  <si>
    <t>UNESA</t>
  </si>
  <si>
    <t>Yatim Riyanto</t>
  </si>
  <si>
    <t>Manajemen Pendidikan</t>
  </si>
  <si>
    <t>0010116115</t>
  </si>
  <si>
    <t>Bachtiar S. Bachri</t>
  </si>
  <si>
    <t>PTM</t>
  </si>
  <si>
    <t>0026046703</t>
  </si>
  <si>
    <t>Estimasi Galat Sebagai Kompensasi Hasil Pembacaan Sensor Suhu Non-Sentuh Menggunakan Regresi Linier</t>
  </si>
  <si>
    <t>Techno. Com. (Jurnal Teknologi Informasi)</t>
  </si>
  <si>
    <t>Sevia Indah Purnama</t>
  </si>
  <si>
    <t>0626098903</t>
  </si>
  <si>
    <t>Teknik Biomedis</t>
  </si>
  <si>
    <t>Mas Aly AfandI</t>
  </si>
  <si>
    <t>0617059302</t>
  </si>
  <si>
    <t>Sheila Shelvia Selamet</t>
  </si>
  <si>
    <t>Gas Sensor Array System Using Microgravimetric and Amperometric Sensors Coated with Room Temperature Ionic Liquid to Enhance Isomers Separation</t>
  </si>
  <si>
    <t>IEEE Sensors Journal</t>
  </si>
  <si>
    <t>GREEN WASTE DETECTION AND SORTING USING DEEP LEARNING IMPLEMENTED ON BANK SAMPAH INDUK SURABAYA</t>
  </si>
  <si>
    <t>Lomba Karya Tulis Ilmiah</t>
  </si>
  <si>
    <t>Salman</t>
  </si>
  <si>
    <t>Nadira Luna R</t>
  </si>
  <si>
    <t>Mochamad Fajar N</t>
  </si>
  <si>
    <t>Human activity prediction with human-object oriented graph neural network for homecare robot</t>
  </si>
  <si>
    <t>International Journal of Advances in Intelligent Informatics</t>
  </si>
  <si>
    <t> Yamada Nao</t>
  </si>
  <si>
    <t>Chyan Zheng Siow</t>
  </si>
  <si>
    <t>Kubota Naoyuki</t>
  </si>
  <si>
    <t>Hybrid Marine Predator Algorithm and Hide Object Game Optimization.</t>
  </si>
  <si>
    <t>Engineering Letters</t>
  </si>
  <si>
    <t>0404108003</t>
  </si>
  <si>
    <t>Immediate Effect Evaluation of a Robotic Ankle&amp;#8211;Foot Orthosis with Customized Algorithm for a Foot Drop Patient: A Quantitative and Qualitative Case Report</t>
  </si>
  <si>
    <t>International Journal of Environmental Research and Public Health</t>
  </si>
  <si>
    <t>Universiti Teknologi Malaysia</t>
  </si>
  <si>
    <t>Ahmad Mukifza Harun</t>
  </si>
  <si>
    <t>Implementasi scrum model dalam pengembangan aplikasi e-commerce pada bidang jasa pembangunan rumah</t>
  </si>
  <si>
    <t>Jenius : Jurnal Terapan Teknik Industri</t>
  </si>
  <si>
    <t>Annisa Putri Pratama</t>
  </si>
  <si>
    <t>Implementasi Teknologi Smart Farming Budidaya Jamur Di Kelompok Tani Elok Mekar Sari Surabaya</t>
  </si>
  <si>
    <t>Darma Abdi Karya</t>
  </si>
  <si>
    <t>0727059002</t>
  </si>
  <si>
    <t>ISO/IEC 25010: Analisis Kualitas Sistem E-learning sebagai Media Pembelajaran Online</t>
  </si>
  <si>
    <t>Journal of Information System, Graphics, Hospitality and Technology</t>
  </si>
  <si>
    <t>0721088602</t>
  </si>
  <si>
    <t>iTCLab Temperature Monitoring and Control System Based on PID and Internet of Things (IoT)</t>
  </si>
  <si>
    <t>Food Sustainability, Environmental Awareness, and Adaptation and Mitigation</t>
  </si>
  <si>
    <t>Book Chapter</t>
  </si>
  <si>
    <t>Minto Waluyo</t>
  </si>
  <si>
    <t>0730116101</t>
  </si>
  <si>
    <t>Tuhu Agung Rachmanto</t>
  </si>
  <si>
    <t>Teknik Lingkungan</t>
  </si>
  <si>
    <t>0001056209</t>
  </si>
  <si>
    <t>Mohamad Irwan Afandi</t>
  </si>
  <si>
    <t>0718077605</t>
  </si>
  <si>
    <t>Teknik Kimia</t>
  </si>
  <si>
    <t>0731076503</t>
  </si>
  <si>
    <t>Harianto</t>
  </si>
  <si>
    <t>Kombinasi Metode Multi-Objective Optimization on the Basis of Ratio Analysis (MOORA) dan Pembobotan Rank Order Centroid (ROC) dalam Pemilihan Tablet PC Terbaik</t>
  </si>
  <si>
    <t xml:space="preserve">Journal of Informatics Management and Information Technology </t>
  </si>
  <si>
    <t>Adinda Tria Suci</t>
  </si>
  <si>
    <t>Universitas Budi Darma</t>
  </si>
  <si>
    <t>Ryan Prayoga</t>
  </si>
  <si>
    <t>Samsul Lutfi</t>
  </si>
  <si>
    <t>Pendidikan Informatika</t>
  </si>
  <si>
    <t>Universitas Hamzanwadi</t>
  </si>
  <si>
    <t>0810079102</t>
  </si>
  <si>
    <t>Desyanti</t>
  </si>
  <si>
    <t>Teknik Informatika</t>
  </si>
  <si>
    <t>Sekolah Tinggi Teknologi Dumai</t>
  </si>
  <si>
    <t>Yonky Pernando</t>
  </si>
  <si>
    <t>Universitas Universal Riau</t>
  </si>
  <si>
    <t>Leaf Health Identification on Melon Plants Using Convolutional Neural Network</t>
  </si>
  <si>
    <t>Jurnal Nasional Pendidikan Teknik Informatika: JANAPATI</t>
  </si>
  <si>
    <t>0715128798</t>
  </si>
  <si>
    <t>Berliana Amelia</t>
  </si>
  <si>
    <t>M. Hamim Zajuli Al Faroby</t>
  </si>
  <si>
    <t>MODEL VECHILE ROUTING PROBLEM WITH BACKHAULS TIME WINDOWS PADA PRODUSEN X DENGAN PERBAIKAN 2-OPT</t>
  </si>
  <si>
    <t>KAIZEN : Management Systems &amp;amp; Industrial Engineering Journal</t>
  </si>
  <si>
    <t>0712059303</t>
  </si>
  <si>
    <t>Toward Planar Atomic-Gold Decorated Polyaniline Gas Sensors for Enhanced Electrochemical Sensing</t>
  </si>
  <si>
    <t xml:space="preserve">IEEE Sensors Journal, 2023 
</t>
  </si>
  <si>
    <t>Pelatihan dan pendampingan desain kemasan produk UMKM kampung kranggan gang V kota Surabaya</t>
  </si>
  <si>
    <t>0719079702</t>
  </si>
  <si>
    <t>Ahmad Nur Rosyid</t>
  </si>
  <si>
    <t>Adhitya Rinda Wahyu Purnama</t>
  </si>
  <si>
    <t>Sasotya Rigan Rafsanjana</t>
  </si>
  <si>
    <t>Tineke Sandra Wisesha</t>
  </si>
  <si>
    <t>Pelatihan Peningkatan Branding dan Optimalisasi Pemasaran Produk Lokal Menuju Produk Internasional pada UKM Nasi Tiwul SBR Malang</t>
  </si>
  <si>
    <t>KOMATIKA : Jurnal Pengabdian Kepada Masyarakat</t>
  </si>
  <si>
    <t>Pelatihan Program Re-Branding, Brand Awareness dan Digitalisasi Marketing pada UMKM PKK Kelurahan Sedati Gede</t>
  </si>
  <si>
    <t xml:space="preserve">Abdi Masyarakat </t>
  </si>
  <si>
    <t>0309069201</t>
  </si>
  <si>
    <t>0704029302</t>
  </si>
  <si>
    <t>070169701</t>
  </si>
  <si>
    <t>David Naka Nugroho Mustakim</t>
  </si>
  <si>
    <t>Fajar Buana</t>
  </si>
  <si>
    <t>Muhammad Zubaidilah Amin</t>
  </si>
  <si>
    <t>Pendampingan Perizinan Usaha Melalui Online Single Submission Risk-Based Approach Untuk Pelaku Usaha Perempuan Sekitar Desa Pangkahwetan Kecamatan Ujungpangkah</t>
  </si>
  <si>
    <t xml:space="preserve">Humanism: Jurnal Pengabdian Masyarakat </t>
  </si>
  <si>
    <t>0714069008</t>
  </si>
  <si>
    <t>Penerapan Metode Simple Additive Weighting (SAW) pada Sistem Pendukung Keputusan Seleksi Penerimaan Mahasiswa Baru</t>
  </si>
  <si>
    <t>Jurnal Responsif : Riset Sains dan Informatika</t>
  </si>
  <si>
    <t>070903401</t>
  </si>
  <si>
    <t>0728058503</t>
  </si>
  <si>
    <t>Penggunaan E-Supply Chain Management pada Produksi Pengolahan Furniture</t>
  </si>
  <si>
    <t>Jurnal Ilmiah Media Sisfo</t>
  </si>
  <si>
    <t>0730049402</t>
  </si>
  <si>
    <t>0710089403</t>
  </si>
  <si>
    <t>PENGUJIAN EFEK MODERASIAN E-GOVERNMENT PADA HUBUNGAN ICT DEVELOPMENT DAN MOBILE PAYMENT DENGAN LEVEL KORUPSI DI NEGARA MAJU DAN NEGARA BERKEMBANG</t>
  </si>
  <si>
    <t xml:space="preserve">JURNAL MANEKSI </t>
  </si>
  <si>
    <t>Eri Kartika</t>
  </si>
  <si>
    <t>Akuntansi</t>
  </si>
  <si>
    <t>Peningkatan Akselerasi Bisnis Industri Pangan Melalui Identifikasi Kekuatan Bisnis Produk di UMKM Binaan Telkom CDC</t>
  </si>
  <si>
    <t>Jurnal Pengabdian kepada Masyarakat dan aplikasi Teknologi (Adipati)</t>
  </si>
  <si>
    <t>0703119301</t>
  </si>
  <si>
    <t>07220069004</t>
  </si>
  <si>
    <t>Ines Mulia Nurdiana</t>
  </si>
  <si>
    <t>Reinardus Andoni Nasera Putra</t>
  </si>
  <si>
    <t>PENINGKATAN KEMAMPUAN DESAIN MEDIA PEMBELAJARAN BAGI GURU DI SEKOLAH MENENGAH ATAS</t>
  </si>
  <si>
    <t>0719109401</t>
  </si>
  <si>
    <t>Anandito Satria Pradana</t>
  </si>
  <si>
    <t>Fitri Rayani Siahaan</t>
  </si>
  <si>
    <t>PERAMALAN PERMINTAAN PADA INDUSTRI PERTAHANAN DI INDONESIA</t>
  </si>
  <si>
    <t>Tekmapro: Journal of Industrial Engineering and Management</t>
  </si>
  <si>
    <t>Recent developments in the design and application of magnetorheological fluids in the medical field</t>
  </si>
  <si>
    <t>Agus Lutanto</t>
  </si>
  <si>
    <t>Aditya Rio Prabowo</t>
  </si>
  <si>
    <t>M</t>
  </si>
  <si>
    <t>0015099202</t>
  </si>
  <si>
    <t>Fitrian Imaduddin</t>
  </si>
  <si>
    <t>0015068508</t>
  </si>
  <si>
    <t>STRATEGI REKAYASA SISTEM INFORMASI DAN TEKNOLOGI INFORMASI (STUDI KASUS: PT. GIT)</t>
  </si>
  <si>
    <t xml:space="preserve">Jurnal Teknik Informatika Kaputama (JTIK) </t>
  </si>
  <si>
    <t>0028069702</t>
  </si>
  <si>
    <t>Urgensi pencatatan keuangan digital berbasis ponsel pada UMKM di kota surabaya</t>
  </si>
  <si>
    <t>Rahaditya Dimas Prihardianto</t>
  </si>
  <si>
    <t>Firli Tajtibra</t>
  </si>
  <si>
    <t>Dimas Dandy Pradana Setiawan</t>
  </si>
  <si>
    <t>Yashmine Mela Ardianto</t>
  </si>
  <si>
    <t>Rahmalia Nurhalissa, Hendrawan Widianto</t>
  </si>
  <si>
    <t>Urgensi Pencatatan Keuangan Digital berbasis Ponsel UMKM di Kota Surabaya</t>
  </si>
  <si>
    <t>ABDIMASKU: JURNAL PENGABDIAN MASYARAKAT</t>
  </si>
  <si>
    <t>PaGi: Wujud Modernisasi Pasar Tradisional di Tengah Gempuran Teknologi</t>
  </si>
  <si>
    <t xml:space="preserve">Prosiding SEMNAS INOTEK (Seminar Nasional Inovasi Teknologi) </t>
  </si>
  <si>
    <t>Seminar Nasional</t>
  </si>
  <si>
    <t>Titus Dwiseno Handiko (Mhs)</t>
  </si>
  <si>
    <t>Maulana Naufal Hakim (Mhs)</t>
  </si>
  <si>
    <t>Dominggo Bayu bagaskara</t>
  </si>
  <si>
    <t>Penerapan Metode Weighted Product dalam Penyeleksian Supervisor Terbaik</t>
  </si>
  <si>
    <t>Bulletin of Informatics and Data Science 2</t>
  </si>
  <si>
    <t>Adrianus Gultom</t>
  </si>
  <si>
    <t>Universitas Budi Darma, Medan</t>
  </si>
  <si>
    <t>Universitas Universal, Batam</t>
  </si>
  <si>
    <t>Joko Kuswanto</t>
  </si>
  <si>
    <t>Universitas Baturaja, Sumatera Selatan</t>
  </si>
  <si>
    <t>Nursaka Putra</t>
  </si>
  <si>
    <t>Teknologi Rekayasa Elektromedis</t>
  </si>
  <si>
    <t>Institut Kesehatan dan Teknologi Al Insyirah (IKTA) Pekanbaru, Riau</t>
  </si>
  <si>
    <t>0409079510</t>
  </si>
  <si>
    <t>Amsar Amsar</t>
  </si>
  <si>
    <t>Politeknik Aceh Selatan, Aceh</t>
  </si>
  <si>
    <t>An Improved Performance of Support Vector Machine to
Classify EEG Motor Imagery based on Differential Asymmetry</t>
  </si>
  <si>
    <t>Przeglad Elektrotechniczny 99</t>
  </si>
  <si>
    <t>Yulianto Tejo Putranto</t>
  </si>
  <si>
    <t>0724088803</t>
  </si>
  <si>
    <t>0012027005</t>
  </si>
  <si>
    <t>Mochamad Hariadi</t>
  </si>
  <si>
    <t>009126903</t>
  </si>
  <si>
    <t>IoT-Based Power Monitoring and Lifetime Estimation of a Distribution Transformer in Building Scale</t>
  </si>
  <si>
    <t>2023 IEEE International Instrumentation and Measurement Technology Conference (I2MTC)</t>
  </si>
  <si>
    <t>Nata Khakima Adhuna</t>
  </si>
  <si>
    <t>Shannon entropy on near-infrared spectroscopy for
nondestructively determining water content in oil palm</t>
  </si>
  <si>
    <t>International Journal of Electrical and Computer Engineering (IJECE)</t>
  </si>
  <si>
    <t>Scopus, SCImago Journal Rank (SJR)</t>
  </si>
  <si>
    <t>Inna Novianty</t>
  </si>
  <si>
    <t>0019118604</t>
  </si>
  <si>
    <t>IPB</t>
  </si>
  <si>
    <t>Walidatush Sholihah</t>
  </si>
  <si>
    <t>0011128408</t>
  </si>
  <si>
    <t xml:space="preserve"> Gema Parasti Mindara</t>
  </si>
  <si>
    <t>0310108701</t>
  </si>
  <si>
    <t>Muhammad Iqbal Nurulhaq</t>
  </si>
  <si>
    <t>Technology and Plantation Production Management Study Program</t>
  </si>
  <si>
    <t>0011059102</t>
  </si>
  <si>
    <t>Rismen Sinambela</t>
  </si>
  <si>
    <t>Christian University Indonesia</t>
  </si>
  <si>
    <t>0317116903</t>
  </si>
  <si>
    <t>Pradeka Brilyan Purwandoko, Muhammad Achirul Nanda</t>
  </si>
  <si>
    <t>Research Center for Appropriate Technology, Department of Agricultural and Biosystem Engineering</t>
  </si>
  <si>
    <t>National Research and Innovation Agency, Universitas Padjajaran</t>
  </si>
  <si>
    <t>6830376; 6758972</t>
  </si>
  <si>
    <t>0515089302; '0030099301</t>
  </si>
  <si>
    <t>Design and Implementation of Sensor Systems for Localization of the Autonomous Robot in a Building Area</t>
  </si>
  <si>
    <t>Jurnal Nasional Teknik Elektro (JNTE)</t>
  </si>
  <si>
    <t>Putu Duta Hasta Putra (Mhs)</t>
  </si>
  <si>
    <t>Enabling Guardian Angels: Designing and Constructing a Wireless Nurse CallSystem with IMU-Based Fall Detection for Enhanced Patient Safety</t>
  </si>
  <si>
    <t>Berryl Cholif Arrohman Nurriduwan (mhs)</t>
  </si>
  <si>
    <t>Usability Testing on ITTS MART Prototype</t>
  </si>
  <si>
    <t xml:space="preserve">Sistemasi: Jurnal Sistem Informasi </t>
  </si>
  <si>
    <t>Adek Dhea Resmi Purbantari (Mhs)</t>
  </si>
  <si>
    <t>Fidelia Adinda Syafani (Mhs)</t>
  </si>
  <si>
    <t>Ahmad Ihsan Fuady (Mhs)</t>
  </si>
  <si>
    <t>Classification of Cervical Cell Images into Healthy or Cancer Using Convolution Neural Network and Linear Discriminant Analysis</t>
  </si>
  <si>
    <t>2023 IEEE International Conference on Industry 4.0</t>
  </si>
  <si>
    <t>0020127508</t>
  </si>
  <si>
    <t>Bilqis Amaliah</t>
  </si>
  <si>
    <t>0014097503</t>
  </si>
  <si>
    <t>Rancang Bangun Aplikasi Sentimen Pendapat Masyarakat Indonesia Terhadap Vaksin COVID-19 Dengan Menggunakan Algoritma Long Short-Term Memory Berbasis Web</t>
  </si>
  <si>
    <t>INTEGER: Journal of Information Technology</t>
  </si>
  <si>
    <t>PENGABDIAN KEPADA MASYARAKAT BERBASIS PENGEMBANGAN PENELITIAN PADA SEBUAH PERUSAHAAN KONSTRUKSI</t>
  </si>
  <si>
    <t>Jurnal Masyarakat Mandiri (JMM)</t>
  </si>
  <si>
    <t>0724099501</t>
  </si>
  <si>
    <t>0010109403</t>
  </si>
  <si>
    <t>Aditiya Taruna Septian Wibowo (Mhs)</t>
  </si>
  <si>
    <t>Arini Pramesta Setyaningtitah (Mhs)</t>
  </si>
  <si>
    <t>Alfina Ayu Puspitasari (Mhs)</t>
  </si>
  <si>
    <t>Yulia Wahyu Ningsih (Mhs)</t>
  </si>
  <si>
    <t xml:space="preserve">
Jurnal Mantik</t>
  </si>
  <si>
    <t>Aisyah Putri Amni Ramadhanti (Mhs)</t>
  </si>
  <si>
    <t>Ekky Dea Audry Jaya (Mhs)</t>
  </si>
  <si>
    <t>Farid Duta Hadyanto (Mhs)</t>
  </si>
  <si>
    <t>ISO/IEC 25010 : Analisis Kualitas Sistem E-learning sebagai Media Pembelajaran Online</t>
  </si>
  <si>
    <t>Nadiah Ratnaduhita (Mhs)</t>
  </si>
  <si>
    <t>PELATIHAN OPTIMALISASI SOSIAL MEDIA DAN GOOGLE BUSINESS SEBAGAI MEDIA PEMASARAN DI SEKTOR PETERNAKAN TELUR BEBEK</t>
  </si>
  <si>
    <t>0729059601</t>
  </si>
  <si>
    <t>0702049801</t>
  </si>
  <si>
    <t>Yuni Qoriah Verdiana (Mhs)</t>
  </si>
  <si>
    <t>Rheynansya Tabriz Tajj Hauravin Al Kanza (Mhs)</t>
  </si>
  <si>
    <t>Si</t>
  </si>
  <si>
    <t>Factor Analysis of Intention to Use Open-Source ERP: A Case Study from East Java Area</t>
  </si>
  <si>
    <t>Analisis eWOM terhadap Destinasi Wisata Super Prioritas Menggunakan Text Mining</t>
  </si>
  <si>
    <t xml:space="preserve"> Indonesian Journal of Multidisciplinary on Social and Technology</t>
  </si>
  <si>
    <t>Google Scolar, Garuda</t>
  </si>
  <si>
    <t>0701069701</t>
  </si>
  <si>
    <t>Cita Lentera (Mhs)</t>
  </si>
  <si>
    <t>Design Science Research in Developing Traffic Urgency Model From Text for Determining Transportation Complaint Priority - an Initial Investigation</t>
  </si>
  <si>
    <t>2023 International Seminar on Intelligent Technology and Its Applications</t>
  </si>
  <si>
    <t>0027047002</t>
  </si>
  <si>
    <t>Retno Aulia Vinarti</t>
  </si>
  <si>
    <t>0716118801</t>
  </si>
  <si>
    <t>The Joint Channel Coding and Pre-Distortion Technique on the USRP-Based MIMO-OFDM System</t>
  </si>
  <si>
    <t>Jurnal RESTI (Rekayasa Sistem dan Teknologi Informasi)</t>
  </si>
  <si>
    <t>I Gede Puja Astawa</t>
  </si>
  <si>
    <t>0027026704</t>
  </si>
  <si>
    <t>Web profile development for furniture business in UD Rozi Rachmad, Surabaya City</t>
  </si>
  <si>
    <t>Abdimas: Jurnal Pengabdian Masyarakat Universitas Merdeka Malang</t>
  </si>
  <si>
    <t>0714079701</t>
  </si>
  <si>
    <t>Tracy Olivia</t>
  </si>
  <si>
    <t>Devandro Alifiano</t>
  </si>
  <si>
    <t>Fajrul Fallah Arrafi</t>
  </si>
  <si>
    <t>An efficient activity recognition for homecare robots from multi-modal communication dataset</t>
  </si>
  <si>
    <t>Yamada Nao</t>
  </si>
  <si>
    <t>Tokyo Metropolitan University, Japan</t>
  </si>
  <si>
    <t>The ontology model for selecting quality melons uses hidden semantic data based on melon knowledge domains</t>
  </si>
  <si>
    <t>13th IEEE Symposium on Computer Applications and Industrial Electronics, ISCAIE 2023</t>
  </si>
  <si>
    <t>Hendra Kusuma</t>
  </si>
  <si>
    <t>Utilization of winged bean ( Psophocarpus tetragonolobus) seed powder as a coagulant and activated natural zeolite as an adsorbent for improving of tapioca and tofu wastewater qualities</t>
  </si>
  <si>
    <t>Journal of Physics: Conference Series</t>
  </si>
  <si>
    <t>SILVI ISTIQOMAH</t>
  </si>
  <si>
    <t>SRI HASTUTI</t>
  </si>
  <si>
    <t>Venty Suryanti</t>
  </si>
  <si>
    <t>Effect of tempering on case hardening aluminum 7075 on its hardness</t>
  </si>
  <si>
    <t>Focal Region Ray Tracing of Conventional and Shaped Lens Antenna</t>
  </si>
  <si>
    <t>International Journal of Integrated Engineering</t>
  </si>
  <si>
    <t>Quality of Service (QoS) Wifi Network Study Case: Telkom University Dormitory Hall</t>
  </si>
  <si>
    <t xml:space="preserve">Proceedings of the 2023 IEEE International Conference on Industry 4.0, Artificial Intelligence, and </t>
  </si>
  <si>
    <t>Muharman Lubis</t>
  </si>
  <si>
    <t>Prediction of Human Body Orientation based on Voxel Using 3D Convolutional Neural Network</t>
  </si>
  <si>
    <t>2023 International Seminar on Intelligent Technology and Its Applications: Leveraging Intelligent Sy</t>
  </si>
  <si>
    <t>Eko Mulyanto Yuniarno</t>
  </si>
  <si>
    <t>Improvement of Critical Clearing Time by Combination of SFCL and SCES Using Critical Trajectory Method</t>
  </si>
  <si>
    <t>Hanif Rifai Adha</t>
  </si>
  <si>
    <t>Vita Lystianingrum</t>
  </si>
  <si>
    <t>Rafin Aqza Izza Mahendra</t>
  </si>
  <si>
    <t>A Combination of Transfer Learning and Support Vector Machine for Robust Classification on Small Weed and Potato Datasets</t>
  </si>
  <si>
    <t>International Journal on Informatics Visualization</t>
  </si>
  <si>
    <t>Institut Teknologi Telkom Purwokerto</t>
  </si>
  <si>
    <t>A review of safety test methods for new car assessment program in Southeast Asian countries</t>
  </si>
  <si>
    <t>Open Engineering</t>
  </si>
  <si>
    <t>Siti Nur Atiqah Halimi</t>
  </si>
  <si>
    <t>Susijanto Tri Rasmana </t>
  </si>
  <si>
    <t>Wira Jazair Yahya</t>
  </si>
  <si>
    <t>Mohd Hatta Mohammed Ariff</t>
  </si>
  <si>
    <t>Nurulakmar Abu Husain, Khairil Anwar Abu Kassim</t>
  </si>
  <si>
    <t>Review: Recent Developments in the Design and Application of Magnetorheological Fluids in the Medical Field</t>
  </si>
  <si>
    <t>Investigation of Obstacle Prediction Network for Improving Home-Care Robot Navigation Performance</t>
  </si>
  <si>
    <t>Journal of Robotics and Mechatronics</t>
  </si>
  <si>
    <t>Wei Hong Chin</t>
  </si>
  <si>
    <t>IEEE Transactions on Industrial Informatics</t>
  </si>
  <si>
    <t>Jejak Adventure : Platform Penyedia Traveling Berbasis Web</t>
  </si>
  <si>
    <t>eProceedings of Applied Science</t>
  </si>
  <si>
    <t>Bagus Pahlefi</t>
  </si>
  <si>
    <t>Math Is Fun : Aplikasi Belajar Matematika Untuk Anak Sekolah Dasar Berbasis Android</t>
  </si>
  <si>
    <t>NURLAILIYAH SALSABILAH VALENTINA</t>
  </si>
  <si>
    <t>Pengembangan Kualitas Konten Informasi Display Masjid Berbasis Web</t>
  </si>
  <si>
    <t>ABDIKAN: Jurnal Pengabdian Masyarakat Bidang Sains dan Teknologi</t>
  </si>
  <si>
    <t>STRATEGI PENINGKATAN PEMASARAN DAN PENJUALAN PRODUK OLAHAN BUAH MANGROVE MELALUI PEMBUATAN WEBSITE</t>
  </si>
  <si>
    <t>Aptekmas Jurnal Pengabdian pada Masyarakat</t>
  </si>
  <si>
    <t>Desain Mobile Robot dengan Differential Steering untuk Penyemprot Nutrisi Tanaman Melon di Greenhouse</t>
  </si>
  <si>
    <t>Emitor: Jurnal Teknik Elektro</t>
  </si>
  <si>
    <t>ardiansyah al farouq</t>
  </si>
  <si>
    <t>Silvi Prastiwi Renanda Putri</t>
  </si>
  <si>
    <t>Desain dan Implementasi Sistem Sensor untuk Lokalisasi pada Autonomous Robot IVANA di Area Gedung</t>
  </si>
  <si>
    <t>JURNAL NASIONAL TEKNIK ELEKTRO</t>
  </si>
  <si>
    <t>Rancang Bangun Sistem Kendali Nilai Klorin Pada Kandungan Air Laut Menggunakan Metode Fuzzy Logic</t>
  </si>
  <si>
    <t>Journal of Computer, Electronic, and Telecommunication (COMPLETE)</t>
  </si>
  <si>
    <t>Dimas Bagas Wicaksono</t>
  </si>
  <si>
    <t>Organizational Strategy Analysis to Increase Competitiveness Using SWOT and QSPM Methods at U.D. Garuda Jaya</t>
  </si>
  <si>
    <t>Jurnal Bisnis dan Manajemen</t>
  </si>
  <si>
    <t>Ayu Prema Laksmi</t>
  </si>
  <si>
    <t>SISTEM PENDUKUNG KEPUTUSAN PEMILIHAN PIMPINAN TERBAIK DENGAN WEIGHT PRODUCT PADA PERUSAHAAN SWASTA</t>
  </si>
  <si>
    <t>semanTIK : Teknik Informasi</t>
  </si>
  <si>
    <t>Sosialisasi Peningkatan Kepuasan Pelanggan pada Kelompok Usaha Bareng Raya</t>
  </si>
  <si>
    <t>NUSANTARA Jurnal Pengabdian Kepada Masyarakat</t>
  </si>
  <si>
    <t>Matteo Ibastian</t>
  </si>
  <si>
    <t>Sistem Pendukung Keputusan Pemilihan Lokasi Gudang dengan Metode Vikor Pada PT. ABC</t>
  </si>
  <si>
    <t>SISFOTENIKA</t>
  </si>
  <si>
    <t>Riza Akhsani setyo prayoga</t>
  </si>
  <si>
    <t>Adinda Ayu Shavira</t>
  </si>
  <si>
    <t>Pemerataan Infrastruktur Telekomunikasi untuk Kesejahteraan Digital</t>
  </si>
  <si>
    <t>Prosiding SEMNAS INOTEK (Seminar Nasional Inovasi Teknologi)</t>
  </si>
  <si>
    <t>Tarangga Atha Putra Suseno</t>
  </si>
  <si>
    <t>Andi Luthfi Moh</t>
  </si>
  <si>
    <t>Dominggo Bayu Bagaskara</t>
  </si>
  <si>
    <t>Website profile development for digitalization of grass jelly based MSMEs</t>
  </si>
  <si>
    <t>Fauzan Nusyura</t>
  </si>
  <si>
    <t>Muhammad Anjas Ardiansyah</t>
  </si>
  <si>
    <t>Muhammad Rashid Syaputra</t>
  </si>
  <si>
    <t>IMPLEMENTASI SISTEM PENDUKUNG KEPUTUSAN UNTUK MEMILIH CAFÉ DENGAN METODE MABAC</t>
  </si>
  <si>
    <t>JURNAL INFORMATIKA DAN KOMPUTER</t>
  </si>
  <si>
    <t>Riza Akhsani Akhsani Setyo Prayoga</t>
  </si>
  <si>
    <t>Penentuan Pemasok Jagung dengan Metode ROC Pada UMKM Kuliner</t>
  </si>
  <si>
    <t>Adzanil Rachmadi Putra</t>
  </si>
  <si>
    <t>Fiddin Yusfida A’la</t>
  </si>
  <si>
    <t>Universitas Sebelas Maret Surakarta</t>
  </si>
  <si>
    <t>Laqma Dica Fitrani</t>
  </si>
  <si>
    <t>Universitas Hayam Wuruk Perbanas Surabaya</t>
  </si>
  <si>
    <t>Pembentukan Kelompok Usaha Dan Strategi Branding Untuk Membentuk Identitas Brand Di Daerah Bareng Raya</t>
  </si>
  <si>
    <t>KREATIF: Jurnal Pengabdian Masyarakat Nusantara</t>
  </si>
  <si>
    <t>Riris Ainur Rosidah</t>
  </si>
  <si>
    <t>Pelatihan Desain Poster Menggunakan Canva Bagi Siswa SMA Negeri 1 Surabaya</t>
  </si>
  <si>
    <t>Madani : Indonesian Journal of Civil Society</t>
  </si>
  <si>
    <t>Muhammad Zhahnur Arif</t>
  </si>
  <si>
    <t>Ridho Rahmatullah</t>
  </si>
  <si>
    <t>Annisa Nur Salsabilla</t>
  </si>
  <si>
    <t>Perencanaan Arsitektur Sistem Informasi pada PT. XYZ dengan Menggunakan Pendekatan TOGAF ADM</t>
  </si>
  <si>
    <t>Journal of Information System,Graphics, Hospitality and Technology</t>
  </si>
  <si>
    <t>Sistem Estimasi State of Charge untuk Aplikasi Sistem Tertanam Berbasis Neural Networks</t>
  </si>
  <si>
    <t>Jurnal Nasional Teknik Elektro dan Teknologi Informasi</t>
  </si>
  <si>
    <t>Analisis Regresi Logistik Biner Multilevel pada Status Kemiskinan di Pulau Jawa menggunakan Algoritma MCMC Metropolis-Hasting</t>
  </si>
  <si>
    <t>J STATISTIKA: Jurnal Imiah Teori dan Aplikasi Statistika</t>
  </si>
  <si>
    <t>PEMANFAATAN TENAGA SURYA DALAM PEMBUATAN SOLAR CHARGING STATION SEBAGAI PENUNJANG FASILITAS UMUM DI SEKOLAH AL ISLAH SURABAYA</t>
  </si>
  <si>
    <t>Abdimas Galuh</t>
  </si>
  <si>
    <t>Gempar Alamsyah</t>
  </si>
  <si>
    <t>The Development of Human Resources Data Management Application at PT. Anugrah Laut Indonesia</t>
  </si>
  <si>
    <t xml:space="preserve">IJAIT (International Journal of Applied Information Technology), 21-31, 2023 </t>
  </si>
  <si>
    <t>Hetti Hidayati</t>
  </si>
  <si>
    <t>Cahyana Cahyana</t>
  </si>
  <si>
    <t>ENTREPRENEURSHIP</t>
  </si>
  <si>
    <t>Penerbit Widina Media Utama</t>
  </si>
  <si>
    <t>PERENCANAAN PROSES BISNIS</t>
  </si>
  <si>
    <t>Cendikia Mulia Mandiri</t>
  </si>
  <si>
    <t>Sistem Informasi Jasa Reparasi Gadget Berbasis Website di Toko Light Service</t>
  </si>
  <si>
    <t>TIN: Terapan Informatika Nusantara</t>
  </si>
  <si>
    <t>Rizal Irfansyah Putra</t>
  </si>
  <si>
    <t>PEMBUATAN ALAT DESTILASI AIR BERTENAGA PANEL SURYA BAGI WARGA PENGHUNI DAERAH BERSUMBER AIR ASIN</t>
  </si>
  <si>
    <t>Cornelia Angela Caezaria</t>
  </si>
  <si>
    <t>Rizqy Athiyya Nafi’atus Sa’idah</t>
  </si>
  <si>
    <t>USULAN PERANCANGAN INTERFACE APLIKASI KEUANGAN UNTUK UMKM</t>
  </si>
  <si>
    <t xml:space="preserve">Jurnal Kelola: Jurnal Ilmu Sosial </t>
  </si>
  <si>
    <t>Habib Mirza Alfansuri</t>
  </si>
  <si>
    <t>Peran Da'i dalam Meningkatkan Pemahaman Agama di Kalangan Remaja Kelurahan Mulia Agung Kecamatan Banyuasin III Kabupaten Banyuasin</t>
  </si>
  <si>
    <t>Social Science and Contemporary Issues Journal</t>
  </si>
  <si>
    <t>Ayu Wahyuni</t>
  </si>
  <si>
    <t>Kusnadi Kusnadi</t>
  </si>
  <si>
    <t>Emi Puspita Dewi</t>
  </si>
  <si>
    <t>Implementasi Zakat Hasil Pertanian Ditinjau dalam Hukum Islam (Studi Kasus Desa Sukamenak Kecamatan Baros Kabupaten Serang)</t>
  </si>
  <si>
    <t>UIN Sultan Maulana Hasanuddin Banten</t>
  </si>
  <si>
    <t>Automation of Bricket Charcoal Press Machine to Increase Production Capacity in Kampoeng Oase Ondomohen Surabaya</t>
  </si>
  <si>
    <t>Engagement: Jurnal Pengabdian Kepada Masyarakat</t>
  </si>
  <si>
    <t>Aulia Annisa</t>
  </si>
  <si>
    <t>Annisa Rizkyta Nabilah Junaidi</t>
  </si>
  <si>
    <t>Muhammad Ardiansyah Al Faiz</t>
  </si>
  <si>
    <t>Perancangan Sistem Sortir Limbah Plastik Warna Berdasarkan Warna Menggunakan PLC</t>
  </si>
  <si>
    <t>Fayola Liyani</t>
  </si>
  <si>
    <t>Ryan Yudha Adhitya</t>
  </si>
  <si>
    <t>Usability Testing on ITTS MART Protype</t>
  </si>
  <si>
    <t>6681051</t>
  </si>
  <si>
    <t>Rizqa Amelia Zunaidi3</t>
  </si>
  <si>
    <t>66810516</t>
  </si>
  <si>
    <t>07110693017</t>
  </si>
  <si>
    <t>TI8</t>
  </si>
  <si>
    <t>ITTELKOM Surabaya9</t>
  </si>
  <si>
    <t>1203190036</t>
  </si>
  <si>
    <t>TI10</t>
  </si>
  <si>
    <t>ITTELKOM Surabaya11</t>
  </si>
  <si>
    <t>-12</t>
  </si>
  <si>
    <t>1203190012</t>
  </si>
  <si>
    <t>ITTELKOM Surabaya13</t>
  </si>
  <si>
    <t>6680648</t>
  </si>
  <si>
    <t>SI14</t>
  </si>
  <si>
    <t>ITTELKOM Surabaya15</t>
  </si>
  <si>
    <t>-16</t>
  </si>
  <si>
    <t>1204200124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</si>
  <si>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</si>
  <si>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</si>
  <si>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</si>
  <si>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</si>
  <si>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</si>
  <si>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</si>
  <si>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</si>
  <si>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</si>
  <si>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</si>
  <si>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</si>
  <si>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Desain dan Implementasi Sistem Pengelolaan Kerja Praktik dan Magang Perguruan Tinggi Terintegrasi dengan Sistem Informasi Akademik: Studi Kasus Institut Teknologi Telkom Surabaya</t>
  </si>
  <si>
    <t>Journal of Advances in Information and Industrial Technology</t>
  </si>
  <si>
    <t xml:space="preserve"> Fidi Wincoko Putro</t>
  </si>
  <si>
    <t>Syahfril Nizammudin</t>
  </si>
  <si>
    <t>William Kurniawan</t>
  </si>
  <si>
    <t>Rizki Fadillah</t>
  </si>
  <si>
    <t>Pembuatan smart urban farming berbasis internet of things untuk kelompok tani</t>
  </si>
  <si>
    <t>Jurnal Inovasi Hasil Pengabdian Masyarakat (JIPEMAS)</t>
  </si>
  <si>
    <t>Enhancing Voxel-Based Human Pose Classification Using CNN with Modified VGG16 Method</t>
  </si>
  <si>
    <t>ICITDA 2023 - Proceedings of the 2023 8th International Conference on Information Technology and Dig</t>
  </si>
  <si>
    <t>Implementasi Sistem Rekomendasi Tipe Rumah Menggunakan Metode Naïve Bayes</t>
  </si>
  <si>
    <t>Jurnal JTIK (Jurnal Teknologi Informasi dan Komunikasi</t>
  </si>
  <si>
    <t>Mohammad Iqbal</t>
  </si>
  <si>
    <t>Sistem Informasi Geografis (SIG) Pencarian Wisata di Probolinggo Menggunakan Sequential Search dan Location Based Service (LBS)</t>
  </si>
  <si>
    <t>AA Fadlilah</t>
  </si>
  <si>
    <t>Implementasi Sistem Rekomendasi Rute Penanganan Gangguan Berbasis Android menggunakan Best First Search</t>
  </si>
  <si>
    <t>Jurnal JTIK (Jurnal Teknologi Informasi dan Komunikasi)</t>
  </si>
  <si>
    <t>Light Intensity Control and Greenhouse Monitoring System for Melon Cultivation</t>
  </si>
  <si>
    <t>Proceeding - IEEE 9th Information Technology International Seminar, ITIS 2023</t>
  </si>
  <si>
    <t>Chintya Tribhuana Utami</t>
  </si>
  <si>
    <t>Strategi Peningkatan Pemasaran dan Penjualan Produk Olahan Buah Mangrove Melalui Pembuatan website</t>
  </si>
  <si>
    <t>Wireless Node Localization Based on Wild Goats Algorithm for Industrial Internet of Things</t>
  </si>
  <si>
    <t>Journal of Korean Institute of Communications and Information Sciences</t>
  </si>
  <si>
    <t>Risk Management for New Student Admission Information Systems at Higher Education using the Octave Allegro Approach</t>
  </si>
  <si>
    <t>IAIC International Conference Series 4</t>
  </si>
  <si>
    <t>Wahyuddin S.</t>
  </si>
  <si>
    <t>YOLOV4 Deepsort ANN for Traffic Collision Detection</t>
  </si>
  <si>
    <t>Bernadus Seno Aji</t>
  </si>
  <si>
    <t>Mardhiyyah Rafrin</t>
  </si>
  <si>
    <t>Institut Teknologi Bacharuddin Jusuf Habibie</t>
  </si>
  <si>
    <t>JIKO (Jurnal Informatika dan Komputer)</t>
  </si>
  <si>
    <t>Enhancing Battery SOC Estimation Method Through ANN-Based Incorporation of SOH Degradation</t>
  </si>
  <si>
    <t>2023 International Electronics Symposium (IES)</t>
  </si>
  <si>
    <t>ANN-based State of Charge Estimation of Li-ion Batteries for Embedded Applications</t>
  </si>
  <si>
    <t>Evaluating the Battery Management System's Performance Under Levels of State of Health (SOH) Parameters</t>
  </si>
  <si>
    <t>Journal of Robotics and Control (JRC)</t>
  </si>
  <si>
    <t>Perancangan Enterprise Architecture Dengan TOGAF-ADM Framework Dan ISO 27001: 2013 Pada Institut Teknologi Telkom Surabaya</t>
  </si>
  <si>
    <t>Thesis</t>
  </si>
  <si>
    <t>IoT-Based Flood Early Warning System For Remote Deployment and an Integrated Social Media</t>
  </si>
  <si>
    <t>2023 IEEE Asia-Pacific Conference on Geoscience, Electronics and Remote Sensing Technology: Global C</t>
  </si>
  <si>
    <t>Immediate Effect Evaluation of a Robotic Ankle–Foot Orthosis with Customized Algorithm for a Foot Drop Patient: A Quantitative and Qualitative Case Report</t>
  </si>
  <si>
    <t>Making Sense of Developing Artificial Intelligence-Based System in Software Development Life Cycle Manner and Addressing Risk Factors</t>
  </si>
  <si>
    <t>2023 6th International Conference of Computer and Informatics Engineering</t>
  </si>
  <si>
    <t>Integration of quality function deployment (QFD) and analytical hierarchy process (AHP) to improve student information system</t>
  </si>
  <si>
    <t>AIP conference proceedings</t>
  </si>
  <si>
    <t>Usability Testing on Student Mobile Application in University using Cognitive Walkthrough Method</t>
  </si>
  <si>
    <t>Proceedings of the 2023 8th International Conference on Information Systems</t>
  </si>
  <si>
    <t>Kartika Gianina Tileng</t>
  </si>
  <si>
    <t>Lenny Rosita</t>
  </si>
  <si>
    <t>Christian</t>
  </si>
  <si>
    <t>DATA SCIENCE</t>
  </si>
  <si>
    <t>Pelatihan Optimalisasi Sosial Media Dan Google Business Sebagai Media Pemasaran Di Sektor Peternakan Telur Bebek</t>
  </si>
  <si>
    <t>Rheynansya Tabriz Tajj Hauravin Al Kanza</t>
  </si>
  <si>
    <t>Membonsai Pemrograman Dinamis Untuk Pencarian Solusi Optimal</t>
  </si>
  <si>
    <t>Mochammad Nizar Palefi Ma'ady</t>
  </si>
  <si>
    <t>Sosialisasi Dan Pelatihan Komputerisasi Akuntansi Di Sektor Peternakan Bebek Petelur</t>
  </si>
  <si>
    <t>Peningkatan Kualitas Tri Dharma Perguruan Tinggi Melalui Pelatihan SISTER Pada STAI Ali bin Abi Thalib</t>
  </si>
  <si>
    <t>Madani: Indonesian Journal of Civil Society</t>
  </si>
  <si>
    <t>Pengabdian Masyarakat</t>
  </si>
  <si>
    <t>TUS</t>
  </si>
  <si>
    <t>P Anaking, Y Sudianto, H Widyantara</t>
  </si>
  <si>
    <t>Information Technology Security Audit at the YDSF National Zakat Institution Using the ISO 27001 Framework</t>
  </si>
  <si>
    <t>Jurnal Sisfokom (Sistem Informasi dan Komputer)</t>
  </si>
  <si>
    <t>Penelitian</t>
  </si>
  <si>
    <t>0722108201</t>
  </si>
  <si>
    <t>Muhamad Muhamad</t>
  </si>
  <si>
    <t>Yuvens Anggito</t>
  </si>
  <si>
    <t>Wahid Yasin</t>
  </si>
  <si>
    <t>Hendrik Hermawan</t>
  </si>
  <si>
    <t>APLIKASI SISTEM REKOMENDASI PAKET WISATA DI SULAWESI SELATAN BERBASIS WEBSITE</t>
  </si>
  <si>
    <t>JATI (Jurnal Mahasiswa Teknik Informatika)</t>
  </si>
  <si>
    <t>Devysikaelo Ira Rantelili</t>
  </si>
  <si>
    <t>Design of integrated control and monitoring system to IT Telkom Surabaya rooftop empowerment</t>
  </si>
  <si>
    <t>0708069202</t>
  </si>
  <si>
    <t>PEMBUATAN COMPANY PROFILE YAYASAN BERBASIS WEB UNTUK MENINGKATKAN KUNJUNGAN DIGITAL CALON DONATUR</t>
  </si>
  <si>
    <t>Muhammad Masum Juniyanto</t>
  </si>
  <si>
    <t>0715128708</t>
  </si>
  <si>
    <t>Decision Tree based Data Modelling for First Detection of Thalassemia Major</t>
  </si>
  <si>
    <t>Design of Integrated Control and Monitoring System to ITTelkom Surabaya Rooftop Empowerment</t>
  </si>
  <si>
    <t>Vehicle Routing Based Mining for Proof-of-Useful-Work Blockchain</t>
  </si>
  <si>
    <t>0728069401</t>
  </si>
  <si>
    <t>Enhancing LiDAR-Based Object Recognition Through a Novel Denoising and Modified GDANet Framework</t>
  </si>
  <si>
    <t>Putra O.V.</t>
  </si>
  <si>
    <t>Analysis of Human Performance and Potential Application of Virtual Reality (VR) Shooting Games as a Shooting Training Simulator for Military Personnel.</t>
  </si>
  <si>
    <t>International Journal of Technology</t>
  </si>
  <si>
    <t>Adithya Sudiarno</t>
  </si>
  <si>
    <t>Ratna Sari Dewi</t>
  </si>
  <si>
    <t>Retno Widyaningrum</t>
  </si>
  <si>
    <t>Reza Aulia Akbar</t>
  </si>
  <si>
    <t>Ahmadi</t>
  </si>
  <si>
    <t>Analisis Manajemen Risiko IT di Organisasi XYZ Berdasarkan ISO31000: 2018</t>
  </si>
  <si>
    <t>Sangaji Wicaksono</t>
  </si>
  <si>
    <t>Usability Testing of ITTS MART v2.0 through Customer Satisfaction Index (CSI) Measurement using the E-SERVQUAL Model</t>
  </si>
  <si>
    <t>Sistemasi: Jurnal Sistem Informasi</t>
  </si>
  <si>
    <t>Ika Yulianita</t>
  </si>
  <si>
    <t>0704129501</t>
  </si>
  <si>
    <t>6680648 </t>
  </si>
  <si>
    <t>Innovative Design of Ecommerce Mobile Application Using Kansei Engineering and System Usability Scale</t>
  </si>
  <si>
    <t>SHS Web of Conferences</t>
  </si>
  <si>
    <t>Muhammad Dhiaul Suryo Kusumo Arrifqi</t>
  </si>
  <si>
    <t>Penerapan FP-Growth untuk Menentukan Rekomendasi Produk pada Kogu Coffee Shop Malang</t>
  </si>
  <si>
    <t>Dimas Rafly</t>
  </si>
  <si>
    <t>Implementasi Metode Naive Bayes pada Sistem Diagnosis Penyakit Mata (Studi Kasus Poli Mata Rumah Sakit Islam Jemursari Surabaya): Implementation of Naive Bayes Method on Eye …</t>
  </si>
  <si>
    <t>Fountain of Informatics Journal</t>
  </si>
  <si>
    <t>Raihan Febrianto Grahadi</t>
  </si>
  <si>
    <t>Analisis Sentimen Ulasan Tempat Kuliner Di Jawa Timur Dengan Menggunakan Metode Naïve Bayes</t>
  </si>
  <si>
    <t>Merkurius: Jurnal Riset Sistem Informasi dan Teknik Informatika</t>
  </si>
  <si>
    <t>Hayu Faiz Naufal Asyrof</t>
  </si>
  <si>
    <t>Application of Data Mining for the Selection Process of Prospective Students at ITTelkom Surabaya by Using the SPSS Modeler</t>
  </si>
  <si>
    <t>Scitepress</t>
  </si>
  <si>
    <t>Strengthening research partner collaboration in higher education for searching innovation through machine learning-based recommender system</t>
  </si>
  <si>
    <t>IJoSI</t>
  </si>
  <si>
    <t>M. Nizar P. Ma'ady</t>
  </si>
  <si>
    <t>Malaysia Citizen Sentiment on Government Response Towards Covid-19 Disaster Management: Using LDA-based Topic Visualization on Twitter</t>
  </si>
  <si>
    <t>Elsevier</t>
  </si>
  <si>
    <t>WoS</t>
  </si>
  <si>
    <t>On using Floyd-Warshall under uncertainty for Influence Maximization in Instagram social network: A case study of Indonesian FnB unicorn company</t>
  </si>
  <si>
    <t>Generalized decentralized control for robust stabilization and L_2 gain of nonlinear interconnected systems</t>
  </si>
  <si>
    <t> 6793410</t>
  </si>
  <si>
    <t>Rainfall Forecasting with Intermittent Approach using Exponential Smoothing Neural Network Ensemble</t>
  </si>
  <si>
    <t>IEEE: 2023 International Conference on Artificial Intelligence, Blockchain, Cloud Computing, and Data Analytics (ICoABCD)</t>
  </si>
  <si>
    <t>0730099601</t>
  </si>
  <si>
    <t xml:space="preserve"> Sri Hidayati</t>
  </si>
  <si>
    <t>New Trend of Amperometric Gas Sensors Using Atomic Gold-Decorated Platinum/Polyaniline Composites</t>
  </si>
  <si>
    <t>MDPI Chemosensors</t>
  </si>
  <si>
    <t>Modification Rules for Improving Marching Cubes Algorithm to Represent 3D Point Cloud Curve Images</t>
  </si>
  <si>
    <t>IJIES</t>
  </si>
  <si>
    <t>Riyanarto Sarno</t>
  </si>
  <si>
    <t>Design Science Research for Developing Risk Tourism Mapping Based on Visitor Sentiment Review</t>
  </si>
  <si>
    <t>Procedia Computer Science (ELSEVIER)</t>
  </si>
  <si>
    <t xml:space="preserve"> Anita Hakim Nasution</t>
  </si>
  <si>
    <t>0714019002</t>
  </si>
  <si>
    <t> 6826699</t>
  </si>
  <si>
    <t>Regulation and Technology Innovation in Support of Comprehensive Customer Experience in the Banking Industry in Kediri</t>
  </si>
  <si>
    <t>Journal of Law and Sustainable Development</t>
  </si>
  <si>
    <t>SJR</t>
  </si>
  <si>
    <t>Nur Laely</t>
  </si>
  <si>
    <t>Djunaedi</t>
  </si>
  <si>
    <t>Angga Rizka Lidiawan</t>
  </si>
  <si>
    <t>SQL And NoSQL Object Database Mapping to Support CRUD Operation</t>
  </si>
  <si>
    <t>Proceeding - International Conference on Information Technology and Computing</t>
  </si>
  <si>
    <t>Siti Rochimah</t>
  </si>
  <si>
    <t>Daniel Siahaan</t>
  </si>
  <si>
    <t>A Wireless Tire Pressure and Temperature Monitoring System Based on Software Defined Radio</t>
  </si>
  <si>
    <t>Proceeding - COMNETSAT 2023: IEEE International Conference on Communication, Networks and Satellite</t>
  </si>
  <si>
    <t>Mohammad Nur Effendy</t>
  </si>
  <si>
    <t>Jejak Adventure: Platform Penyedia Traveling Berbasis Web</t>
  </si>
  <si>
    <t>eProceedings of Applied Science </t>
  </si>
  <si>
    <t>IJAIT (International Journal of Applied Information Technology)</t>
  </si>
  <si>
    <t>Math Is Fun: Aplikasi Belajar Matematika Untuk Anak Sekolah Dasar Berbasis Android</t>
  </si>
  <si>
    <t>Adiputra Yoshua B.Y. Langkay</t>
  </si>
  <si>
    <t>Seafood quality detection using electronic nose and machine learning algorithms with hyperparameter optimization</t>
  </si>
  <si>
    <t>Nailatul Fadhilah Syarwan</t>
  </si>
  <si>
    <t>Muhammad Agus Nugraha</t>
  </si>
  <si>
    <t>Decision support system for selection of the best faculty staff using the analytical hierarchy process (AHP) method</t>
  </si>
  <si>
    <t>Jurnal Teknik Informatika CIT Medicom</t>
  </si>
  <si>
    <t>Desain dan Implementasi Sistem Informasi Usaha Mikro Kecil Menengah dan Pariwisata Desa Tambak Kalisogo</t>
  </si>
  <si>
    <t>Slamet Kacung</t>
  </si>
  <si>
    <t>M. Nasrullah</t>
  </si>
  <si>
    <t>Damasya Ine Larisa</t>
  </si>
  <si>
    <t>Akbar Rizki Poetra</t>
  </si>
  <si>
    <t>Implementation of an employee attendance system using Android based QR codes</t>
  </si>
  <si>
    <t>S. Wahyuddin</t>
  </si>
  <si>
    <t>Diah Ratnasari</t>
  </si>
  <si>
    <t>Pembuatan Aplikasi Kasir Berbasis Web Pada UMKM</t>
  </si>
  <si>
    <t>Buletin Ilmiah Ilmu Komputer dan Multimedia (BIIKMA)</t>
  </si>
  <si>
    <t>Garuda</t>
  </si>
  <si>
    <t>Ahmad Amaludin</t>
  </si>
  <si>
    <t>Akbar Saputra Widianto</t>
  </si>
  <si>
    <t>Alifuddin Rifai</t>
  </si>
  <si>
    <t>The Role of Islamic Philanthropy in Post Covid-19 Pandemic Economic Recovery: English</t>
  </si>
  <si>
    <t>EKSYAR : Jurnal Ekonomi Syari'ah &amp; Bisnis Islam (e-Journal)</t>
  </si>
  <si>
    <t>Ahmad Agus Hidayat</t>
  </si>
  <si>
    <t>Analisis Manajemen Layanan Teknologi Informasi Itil V3 Pada Perusahaan Pt. Prudential Life Assurance (Sj-I) Cabang Sidoarjo</t>
  </si>
  <si>
    <t>Jurnal Mirai Management</t>
  </si>
  <si>
    <t>Determining consumer demand patterns for production planning using a data mining approach.</t>
  </si>
  <si>
    <t>Acta Logistica (AL)</t>
  </si>
  <si>
    <t>A. Besse Riyani Indah</t>
  </si>
  <si>
    <t>Andi Siti Hajar Meliani</t>
  </si>
  <si>
    <t>Saiful Mangngenre</t>
  </si>
  <si>
    <t>Audi Nurwahidah</t>
  </si>
  <si>
    <t>0718069004</t>
  </si>
  <si>
    <t>Designing Student Internship Information System Interfaces Using the Design Thinking Method</t>
  </si>
  <si>
    <t xml:space="preserve">Jefri Achmad Maulana </t>
  </si>
  <si>
    <t>Optimizing RF Energy Harvesting for IoT Devices: Impedance Matching and Voltage Multiplier Solutions</t>
  </si>
  <si>
    <t>Elfrida Hutabarat</t>
  </si>
  <si>
    <t>Forecasting Ginger Harvest Yields: A Comparative Study of Double Exponential Smoothing and Long Short-Term Memory Models</t>
  </si>
  <si>
    <t>Mathematical Modelling of Engineering Problems</t>
  </si>
  <si>
    <t>Devie Rosa Anamisa</t>
  </si>
  <si>
    <t>Fifin Ayu Mufarroha</t>
  </si>
  <si>
    <t>Achmad Jauhari</t>
  </si>
  <si>
    <t>Bain Khusnul Khotimah</t>
  </si>
  <si>
    <t>1001017601</t>
  </si>
  <si>
    <t>Ahmad Farisul Haq</t>
  </si>
  <si>
    <t>Sistem Cerdas Pemantau Kesehatan Pasien Lanjut Usia Berbasis IoT (Hardware): IoT-based Smart Health Monitoring System for the Elderly (Hardware)</t>
  </si>
  <si>
    <t>Jurnal ELEMENTER (Elektro dan Mesin Terapan)</t>
  </si>
  <si>
    <t>Amelia Cahyana</t>
  </si>
  <si>
    <t>Wira Indani</t>
  </si>
  <si>
    <t>Suci Ramadona</t>
  </si>
  <si>
    <t>Enhancing IoT Network Reliability: Evaluating LoRa Module Susceptibility to Interference</t>
  </si>
  <si>
    <t>Journal of Electronics Technology Exploration</t>
  </si>
  <si>
    <t>Haris Efendi</t>
  </si>
  <si>
    <t>Modul Crosstalk Untuk Mata Kuliah Praktikum EMC</t>
  </si>
  <si>
    <t>Noptin Harpawi</t>
  </si>
  <si>
    <t>M Susantok</t>
  </si>
  <si>
    <t>Rancang Bangun Sistem Pemantauan Tekanan dan Suhu Ban Berbasis Internet of Things dan Software Defined Radio</t>
  </si>
  <si>
    <t>0030079001</t>
  </si>
  <si>
    <t>Anang Budikarso</t>
  </si>
  <si>
    <t>Experimental Study of 500 MHz Low-Power Radiative WPT for Low-Power Home Electronic Appliances</t>
  </si>
  <si>
    <t>Wirawan</t>
  </si>
  <si>
    <t>RANCANG BANGUN SISTEM KONTROL DAN MONITORING PH, SUHU AIR DAN TDS PADA SISTEM AKUAPONIK BERBASIS INTERNET OF THINGS (IOT)</t>
  </si>
  <si>
    <t>JTT (Jurnal Teknologi Terapan)</t>
  </si>
  <si>
    <t>0727048809</t>
  </si>
  <si>
    <t>Alfrido Ramadhana Putra</t>
  </si>
  <si>
    <t>Revolutionizing Robot Sorting: Unleashing the Power of Dobot Magician Arm's Kinematics Inverse Transformation System with Depth Camera</t>
  </si>
  <si>
    <t>Dimas Mahendra Budi Santoso</t>
  </si>
  <si>
    <t>PENGENALAN DASAR KONSEP INTERNET OF THINGS DAN IMPLEMENTASINYA KEPADA SISWA SMP AL ISLAH SURABAYA</t>
  </si>
  <si>
    <t>BUDIMAS: JURNAL PENGABDIAN MASYARAKAT</t>
  </si>
  <si>
    <t>M. Ardiansyah Al Faiz</t>
  </si>
  <si>
    <t>Rizki Dwi Budi A. W</t>
  </si>
  <si>
    <t>Muhammad Razanafi S.</t>
  </si>
  <si>
    <t>Revolutionizing Robot Sorting: Unleashing the Power of Dobot Magician Arm’s Kinematics Inverse Transformation System with Depth Camera</t>
  </si>
  <si>
    <t>2023 IEEE International Conference on Communication, Networks and Satellite</t>
  </si>
  <si>
    <t>Penerapan teknologi dan sumber listrik alternatif untuk mendukung hidroponik kampung Oase Ondomohen</t>
  </si>
  <si>
    <t>0706069201</t>
  </si>
  <si>
    <t xml:space="preserve">Hernadimas Alfattah </t>
  </si>
  <si>
    <t>Rafif Muhammad Rasyad</t>
  </si>
  <si>
    <t>Zenkey Soma Mahendra</t>
  </si>
  <si>
    <t>Rizky Dwi Budi Anugrah Wibowo</t>
  </si>
  <si>
    <t>Samuel Haorista Oikan Eka Cipta; Adi Candra</t>
  </si>
  <si>
    <t>Smart Grid Pilot Project Evaluation and Recommendations in Indonesia: Case Study of Semau Island</t>
  </si>
  <si>
    <t>International Conference on Electrical Engineering, Computer Science and Informatics (EECSI)</t>
  </si>
  <si>
    <t>Zainal Arifin</t>
  </si>
  <si>
    <t>Novie Ayub Windarko</t>
  </si>
  <si>
    <t>Dimas Okky Anggriawan</t>
  </si>
  <si>
    <t>Dimas Anton Asfani</t>
  </si>
  <si>
    <t>Nugrogo Adi Triyono; Tri Hardimasyar</t>
  </si>
  <si>
    <t>A Filter Least Mean Square (LMS) untuk Mengurangi Noise pada Sinyal SuaraTembakan</t>
  </si>
  <si>
    <t>Proceedings of the National Conference on Electrical Engineering, Informatics, Industrial Technology, and Creative Media (CENTIVE 2023)</t>
  </si>
  <si>
    <t>Design and Implementation of Tire Pressure and Temperature Monitoring System for Hatchback and Multi-Purpose Vehicle Based on IoT</t>
  </si>
  <si>
    <t>Journal of Advances in Information and Industrial Technology (JAIIT)</t>
  </si>
  <si>
    <t>Development of Communication System between TPMS and Server using Combination of OFDM and Convolutional Code Technique Based on SDR</t>
  </si>
  <si>
    <t>0729088704</t>
  </si>
  <si>
    <t>Pelatihan Dasar Teknologi Penunjang Internet of Things Melalui Pembelajaran Pemrograman Arduino Uno di SMK Kartika 1 Surabaya</t>
  </si>
  <si>
    <t>Jurnal Abdi Masyarakat Indonesia</t>
  </si>
  <si>
    <t>Heri Pratikno</t>
  </si>
  <si>
    <t>Toni Setiawan Jaya</t>
  </si>
  <si>
    <t>Deteksi Detak Jantung Menggunakan Remote Photoplethysmograph dengan Perubahan Jarak dan Jenis Kamera Secara Dinamis</t>
  </si>
  <si>
    <t>0404109105</t>
  </si>
  <si>
    <t>Nicholas Philbert</t>
  </si>
  <si>
    <t>Implementasi Aplikasi Penghitung Benur dengan Menggunakan HP Android pada Instalasi Budidaya Air Payau Banjarkemuning, Sedati, Sidoarjo</t>
  </si>
  <si>
    <t>Society: Jurnal Pengabdian Masyarakat</t>
  </si>
  <si>
    <t>Weny Indah Kusumawati</t>
  </si>
  <si>
    <t>Musayyanah Musayyanah</t>
  </si>
  <si>
    <t>Planning Design of NR 5G 26 GHz Mobile Network for Vehicle to Everything Services in Denpasar City</t>
  </si>
  <si>
    <t>Ni Ketut Melzia Anggi Maria</t>
  </si>
  <si>
    <t>Analisis Model kanal 5G terhadap Pengaruh Suhu dan Kelembaban pada Frekuensi 26 GHz dan 28 GHz di Jawa Timur</t>
  </si>
  <si>
    <t>Journal of Computer, Electronic, and Telecommunication</t>
  </si>
  <si>
    <t>Luthfiah Arbiah Nasir</t>
  </si>
  <si>
    <t>0714029601</t>
  </si>
  <si>
    <t>Analisis Tekno-Ekonomi Pada Perencanaan Jaringan 5G New Radio Frekuensi 2300 MHz di Kota Surabaya</t>
  </si>
  <si>
    <t>Faria Utami</t>
  </si>
  <si>
    <t>Technical and Economic Analysis for 5G Nr Network Non-Standalone Planning In Yogyakarta City Using 2300 MHz Frequency</t>
  </si>
  <si>
    <t>Ridho Prasetyo Wicaksono</t>
  </si>
  <si>
    <t>Design of Spherical Convex Multibeam Dielectric Lens Antenna for Mobile Communication</t>
  </si>
  <si>
    <t>2023 IEEE International Symposium on Antennas and Propagation</t>
  </si>
  <si>
    <t>Focal Region Ray Tracing of a Negative Refractive Index Lens Antenna</t>
  </si>
  <si>
    <t>Izni Husna Idris</t>
  </si>
  <si>
    <t>Best Feed Positions and Radiation Patterns of Typical Multibeam Dielectric Lens Antenna</t>
  </si>
  <si>
    <t>0703049401</t>
  </si>
  <si>
    <t>Yoshiki Sugimoto</t>
  </si>
  <si>
    <t>Optimization of Customer Complain Handling at Grapari East Java</t>
  </si>
  <si>
    <t>Journal of Informatics and Communication Technology (JICT)</t>
  </si>
  <si>
    <t>Larissa Elga Amalia Santoso</t>
  </si>
  <si>
    <t>Penggunaan Platform Wordwall untuk Bahan Pembelajaran Berbasis Gamifikasi di KB-TK Al Wahyu Surabaya</t>
  </si>
  <si>
    <t>Jurnal Inovasi Pengabdian Masyarakat</t>
  </si>
  <si>
    <t>Fawwaz Ali Akbar</t>
  </si>
  <si>
    <t>Fuzzy Lightweight CNN for Point Cloud Object Classification based on Voxel</t>
  </si>
  <si>
    <t>IEEE Region 10 Annual International Conference, Proceedings/TENCON</t>
  </si>
  <si>
    <t>Riandini</t>
  </si>
  <si>
    <t>Field oriented control driver development based on BTS7960 for physiotherapy robot implementation</t>
  </si>
  <si>
    <t>International Journal of Electrical and Computer Engineering</t>
  </si>
  <si>
    <t>DISEMINASI SERTA STUDI KELAYAKAN HIDROPONIK BERBASIS TENAGA SURYA UNTUK MENDUKUNG EKONOMI KAMPUNG SONGO SIMOMULYO YANG BERKELANJUTAN</t>
  </si>
  <si>
    <t>BEGAWE: Jurnal Pengabdian Masyarakat</t>
  </si>
  <si>
    <t> 6859016</t>
  </si>
  <si>
    <t>0727069503</t>
  </si>
  <si>
    <t>Nur Aliffah Rizkiningtyas</t>
  </si>
  <si>
    <t>Ahmad Faiz Fanani</t>
  </si>
  <si>
    <t>Peningkatan Capaian Torsi Motor Bldc Untuk Implementasi Pada Robot Fisioterapi Pasien Pasca Stroke Dengan Modifikasi Rotor Dan Jumlah Lilitan</t>
  </si>
  <si>
    <t>RESISTOR (Elektronika Kendali Telekomunikasi Tenaga Listrik Komputer)</t>
  </si>
  <si>
    <t>PENINGKATAN AWARENESS KEILMUAN TEKNIK LOGISTIK MELALUI WORKSHOP TEKNOLOGI INFORMASI DAN KOMUNIKASI MICROSOFT EXCEL DAN BEER GAME</t>
  </si>
  <si>
    <t>Shinvalraus Sains Raihan Kanzu</t>
  </si>
  <si>
    <t>Satria Fajar Rachmadianto</t>
  </si>
  <si>
    <t>Annisa'ul Baroroh</t>
  </si>
  <si>
    <t>Kinetik's policies update</t>
  </si>
  <si>
    <t>KINETIK: Game Technology, Information System, Computer Network, Computing, Electronics, and Control</t>
  </si>
  <si>
    <t>Improvement of Tradition Dance Classification Process Using Video Vision Transformer based on Tubelet Embedding</t>
  </si>
  <si>
    <t>International Journal of Intelligent Engineering and Systems</t>
  </si>
  <si>
    <t>Edy Mulyanto</t>
  </si>
  <si>
    <t>Mauridhi H. Purnomo</t>
  </si>
  <si>
    <t>An Improved Performance of Support Vector Machine to Classify EEG Motor Imagery based on Differential Asymmetry</t>
  </si>
  <si>
    <t>Przeglad Elektrotechniczny</t>
  </si>
  <si>
    <t>Modified Deep Pattern Classifier on Indonesian Traditional Dance Spatio-Temporal Data</t>
  </si>
  <si>
    <t>Nova Eka Budiyanta</t>
  </si>
  <si>
    <t>Implementasi dan Optimalisasi Solar PV sebagai Sumber Tenaga Listrik untuk Memenuhi Beban Elektronik di Kampung Oase Ondomohen Surabaya</t>
  </si>
  <si>
    <t>Isa Hafidz; Lora Khaula Amifia</t>
  </si>
  <si>
    <t>Moch. Fikry Fathul Yaqin</t>
  </si>
  <si>
    <t>Shannon entropy on near-infrared spectroscopy for nondestructively determining water content in oil palm</t>
  </si>
  <si>
    <t>Gema Parasti Mindara</t>
  </si>
  <si>
    <t>Self-Health Examination Pavilion (APKM) for Health Consultation</t>
  </si>
  <si>
    <t>PELATIHAN PENINGKATAN KUALITAS KONTEN TAUSYIAH ONLINE UNTUK YAYASAN DANA SOSIAL AL FALAH</t>
  </si>
  <si>
    <t>BUDIMAS : JURNAL PENGABDIAN MASYARAKAT</t>
  </si>
  <si>
    <t>Segmenting the Higher Education Market: An Analysis of Admissions Data Using K-Means Clustering</t>
  </si>
  <si>
    <t>Procedia Computer Science</t>
  </si>
  <si>
    <t>Measuring the Level of Public Service Quality Using SERVQUAL Method in Gayungan Village, Surabaya City</t>
  </si>
  <si>
    <t>TRANSFORMASI: Jurnal Manajemen Pemerintahan</t>
  </si>
  <si>
    <t>RE-DESIGN APLIKASI KNOWLEDGE MANAGEMENT SYSTEM BERBASIS SITUS WEB PADA ASOSIASI DOSEN INTEGRATOR DESA DENGAN DESIGN THINKING</t>
  </si>
  <si>
    <t>Abdimas Awang Long</t>
  </si>
  <si>
    <t>Arman Hakim Nasution</t>
  </si>
  <si>
    <t>Design E-Learning User Interface On Website-Based Edspert. Id With Kansei Engineering Methods</t>
  </si>
  <si>
    <t>Sinkron: jurnal dan penelitian teknik informatika</t>
  </si>
  <si>
    <t>Usability Testing of ITTS MART v2. 0 through Customer Satisfaction Index (CSI) Measurement using the E-SERVQUAL Model</t>
  </si>
  <si>
    <t>Pencegahan Gangguan Tumbuh Kembang Anak Melalui Sosialisasi Aplikasi PrimaKu Pada Posyandu Kemuning RW9 Pepelegi</t>
  </si>
  <si>
    <t>Yosiana Eka Putri Kurniasari</t>
  </si>
  <si>
    <t>Daseiya Auriello Rossy</t>
  </si>
  <si>
    <t>Harun Stephen Nafie</t>
  </si>
  <si>
    <t>Analysis Of Improving Service Quality At The Ssctelkom Surabaya Institute Of Technology Using The Lean Six Sigma Method</t>
  </si>
  <si>
    <t>6879158 </t>
  </si>
  <si>
    <t>0718099702</t>
  </si>
  <si>
    <t>Implementasi akuaponik sebagai upaya urban farming pada lahan kosong di lingkungan RT9 RW9 Pepelegi Sidoarjo</t>
  </si>
  <si>
    <t>Nilna Agnia</t>
  </si>
  <si>
    <t>Dwi Nur Azizah Hamidah</t>
  </si>
  <si>
    <t>Nanda Mesa Nur Aryabawa</t>
  </si>
  <si>
    <t>Dio Ifan Auliya</t>
  </si>
  <si>
    <t>Innovative Design of ITTS Mart Application with Design Thinking &amp; System Usability Scale Method</t>
  </si>
  <si>
    <t>Analisis Tingkat Kepuasan dan Loyalitas Pengguna pada Prototype Aplikasi ITTS-Mart dengan Menggunakan Model E-Servqual</t>
  </si>
  <si>
    <t>Jurnal Teknologi Sistem Informasi dan Aplikasi</t>
  </si>
  <si>
    <t>Implementasi Metode Six Sigma dengan Pendekatan DMAIC untuk Meminimalisasi Kecacatan Produk Pancong Pocong UMKM Ketintang</t>
  </si>
  <si>
    <t>Jurnal Teknik Industri Terintegrasi (JUTIN)</t>
  </si>
  <si>
    <t>Imaniar Dila Ramadanti Ahmad</t>
  </si>
  <si>
    <t>6680627 </t>
  </si>
  <si>
    <t>Static Analysis of Single Shaft Hub Wheel Cover to Determine The Strength Level of The Cover</t>
  </si>
  <si>
    <t>Ishak Rizaldy Eka Kurnia</t>
  </si>
  <si>
    <t>Analisis Risiko Bahaya dengan Metode Hazard Identification, Risk Assessment and Determining Control (HIRADC) pada Industri Kecil Mebel (Studi Kasus : Mebel Homedecore, Driyorejo, Gresik)</t>
  </si>
  <si>
    <t>Berliana Safitri</t>
  </si>
  <si>
    <t>0706019502</t>
  </si>
  <si>
    <t>: 6658545 </t>
  </si>
  <si>
    <t>THE INFLUENCE OF NOISE ON COGNITIVE PERFORMANCE</t>
  </si>
  <si>
    <t>Journal of Industrial Engineering Management</t>
  </si>
  <si>
    <t>Analisis Beban Kerja Mental Dengan Metode NASA-TLX Pada Karyawan UD. XYZ</t>
  </si>
  <si>
    <t>Jauhara Iztihar</t>
  </si>
  <si>
    <t>Pelatihan Aplikasi Canva untuk Meningkatkan Keterampilan Masyarakat dalam Merancang Produk UMKM</t>
  </si>
  <si>
    <t>FRISKA NUR AZIZAH</t>
  </si>
  <si>
    <t>Najwa Zuklizatus Zahiroh</t>
  </si>
  <si>
    <t>Maulidia Eka Erlina</t>
  </si>
  <si>
    <t>Muhammad Fikri Julianugerah</t>
  </si>
  <si>
    <t>Pengembangan Produk UMKM Berkualitas dan Tersertifikasi Halal</t>
  </si>
  <si>
    <t>Jurnal Pengabdian Masyarakat dan aplikasi Teknologi</t>
  </si>
  <si>
    <t>Betsteda Frea Anuarita</t>
  </si>
  <si>
    <t>Rahmalia Nurhalissa</t>
  </si>
  <si>
    <t>Said Aziz Luthfiansyah</t>
  </si>
  <si>
    <t>Evaluasi Fisiologi Kerja pada Pengrajin Sepatu Surabaya</t>
  </si>
  <si>
    <t>BULLET : Jurnal Multidisiplin Ilmu</t>
  </si>
  <si>
    <t>Meidina Nabila</t>
  </si>
  <si>
    <t>Reliabilitas Kendaraan Listrik</t>
  </si>
  <si>
    <t>Rizha Nurmila Hilda</t>
  </si>
  <si>
    <t>Optimasi Setting Mesin Cutting roll Menggunakan Design off Experiment (Studi Kasus: CV. Surya Gemilang)</t>
  </si>
  <si>
    <t>Achmad Farikhin R</t>
  </si>
  <si>
    <t>Achmad Farikhin Ramadhani</t>
  </si>
  <si>
    <t>Implementation of 5S and Safety Awareness in the Classroom Environment at Telkom University Surabaya</t>
  </si>
  <si>
    <t>Indonesian Journal of Industrial Engineering &amp; Management</t>
  </si>
  <si>
    <t>Norma Novika</t>
  </si>
  <si>
    <t>Febrin Claudia Angeli</t>
  </si>
  <si>
    <t>Perbaikan Sistem Layanan untuk Mengurangi Waktu Tunggu Antrean dengan Simulasi Diskrit</t>
  </si>
  <si>
    <t xml:space="preserve">Jurnal Media Teknik dan Sistem Industri </t>
  </si>
  <si>
    <t>Muchammad Imron Rosyadi</t>
  </si>
  <si>
    <t>Identify hazardous situations to work more productively</t>
  </si>
  <si>
    <t>BEMAS: Jurnal Bermasyarakat </t>
  </si>
  <si>
    <t>THE EFFECT OF AGE, SLEEP DURATION, LEARNING DURATION, AND COFFEE INTAKE ON SHORT-TERM MEMORY</t>
  </si>
  <si>
    <t>JEMIS (Journal of Engineering &amp; Management in Industrial System)</t>
  </si>
  <si>
    <t>Evaluation of service transformation during COVID-19 pandemic: A case study at DISPENDUKCAPIL Surabaya</t>
  </si>
  <si>
    <t>Maria Anityasari</t>
  </si>
  <si>
    <t>Hilmi C. Rinardi</t>
  </si>
  <si>
    <t>Agus I Sonhaji</t>
  </si>
  <si>
    <t>Prospective New College Student Dashboard: Insights from K-Means Clustering with Principal Component Analysis</t>
  </si>
  <si>
    <t xml:space="preserve">Inform: Jurnal Ilmiah Bidang Teknologi Informasi dan Komunikasi </t>
  </si>
  <si>
    <t>0719039601</t>
  </si>
  <si>
    <t>Risk Linkage Model for Cooking Oil Supply Chain</t>
  </si>
  <si>
    <t>PROZIMA (Productivity, Optimization and Manufacturing System Engineering)</t>
  </si>
  <si>
    <t>Ivan Vanany</t>
  </si>
  <si>
    <t>Pelatihan Software MathCAD sebagai Penunjang Pembelajaran pada Komunitas Musyawarah Guru Mata Pelajaran Matematika dan Fisika wilayah Gresik, Provinsi Jawa Timur</t>
  </si>
  <si>
    <t>AL-HAYAT: Jurnal Pengabdian Masyarakat</t>
  </si>
  <si>
    <t>6787821 </t>
  </si>
  <si>
    <t>Penentuan Rute Pembukaan Gerai Baru dengan Vehicle Routing Problem with Time Windows Pendekatan Nearest Neighbor</t>
  </si>
  <si>
    <t>Go-Integratif: Jurnal Teknik Sistem dan Industri</t>
  </si>
  <si>
    <t>Analisis Kesenjangan Performa Layanan–Harapan Konsumen pada Sebuah Usaha Pangkas Rambut di Malang</t>
  </si>
  <si>
    <t>Optimizing Clustering Techniques for Retail Industry: One-Dimensional Time Warping Method for Demand Uncertainty</t>
  </si>
  <si>
    <t>ACM International Conference Proceeding Series</t>
  </si>
  <si>
    <t>Prita Meilanitasari</t>
  </si>
  <si>
    <t>ANALISIS EFEKTIVITAS PELATIHAN REBRANDING DALAM MENINGKATKAN PEMAHAMAN MEREK PADA INDUSTRI KERAJINAN JAWA TIMUR</t>
  </si>
  <si>
    <t>Vivi Indah Rahmawati</t>
  </si>
  <si>
    <t>SD</t>
  </si>
  <si>
    <t>Fannisa Egista Naya</t>
  </si>
  <si>
    <t>BD</t>
  </si>
  <si>
    <t>Pemanfaatan Fitur Facebook sebagai Upaya dalam Meningkatkan Penjualan Produk UMKM di Ujungpangkah Kabupaten Gresik</t>
  </si>
  <si>
    <t>I-Com: Indonesian Community Journal</t>
  </si>
  <si>
    <t>PENGEMBANGAN WEBSITE SURABAYA DESIGN CENTER (STUDI KASUS TAMAN WISATA KAYOON SURABAYA)</t>
  </si>
  <si>
    <t>Fajrul Falah Arrafi</t>
  </si>
  <si>
    <t>Qothrunnadaa Nahdah Dzakiyyah</t>
  </si>
  <si>
    <t>Ananda Taqhsya Dwiyana</t>
  </si>
  <si>
    <t>Analisis dan Simulasi Teori Antrian pada Indomaret Darmo Surabaya</t>
  </si>
  <si>
    <t>PROSIDING SEMINAR NASIONAL SAINS DATA</t>
  </si>
  <si>
    <t>Halim Arif Cahyono</t>
  </si>
  <si>
    <t>Graph Laplacian Based Novel Decentralized Control for Robust Stabilization and L2Gain Analysis of Nonlinear Interconnected Systems</t>
  </si>
  <si>
    <t>Chinese Control Conference</t>
  </si>
  <si>
    <t>Heng Kang</t>
  </si>
  <si>
    <t>RAINFALL FORECASTING WITH AN INTERMITTENT APPROACH USING HYBRID EXPONENTIAL SMOOTHING NEURAL NETWORK</t>
  </si>
  <si>
    <t>BAREKENG: Jurnal Ilmu Matematika dan Terapan</t>
  </si>
  <si>
    <t> 6806664 </t>
  </si>
  <si>
    <t>Daily Rainfall Forecasting with ARIMA Exogenous Variables and Support Vector Regression</t>
  </si>
  <si>
    <t>Jurnal Varian</t>
  </si>
  <si>
    <t>Andrea Tri Rian Dani</t>
  </si>
  <si>
    <t>Rainfall Forecasting at Six Surabaya Observation Post using ARIMAX and Support Vector Regression (SVR)</t>
  </si>
  <si>
    <t>Evaluasi Kualitas Pelayanan Kesehatan di Kota Surabaya: Studi Kasus pada Puskesmas dan Rumah Sakit</t>
  </si>
  <si>
    <t>Fikrie Hartanta Sembiring</t>
  </si>
  <si>
    <t>Penyesuaian distribusi proses keberangkatan sepeda motor dari lahan parkir saat waktu puncak</t>
  </si>
  <si>
    <t>Majalah Ilmiah Matematika dan Statistika (MIMS)</t>
  </si>
  <si>
    <t>Peramalan Penumpang Pelabuhan Terbesar Indonesia Efek Pandemi COVID-19: Pendekatan Pemodelan Seasonal Autoregressive Integrated Moving Averagedan Intervensi</t>
  </si>
  <si>
    <t>Seminar Nasional Sains Data (Senada)</t>
  </si>
  <si>
    <t>Structural Time Series Model using Hamiltonian Monte Carlo for Rice Price</t>
  </si>
  <si>
    <t>Engineering, MAthematics and Computer Science Journal (EMACS)</t>
  </si>
  <si>
    <t>Kombinasi Timestamp Nonce dan Nilai Salt pada Autentikasi Single Sign-On</t>
  </si>
  <si>
    <t>Briliant: Jurnal Riset dan Konseptual</t>
  </si>
  <si>
    <t>Prototipe Monitoring Level Air dan Kualitas Udara Kandang Ayam Broiler Berbasis IoT</t>
  </si>
  <si>
    <t>Elektriese: Jurnal Sains dan Teknologi Elektro</t>
  </si>
  <si>
    <t>Masdania Zurairah Siregar</t>
  </si>
  <si>
    <t>Panangian Sihombing</t>
  </si>
  <si>
    <t>Mawardi Mawardi</t>
  </si>
  <si>
    <t>Sri Indah Rezkika</t>
  </si>
  <si>
    <t>Muhammad Fauzi</t>
  </si>
  <si>
    <t>Mona Vionita</t>
  </si>
  <si>
    <t>Preheat and PWHT analysis of FCAW A573 grade 70 welds results of HT and NHT materials on hardness and microstructure</t>
  </si>
  <si>
    <t>Journal of Welding Technology</t>
  </si>
  <si>
    <t>Mochammad Karim Al Amin</t>
  </si>
  <si>
    <t>Abdul Majid Zakaria</t>
  </si>
  <si>
    <t>Bachtiar</t>
  </si>
  <si>
    <t>Eriek Restu Wahyu Widodo</t>
  </si>
  <si>
    <t>Arif Rachman</t>
  </si>
  <si>
    <t>ANALISIS METODE TEMPER BEAD WELDING MENGGUNAKAN HALF BEAD TECHNIQUE DAN CONTROLLED DEPOSIT WELD PADA MATERIAL SA 387 GRADE 11 SEBAGAI PENGGANTI PWHT</t>
  </si>
  <si>
    <t>CWEA-Conference on Welding Engineering and Its Application</t>
  </si>
  <si>
    <t>Muhamad Ari</t>
  </si>
  <si>
    <t>Moh. Syaiful Amri</t>
  </si>
  <si>
    <t>Deteksi Botnet pada Jaringan DNS secara Virtual menggunakan Decision Tree</t>
  </si>
  <si>
    <t>JEPIN (Jurnal Edukasi dan Penelitian Informatika)</t>
  </si>
  <si>
    <t>Rancang Bangun Sistem Monitoring Suhu dan Kelembapan Berbasis IOT Studi Kasus Ruang Server ITTelkom Surabaya</t>
  </si>
  <si>
    <t>Indonesian Journal of Multidisciplinary on Social and Technology</t>
  </si>
  <si>
    <t>Muhammad Akbar Ramadhan</t>
  </si>
  <si>
    <t>Muhamad Iqbal Maulana</t>
  </si>
  <si>
    <t>SISTEM PENGELOLAAN DATA BERBASIS WEB DAN PELATIHAN BAGI PENGURUS TPQ AL-MUBAAROK SURABAYA</t>
  </si>
  <si>
    <t>0710029601</t>
  </si>
  <si>
    <t>0705109501</t>
  </si>
  <si>
    <t>0713059501</t>
  </si>
  <si>
    <t>Moch. Andi Divangga Pratama</t>
  </si>
  <si>
    <t>Fendi Virgiansyah</t>
  </si>
  <si>
    <t>Muhammad Hanafi Choirulloh</t>
  </si>
  <si>
    <t>Detection of Motorcycle Headlights Using YOLOv5 and HSV</t>
  </si>
  <si>
    <t>Teknika</t>
  </si>
  <si>
    <t>Whisnumurty Galih Ananta</t>
  </si>
  <si>
    <t>Fahril Refiandi</t>
  </si>
  <si>
    <t>Muhammad Khuluqil Karim</t>
  </si>
  <si>
    <t>Social Media Analysis Training for Digital Talent Development in Indonesia</t>
  </si>
  <si>
    <t>Abdi Masyarakat</t>
  </si>
  <si>
    <t xml:space="preserve">Maulana Naufal Hakim </t>
  </si>
  <si>
    <t>Dara Ilma Dendoena</t>
  </si>
  <si>
    <t>Dhiki Sidik Sayoga</t>
  </si>
  <si>
    <t>Sentiment Analysis of Comments on Instagram Posts of Indonesia's 2024 Presidential Candidates Using The Support Vector Machine Method</t>
  </si>
  <si>
    <t>Tech-E</t>
  </si>
  <si>
    <t>Qori Emalia Putri Mafidah</t>
  </si>
  <si>
    <t>Emilia Ramona</t>
  </si>
  <si>
    <t>Yudha Mahardika Putra</t>
  </si>
  <si>
    <t>Analisis Kinerja Menggunakan Pendekatan Balanced Scorecard: Studi Kasus Sektor Industri Telekomunikasi</t>
  </si>
  <si>
    <t>ANALISIS MANAJEMEN LAYANAN DOMAIN SERVICE OPERATION ITIL V3: PADA PERUSAHAAN SOFTWARE HOUSE: SERVICE MANAGEMENT ANALYSIS IN ITIL V3 SERVICE OPERATION DOMAIN AT SOFTWARE HOUSE COMPANY</t>
  </si>
  <si>
    <t xml:space="preserve">Jurnal Sistem Informasi dan Bisnis Cerdas </t>
  </si>
  <si>
    <t> 6865379</t>
  </si>
  <si>
    <t>0722079901</t>
  </si>
  <si>
    <t> 6834400 </t>
  </si>
  <si>
    <t>0712039301</t>
  </si>
  <si>
    <t>0711059005</t>
  </si>
  <si>
    <t>0703039502</t>
  </si>
  <si>
    <t>Klasifikasi Bertingkat Berbasis Deep Learning Pada Citra Pap-Smear</t>
  </si>
  <si>
    <t>Medan elektromagnetik [sumber elektronis] : teori dan contoh soal</t>
  </si>
  <si>
    <t>CV. Media Edukasi Indonesia - Tangerang</t>
  </si>
  <si>
    <t>Sabda Cinta : Persembahan DPD ADRI Jawa Timur untuk Khasanah Tridharma di Masa Pandemi</t>
  </si>
  <si>
    <t xml:space="preserve">Narotama University Press		</t>
  </si>
  <si>
    <t>PEMBUATAN KNOWLEDGE MANAGEMENT SYSTEM BERBASIS WEBSITE PADA ASOSIASI DOSEN INTEGRATOR DESA (ADIDES)</t>
  </si>
  <si>
    <t xml:space="preserve">Aptekmas Jurnal Pengabdian pada Masyarakat </t>
  </si>
  <si>
    <t>Achmad Amin Faizal</t>
  </si>
  <si>
    <t>Development of a Digital Directory Web for SMEs under the guidance of Telkom Witel South Surabaya</t>
  </si>
  <si>
    <t>Irma Jauzalia Maheswari</t>
  </si>
  <si>
    <t>Ihda Fauziyah</t>
  </si>
  <si>
    <t>Rizki Putra Darmawan Sutrisno</t>
  </si>
  <si>
    <t>Hybrid Cryptography and Steganography with Rivest Shamir Adleman and End of File Algorithm</t>
  </si>
  <si>
    <t>2023 6th International Conference on Vocational Education and Electrical Engineering: Integrating Sc</t>
  </si>
  <si>
    <t>Rinci Kembang Hapsari</t>
  </si>
  <si>
    <t>Wahyu Widodo</t>
  </si>
  <si>
    <t>Budanis Dwi Meilani</t>
  </si>
  <si>
    <t>Siti Nurmuslimah</t>
  </si>
  <si>
    <t>Tutuk Indriyani</t>
  </si>
  <si>
    <t>MANAJEMEN RANTAI PASOK</t>
  </si>
  <si>
    <t>SUPPLY CHAIN MANAGEMENT</t>
  </si>
  <si>
    <t>PENERBIT: WIDINA MEDIA UTAMA</t>
  </si>
  <si>
    <t>PROGRAM RE-BRANDING SEBAGAI SARANA PENCIPTAAN BRAND AWARENESS PADA PRODUK UMKM PKK KELURAHAN SEDATI GEDE</t>
  </si>
  <si>
    <t>Indonesian Journal of Community Dedication</t>
  </si>
  <si>
    <t>Wahyu Eka Thariza</t>
  </si>
  <si>
    <t>David Naka Nugroho</t>
  </si>
  <si>
    <t>Muhammad Faishal Syarif</t>
  </si>
  <si>
    <t>Designing an Academic Website User Interface Using the Design Thinking Method</t>
  </si>
  <si>
    <t>JISIP (Jurnal Ilmu Sosial dan Pendidikan)</t>
  </si>
  <si>
    <t>0708128901</t>
  </si>
  <si>
    <t>Nabila Annisa Putri</t>
  </si>
  <si>
    <t>Dhenok Sagita Noer</t>
  </si>
  <si>
    <t>The Influence of Financial Report Quality, CEO Career Concern, and CEO Gender on Investment Efficiency with Good Governance as a Moderating Variable</t>
  </si>
  <si>
    <t>Akuntansi Manajemen</t>
  </si>
  <si>
    <t>Product Design Innovation Based on Privet’s Customer Preferences</t>
  </si>
  <si>
    <t>Indonesian Journal of Innovation Multidisipliner Research</t>
  </si>
  <si>
    <t>0704069901</t>
  </si>
  <si>
    <t>Rahmatsyam Lakoro</t>
  </si>
  <si>
    <t>Reny Nadlifatin</t>
  </si>
  <si>
    <t>Jian Karisawati</t>
  </si>
  <si>
    <t>The Effect of Capital Structure, Information Asymmetry, and Free Cash Flow on Earnings Quality</t>
  </si>
  <si>
    <t>UPY International Conference on Education and Social Science</t>
  </si>
  <si>
    <t>Ayuni Fitria</t>
  </si>
  <si>
    <t>Fitriyah Nurhidayah</t>
  </si>
  <si>
    <t>Irma Paramita Sofia</t>
  </si>
  <si>
    <t>Pengaruh Kepemilikan Manajerial, Kepemilikan Institusional, Proporsi Komisaris Independen, Cash Flow dan Intensitas Modal Terhadap Konservartisme Akuntansi</t>
  </si>
  <si>
    <t>Prosiding Konferensi Ilmiah Akuntansi</t>
  </si>
  <si>
    <t>Luthfiyah Putri Ayuningtyas</t>
  </si>
  <si>
    <t>ECONOMIC PERFORMANCE OF MANUFACTURING COMPANIES IN INDONESIA: TANGIBLE ASSETS, IT CAPABILITIES, AND WATER ACCOUNTING</t>
  </si>
  <si>
    <t>JAK (Jurnal Akuntansi) : Kajian Ilmiah Akuntansi</t>
  </si>
  <si>
    <t>Arry Eksandy</t>
  </si>
  <si>
    <t>Farhan Ady Pratama</t>
  </si>
  <si>
    <t>Riski Ulan Sari</t>
  </si>
  <si>
    <t>Pelatihan Software Akuntansi Accurate SMK Nusantara 1 Ciputat</t>
  </si>
  <si>
    <t>Jurnal Pengabdian Kepada Masyarakat Kalam</t>
  </si>
  <si>
    <t>Indoor staircase detection for supporting security systems in autonomous smart wheelchairs based on deep analysis of the Co-occurrence Matrix and Binary Classification</t>
  </si>
  <si>
    <t xml:space="preserve">
Intelligent Systems with Applications</t>
  </si>
  <si>
    <t>Timothy K. Shih</t>
  </si>
  <si>
    <t>Chih-Yang Lin</t>
  </si>
  <si>
    <t>Strengthening research partner collaboration in higher education for searching innovation through machine learning-based recom-mender system</t>
  </si>
  <si>
    <t>International Journal of Systematic Innovation</t>
  </si>
  <si>
    <t>IoT-based flood disaster early detection system using hybrid fuzzy logic and neural networks</t>
  </si>
  <si>
    <t>Telkomnika (Telecommunication Computing Electronics and Control)</t>
  </si>
  <si>
    <t>6801945 </t>
  </si>
  <si>
    <t>Modeling the Number of Confirmed Cases of Covid-19 in East Java Using Negative Binomial Regression Based on Least Square Spline Estimator</t>
  </si>
  <si>
    <t>Nur Chamidah</t>
  </si>
  <si>
    <t>I Nyoman Budiantara</t>
  </si>
  <si>
    <t>Modeling the Percentage of NEET in Indonesia with Spatial Cauchy Regression through the Bayesian Analysis Approach</t>
  </si>
  <si>
    <t>IAENG International Journal of Applied Mathematics</t>
  </si>
  <si>
    <t>Dwi Rantini</t>
  </si>
  <si>
    <t>Muhammad Noor Fakhruzzaman</t>
  </si>
  <si>
    <t>Ratih Ardiati Ningrum</t>
  </si>
  <si>
    <t>Fazidah Othman</t>
  </si>
  <si>
    <t>Achmad Syahrul Choir</t>
  </si>
  <si>
    <t>Najma Attaqiya Alya</t>
  </si>
  <si>
    <t>Elfira Rahma Putri; Muhammad Alfian Pratama</t>
  </si>
  <si>
    <t>MODELLING THE NUMBER OF HIV CASES IN INDONESIA USING NEGATIVE BINOMIAL REGRESSION BASED ON LEAST SQUARE SPLINE ESTIMATOR</t>
  </si>
  <si>
    <t>Communications in Mathematical Biology and Neuroscience</t>
  </si>
  <si>
    <t>The Need for Energy-Efficient Networks: A Review of Green Communication Systems and Network Architectures</t>
  </si>
  <si>
    <t>Lecture Notes in Networks and Systems</t>
  </si>
  <si>
    <t>Muhammad Fakhrul Safitra</t>
  </si>
  <si>
    <t>Arif Ridho Lubis</t>
  </si>
  <si>
    <t>Enhanced Human Segmentation from 2D LiDAR Data Using DBSCAN Clustering</t>
  </si>
  <si>
    <t>2024 International Conference on Electrical and Information Technology</t>
  </si>
  <si>
    <t>Evaluation of Raw Material Inventory Policies Using Material Requirement Planning (MRP) and Lot Sizing Methods: Case Study of XYZ MSMEs.</t>
  </si>
  <si>
    <t>Analisis Postur Kerja Terhadap Keluhan Musculoskeletal Disorders (MSDs) Menggunakan Metode Rapid Upper Limb Assessment (RULA) Pada Pekerja Pencantingan Di Tatsaka Batik Banyuwangi</t>
  </si>
  <si>
    <t>Modified CNN VoxNet Based Depthwise Separable Convolution for Voxel-Driven Body Orientation Classification</t>
  </si>
  <si>
    <t>2024 IEEE International Conference on Imaging Systems and Techniques (IST)</t>
  </si>
  <si>
    <t>Application Of Omni-Channel Strategy in Optimizing The Supply Chain Digitalization Process In Indonesia (Case Study: PT X)</t>
  </si>
  <si>
    <t>An ensemble stacking algorithm to improve model accuracy in bankruptcy prediction</t>
  </si>
  <si>
    <t>Journal of Data Science and Intelligent Systems</t>
  </si>
  <si>
    <t>Much Aziz Muslim</t>
  </si>
  <si>
    <t>Yosza Dasril</t>
  </si>
  <si>
    <t>Haseeb Javed</t>
  </si>
  <si>
    <t>Alamsyah</t>
  </si>
  <si>
    <t>Jumanto</t>
  </si>
  <si>
    <t>Wiena Faqih Abror; Dwika Ananda Agustina Pertiwi</t>
  </si>
  <si>
    <t> 6882289</t>
  </si>
  <si>
    <t>0714089801</t>
  </si>
  <si>
    <t>Identification of Grape Plant Diseases Based on the Leaves using Naïve Bayes</t>
  </si>
  <si>
    <t>Analisa Kematangan Manajemen Layanan Teknologi Informasi Dengan Standar Information Technology Infrastructure Library (ITIL V3): Studi Kasus Pengadilan Negeri Bondowoso</t>
  </si>
  <si>
    <t>Jurnal Ilmiah Teknologi Informasi Asia</t>
  </si>
  <si>
    <t>Arip Ramdan</t>
  </si>
  <si>
    <t>FORWARD ENGINEERING PADA APLIKASI E-SURAT (STUDI KASUS PT. XYZ)</t>
  </si>
  <si>
    <t>Jurnal Manajemen Informatika Jayakarta</t>
  </si>
  <si>
    <t>Ilham Mudin</t>
  </si>
  <si>
    <t>Lorenzo Laridho Sambiring</t>
  </si>
  <si>
    <t>M Syarif Hidayatullah</t>
  </si>
  <si>
    <t>Konsep Smart City untuk Membangun Kota Berkelanjutan</t>
  </si>
  <si>
    <t>Hilda Nuraliza</t>
  </si>
  <si>
    <t>Annisa Ilmi Faried Muharman Lubis</t>
  </si>
  <si>
    <t>Mas Wisnu Aninditya</t>
  </si>
  <si>
    <t>Fajar Husain Asy'ari Mahyuddin</t>
  </si>
  <si>
    <t>Adi Papa Pandarangga</t>
  </si>
  <si>
    <t>Hasmina Tari Mokui Budi Priyonggo; Sudirman; Iskandar Zainuddin Rela</t>
  </si>
  <si>
    <t>Higuchi fractal dimension and deep learning on near-infrared spectroscopy for determination of free fatty acid (FFA) content in oil palm fruit</t>
  </si>
  <si>
    <t>Journal of Aqriculture and Food Research</t>
  </si>
  <si>
    <t>Kharistya Amaru</t>
  </si>
  <si>
    <t>S. Rosalinda</t>
  </si>
  <si>
    <t>Tusan Park</t>
  </si>
  <si>
    <t>OPTIMASI PEMANTAUAN GEJALA MEDIS DAN EARLY WARNING MENGGUNAKAN APLIKASI KESEHATANKU: SYSTEM HEALTH CARE BAGI PASIEN HIPERTENSI, GLUKOSA, DAN TUBERKULOSIS</t>
  </si>
  <si>
    <t> 6789028</t>
  </si>
  <si>
    <t>Andana Aprillio Wahyudi</t>
  </si>
  <si>
    <t>Amiratus Sholiha</t>
  </si>
  <si>
    <t>Komputer dan Masyarakat</t>
  </si>
  <si>
    <t>Inovasi Smart Farming 5.0 dalam Rekayasa IoT dan Big Data</t>
  </si>
  <si>
    <t>Desa Pintar dan Informatika Urban</t>
  </si>
  <si>
    <t>ANALISIS PROSES BISNIS SISTEM INFORMASI LAYANAN PUBLIK DENGAN BUSINESS PROCESS MANAGEMENT PADA PEMERINTAH DAERAH</t>
  </si>
  <si>
    <t>Jurnal Sistem Informasi</t>
  </si>
  <si>
    <t>Dina Avifa Aulia</t>
  </si>
  <si>
    <t>ANALISIS DATA GOVERNANCE DOMAIN DATA QUALITY MENGGUNAKAN DAMA-DMBOKV2 (DINAS KOMUNIKASI DAN INFORMATIKA KOTA BANDUNG)</t>
  </si>
  <si>
    <t>Jurnal Ilmiah Penelitian dan pembelajaran Informatika (JIPI)</t>
  </si>
  <si>
    <t>Asha Sembiring</t>
  </si>
  <si>
    <t>Deep Feature Extraction of Pap Smear Images Based on Convolutional Neural Network and Vision Transformer for Cervical Cancer Classification</t>
  </si>
  <si>
    <t>2024 IEEE International Conference on Industry 4.0, Artificial Intelligence, and Communications Technology (IAICT)</t>
  </si>
  <si>
    <t>Socialization and Assistance in the Implementation of Social Assistance for the Dalegan Village Community, Gresik Regency</t>
  </si>
  <si>
    <t>Jurnal Masyarakat Mengabdi</t>
  </si>
  <si>
    <t>Aris Kusumawati; Muhammad Dwi Hariyanto</t>
  </si>
  <si>
    <t>SI; -</t>
  </si>
  <si>
    <t>Perancangan Jaringan Backhaul gNodeB dan Distribusi Jaringan 5G NR di Kota Makassar</t>
  </si>
  <si>
    <t>Seminar Nasional Informatika Bela Negara (SANTIKA)</t>
  </si>
  <si>
    <t>Mukhlisah Nur Fadhilah</t>
  </si>
  <si>
    <t>Jurnal of Computer, Electronic, and Telecommunication</t>
  </si>
  <si>
    <t>Perencanaan Dan Optimalisasi Jaringan Selular 5G NR Frekuensi 2.3 GHz Di Kota Pekanbaru</t>
  </si>
  <si>
    <t>Jurnal Teknologi Informasi dan Komunikasi</t>
  </si>
  <si>
    <t>Astuti Br. Situmorang</t>
  </si>
  <si>
    <t>The Analisis Dan Optimasi Jaringan Telekomunikasi Fiber To The Home (FTTH) Menggunakan Metode Power Link Budget Di Perumahan Central Park Kota Surabaya</t>
  </si>
  <si>
    <t> 6680645</t>
  </si>
  <si>
    <t>0713108902</t>
  </si>
  <si>
    <t>Tasya Amalia</t>
  </si>
  <si>
    <t>Potensi Pengembangan Pertahanan dan Keamanan Laut Natuna Utara untuk Meningkatkan Nilai Ekonomi dan Keamanan Melalui Pembuatan Causal Loop Diagram</t>
  </si>
  <si>
    <t>SEWAGATI Jurnal Pengabdian Kepada Masyarakat</t>
  </si>
  <si>
    <t>Erwin Widodo</t>
  </si>
  <si>
    <t>Dody Hartanto</t>
  </si>
  <si>
    <t>Adi Bandono; Okol Sri Suharyo; April Kukuh; Rahmatika Jagad Pramundito; Muhammad Syamil Fadhillah</t>
  </si>
  <si>
    <t>Jaringan Komputer</t>
  </si>
  <si>
    <t>Perancangan Transmitter dan Receiver Automatic Identification System (AIS) pada Software Defined Radio (SDR)</t>
  </si>
  <si>
    <t>Raissa Rahma Susianto</t>
  </si>
  <si>
    <t xml:space="preserve">
Evaluasi Target Produksi Gula Kristal Putih PT.X dengan Pendekatan Perencanaan Produksi dan Analisis Investasi dalam Pemenuhan Permintaan Gula Nasional</t>
  </si>
  <si>
    <t>JURNAL FLYWHEEL</t>
  </si>
  <si>
    <t>Terresa Indrajani Kusuma</t>
  </si>
  <si>
    <t>Terresa Indrajani Kuruma</t>
  </si>
  <si>
    <t>OPTIMALISASI MANAJEMEN SEKOLAH MELALUI IMPLEMENTASI SISTEM INFORMASI TERPADU</t>
  </si>
  <si>
    <t>Jurnal Masyarakat Mandiri</t>
  </si>
  <si>
    <t>Nur Azizah Rosidah</t>
  </si>
  <si>
    <t>Junanda Deyastusesa</t>
  </si>
  <si>
    <t>Rayhan Alief Febryan</t>
  </si>
  <si>
    <t>Ricky Adam Saputra</t>
  </si>
  <si>
    <t>Pemodelan Integration Use Case (IUC): Perancangan Use Case Diagram (UML) untuk Sistem-sistem yang Terintegrasi</t>
  </si>
  <si>
    <t>TUS MART Web Commerce Design As A Digital Marketing Effort For Urban Farming Products Using Kansei Engineering</t>
  </si>
  <si>
    <t>Journal of Digital Marketing and Halal Industry</t>
  </si>
  <si>
    <t>6787771 </t>
  </si>
  <si>
    <t>Eka Devi Wulandari</t>
  </si>
  <si>
    <t>Analisis Pemilihan Supplier Pengadaan Mesin Masak Produksi Kecap Menggunakan Metode Analytical Hierarchy Process (AHP) Dan Taguchi Loss Function (Studi Kasus: PT X)</t>
  </si>
  <si>
    <t> 6795859</t>
  </si>
  <si>
    <t>Usability Testing of the TUS MART Website by Measuring the Customer Satisfaction Index using the WebQual Model</t>
  </si>
  <si>
    <t>JURNAL INOVTEK POLBENG</t>
  </si>
  <si>
    <t>Norma Septin Nurlaela</t>
  </si>
  <si>
    <t>Proposed Dashboard Concept for TUS MART: Enhancing Aquaponic and Hydroponic Sales Management Using the Innovation Canvas Method</t>
  </si>
  <si>
    <t>User Interface and User Experience Design for TUS Mart Sales Report Dashboard Using Design Thinking Method</t>
  </si>
  <si>
    <t>Hawwin mardhiana</t>
  </si>
  <si>
    <t>Ali Akbar Nafis</t>
  </si>
  <si>
    <t>Analisis Dan Penerapan Knowledge Management System (KMS) Di UMKM Furniture (Studi Kasus: CV. DNA Bali Indonesia)</t>
  </si>
  <si>
    <t>Management Studies and Entrepeneurship Journal</t>
  </si>
  <si>
    <t>6744406</t>
  </si>
  <si>
    <t>Identification and Modeling of SI-LAUT: Information System for Indonesian Maritime Resources Using Penta-Helix Model</t>
  </si>
  <si>
    <t>Mohammad Anas Fikri</t>
  </si>
  <si>
    <t>ABDIMAS AWANG LONG JURNAL PENGABDIAN DAN PEMBERDAYAAN MASYARAKAT</t>
  </si>
  <si>
    <t>Information Technology Security Audit at the YDSF National Zakat Instituion Using the ISO 27001 Framework</t>
  </si>
  <si>
    <t>Jurnal SISFOKOM (Sistem Informasi dan Komputer)</t>
  </si>
  <si>
    <t>Rully Rosadi</t>
  </si>
  <si>
    <t>Muhammad Arkan Fauzan</t>
  </si>
  <si>
    <t>Wahid Yasin; Hendrik Hermawan</t>
  </si>
  <si>
    <t>PERANCANGAN ARSITEKTUR SISTEM INFORMASI PADA DINAS XYZ PROVINSI JAWA TIMUR MENGGUNAKAN PENDEKATAN KERANGKA KERJA TOGAF ADM v9. 2</t>
  </si>
  <si>
    <t>Journal of Information Technology and Computer Science (INTECOMS)</t>
  </si>
  <si>
    <t>Wanda Nadhifa Ainaya</t>
  </si>
  <si>
    <t xml:space="preserve">	Penerapan teknologi dan sumber listrik alternatif untuk mendukung hidroponik kampung Oase Ondomohen</t>
  </si>
  <si>
    <t>Rafif Muhammmad Rasyad</t>
  </si>
  <si>
    <t>Rizky Dwi Budi Anugrah Wibowo; Samuel Haorista Oika Eka Cipta; Adi Candra</t>
  </si>
  <si>
    <t>PENGEMBANGAN APLIKASI E-PSKS UNTUK PENGELOLAAN DATA POTENSI DAN SUMBER KESEJAHTERAAN SOSIAL PROVINSI JAWA TIMUR</t>
  </si>
  <si>
    <t>0707089302</t>
  </si>
  <si>
    <t>Chrisdion Andrew</t>
  </si>
  <si>
    <t>Bagus Cahyo Sulistiyo</t>
  </si>
  <si>
    <t>Arcaius Obaja Naarie</t>
  </si>
  <si>
    <t>Irfan Yasin</t>
  </si>
  <si>
    <t>House Price Modeling in Semarang and Surabaya City using Component Regression with Frequentist and Bayesian Approach</t>
  </si>
  <si>
    <t>Proceedings of the International Conference on Advanced Technology and Multidiscipline (ICATAM 2024)</t>
  </si>
  <si>
    <t>Dwi Ranti</t>
  </si>
  <si>
    <t>Alhassan Sesay</t>
  </si>
  <si>
    <t>Mochammad Fahd Ali Hillaby</t>
  </si>
  <si>
    <t>National Salt Supply and Demand Forecast Using Dynamic System Modelling</t>
  </si>
  <si>
    <t>Proceedings - International Seminar on Intelligent Technology and its Applications, ISITIA</t>
  </si>
  <si>
    <t> 259781</t>
  </si>
  <si>
    <t>Ahmad Saikhu</t>
  </si>
  <si>
    <t>Application of Negative Binomial Regression Model in West Java Tourism</t>
  </si>
  <si>
    <t>Journal of Advanced Technology and Multidiscipline (JATM)</t>
  </si>
  <si>
    <t>Quality Matrix-Based Product Innovation in Birkinpet Pet Harness Apparel</t>
  </si>
  <si>
    <t>Journal of Applied Industrial Engginering</t>
  </si>
  <si>
    <t>Lusi Zafriana</t>
  </si>
  <si>
    <t>6859382 </t>
  </si>
  <si>
    <t>Prihono</t>
  </si>
  <si>
    <t>Pemberdayaan Ekonomi Lokal Melalui Pelatihan dan Kolaborasi di Kampoeng Herbal Soerabaja</t>
  </si>
  <si>
    <t>KONTRIBUSI: Jurnal Penelitian dan Pengabdian Kepada Masyarakat</t>
  </si>
  <si>
    <t>Ernie Maduratna Setiawati</t>
  </si>
  <si>
    <t>Mukhammad Muryono</t>
  </si>
  <si>
    <t>Pemodelan Sistem Dinamik Mitigasi Banjir Untuk Mengurangi Luas Sawah Terdampak Banjir Di Jawa Timur: A System Thinking Approach</t>
  </si>
  <si>
    <t>Fountain of Informatics</t>
  </si>
  <si>
    <t>Julieta Arneysa Nixieshakira</t>
  </si>
  <si>
    <t>Siti Nur Fahilah</t>
  </si>
  <si>
    <t>Yanuar Cahyo Eko Wahana</t>
  </si>
  <si>
    <t>Sentiment Analysis of Student Complaint Text for Finding Context</t>
  </si>
  <si>
    <t>Perbandingan Efisiensi Metode Apriori dan FP Growt</t>
  </si>
  <si>
    <t>INNOVATIVE: Journal Of Social Science Research</t>
  </si>
  <si>
    <t>Aisyah Pinky Marchanda</t>
  </si>
  <si>
    <t>Teori dan Penerapan Backpropagation Neural Networks untuk Internet of Things: Online dan Batch Mode</t>
  </si>
  <si>
    <t>Jurnal SISFO: Inspirasi Profesional Sistem Informasi</t>
  </si>
  <si>
    <t>Implementation of Digital Marketing in Efforts to Increase Sales Home Industry Custom Fishing Rod</t>
  </si>
  <si>
    <t>ABDI MASYARAKAT</t>
  </si>
  <si>
    <t>Eka Cahya Muliawati</t>
  </si>
  <si>
    <t>Rachman Arief</t>
  </si>
  <si>
    <t>Yuniar Dwi Ardhani</t>
  </si>
  <si>
    <t xml:space="preserve">BD </t>
  </si>
  <si>
    <t>Samuel Evan Aldrick</t>
  </si>
  <si>
    <t>Analysis of User Behavior of the Digital Korlantas Polri Application with Integrated UTAUT in the Community of East Java Province</t>
  </si>
  <si>
    <t>JUSIKOM PRIMA (Jurnal Sistem Informasi dan Ilmu Komputer Prima)</t>
  </si>
  <si>
    <t>Annisaa Putri Prameswari Poerwanto</t>
  </si>
  <si>
    <t>Developing a profile website for mosque Qori and Imam as a medium for Da'wah</t>
  </si>
  <si>
    <t>ABDIMAS: JURNAL PENGABDIAN MASYARAKAT UNIVERSITAS MERDEKA MALANG</t>
  </si>
  <si>
    <t>0715019202</t>
  </si>
  <si>
    <t>Muhammad Taufikurrahman</t>
  </si>
  <si>
    <t>Shanaya Lubna Dio</t>
  </si>
  <si>
    <t>Implementation of Data Mining using Aprirori Algorithm to Improve Sales Patterns of MSME Products</t>
  </si>
  <si>
    <t>Pengantar Sistem Informasi Geografis dan Pemanfaatannya dalam Multidisiplin Ilmu</t>
  </si>
  <si>
    <t>6843087 </t>
  </si>
  <si>
    <t>Development of Employee Letter Administration System at PT. Anugrah Laut Indonesia (ALI Seafood)</t>
  </si>
  <si>
    <t>6680622 </t>
  </si>
  <si>
    <t xml:space="preserve">Dahliar Ananda </t>
  </si>
  <si>
    <t>28854 </t>
  </si>
  <si>
    <t>0402058203</t>
  </si>
  <si>
    <t xml:space="preserve">	Socialization and Assistance in the Implementation of Social Assistance for the Dalegan Village Community, Gresik Regency</t>
  </si>
  <si>
    <t>SI;-</t>
  </si>
  <si>
    <t>ANALISIS PELAYANAN REKAM MEDIS PADA SISTEM SARANA PRASARANA DAN SUMBER DAYA MANUSIA</t>
  </si>
  <si>
    <t>Jurnal 'Aisyiyah Medika</t>
  </si>
  <si>
    <t>Muhlisin</t>
  </si>
  <si>
    <t>Meri Rosita</t>
  </si>
  <si>
    <t>Ari Yulianto</t>
  </si>
  <si>
    <t>TINJAUAN PERILAKU PEREKAM MEDIS TERHADAP KEAMANAN BERKAS REKAM MEDIS</t>
  </si>
  <si>
    <t>Babul Ilmi Jurnal Ilmiah Multi Science Kesehatan</t>
  </si>
  <si>
    <t>Aditya Purbayanti</t>
  </si>
  <si>
    <t xml:space="preserve">	DISEMINASI SERTA STUDI KELAYAKAN HIDROPONIK BERBASIS TENAGA SURYA UNTUK MENDUKUNG EKONOMI KAMPUNG SONGO SIMOMULYO YANG BERKELANJUTAN</t>
  </si>
  <si>
    <t xml:space="preserve">BEGAWE: Jurnal Pengabdian Masyarakat </t>
  </si>
  <si>
    <t>Nur Aliffah Rizkianingtyas</t>
  </si>
  <si>
    <t>Identifikasi Pola Kunjungan Pasien: Inovasi Pelayanan pada Rumah Sakit WKJ Surabaya dengan Algoritma Apriori</t>
  </si>
  <si>
    <t>SENADA: Seminar Nasional Sains Data</t>
  </si>
  <si>
    <t>Ahmad Ihda Falah Annur</t>
  </si>
  <si>
    <t>Marsha Trista Aulia</t>
  </si>
  <si>
    <t>I Putu Krishna Deni Suadnyana</t>
  </si>
  <si>
    <t>Analisis dan Mitigasi Risiko dalam Pengadaan Menggunakan Pendekatan House of Risk pada Perusahaan Jaringan Broadband</t>
  </si>
  <si>
    <t>Jurnal Penelitian Rumpun Ilmu Teknik</t>
  </si>
  <si>
    <t>Divazanna Illaritzqi</t>
  </si>
  <si>
    <t>Enhancing Maintenance Efficiency Through K-Means Clustering at PT Semen Indonesia</t>
  </si>
  <si>
    <t>INNOVATICS</t>
  </si>
  <si>
    <t>Muhammad Fadhil Alviano</t>
  </si>
  <si>
    <t>Calista Ghea Ardhani</t>
  </si>
  <si>
    <t>Helga Fadhil Raditya</t>
  </si>
  <si>
    <t>Harashta Tatimma Larasati</t>
  </si>
  <si>
    <t>Penerapan Regresi Linear Pada Minat Berwirausaha Mahasiswa Telkom University Surabaya</t>
  </si>
  <si>
    <t>Jurnal Eksponensial</t>
  </si>
  <si>
    <t>Rizqy Athiyya Nafi'atus Sa'idah</t>
  </si>
  <si>
    <t>Aisyah Nabila Zahra</t>
  </si>
  <si>
    <t>ANALISIS EFISIENSI PADA PELAYANAN PENGEMBANGAN KOMPETENSI MENGGUNAKAN METODE BUSINESS PROCESS IMPROVEMENT (STUDI KASUS: BKPSDM PROVINSI BALI)</t>
  </si>
  <si>
    <t>Jurnal Sistem Informasi dan Informatika (Simika)</t>
  </si>
  <si>
    <t>M. Amar Ma'ruf</t>
  </si>
  <si>
    <t xml:space="preserve">	Static Analysis of Single Shaft Hub Wheel Cover to Determine The Strength Level of The Cover</t>
  </si>
  <si>
    <t>Perencanaan Arsitektur Visi Di Rumah Sakit Tni Au Soemitro Menggunakan Pendekatan TOGAF ADM 9.2</t>
  </si>
  <si>
    <t>Birgita Yolanda.F.A.H</t>
  </si>
  <si>
    <t>Generalized decentralized control for robust stabilization and L2 gain of nonlinear interconnected systems</t>
  </si>
  <si>
    <t>Systems Science &amp; Control Engineering</t>
  </si>
  <si>
    <t xml:space="preserve">	Analisis Sentimen Ulasan Tempat Kuliner Di Jawa Timur Dengan Menggunakan Metode Naïve Bayes</t>
  </si>
  <si>
    <t xml:space="preserve">Merkurius: Jurnal Riset Sistem Informasi dan Teknik Informatika </t>
  </si>
  <si>
    <t>Implementasi Pembuatan Dashboard untuk Analisis Pola Diagnosa Pasien di Rumah Sakit X</t>
  </si>
  <si>
    <t>Ananda Taqhsya D</t>
  </si>
  <si>
    <t>Muhammad Firman A.</t>
  </si>
  <si>
    <t>Sentiment Classification of User Reviews for KAI Access Application Using Naive Bayes Method</t>
  </si>
  <si>
    <t>Journal of Dinda: Data Science, Information Technology, and Data Analytics</t>
  </si>
  <si>
    <t>Rafi Andi Hidayah</t>
  </si>
  <si>
    <t>Sentiment Analysis of User Reviews on Cryptocurrency Application: Evaluating the Impact of Dataset Split Scenarios Using Multinomial Naive Bayes</t>
  </si>
  <si>
    <t>The Indonesian Journal of Computer Science (IJCS)</t>
  </si>
  <si>
    <t>Chrisdion Andrew Ramaputra</t>
  </si>
  <si>
    <t>Target Baru Pengobatan Meningitis berdasarkan Centrality Measure jaringan protein dan Self Oganizing Map.</t>
  </si>
  <si>
    <t>Journal of Mathematics and Its Applications</t>
  </si>
  <si>
    <t>RANCANG BANGUN SISTEM INFORMASI MANAJEMEN LAYANAN PUSAT BAHASA BERBASIS WEB DI UNIVERSITAS TELKOM SURABAYA</t>
  </si>
  <si>
    <t>ZONAsi: Jurnal Sistem Informasi</t>
  </si>
  <si>
    <t>Bayu Kevin Farindra</t>
  </si>
  <si>
    <t>Implementasi Metode Naive Bayes pada Sistem Diagnosis Penyakit Mata (Studi Kasus Poli Mata Rumah Sakit Islam Jemursari Surabaya): Implementation of Naive Bayes Method on Eye Disease Diagnosis System (Ophthalmology Poly Case Study at Jemursari Islamic Hospital Surabaya)</t>
  </si>
  <si>
    <t>Dima Rafly</t>
  </si>
  <si>
    <t>Analisis Algoritma Music Untuk Deteksi Sudut Kedatangan Pada Perangkat Gunshot</t>
  </si>
  <si>
    <t xml:space="preserve">Journal of Computer, Electronic, and Telecommunication </t>
  </si>
  <si>
    <t>Rizal Reynaldi</t>
  </si>
  <si>
    <t>0720019102</t>
  </si>
  <si>
    <t>Dashboard Analytic sebagai Media untuk Meningkatkan Performa SMP Hangtuah 4 Surabaya</t>
  </si>
  <si>
    <t>Nabila Zalfa Shafira</t>
  </si>
  <si>
    <t>Miranthy Pramita Ningtyas</t>
  </si>
  <si>
    <t>Shefira Eka Putri</t>
  </si>
  <si>
    <t xml:space="preserve">	Pelatihan Aplikasi Canva untuk Meningkatkan Keterampilan Masyarakat dalam Merancang Produk UMKM</t>
  </si>
  <si>
    <t xml:space="preserve">Ayu Endah Wahyuni </t>
  </si>
  <si>
    <t>Friska Nur Azizah</t>
  </si>
  <si>
    <t>Pengembangan Multimedia Pembelajaran Menggunakan Aplikasi Smart Apps Creator pada Materi Sistem Pernapasan Manusia IPAS Kelas V SD</t>
  </si>
  <si>
    <t xml:space="preserve">Analisis Risiko Bahaya dengan Metode Hazard Identification, Risk Assessment and Determining Control (HIRADC) pada Industri Kecil Mebel (Studi Kasus: Mebel Homedecore, Driyorejo </t>
  </si>
  <si>
    <t xml:space="preserve">Jurnal Teknik Industri Terintegrasi (JUTIN) </t>
  </si>
  <si>
    <t>SOSIALISASI LITERASI DIGITAL DAN VILLAGE BRANDING BERBASIS WEBSITE</t>
  </si>
  <si>
    <t>Nazhiva Salma Putri Iswantoro</t>
  </si>
  <si>
    <t>ANALISIS KUALITAS LAYANAN E-HEALTH SURABAYA: PENDEKATAN INTEGRATIF E-SERVQUAL DAN IMPORTANCE PERFORMANCE ANALYSIS (IPA)</t>
  </si>
  <si>
    <t>Muhammad Iqbal Hafish Setiawan</t>
  </si>
  <si>
    <t>Analisis Manajemen Risiko dengan Menggunakan Framework ISO 31000: 2018 pada Sistem Informasi E-Gudang Satpol PP Kota Surabaya</t>
  </si>
  <si>
    <t>Jurnal Teknologi Informasi dan Komunikasi (TeIKa)</t>
  </si>
  <si>
    <t>Brigita Yolanda F.A.H</t>
  </si>
  <si>
    <t xml:space="preserve">	Evaluation of Information Security at the XYZ Foundation Using OWASP Top 10 2021 Framework</t>
  </si>
  <si>
    <t xml:space="preserve">IT </t>
  </si>
  <si>
    <t>ANALISIS LEVEL PENGELOLAAN SI/TI DI DINAS KESEHATAN PROVINSI JAWA TIMUR BERDASARKAN FRAMEWORK COBIT 2019</t>
  </si>
  <si>
    <t>Journal of Computer Science and Information Technology</t>
  </si>
  <si>
    <t>Fannijara Enggar Larasati</t>
  </si>
  <si>
    <t xml:space="preserve"> PERANCANGAN ARSITEKTUR SISTEM INFORMASI PADA DINAS XYZ PROVINSI JAWA TIMUR MENGGUNAKAN PENDEKATAN KERANGKA KERJA TOGAF ADM v9. 2</t>
  </si>
  <si>
    <t>INTECOMS: Journal of Information Technology and Computer Science</t>
  </si>
  <si>
    <t>Pengukuran dan Evaluasi Maturity Level Tata Kelola Teknologi Informasi pada PT Romi Violeta menggunakan Framework Cobit 2019</t>
  </si>
  <si>
    <t xml:space="preserve">Innovative: Journal Of Social Science Research </t>
  </si>
  <si>
    <t>Cantika Anisya Virasari</t>
  </si>
  <si>
    <t>Intelligent Systems with Applications</t>
  </si>
  <si>
    <t>Teaching Recursion Before College Through Three Coins Remaining Game Using Dynamic Programming</t>
  </si>
  <si>
    <t>CLUSTERING ANALYSIS FOR GROUPING SUB-DISTRICTS IN BOJONEGORO DISTRICT WITH THE K-MEANS METHOD WITH A VARIETY OF APPROACHES</t>
  </si>
  <si>
    <t>BAREKENG: JOURNAL OF MATHEMATICS AND ITS APPLICATION</t>
  </si>
  <si>
    <t>Denny Nurdiansyah</t>
  </si>
  <si>
    <t>Yuana Sukmawaty</t>
  </si>
  <si>
    <t>Muchammad Chandra Cahyo Utomo</t>
  </si>
  <si>
    <t>Tia Mutiani</t>
  </si>
  <si>
    <t>The Use of A Geographically Weighted Regression Model to Analyze Predictors of The Rice Supply in Bojonegoro</t>
  </si>
  <si>
    <t>Vtgotsky: Jurnal Pendidikan Matematika dan Matematika</t>
  </si>
  <si>
    <t>Alif Yuanita Kartini</t>
  </si>
  <si>
    <t>Ummi Agustin Yuliana</t>
  </si>
  <si>
    <t>Jurnal Nasional S2</t>
  </si>
  <si>
    <t>Jurnal Nasional ber-ISSN</t>
  </si>
  <si>
    <t>Jurnal Nasional S4</t>
  </si>
  <si>
    <t>Jurnal Nasional S3</t>
  </si>
  <si>
    <t>Firman Adi Rifansyah</t>
  </si>
  <si>
    <t>Rian Gunawan</t>
  </si>
  <si>
    <t>Verina Elista Malik</t>
  </si>
  <si>
    <t>Siti Aminah</t>
  </si>
  <si>
    <t>Wafa Murtadho Kholid</t>
  </si>
  <si>
    <t>Jurnal Internasional Q3</t>
  </si>
  <si>
    <t>Jurnal Internasional</t>
  </si>
  <si>
    <t/>
  </si>
  <si>
    <t>Telkom University</t>
  </si>
  <si>
    <t>Pramaditya Arismawati</t>
  </si>
  <si>
    <t>N AZIZIA GIA MUTIARASARI</t>
  </si>
  <si>
    <t>Puguh Chondro Jadmiko</t>
  </si>
  <si>
    <t>OPTIMALISASI PENGELOLAAN DAN PUBLIKASI DATA STATISTIK KELURAHAN GAYUNGAN MELALUI PELATIHAN DAN PENGEMBANGAN WEBSITE</t>
  </si>
  <si>
    <t>Eksternal</t>
  </si>
  <si>
    <t>Royzaldo Aser Elegius Logo</t>
  </si>
  <si>
    <t>Firman Ahmad Maulana</t>
  </si>
  <si>
    <t>Rifansyah Fitrah Haichal Sukino</t>
  </si>
  <si>
    <t>AMALIA NUR ALIFAH</t>
  </si>
  <si>
    <t>Aden Zulfalia Taufik</t>
  </si>
  <si>
    <t>Prodi11</t>
  </si>
  <si>
    <t>Prodi3</t>
  </si>
  <si>
    <t>Prodi4</t>
  </si>
  <si>
    <t>Prodi5</t>
  </si>
  <si>
    <t>Prodi7</t>
  </si>
  <si>
    <t>Prodi8</t>
  </si>
  <si>
    <t>Prodi9</t>
  </si>
  <si>
    <t>Hak Cipta</t>
  </si>
  <si>
    <t>Institut Teknologi Telkom Surabaya</t>
  </si>
  <si>
    <t>Granted</t>
  </si>
  <si>
    <t>Bisnis Digital</t>
  </si>
  <si>
    <t>Aji Triatmojo</t>
  </si>
  <si>
    <t>Iqbal Tawwaqal</t>
  </si>
  <si>
    <t>Paten Sederhana</t>
  </si>
  <si>
    <t>Bagas Putra Pradana</t>
  </si>
  <si>
    <t>Rasyidi Faiz Akbar</t>
  </si>
  <si>
    <t>Moch Yusuf Faisal Akbar Anwari</t>
  </si>
  <si>
    <t>Implementasi Teknologi dan Sumber Listrik Alternatif untuk Mendukung Smart Kampung Oase Ondomohen</t>
  </si>
  <si>
    <t>Yulia Wahyu Ningsih</t>
  </si>
  <si>
    <t>Febianne Diva Prinita</t>
  </si>
  <si>
    <t>Ivan Sholana</t>
  </si>
  <si>
    <t>Rizal Jihadi</t>
  </si>
  <si>
    <t>Muhammad Paksi Satriawan</t>
  </si>
  <si>
    <t>Evan Hadi Sukuriyanto</t>
  </si>
  <si>
    <t>Gamifikasi Peternakan Digital Desa Wonosalam dengan Pendeteksi Nama Hewan Ternak Berbasis Kecerdasan Buatan</t>
  </si>
  <si>
    <t>Rizqika Ibnu Khattab</t>
  </si>
  <si>
    <t>EKA SARI OKTARINA</t>
  </si>
  <si>
    <t>TPA</t>
  </si>
  <si>
    <t>DAUD MUHAJIR</t>
  </si>
  <si>
    <t>ANIFATUL FARICHA</t>
  </si>
  <si>
    <t>MOHAMAD YANI</t>
  </si>
  <si>
    <t>BERLIAN RAHMY LIDIAWATY</t>
  </si>
  <si>
    <t>DYAH PUTRI RAHMAWATI</t>
  </si>
  <si>
    <t>AHMAD WALI SATRIA BAHARI JOHAN</t>
  </si>
  <si>
    <t>RAHMAT SIGIT HIDAYAT</t>
  </si>
  <si>
    <t>RENDIKA NURHARTANTO SUHARTO</t>
  </si>
  <si>
    <t>MUHAMMAD DZULFIKAR FAUZI</t>
  </si>
  <si>
    <t>ARDIAN YUSUF WICAKSONO</t>
  </si>
  <si>
    <t>MUHAMMAD DWI HARIYANTO</t>
  </si>
  <si>
    <t>RULLY ROSADI</t>
  </si>
  <si>
    <t>RYANTA MEYLINDA SAVIRA</t>
  </si>
  <si>
    <t>MUHAMMAD ADIB KAMALI</t>
  </si>
  <si>
    <t>CHINTYA TRIBHUANA UTAMI</t>
  </si>
  <si>
    <t>RIFKI DWI PUTRANTO</t>
  </si>
  <si>
    <t>MUHAMAD NASRULLAH</t>
  </si>
  <si>
    <t>ROSYID ABDILLAH</t>
  </si>
  <si>
    <t>No. SK</t>
  </si>
  <si>
    <t>No. Kontrak</t>
  </si>
  <si>
    <t>Judul Penelitian</t>
  </si>
  <si>
    <t>Lama Kegiatan (bulan)</t>
  </si>
  <si>
    <t>Bidang Fokus</t>
  </si>
  <si>
    <t>Dana Disetujui</t>
  </si>
  <si>
    <t>Nama Institusi Penerima Dana</t>
  </si>
  <si>
    <t>Target TKT</t>
  </si>
  <si>
    <t>Nama Program Hibah</t>
  </si>
  <si>
    <t>Negara Sumber Dana</t>
  </si>
  <si>
    <t>Sinta ID Ketua</t>
  </si>
  <si>
    <t>Nama Ketua</t>
  </si>
  <si>
    <t>NIDN Ketua</t>
  </si>
  <si>
    <t>DANA KETUA</t>
  </si>
  <si>
    <t>Prodi Ketua</t>
  </si>
  <si>
    <t>Prodi Ketua (2)</t>
  </si>
  <si>
    <t>Prodi Ketua (3)</t>
  </si>
  <si>
    <t>Fakultas Ketua</t>
  </si>
  <si>
    <t>Institusi Ketua</t>
  </si>
  <si>
    <t>Sinta ID Institusi Ketua</t>
  </si>
  <si>
    <t>Kode PT Ketua</t>
  </si>
  <si>
    <t>Sinta ID Member1</t>
  </si>
  <si>
    <t>NIDN Member1</t>
  </si>
  <si>
    <t>Nama Anggota 1</t>
  </si>
  <si>
    <t>Dana Anggota 1</t>
  </si>
  <si>
    <t>Prodi Member 1</t>
  </si>
  <si>
    <t>Prodi Member 1 (2)</t>
  </si>
  <si>
    <t>Prodi Anggota 1 (3)</t>
  </si>
  <si>
    <t>Fakultas</t>
  </si>
  <si>
    <t>PT</t>
  </si>
  <si>
    <t>Sinta ID Member2</t>
  </si>
  <si>
    <t>NIDN Member2</t>
  </si>
  <si>
    <t>Nama Anggota 2</t>
  </si>
  <si>
    <t>Dana Anggota 2</t>
  </si>
  <si>
    <t>Prodi Anggota 2</t>
  </si>
  <si>
    <t>Prodi Anggota  2 (2)</t>
  </si>
  <si>
    <t>Prodi Anggota 2 (3)</t>
  </si>
  <si>
    <t>Fakultas3</t>
  </si>
  <si>
    <t>PT4</t>
  </si>
  <si>
    <t>Sinta ID Member3</t>
  </si>
  <si>
    <t>NIDN Member3</t>
  </si>
  <si>
    <t>Nama Anggota 3</t>
  </si>
  <si>
    <t>Dana Anggota 3</t>
  </si>
  <si>
    <t>Prodi Anggota 3</t>
  </si>
  <si>
    <t>Prodi Anggota 3 (2)</t>
  </si>
  <si>
    <t>Fakultas Anggota 3</t>
  </si>
  <si>
    <t>PT Anggota 3</t>
  </si>
  <si>
    <t>Sinta ID Member4</t>
  </si>
  <si>
    <t>NIDN Member4</t>
  </si>
  <si>
    <t>Nama Member4</t>
  </si>
  <si>
    <t>Dana Anggota 4</t>
  </si>
  <si>
    <t>Prodi Anggota 4</t>
  </si>
  <si>
    <t>Prodi Anggota 4 (2)</t>
  </si>
  <si>
    <t>Fakultas Anggota 4</t>
  </si>
  <si>
    <t>PT Anggota 4</t>
  </si>
  <si>
    <t>Sinta ID Member5</t>
  </si>
  <si>
    <t>NIDN Member5</t>
  </si>
  <si>
    <t>Nama Member5</t>
  </si>
  <si>
    <t>Prodi Anggota 5</t>
  </si>
  <si>
    <t>Fakultas Anggota 5</t>
  </si>
  <si>
    <t>Dana Anggota 5</t>
  </si>
  <si>
    <t>Proposal</t>
  </si>
  <si>
    <t>Laporan Akhir</t>
  </si>
  <si>
    <t>Nama Mh</t>
  </si>
  <si>
    <t>Prodi, Fak, PT Mhs1</t>
  </si>
  <si>
    <t>Nama Mhs2</t>
  </si>
  <si>
    <t>Prodi, Fak, PT Mhs2</t>
  </si>
  <si>
    <t>Nama Mhs3</t>
  </si>
  <si>
    <t>Prodi, Fak, PT Mhs3</t>
  </si>
  <si>
    <t>Nama Mhs4</t>
  </si>
  <si>
    <t>Prodi Mhs4</t>
  </si>
  <si>
    <t>Nama Mhs5</t>
  </si>
  <si>
    <t>Prodi Mhs5</t>
  </si>
  <si>
    <t>Nama Mhs6</t>
  </si>
  <si>
    <t>Prodi Mhs6</t>
  </si>
  <si>
    <t>Nama Mhs7</t>
  </si>
  <si>
    <t>Prodi Mhs7</t>
  </si>
  <si>
    <t>Luaran Wajib</t>
  </si>
  <si>
    <t>Capaian Luaran Wajib</t>
  </si>
  <si>
    <t>Luaran Tambahan</t>
  </si>
  <si>
    <t>Capaian Luaran Tambahan</t>
  </si>
  <si>
    <t>10/KP/LPPM-UWP/K-1/II/2018</t>
  </si>
  <si>
    <t>RANCANGAN TEORI BAPAKISME TERHADAP PRODUKTIFITAS KADER POSYANDU SEBAGAI PENGGUNA SISTEM INFORMASI KMS</t>
  </si>
  <si>
    <t>Penelitian Hibah Eksternal</t>
  </si>
  <si>
    <t>2018</t>
  </si>
  <si>
    <t>Teknologi Informasi dan Komunikasi</t>
  </si>
  <si>
    <t>ID</t>
  </si>
  <si>
    <t>ITTelkom Surabaya</t>
  </si>
  <si>
    <t>FTII</t>
  </si>
  <si>
    <t>Ir SUBADERI M.M</t>
  </si>
  <si>
    <t>214/PNLT3/PPM/III/2019</t>
  </si>
  <si>
    <t>PENGEMBANGAN SISTEM KENDALI KUANTITAS AIR PADA TANAMAN HIDROPONIK BERBASIS INTERNET OF THINGS (IOT)</t>
  </si>
  <si>
    <t>4</t>
  </si>
  <si>
    <t>Penelitian Kompetitif Internal</t>
  </si>
  <si>
    <t>Internal</t>
  </si>
  <si>
    <t>FTE</t>
  </si>
  <si>
    <t>Alfrido Ramadhana KP</t>
  </si>
  <si>
    <t>Superposisi Gelombang Sinus  Sebagai Media Pembelajaran Gelombang Dan Bunyi Pada Matakuliah Fisika Dasar Screen reader support enabled.</t>
  </si>
  <si>
    <t>3</t>
  </si>
  <si>
    <t>Danang Taufik Kurnianto</t>
  </si>
  <si>
    <t>Muhammad Syaiful Islam</t>
  </si>
  <si>
    <t>Rancang Bangun Modul Praktikum Harmonisasi Nada  Sebagai Media Pembelajaran Gelombang Dan Bunyi Pada Matakuliah Fisika Dasar</t>
  </si>
  <si>
    <t>Ardiansyah Al farouq</t>
  </si>
  <si>
    <t>Muhammad Huzaimi Maulana</t>
  </si>
  <si>
    <t>Analisis Kepuasan Pelanggan Terhadap Layanan Penyedia Jasa Transportasi Online Menggunakan Fuzzy Service Quality</t>
  </si>
  <si>
    <t>Tanang Satrio Adi</t>
  </si>
  <si>
    <t>Sistem Akuaponik Berbasis IOT pada Urban Farming</t>
  </si>
  <si>
    <t>6</t>
  </si>
  <si>
    <t>Tanfirul Roibafi Muhammad</t>
  </si>
  <si>
    <t>SI, FTII, ITTS</t>
  </si>
  <si>
    <t>RPL, FTII, ITTS</t>
  </si>
  <si>
    <t>Antena Dengan Beamforming Sederhana Untuk Komunikasi Robot Bergerak</t>
  </si>
  <si>
    <t>Aulia Putri Pramita</t>
  </si>
  <si>
    <t>Riski Dwi Nur Cahyanti</t>
  </si>
  <si>
    <t>Prasasti Desta Srihadi</t>
  </si>
  <si>
    <t>Identifikasi Posisi Kapal Mengunakan Internet Of Thing Sistem Untuk Mengurangi Antrian Kendaraan Truk Di Pelabuhan</t>
  </si>
  <si>
    <t>Publikasi paper seminar</t>
  </si>
  <si>
    <t>RM. Bagastyo Anggoro</t>
  </si>
  <si>
    <t>Utami Ika Sulistya Rini</t>
  </si>
  <si>
    <t>Transporter Logistik Cerdas "SROBOT"</t>
  </si>
  <si>
    <t>Getsemani Adi Bagus Maranata H</t>
  </si>
  <si>
    <t>Analisis Dan Deteksi Anomali Pada Perubahan Total Electron Content (Tec) Di Lapisan Ionosphare Sebelum Terjadi Gempa Bumi Menggunakan Ensemble Method.  (Studi Kasus Gempa Bumi Palu Dan Lombok)</t>
  </si>
  <si>
    <t>Jurnal Nasional Terakreditasi</t>
  </si>
  <si>
    <t>Muhamad Rizal Dwi Adhipramana</t>
  </si>
  <si>
    <t>Simple Digital Wireless Transmitter &amp; Receiver</t>
  </si>
  <si>
    <t>HAKI</t>
  </si>
  <si>
    <t>Ahmad Maulana Rozaq</t>
  </si>
  <si>
    <t>Model Lokasi Spatial Dengan Fungsi Permintaan Yang Bergantung Pada Harga, Lokasi, Dan Diskon</t>
  </si>
  <si>
    <t>Sinta Dewi</t>
  </si>
  <si>
    <t>Muhammad Narendroduto Rokhyadi</t>
  </si>
  <si>
    <t>Pengawasan Dan Klasifikasi Kualitas Air Pdam Surabaya Berbasis Internet Of Things</t>
  </si>
  <si>
    <t>Fauzan Abdul Rasyid</t>
  </si>
  <si>
    <t>Moch. Bagus Indrastata</t>
  </si>
  <si>
    <t>Permodelan Permintaan Yang Mempertimbangkan Harga, Lokasi Dan Rebate</t>
  </si>
  <si>
    <t>2</t>
  </si>
  <si>
    <t>Nisrina Salsabila</t>
  </si>
  <si>
    <t>Koordinasi vd Kompetisi: Aplikasi Hotelling Model Pada Pelabuhan Peti Kemas Surabaya</t>
  </si>
  <si>
    <t>Rancang Bangun Sistem Informasi Transportasi Umum Di Surabaya Mengguanakan Google Maps APIs Dan Firebase Pada Perangkat</t>
  </si>
  <si>
    <t>Aplikasi Android, Jurnal Nasional Terakreditasi, Seminar Internasional Terindeks IEEE</t>
  </si>
  <si>
    <t>Voice Command  Dalam Rumah Pintar Berbasis Internet Of Things</t>
  </si>
  <si>
    <t>Artikel Ilmiah dimuat di Jurnal</t>
  </si>
  <si>
    <t>Danu Diningrat</t>
  </si>
  <si>
    <t>Alvin Tamado Cahaya</t>
  </si>
  <si>
    <t>Pengembangan Sistem Cerdas Untuk Prediksi Jatuh Berbasis Accelerometer Dan Gyroscope Dalam Rangka Pencegahan Cedera Fatal Pada Geriatri</t>
  </si>
  <si>
    <t>Manajemen Energi Menggunakan Internet Of Things Untuk Smart Home</t>
  </si>
  <si>
    <t>Paper Scopus</t>
  </si>
  <si>
    <t>Fathur Alfariz</t>
  </si>
  <si>
    <t>Nova H. M. Soetarno</t>
  </si>
  <si>
    <t>REK.623/PNLT3/PPM/III/2020</t>
  </si>
  <si>
    <t>544/PNLT3/PPM/III/2020</t>
  </si>
  <si>
    <t>PENGARUH TIPE MEDIA SOSIAL TERHADAP HUBUNGAN ANTARA INFORMASI PADA IKLAN PRODUK UKM INDUSTRI SANDANG DENGAN INTENSI MEMBELI PADA INFORMATION ACCEPTANCE MODEL (IACM)</t>
  </si>
  <si>
    <t>Manajemen Industri</t>
  </si>
  <si>
    <t>FTEIC</t>
  </si>
  <si>
    <t>Seminar Internasional</t>
  </si>
  <si>
    <t>545/PNLT3/PPM/III/2020</t>
  </si>
  <si>
    <t>Studi Kelayakan Teknologi Klasifikasi Otomatis Berbasis Convolutional Neural Network Pada Sistem Penerimaan Mahasiswa Baru</t>
  </si>
  <si>
    <t>Studi Kelayakan</t>
  </si>
  <si>
    <t>FTIB</t>
  </si>
  <si>
    <t>Jurnal Nasional</t>
  </si>
  <si>
    <t>546/PNLT3/PPM/III/2020</t>
  </si>
  <si>
    <t>2D TO 3D MRI BRAIN SEGMENTATION MENGGUNAKAN U-NET AND MASK R-CNN METHOD UNTUK PENDUDUK DAERAH MARITIM</t>
  </si>
  <si>
    <t>Machine Learning</t>
  </si>
  <si>
    <t>072019</t>
  </si>
  <si>
    <t>547/PNLT3/PPM/III/2020</t>
  </si>
  <si>
    <t>Water Monitoring Using Internet of Things (IoT) Gen. 1</t>
  </si>
  <si>
    <t>Kemaritiman</t>
  </si>
  <si>
    <t>Jurnal</t>
  </si>
  <si>
    <t>Proseding internasional, Prototype</t>
  </si>
  <si>
    <t>548/PNLT3/PPM/III/2020</t>
  </si>
  <si>
    <t>Simulasi Model Hoteliing Pada Pelabuhan Peti Kemas Surabaya</t>
  </si>
  <si>
    <t>Simulasi Industri</t>
  </si>
  <si>
    <t>Dominggo Bayu</t>
  </si>
  <si>
    <t>549/PNLT3/PPM/III/2020</t>
  </si>
  <si>
    <t xml:space="preserve">Desain Sistem Monitoring Solar Farm dengan  Menggunakan PV Inverter pada Bangunan </t>
  </si>
  <si>
    <t xml:space="preserve">0728059203
</t>
  </si>
  <si>
    <t>Modul Pelatihan, Modul Praktikum</t>
  </si>
  <si>
    <t>550/PNLT3/PPM/III/2020</t>
  </si>
  <si>
    <t>EVAN (Emergency Vehiche Automatic Notification)</t>
  </si>
  <si>
    <t>Transportasi</t>
  </si>
  <si>
    <t xml:space="preserve">0708069202
</t>
  </si>
  <si>
    <t>HKI</t>
  </si>
  <si>
    <t>551/PNLT3/PPM/III/2020</t>
  </si>
  <si>
    <t>Analisis Karakteristik Peniaian Kinerja Manajerial Terhadap Pengaruh Motivasi Dan Kreativitas Menggunakan Metode Graphic Rating Scale Pada Instansi XYZ</t>
  </si>
  <si>
    <t xml:space="preserve">0710028604
</t>
  </si>
  <si>
    <t>6680698    </t>
  </si>
  <si>
    <t>Seminar Internasional, Hak Cipta</t>
  </si>
  <si>
    <t>552/PNLT3/PPM/III/2020</t>
  </si>
  <si>
    <t>Perancangan Data Warehouse untuk Menunjang Akreditasi Program Studi</t>
  </si>
  <si>
    <t>Warehouse Management System</t>
  </si>
  <si>
    <t xml:space="preserve">0704068902
</t>
  </si>
  <si>
    <t>Jurnal Sinta 2</t>
  </si>
  <si>
    <t>553/PNLT3/PPM/III/2020</t>
  </si>
  <si>
    <t>Penelusuran Sumber Gas Pada Kondisi Turbulensi Mekanis Menggunakan Mobile Robot</t>
  </si>
  <si>
    <t xml:space="preserve">0717017902
</t>
  </si>
  <si>
    <t>554/PNLT3/PPM/III/2020</t>
  </si>
  <si>
    <t>Antenna MIMO 5G-NR Band N77 dengan Korelasi Rendah untuk Base Station Komunikasi Robot Bergerak</t>
  </si>
  <si>
    <t xml:space="preserve">0703049401
</t>
  </si>
  <si>
    <t>555/PNLT3/PPM/III/2020</t>
  </si>
  <si>
    <t>Transporter Logistik Cerdas dengan Kemampuan Obstacle Avoidance dan Path Planning</t>
  </si>
  <si>
    <t xml:space="preserve">0721068802
</t>
  </si>
  <si>
    <t>556/PNLT3/PPM/III/2020</t>
  </si>
  <si>
    <t>Sistem Pelacakan Aset Menggunakan RFID pada ITTelkom Surabaya</t>
  </si>
  <si>
    <t>Logistik</t>
  </si>
  <si>
    <t xml:space="preserve">0715128708
</t>
  </si>
  <si>
    <t>557/PNLT3/PPM/III/2020</t>
  </si>
  <si>
    <t>Menyelidiki Hasil Pembelajaran dan Menghasilkan Subyektif Mendalam Dalam Pengalaman Logistic Dengan Video 360</t>
  </si>
  <si>
    <t>Virtual Reality, Budaya Organisasi</t>
  </si>
  <si>
    <t xml:space="preserve">0703129001
</t>
  </si>
  <si>
    <t>REK.661/PNLT3/PPM/III/2020</t>
  </si>
  <si>
    <t>534/SAM4/PPM/III/2020</t>
  </si>
  <si>
    <t>Pengembangan sistem kendali kuantitas air pada tanaman hidroponik berbasis Internet of Things (IoT)</t>
  </si>
  <si>
    <t>Penelitian Dosen Pemula (PDP)</t>
  </si>
  <si>
    <t>Penelitian Kompetitif Nasional</t>
  </si>
  <si>
    <t>eksternal</t>
  </si>
  <si>
    <t>535/SAM4/PPM/III/2020</t>
  </si>
  <si>
    <t>Implementasi Framework Performance System (PMS) pada Perusahaan Penyedia Jasa Logistik di Indonesia</t>
  </si>
  <si>
    <t xml:space="preserve">0711069301
</t>
  </si>
  <si>
    <t>Seminar Internasional,</t>
  </si>
  <si>
    <t>536/SAM4/PPM/III/2020</t>
  </si>
  <si>
    <t>Adopsi dan Implementasi I-Gracias di Lemdikti Yayasan Pendidikan Telkom berbasis Knowledge Management System (Studi Kasus: ITTelkom Surabaya)</t>
  </si>
  <si>
    <t xml:space="preserve">0725059004
</t>
  </si>
  <si>
    <t>537/SAM4/PPM/III/2020</t>
  </si>
  <si>
    <t xml:space="preserve">Analisis dan Perancangan Framewrork Sistem Informasi Manajemen Data Perguruan Tinggi di Surabaya
</t>
  </si>
  <si>
    <t>Buku (berupa
buku ajar,
monograf, atau
buku referensi)</t>
  </si>
  <si>
    <t>538/SAM4/PPM/III/2020</t>
  </si>
  <si>
    <t>Deteksi Kerusakan Jalan Raya secara Real Time berbasis perangkat bergerak dengan convolutional neural network</t>
  </si>
  <si>
    <t xml:space="preserve">     </t>
  </si>
  <si>
    <t xml:space="preserve">0730058702
</t>
  </si>
  <si>
    <t>539/SAM4/PPM/III/2020</t>
  </si>
  <si>
    <t>Pengembangan sistem penukaran tiket suroboyobus melalui digitalisasi pencatatan penukaran sampah berbasis android</t>
  </si>
  <si>
    <t xml:space="preserve">0705109002
</t>
  </si>
  <si>
    <t>540/SAM4/PPM/III/2020</t>
  </si>
  <si>
    <t>Pengembangan Sistem Nurse Call Nirkabael Berbasis ZigBee untuk Pasien Rawat Inap di RS Umum Daerah Tongas</t>
  </si>
  <si>
    <t xml:space="preserve">0729088704
</t>
  </si>
  <si>
    <t xml:space="preserve">0727059002
</t>
  </si>
  <si>
    <t>541/SAM4/PPM/III/2020</t>
  </si>
  <si>
    <t>Pemanfaatan VR dalam perancangan desain tempat kerja dan pengaruhnya terhadap produktivitas</t>
  </si>
  <si>
    <t xml:space="preserve">0703119301
</t>
  </si>
  <si>
    <t>Karya arsitektur</t>
  </si>
  <si>
    <t>542/SAM4/PPM/III/2020</t>
  </si>
  <si>
    <t>Deteksi Kecelakaan Lalu Lintas pada Real Time Video</t>
  </si>
  <si>
    <t xml:space="preserve">0719069101
</t>
  </si>
  <si>
    <t xml:space="preserve">0704039202
</t>
  </si>
  <si>
    <t>543/SAM4/PPM/III/2020</t>
  </si>
  <si>
    <t>Pengembangan robot pesawat tanpa awak untuk pemadam kebakaran di lingkungan yang berbahaya</t>
  </si>
  <si>
    <t xml:space="preserve">0714029301
</t>
  </si>
  <si>
    <t>Moch.Iskandar Riansyah</t>
  </si>
  <si>
    <t>Program Komputer</t>
  </si>
  <si>
    <t>REK. 754/PNLT1/WRI/IV/2020</t>
  </si>
  <si>
    <t>1298/PNLT3/LPPM/VIII/2020</t>
  </si>
  <si>
    <t>Lorong Sterilisasi Untuk Membersihkan Virus Corona pada Pakaian Luar Tubuh Manusia</t>
  </si>
  <si>
    <t>1299/PNLT3/LPPM/VIII/2020</t>
  </si>
  <si>
    <t>Rancang bangun sterillisasi chamber untuk meminimalisir risiko paparan virus COVID-19</t>
  </si>
  <si>
    <t xml:space="preserve">0713068702
</t>
  </si>
  <si>
    <t>Produk</t>
  </si>
  <si>
    <t>1300/PNLT3/LPPM/VIII/2020</t>
  </si>
  <si>
    <t>Desain Robot Logistik Pembantu Tenaga Medis di Rumah Sakit</t>
  </si>
  <si>
    <t>728059203</t>
  </si>
  <si>
    <t>1301/PNLT3/LPPM/VIII/2020</t>
  </si>
  <si>
    <t>Robot Sterillisasi Ruang Isolasi/ICU</t>
  </si>
  <si>
    <t>1302/PNLT3/LPPM/VIII/2020</t>
  </si>
  <si>
    <t>Swab Chamber untuk Pencegahan Penularan COVID-19 pada Petugas Medis</t>
  </si>
  <si>
    <t>Elektronika</t>
  </si>
  <si>
    <t>Prototype, HKI</t>
  </si>
  <si>
    <t>1303/PNLT3/LPPM/VIII/2020</t>
  </si>
  <si>
    <t>Pengembangan portable Non-Invasive Ventilator untuk menghadapi wabah COVID-19 di Jawa Timur, Indonesia</t>
  </si>
  <si>
    <t>COVID-19</t>
  </si>
  <si>
    <t xml:space="preserve">0725059301
</t>
  </si>
  <si>
    <t>Prototype</t>
  </si>
  <si>
    <t>1304/PNLT3/LPPM/VIII/2020</t>
  </si>
  <si>
    <t>Pengembangan desain APD Face Shield dengan teknologi cetak tridimensi untuk mengatasi kekurangan APD Tenaga Medis COVID-19</t>
  </si>
  <si>
    <t>Desain Industri</t>
  </si>
  <si>
    <t>REK. 941/SAM4/REK/VI/2020</t>
  </si>
  <si>
    <t>Cairan Antiseptik untuk Pencegahan Penyebaran Covid -19</t>
  </si>
  <si>
    <t>Penelitian kerjasama</t>
  </si>
  <si>
    <t>REK.1287/PNLT3/REK/VIII/2020</t>
  </si>
  <si>
    <t>1305/PNLT3/LPPM/VIII/2020</t>
  </si>
  <si>
    <t>Sterilisasi Udara Pada Ruangan Tertutup Menggunakan Filter Aktif</t>
  </si>
  <si>
    <t>1306/PNLT3/LPPM/VIII/2020</t>
  </si>
  <si>
    <t>Sterilisasi Udara pada AC Untuk Menghadapi Kondisi New Normal</t>
  </si>
  <si>
    <t>1307/PNLT3/LPPM/VIII/2020</t>
  </si>
  <si>
    <t>Sterilisasi Udara Portable Untuk Olahragawan Menggunakan Filter Aktif</t>
  </si>
  <si>
    <t xml:space="preserve">REK. 2031/SAM4/REK/VI/2020     </t>
  </si>
  <si>
    <t>Penelitian dan Pengembangan Digital Ventilator</t>
  </si>
  <si>
    <t xml:space="preserve">REK. 925/SAM4/REK/VI/2020     </t>
  </si>
  <si>
    <t>Crane Pemulasaraan Jenazah Pasien COVID-19</t>
  </si>
  <si>
    <t>REK.086/PNLT1/REK/III/2021</t>
  </si>
  <si>
    <t>997/PNLT1/LPPM/III/2021</t>
  </si>
  <si>
    <t>Evaluasi Platform Penjualan Produk Hidroponik dan Aqua ponik</t>
  </si>
  <si>
    <t xml:space="preserve">ADEK DHEA RESMI PURBANTARI </t>
  </si>
  <si>
    <t>Accepted</t>
  </si>
  <si>
    <t>Presented</t>
  </si>
  <si>
    <t>998/PNLT1/LPPM/III/2021</t>
  </si>
  <si>
    <t>Penerapan Data Mining untuk Menunjang Proses Seleksi Calon Mahasiswa pada ITTelkom Surabaya</t>
  </si>
  <si>
    <t>0715039004</t>
  </si>
  <si>
    <t>BONNIE FERDINAND AKBAR</t>
  </si>
  <si>
    <t xml:space="preserve">EDRIAND IMENS RAYGRANDI </t>
  </si>
  <si>
    <t>RAHMAT ANDIKA LAKSANA</t>
  </si>
  <si>
    <t>999/PNLT1/LPPM/III/2021</t>
  </si>
  <si>
    <t>Strategi Optimalisasi Kegiatan Petani Garam dan Peningkatan Produktivitas Garam dengan Pendekatan Simulasi Sistem Dinamik (Studi kasus: Kawasan Tambak Cemandi Sidoarjo)</t>
  </si>
  <si>
    <t>SITI AMINAH</t>
  </si>
  <si>
    <t>WIDAYATULLAH RA</t>
  </si>
  <si>
    <t xml:space="preserve">ACHMAD DAFA FIRDAUS </t>
  </si>
  <si>
    <t>1000/PNLT1/LPPM/III/2021</t>
  </si>
  <si>
    <t>Pakan Ikan Otomatis Menggunakan Fuzzy Logic Berbasis IoT</t>
  </si>
  <si>
    <t>Pangan-Pertanian</t>
  </si>
  <si>
    <t xml:space="preserve">BAYU KRISNA MUKTI </t>
  </si>
  <si>
    <t>1001/PNLT1/LPPM/III/2021</t>
  </si>
  <si>
    <t>Analisis Efektivitas Pembelajaran Daring Pada Anak Usia Sekolah Dasar Hingga Perguruan Tinggi</t>
  </si>
  <si>
    <t xml:space="preserve">Noerma Pudji Istyanto </t>
  </si>
  <si>
    <t xml:space="preserve">RIO ARMANDO </t>
  </si>
  <si>
    <t xml:space="preserve">RAIHAN FEBRIANTO GRAHADI </t>
  </si>
  <si>
    <t>NATASYA AMELIA SUKMAWATI</t>
  </si>
  <si>
    <t>Submitted</t>
  </si>
  <si>
    <t>Submit Abstrak</t>
  </si>
  <si>
    <t>1004/PNLT1/LPPM/III/2021</t>
  </si>
  <si>
    <t>Model Prediksi Point of Interest Berdasarkan Data Log Perjalanan Taksi</t>
  </si>
  <si>
    <t>ARDA ERICO YUDA</t>
  </si>
  <si>
    <t>AYU PREMA LAKSMI</t>
  </si>
  <si>
    <t>Publikasi Jurnal Internasional</t>
  </si>
  <si>
    <t>1005/PNLT1/LPPM/III/2021</t>
  </si>
  <si>
    <t>Segmentasi Jalan Raya dengan CNN Unet untuk Asisten Pengemudi</t>
  </si>
  <si>
    <t>ITTS: Transportasi</t>
  </si>
  <si>
    <t>Ahmad Wali Satria</t>
  </si>
  <si>
    <t xml:space="preserve">MOCH YUSUF FAISAL AKBAR ANWARI </t>
  </si>
  <si>
    <t>SYAHFRIL NIZAMMUDIN</t>
  </si>
  <si>
    <t xml:space="preserve">AULIYA RAHMAN PAKARTI </t>
  </si>
  <si>
    <t>1006/PNLT1/LPPM/III/2021</t>
  </si>
  <si>
    <t>Analisis Pengaruh Adopsi Teknologi Big Data terhadap Keunggulan Bersaing dan Performansi pada UMKM (Study case: UMKM Kota Surabaya)</t>
  </si>
  <si>
    <t>ABIYYAS DAFFA SURYADI</t>
  </si>
  <si>
    <t>MUHAMMAD HANIF RAIHAN</t>
  </si>
  <si>
    <t xml:space="preserve">YAKFI ZAMZAMI ACHMAD </t>
  </si>
  <si>
    <t>1009/PNLT1/LPPM/III/2021</t>
  </si>
  <si>
    <t>Hydroponic Monitoring System Based On LoRa Technology</t>
  </si>
  <si>
    <t xml:space="preserve">RISKA APRILIA </t>
  </si>
  <si>
    <t>GALIH DIMAS PRASTOWO</t>
  </si>
  <si>
    <t>1010/PNLT1/LPPM/III/2021</t>
  </si>
  <si>
    <t>Integrasi IT dengan Proses Bisnis dengan Studi Kasus di Institut Teknologi Telkom Surabaya</t>
  </si>
  <si>
    <t xml:space="preserve">Desinta Nur Rachmaniar </t>
  </si>
  <si>
    <t xml:space="preserve">ARDA ERICO YUDA </t>
  </si>
  <si>
    <t xml:space="preserve">ARDANU ADANG SAPUTRA </t>
  </si>
  <si>
    <t xml:space="preserve">REKSA ALDIAN RAHMANDY PUTRA </t>
  </si>
  <si>
    <t>1008/PNLT1/LPPM/III/2021</t>
  </si>
  <si>
    <t>Evaluasi Efektivitas Penerapan metode Pengenalan marka Jalan Raya Untuk Mengenali Rel Listrik pada Jalan Raya Berlistrik</t>
  </si>
  <si>
    <t>MOCH YUSUF FAISAL AKBAR ANWARI</t>
  </si>
  <si>
    <t>1011/PNLT1/LPPM/III/2021</t>
  </si>
  <si>
    <t>Monitoring Daya Cargo Elevator berbasis IoT</t>
  </si>
  <si>
    <t>ITTS: Sistem Logistik Cerdas</t>
  </si>
  <si>
    <t>Teknik Kopmputer</t>
  </si>
  <si>
    <t>ALDHITIANSYAH PUTRA</t>
  </si>
  <si>
    <t>MOCHAMMAD RAFLY PUTRA DAFFALDI</t>
  </si>
  <si>
    <t>Teknik Elektro,FTEIC, ITTelkom Surabaya</t>
  </si>
  <si>
    <t>DINDA KARISMA ULFA</t>
  </si>
  <si>
    <t>Teknik Komputer, FTEIC, ITTelkom Surabaya</t>
  </si>
  <si>
    <t>JURNAL NASIONAL TERINDEKS</t>
  </si>
  <si>
    <t>1012/PNLT1/LPPM/III/2021</t>
  </si>
  <si>
    <t>Smart BLDC Motor Control for Smooth Efficient Initial Movement of an Electric Vehicle</t>
  </si>
  <si>
    <t>Rekaqyasa Perangkat Lunak</t>
  </si>
  <si>
    <t>Teknik Elektro, FTEIC, ITTelkom Surabaya</t>
  </si>
  <si>
    <t>YOSEFAN ALFEUS BAYUAJI</t>
  </si>
  <si>
    <t>NADIA DINDA PRATAMA PUTRI_x000D_</t>
  </si>
  <si>
    <t>HAKI Prototype</t>
  </si>
  <si>
    <t>1014/PNLT1/LPPM/III/2021</t>
  </si>
  <si>
    <t>Desain dan Verifikasi keamanan Sistem Manajemen Baterai sebagai Pendukung Kendaraan Listrik</t>
  </si>
  <si>
    <t>Teknik Induustri</t>
  </si>
  <si>
    <t>Adellia Puspita Ratri_x000D_</t>
  </si>
  <si>
    <t>Bagas Wahyu Prakoso_x000D_</t>
  </si>
  <si>
    <t>Jurnal Internasional Terindeks</t>
  </si>
  <si>
    <t>In Review</t>
  </si>
  <si>
    <t xml:space="preserve">1015/PNLT1/LPPM/III/2021 </t>
  </si>
  <si>
    <t>Desain Antena Phased Array untuk Radar Kendaraan Otonom</t>
  </si>
  <si>
    <t>1 Jurnal Terindeks</t>
  </si>
  <si>
    <t xml:space="preserve">1017/PNLT1/LPPM/III/2021 </t>
  </si>
  <si>
    <t>Simultanous Localization and Mapping pada Robot Cerdas Pemadam Kebakaran di Gudang</t>
  </si>
  <si>
    <t>ITTS: Kebencanaan</t>
  </si>
  <si>
    <t>0727097302</t>
  </si>
  <si>
    <t>Moch Syamfallah Anwar</t>
  </si>
  <si>
    <t xml:space="preserve">Jurnal Nasional Terakreditasi Sinta </t>
  </si>
  <si>
    <t xml:space="preserve"> HAKI (Hak Cipta) </t>
  </si>
  <si>
    <t xml:space="preserve">1018/PNLT1/LPPM/III/2021 </t>
  </si>
  <si>
    <t>Built in Scale For Estimating Truck Capacity</t>
  </si>
  <si>
    <t xml:space="preserve">SULAIMAN ASHARI </t>
  </si>
  <si>
    <t>M. BAGUS INDRASTATA_x000D_</t>
  </si>
  <si>
    <t>Jurnal Nasional Terakreditasi Sinta 4_x000D_</t>
  </si>
  <si>
    <t>Prosiding Seminar Nasional</t>
  </si>
  <si>
    <t xml:space="preserve">1019/PNLT1/LPPM/III/2021 </t>
  </si>
  <si>
    <t>Pemodelan Machine Learning untuk Analisis Kredit Pembayaran Biaya Kuliah</t>
  </si>
  <si>
    <t>ITTS: Teknologi Informasi dan Komunikasi</t>
  </si>
  <si>
    <t>MUHAMMAD ARKAN FAUZAN WICAKSONO</t>
  </si>
  <si>
    <t>DONI FRIANDY</t>
  </si>
  <si>
    <t>AGI LOBITA JAPTARA MARTADINATA</t>
  </si>
  <si>
    <t xml:space="preserve">Jurnal Nasional Terakreditasi </t>
  </si>
  <si>
    <t xml:space="preserve">1021/PNLT1/LPPM/III/2021 </t>
  </si>
  <si>
    <t>Feasibility Study for Conversion of Diesel Powered into Electric Truck</t>
  </si>
  <si>
    <t>TERRESA INDRAJANI KUSUMA</t>
  </si>
  <si>
    <t>HENDRAWAN WIDIANTO</t>
  </si>
  <si>
    <t>MUHAMMAD MIFTAHUL ABIDIN</t>
  </si>
  <si>
    <t>YUDITH IQBAL DIKA PERMANA</t>
  </si>
  <si>
    <t xml:space="preserve"> 1 Jurnal Nasional S3; 1 Prosiding Internasional_x000D_</t>
  </si>
  <si>
    <t>Published</t>
  </si>
  <si>
    <t>1 Blueprint KI</t>
  </si>
  <si>
    <t>1825/PNLT1/LPPM/III/2021</t>
  </si>
  <si>
    <t>Optimalisasi Daya Turbin Angin Proses Vertikal Menggunakan Sistem Kendli Adaptif Pada Diffusert Penyearah Angin</t>
  </si>
  <si>
    <t>Nasional: Energi-Energi Baru dan Terbarukan</t>
  </si>
  <si>
    <t xml:space="preserve">1020/PNLT1/LPPM/III/2021 </t>
  </si>
  <si>
    <t>Desain dan Impelementasi Sistem Informasi Manajemen Cerdas Kerja Praktik dan Magang Mahasiswa dengan Decision Tree (Study kasus: ITTelkom Surabaya)</t>
  </si>
  <si>
    <t>ZULKARNAIN (1201190004)</t>
  </si>
  <si>
    <t>AQIL MUSTAQIM (1201190017)</t>
  </si>
  <si>
    <t>MUHAMAD IQBAL MAULANA (1202190023)</t>
  </si>
  <si>
    <t>Jurnal Nasional S3;                         HAKI</t>
  </si>
  <si>
    <t xml:space="preserve">1024/PNLT1/LPPM/III/2021 </t>
  </si>
  <si>
    <t>Hybrid Renewble Energy and Smart Management for Office Building</t>
  </si>
  <si>
    <t>Muh Syahwal M</t>
  </si>
  <si>
    <t>Jesica F Nura</t>
  </si>
  <si>
    <t>Submit Jurnal Ber-ISSN</t>
  </si>
  <si>
    <t>REK.136/PNLT1/REK/V/2021</t>
  </si>
  <si>
    <t xml:space="preserve">1275/PNLT1/LPPM/IV/2021 </t>
  </si>
  <si>
    <t>Pembuatan Prototipe Anjungan Kesehatan mandiri</t>
  </si>
  <si>
    <t>Nasional: Kesehatan-Obat</t>
  </si>
  <si>
    <t>Penelitian Kemitraan</t>
  </si>
  <si>
    <t>Nova Herlina Mila Soetarno</t>
  </si>
  <si>
    <t>Robin Addwiyansyah Alvaro</t>
  </si>
  <si>
    <t>Anjungan Pemeriksa Kesehatan</t>
  </si>
  <si>
    <t>PATEN</t>
  </si>
  <si>
    <t>Diterima</t>
  </si>
  <si>
    <t>Implementasi Java Interface Pada Anjungan Kesehatan Mandiri</t>
  </si>
  <si>
    <t>Ahmad Wali Satria Bhari Johan</t>
  </si>
  <si>
    <t>Getsemani Adi Bagus Maranata Hartono</t>
  </si>
  <si>
    <t>Abdullaoh Hamid Nushfi</t>
  </si>
  <si>
    <t>Prototipe perangkat lunak berupa program
untukmembaca alat ukur, mengolah data pengukuran,
menyajikan informasi ke perangkat luara, dan
transferdata ke database rumah sakit.</t>
  </si>
  <si>
    <t>Publikasi ilmiah yang diterbitkan pada jurnal
nasionalatau internasional terindek</t>
  </si>
  <si>
    <t>REK.139/PNLT1/REK/V/2021</t>
  </si>
  <si>
    <t>1274/PNLT1/LPPM/V/2021</t>
  </si>
  <si>
    <t>Perbaikan Sustem I-gracias Institut Teknologi Telkom Purwokerto dengan Metode Quality Function Deployment (QFD)</t>
  </si>
  <si>
    <t>0613118701</t>
  </si>
  <si>
    <t>ITTelkom Purwokerto</t>
  </si>
  <si>
    <t>062003</t>
  </si>
  <si>
    <t>0615089201</t>
  </si>
  <si>
    <t>0601049501</t>
  </si>
  <si>
    <t>2 Jurnal Nasional Terakreditasi S2</t>
  </si>
  <si>
    <t>Submitted – In review</t>
  </si>
  <si>
    <t>Accepted, Presented</t>
  </si>
  <si>
    <t>REK.001/PNLT1/REK/I/2021</t>
  </si>
  <si>
    <t>1273/PNLT1/LPPM/I/2021</t>
  </si>
  <si>
    <t>Pengembangan Metode Advanced Feature Selection Untuk Sensor Array Optimization Pada Electronic Nose (Tel U)</t>
  </si>
  <si>
    <t>Dewi RahmawatI</t>
  </si>
  <si>
    <t>Zaki Al Faridzi</t>
  </si>
  <si>
    <t>Muhammad Abizard Al Thareq</t>
  </si>
  <si>
    <t>Indah Mayang Sari</t>
  </si>
  <si>
    <t>REK.193/PNLT1/REK/IX/2021</t>
  </si>
  <si>
    <t>1660/PNLT1/LPPM/X/2021</t>
  </si>
  <si>
    <t>Mengkonstruksi Defini dari Startup (Sebuah Kajian Systematic Literatur Review)</t>
  </si>
  <si>
    <t>Fajar Sidiq Prabowo</t>
  </si>
  <si>
    <t>MUHAMMAD RAFLI RAMADHAN</t>
  </si>
  <si>
    <t>Jurnal Internasional, Prosiding conference, Hak Cipta</t>
  </si>
  <si>
    <t>REK.090/PNLT1/REK/III/2021</t>
  </si>
  <si>
    <t>1110/PNLT1/LPPM/IV/2021</t>
  </si>
  <si>
    <t>Pengembangan Purwarupa truk bertenaga listrik</t>
  </si>
  <si>
    <t>Nasional: Transportasi</t>
  </si>
  <si>
    <t>Aditya Yudhistira</t>
  </si>
  <si>
    <t>Teknologi Informasi, FTIB, ITTelkom Surabaya</t>
  </si>
  <si>
    <t>Moch. Syamfallah Anwar</t>
  </si>
  <si>
    <t>M Fariz Rahmadany</t>
  </si>
  <si>
    <t>Muhammad Fauzan Rasyid</t>
  </si>
  <si>
    <t>Henko kholima</t>
  </si>
  <si>
    <t>Jurnal Nasional Sinta2</t>
  </si>
  <si>
    <t>1111/PNLT1/LPPM/IV/2021</t>
  </si>
  <si>
    <t>Sistem Pemberdayaan Rooftop Terintegrasi</t>
  </si>
  <si>
    <t>Nasional: Pangan-Pertanian</t>
  </si>
  <si>
    <t>Denza Tanzilda</t>
  </si>
  <si>
    <t>Naufal Ammar Badr</t>
  </si>
  <si>
    <t>Prototype sistem monitoring dan pengendalian green house berbasis IoT dan Prototype sistem monitoring dan pengendalian kualitas air pada pemijahan wader</t>
  </si>
  <si>
    <t>1038/PNLT1/LPPM/III/2021</t>
  </si>
  <si>
    <t>Pengantar Teknik Industri</t>
  </si>
  <si>
    <t>Nasional: Sosial Humaniora-Seni Budaya Pendidikan</t>
  </si>
  <si>
    <t>Terbit</t>
  </si>
  <si>
    <t>Buku Ajar</t>
  </si>
  <si>
    <t>1039/PNLT1/LPPM/III/2021</t>
  </si>
  <si>
    <t>Pengenalan Sistem Enterprise Menggunkan Odoo (Studi Kasus:Logistik)</t>
  </si>
  <si>
    <t>Buku Ajar ISSBN</t>
  </si>
  <si>
    <t>Terealisasi</t>
  </si>
  <si>
    <t>1013/PNLT1/LPPM/III/2021</t>
  </si>
  <si>
    <t>Prototype Sistem Kendali Cerdas untuk Ground Vehicle di Jalan Raya</t>
  </si>
  <si>
    <t>Dito Hewi Julianto</t>
  </si>
  <si>
    <t>Konference</t>
  </si>
  <si>
    <t>Prototype Robot UGV</t>
  </si>
  <si>
    <t>REK.094/PNLT1/REK/III/2021</t>
  </si>
  <si>
    <t>TEKNIK KOMPUTASI DENGAN MEMPERTIMBANGKAN STABILITAS TRANSIEN PADA SMART GRID</t>
  </si>
  <si>
    <t>Penelitian Dana Mandiri</t>
  </si>
  <si>
    <t>Aplying Machine Learning Algorithm in Time Series Forecasting on Financial Prediction</t>
  </si>
  <si>
    <t>0001069203</t>
  </si>
  <si>
    <t>Statistika</t>
  </si>
  <si>
    <t>FST</t>
  </si>
  <si>
    <t>0031077602</t>
  </si>
  <si>
    <t>Obstetori dan Gineklogi Peminatan</t>
  </si>
  <si>
    <t>FK</t>
  </si>
  <si>
    <t>Universitas Andalas</t>
  </si>
  <si>
    <t>Christoper Andreas</t>
  </si>
  <si>
    <t>Jurnal Sinta 1</t>
  </si>
  <si>
    <t>Procsiding Internasional</t>
  </si>
  <si>
    <t>Sistem Kendali dan Monitoring Suhu Kolam Pemijahan Wader Pari Ikan Wader berbasis IoT</t>
  </si>
  <si>
    <t>MUHAMMAD YANUAR MUHAIMIN</t>
  </si>
  <si>
    <t>DANU DININGRAT</t>
  </si>
  <si>
    <t>Implementasi Smart Hybrid PABX di Institut Teknologi Telkom Surabaya</t>
  </si>
  <si>
    <t>Rayhan Naufaldi</t>
  </si>
  <si>
    <t>Prosiding Internasional, Prototype</t>
  </si>
  <si>
    <t>Optimasi rute optimalberdasarkan waktu, biaya, kondisi cuaca, kejadian lokal, dan jumlah kendaraan dengan menggunakan algoritma fuzzy mandani dan modified hidden markov model</t>
  </si>
  <si>
    <t>Reza Arindra Fadhilah</t>
  </si>
  <si>
    <t>AMANDA AMALIA</t>
  </si>
  <si>
    <t>Hak Cipta (HAKI)</t>
  </si>
  <si>
    <t>Private Higher Eduction Funding</t>
  </si>
  <si>
    <t>Jurnal Internasional Bereputasi</t>
  </si>
  <si>
    <t>0012059403</t>
  </si>
  <si>
    <t>DEVYSIKAELO IRA RANTELILI (1202200093)</t>
  </si>
  <si>
    <t>Jurnal Internal ITTS</t>
  </si>
  <si>
    <t>Pengukuran Kepuasan Mahasiswa terhadap E-learning Institut Teknologi Telkom Surabaya Berdasar Kriteria Usability</t>
  </si>
  <si>
    <t>NABILLA ADINNA CAHYANI</t>
  </si>
  <si>
    <t>Pemodelan Rantai Markov untuk Resilensi Rantai pasok Industri manufaktur di Indonesia</t>
  </si>
  <si>
    <t>Jurnal Nasional Terakreditasi S1</t>
  </si>
  <si>
    <t>Pendeteksi Informasi Anak Autis Sejak Dini Menggunakan Machine Learning</t>
  </si>
  <si>
    <t xml:space="preserve">BONNIE FERDINAND AKBAR </t>
  </si>
  <si>
    <t>EDRIAND IMENS RAYGRANDI</t>
  </si>
  <si>
    <t>IRENE DYAH AYUWATI</t>
  </si>
  <si>
    <t>Jurnal Nasional Terakreditasi S4</t>
  </si>
  <si>
    <t>Publikasi Media Massa, HKI</t>
  </si>
  <si>
    <t>1819/PNLT1/LPPM/VIII/2021</t>
  </si>
  <si>
    <t>Virtual Screening Senyawa Aktif sebagai Inhibitor Meningitis dengan Hybrid Molecular Fingerprint dan Pendekatan Machine Learning</t>
  </si>
  <si>
    <t>INDAH RAHMAWATI UTAMI</t>
  </si>
  <si>
    <t>Seminar Internasional Bereputasi</t>
  </si>
  <si>
    <t>Deteksi Halangan Tangga Turun untuk Penyandang Tuna Netra</t>
  </si>
  <si>
    <t>RAHAYU NUR ROCHMAH</t>
  </si>
  <si>
    <t>Jurnal Nasional Terakreditasi S2</t>
  </si>
  <si>
    <t>Strategi Peningkatan Pendapatan Usaha Nasi Tiwul Menggunakan Analisis SWOT</t>
  </si>
  <si>
    <t>ANDHIKA MUHAMMAD IKLAS</t>
  </si>
  <si>
    <t xml:space="preserve">ANGGARA WIDAN SATRIAWAN </t>
  </si>
  <si>
    <t>JISEBI : Journal of Information System Engineering and Business 
Intelligence_x000D_</t>
  </si>
  <si>
    <t>ICIC 2021 : International Conference on Informatics and Computing</t>
  </si>
  <si>
    <t>REK.149/PNLT1/REK/VIII/2021</t>
  </si>
  <si>
    <t>Evaluasi Implementasi Passive Controllable Ankle Foot Orthosis (PICAFO) pada Pasien Pasca Stroke</t>
  </si>
  <si>
    <t>2 Paper Conference</t>
  </si>
  <si>
    <t>HAKI prototype</t>
  </si>
  <si>
    <t>UNIVERSAL SOFTWARE RADIO PERIPHERAL (USRP) UNTUK SIGNAL PROCESSING RADAR PADA KENDARAAN AUTONOM</t>
  </si>
  <si>
    <t>1 Jurnal Terindeks, 1 Makalah Seminar, Prototype</t>
  </si>
  <si>
    <t>OVERVIEW PRECODING PERFORMANCE MU-MIMO ZERO FORCING (ZF)
AND MAXIMIZING SIGNAL-TO-LEAKAGE RATIO (SLR)</t>
  </si>
  <si>
    <t>HANUNG GHINANGGA PRIHAJI PUTRI</t>
  </si>
  <si>
    <t>Draf Paper</t>
  </si>
  <si>
    <t>Mobility management protocol pada autonomous vehicle</t>
  </si>
  <si>
    <t>BRYAN BIHZA MARSONO</t>
  </si>
  <si>
    <t xml:space="preserve">MAULANA ACHMAD ROZAQ </t>
  </si>
  <si>
    <t>DETEKSI KEBERADAAN MANUSIA DI SUATU RUANGAN BERBASIS SENSOR LIDAR</t>
  </si>
  <si>
    <t xml:space="preserve">Teknik Komputer </t>
  </si>
  <si>
    <t>WAFA MURTADHO KHOLID</t>
  </si>
  <si>
    <t>ARFAN ADIPUTRA WUEKERO</t>
  </si>
  <si>
    <t>Rancang Bangun Sistem Single Sign On menggunakan metode Timestamp Nonce pada Studi Kasus Sistem Otorisasi Aplikasi I-Gracias ITTelkom Surabaya</t>
  </si>
  <si>
    <t>0706089501</t>
  </si>
  <si>
    <t>Hak Kekayaan Intelektual</t>
  </si>
  <si>
    <t>1820/PNLT1/LPPM/VIII/2021</t>
  </si>
  <si>
    <t>Metode Extended Kalman Filter untuk Prediksi Penyebaran Covid-19 di Indonesia dengan 3 Macam Pembatasan Pergerakkan Masyarakat</t>
  </si>
  <si>
    <t>Nasional: Kebencanaan</t>
  </si>
  <si>
    <t>0707019601</t>
  </si>
  <si>
    <t>DIMAS MAHENDRA BUDI S</t>
  </si>
  <si>
    <t>1818/PNLT1/LPPM/VIII/2021</t>
  </si>
  <si>
    <t>Analisis Faktor-Faktor yang Mempengaruhi Pendapatan UMKM di Surabaya Menggunakan Regresi Logistik Ordinal</t>
  </si>
  <si>
    <t>0016079307</t>
  </si>
  <si>
    <t>KIO PUTRI ISMAYANTI</t>
  </si>
  <si>
    <t>BINTANG RASSYA NUGRAHA</t>
  </si>
  <si>
    <t>Investigating the Repurchase Intention of E-Commerce Users in Developing Country from the Perspective of Service Quality and Expectation-Confirmation Theory - A Case Study of Indonesia</t>
  </si>
  <si>
    <t>0028089601</t>
  </si>
  <si>
    <t>9990586342</t>
  </si>
  <si>
    <t>ANNISA RAHMA AYUNINGTYAS</t>
  </si>
  <si>
    <t>In Revision</t>
  </si>
  <si>
    <t>Auto-Segmentasi Citra X-Ray Rongga Dada untuk Meningkatkan Keakuratan Pendeteksian Penyakit Paru-Paru menggunakan Pendekatan Deep Learning</t>
  </si>
  <si>
    <t>NAUFAL AMMAR BADRI</t>
  </si>
  <si>
    <t>Simulasi dan Analisis Vertical Handover pada 5G dan 802.11ax</t>
  </si>
  <si>
    <t>Nasional: Teknologi Informasi dan Komunikasi</t>
  </si>
  <si>
    <t>JAFARUDDIN G.A. GINTING</t>
  </si>
  <si>
    <t>RAFI ASHRAF</t>
  </si>
  <si>
    <t>NABILA AZRINA</t>
  </si>
  <si>
    <t>MOCHAMMAD FERI</t>
  </si>
  <si>
    <t>Paper</t>
  </si>
  <si>
    <t>1817/PNLT/LPPM/VIII/2021</t>
  </si>
  <si>
    <t>Analisis Distribusi UMKM Kota Surabaya pada Organisasi Perangkat Daerah Terkait dengan Menggunakan K-Means Clustering</t>
  </si>
  <si>
    <t>Ahmad Robbi Rodhiyan Rifanto</t>
  </si>
  <si>
    <t>Gilbert Pierro Xaristheo</t>
  </si>
  <si>
    <t>Sistem Informasi, FTIB, ITTelkom Surabaya</t>
  </si>
  <si>
    <t>Analisis Penggunaan Radar MIMO dengan Sinyal OFDM untuk Target Bergerak dengan Model Clutter Terdistribusi Rayleigh</t>
  </si>
  <si>
    <t>Fachrul Reza Maulana</t>
  </si>
  <si>
    <t>Jurnal Nasional S1-S6</t>
  </si>
  <si>
    <t>Inovasi Teknologi Augmented Reality pada Katalog Perangkat keras
Penunjang Bidang Arsitektur dan Organisasi Komputer</t>
  </si>
  <si>
    <t>Virgian Listianto</t>
  </si>
  <si>
    <t>Rhevin P. A</t>
  </si>
  <si>
    <t>Pengembangan dan Investigasi Low Cost Oxygen Concetrator dan Nebulizer</t>
  </si>
  <si>
    <t>Moch. Syamfallaah Anwar</t>
  </si>
  <si>
    <t>1378/PNLT1/LPPM/V/2021</t>
  </si>
  <si>
    <t>Buku Ajar Pengantar Manajemen Bisnis Digital</t>
  </si>
  <si>
    <t>1379/PNLT1/LPPM/V/2021</t>
  </si>
  <si>
    <t>Algoritma Pemrograman Dasar Menggunakan Bahasa Pemrograman C</t>
  </si>
  <si>
    <t>1380/PNLT1/LPPM/V/2021</t>
  </si>
  <si>
    <t>Buku Ajar Pengantar Sains Data</t>
  </si>
  <si>
    <t>TTS: Teknologi Informasi dan Komunikasi</t>
  </si>
  <si>
    <t>Publis Buku Ber ISBN</t>
  </si>
  <si>
    <t>E-Rombeng : Transformasi Digital untuk Pelaku Usaha Rombeng sebagai Upaya Mewujudkan Pertumbuhan Ekonomi dan Pekerjaan Layak berdasarkan SDGs di Era Pandemi Covid-19</t>
  </si>
  <si>
    <t>Jurnal Nasional Terakreditasi Sinta 1-6</t>
  </si>
  <si>
    <t>ANJUNGAN PEMERIKSAAN KESEHATAN MANDIRI</t>
  </si>
  <si>
    <t>REK. 069/PNLT1/REK/II/2022</t>
  </si>
  <si>
    <t>365/PNLT1/LPPM/II/2022</t>
  </si>
  <si>
    <t xml:space="preserve">Penentuan Lokasi Optimal SPKLU di Surabaya </t>
  </si>
  <si>
    <t xml:space="preserve">Arsalan Rafi Muzakki </t>
  </si>
  <si>
    <t>Teknik Industri, FTEIC, ITTelkom Surabaya</t>
  </si>
  <si>
    <t>Proceeding Seminar Internasional Terindeks Scopus</t>
  </si>
  <si>
    <t> </t>
  </si>
  <si>
    <t>366/PNLT1/LPPM/II/2022</t>
  </si>
  <si>
    <t xml:space="preserve">Pengukuran Kesiapan Adopsi Logistik Information System di Sektor UMKM </t>
  </si>
  <si>
    <t xml:space="preserve">Aisyah Putri Amni Ramadhanti </t>
  </si>
  <si>
    <t>Jurnal Nasional Terakreditasi S1-S4</t>
  </si>
  <si>
    <t>Published S2</t>
  </si>
  <si>
    <t>367/PNLT1/LPPM/II/2022</t>
  </si>
  <si>
    <t xml:space="preserve">Pendekatan Customer-Centricity Dalam Pengembangan Produk Truk Listrik : Studi Literatur </t>
  </si>
  <si>
    <t xml:space="preserve">Oktavia Wahyu Lestari </t>
  </si>
  <si>
    <t>Bisnis Digital, FTIB, ITTelkom Surabaya</t>
  </si>
  <si>
    <t xml:space="preserve">Shaula Salsabila </t>
  </si>
  <si>
    <t xml:space="preserve">Taufiqur Rahman </t>
  </si>
  <si>
    <t>Akhir pelunasan: akhir mei 2023</t>
  </si>
  <si>
    <t>368/PNLT1/LPPM/II/2022</t>
  </si>
  <si>
    <t>Aplikasi Model Optimasi Capacited Vehicle Rounting Problem dengan Nearest Neighbour</t>
  </si>
  <si>
    <t>Teknologi Logistik</t>
  </si>
  <si>
    <t>Annisa’ul Baroroh</t>
  </si>
  <si>
    <t>Nawang Aji Rabukuntari</t>
  </si>
  <si>
    <t>Teknik Logistik, FTEIC, ITTelkom Surabaya</t>
  </si>
  <si>
    <t>Ardiansyah Bisma Rizqullah</t>
  </si>
  <si>
    <t>Rekayasa Perangkat Lunak, FTIB, ITTelkom Surabaya</t>
  </si>
  <si>
    <t>Jurnal Nasional Terindeks Sinta</t>
  </si>
  <si>
    <t>369/PNLT1/LPPM/II/2022</t>
  </si>
  <si>
    <t xml:space="preserve">Integrasi Teknologi Single Sign On dan Learning Management System IT Telkom Surabaya Berbasis Oauth2.0 menggunakan Metode Iterative Incremental </t>
  </si>
  <si>
    <t xml:space="preserve">Gede Reyki Astika </t>
  </si>
  <si>
    <t xml:space="preserve">Ignatia Indreswari     </t>
  </si>
  <si>
    <t xml:space="preserve">Muhammad Akbar Ramadhan  </t>
  </si>
  <si>
    <t>371/PNLT1/LPPM/II/2022</t>
  </si>
  <si>
    <t>Perancangan dan Implementasi Aplikasi E-Logistik Pada Air Minum Isi Ulang</t>
  </si>
  <si>
    <t>Andhika Juliawan</t>
  </si>
  <si>
    <t xml:space="preserve">Pratama Ramadhani Wijaya </t>
  </si>
  <si>
    <t>372/PNLT1/LPPM/II/2022</t>
  </si>
  <si>
    <t>Analisis dan Perancangan Sistem Integrasi Lengkap Hasil Laut (SI LAUT) dengan metode Prototyping berbasis Website sebagai Upaya Optimalisasi dan Eksplorasi Hasil Laut Indonesia</t>
  </si>
  <si>
    <t>ITTS: Kemaritiman</t>
  </si>
  <si>
    <t xml:space="preserve">Brian Yuko Putra  </t>
  </si>
  <si>
    <t xml:space="preserve">Raihan Febrianto Grahadi </t>
  </si>
  <si>
    <t>Jurnal Nasional Sinta 4</t>
  </si>
  <si>
    <t>Akhir Pelunasan: Akhir TW II Published</t>
  </si>
  <si>
    <t>373/PNLT1/LPPM/II/2022</t>
  </si>
  <si>
    <t>Pengaruh Digital Platfrom, Orginizational Readiness dan Inovation Culture Terhadap Performansi UMKM Sektor Perikanan dan Kelautan</t>
  </si>
  <si>
    <t xml:space="preserve">Abiyyas Daffa Suryadi    </t>
  </si>
  <si>
    <t xml:space="preserve">Asri Kartika Dewi     </t>
  </si>
  <si>
    <t>Fasya Mazaya Shidiqi Muhammad</t>
  </si>
  <si>
    <t>Jurnal Nasional Sinta 3</t>
  </si>
  <si>
    <t>Submitted, akhir pelunasan: TW II</t>
  </si>
  <si>
    <t>374/PNLT1/LPPM/II/2022</t>
  </si>
  <si>
    <t>Strategi Fast Charging Untuk Kontrol Tegangan Yang Efisien Dalam Mendukung Kendaraan Listrik</t>
  </si>
  <si>
    <t>Helisya Nur Fadhilah</t>
  </si>
  <si>
    <t xml:space="preserve">Nadia Dinda  </t>
  </si>
  <si>
    <t>Muhammad Rafli Ramadhan Lubis</t>
  </si>
  <si>
    <t>375/PNLT1/LPPM/II/2022</t>
  </si>
  <si>
    <t>Perancangan Sistem Dog Clutch Untuk Truk Listrik</t>
  </si>
  <si>
    <t xml:space="preserve">Dimas Yohan Andhi Yudhana  </t>
  </si>
  <si>
    <t xml:space="preserve">Betsyeda Frea Anuarita  </t>
  </si>
  <si>
    <t>Brevy Aditya Putra Ilviansyah</t>
  </si>
  <si>
    <t>1 Jurnal Nasional S3; 1 Prosiding Internasional</t>
  </si>
  <si>
    <t>Akhir Pelunasan: TW II</t>
  </si>
  <si>
    <t>HKI/Paten Sederhana</t>
  </si>
  <si>
    <t>376/PNLT1/LPPM/II/2022</t>
  </si>
  <si>
    <t>Perancangan Power Divider Berbasis Mikrostrip Pada Frekuensi S-Band Untuk Aplikasi  Radar Surveillance Pesisir Pantai</t>
  </si>
  <si>
    <t xml:space="preserve">Novenda Rahmah Triputra  </t>
  </si>
  <si>
    <t>Teknik Telekomunikasi, FTEiC, ITTelkom Surabaya</t>
  </si>
  <si>
    <t>Ika Sulistya Rini</t>
  </si>
  <si>
    <t>Submitted, akhir pelunasan: TW I</t>
  </si>
  <si>
    <t>377/PNLT1/LPPM/II/2022</t>
  </si>
  <si>
    <t>Layanan Pengiriman Drone Komersial</t>
  </si>
  <si>
    <t xml:space="preserve">Ahmad Habibi    </t>
  </si>
  <si>
    <t>Rizki</t>
  </si>
  <si>
    <t>2 Prosiding Internasional (Scopus)</t>
  </si>
  <si>
    <t>Prototype Produk</t>
  </si>
  <si>
    <t>379/PNLT1/LPPM/II/2022</t>
  </si>
  <si>
    <t>Sistem Pengelolahan Kerja Praktik Dan Magang Perguruan Tinggi Terintregasi Dengan Sistem Informasi Akademik</t>
  </si>
  <si>
    <t xml:space="preserve">Syahfril Nizammudin  </t>
  </si>
  <si>
    <t>RPL, FTIB, ITTelkom Surabaya</t>
  </si>
  <si>
    <t>Jurnal Nasional Terakreditasi Sinta 3</t>
  </si>
  <si>
    <t>Akhir Pelunasan: TW III</t>
  </si>
  <si>
    <t>Prototype Program Komputer</t>
  </si>
  <si>
    <t>380/PNLT1/LPPM/II/2022</t>
  </si>
  <si>
    <t>SPARRING: Sistem Patner Riset Matching Untuk Rekomendasi Kolaborasi Riset Berdasarkan Relevansi Topik Penelitian Menggunakan Text Mining Naive Bayes Berbasis Web</t>
  </si>
  <si>
    <t xml:space="preserve">Sonaya Devi Anja Amelia    </t>
  </si>
  <si>
    <t>Prototype, Jurnal Internasional Terindeks, Prosiding Internasional Terindeks</t>
  </si>
  <si>
    <t>Presented, In-Review</t>
  </si>
  <si>
    <t>REK. 097/PNLT1/REK/IV/2022</t>
  </si>
  <si>
    <t>712/PNLT1/LPPM/IV/2022</t>
  </si>
  <si>
    <t>Pengembangan dan Pengujian Protopype ITTS Mart</t>
  </si>
  <si>
    <t>penelitian terapan</t>
  </si>
  <si>
    <t>ARLIYANTI NURDIN</t>
  </si>
  <si>
    <t>FIDELIA ADINDA SYAFANI</t>
  </si>
  <si>
    <t>ADEK DHEA RESMI PURBANTARI</t>
  </si>
  <si>
    <t>HAYU FAIZ NAUFAL ASYROF</t>
  </si>
  <si>
    <t>713/PNLT1/LPPM/IV/2022</t>
  </si>
  <si>
    <t>Optimasi Sistem University Timetable problem Menggunakan Algoritma Wlech Powell Berbasis Web</t>
  </si>
  <si>
    <t xml:space="preserve">CHRISDION ANDREW RAMAPUTRA </t>
  </si>
  <si>
    <t>Sistem Informasi, FTIB, ITTS</t>
  </si>
  <si>
    <t xml:space="preserve">THESION MARTA SIANIPAR </t>
  </si>
  <si>
    <t>Sains Data, FTIB, ITTS</t>
  </si>
  <si>
    <t xml:space="preserve">RYANTA MEYLINDA SAVIRA </t>
  </si>
  <si>
    <t>Prototype, Jurnal Internasional Terindeks</t>
  </si>
  <si>
    <t>715/PNLT1/LPPM/IV/2022</t>
  </si>
  <si>
    <t>Monitoring Solar Panel Secara Real-Time dengan Penambahan Renewable Energy Storage</t>
  </si>
  <si>
    <t>Nasional: Energi Baru - Baru dan Terbarukan</t>
  </si>
  <si>
    <t>ENGGAL WAHYU ARDANY</t>
  </si>
  <si>
    <t>Teknik Elektro, FTEIC, ITTS</t>
  </si>
  <si>
    <t>RISKA AMALIA PUTRI</t>
  </si>
  <si>
    <t>Jurnal Nasional Sinta 2</t>
  </si>
  <si>
    <t>716/PNLT1/LPPM/IV/2022</t>
  </si>
  <si>
    <t>Rancang Bangun Sistem Kontrol dan Monitoring Akuaponik Berbasis IoT</t>
  </si>
  <si>
    <t>Nasional: Pangan - Pertanian</t>
  </si>
  <si>
    <t xml:space="preserve">ALFRIDO RAMADHANA KASENDA PUTRA </t>
  </si>
  <si>
    <t>Teknik Komputer, FTEIC, ITTS</t>
  </si>
  <si>
    <t>DANANG TAUFIK KURNIANTO</t>
  </si>
  <si>
    <t>Jurnal Terakreditasi</t>
  </si>
  <si>
    <t>In-Review, Akhir Pelunasan: Pertengahan TW III</t>
  </si>
  <si>
    <t>717/PNLT1/LPPM/IV/2022</t>
  </si>
  <si>
    <t>Identifikasi Daun Kekurangan Unsur Hara pada Tanaman Melon Menggunakan Support Vector Mechine</t>
  </si>
  <si>
    <t>OKTAVIA AYU PERMATA</t>
  </si>
  <si>
    <t xml:space="preserve"> FTIB</t>
  </si>
  <si>
    <t>BERLIANA AMELIA ARIYANTI ZAIN</t>
  </si>
  <si>
    <t>Teknologi Informasi, FTIB, ITTS</t>
  </si>
  <si>
    <t>Jurnal Terakreditasi S2</t>
  </si>
  <si>
    <t>723/PNLT1/LPPM/IV/2022</t>
  </si>
  <si>
    <t>Deteksi Obyek dan Jarak Menggunakan CNN untuk Sistem Pengereman Darurat pada Truck Listrik</t>
  </si>
  <si>
    <t xml:space="preserve">EVAN HADI SUKURIYANTO </t>
  </si>
  <si>
    <t>Informatika, FTIB, ITTS</t>
  </si>
  <si>
    <t>MOCH. ANDI DIVANGGA PRATAMA</t>
  </si>
  <si>
    <t>tidak ada berkas di igracias</t>
  </si>
  <si>
    <t>Pengembangan Anjungan Pemeriksaan Kesehatan Mandiri Untuk Konsultasi Kesehatan Jarak Jauh</t>
  </si>
  <si>
    <t>Irgi Zanuar Ardana Santoso</t>
  </si>
  <si>
    <t>Adinda Panca Mochamad</t>
  </si>
  <si>
    <t>Prototipe</t>
  </si>
  <si>
    <t>Multidimensional Data Design on Moodl Activity Log : Towards E-Learning Business Intelligent</t>
  </si>
  <si>
    <t>PEKERTI</t>
  </si>
  <si>
    <t>Perguruan Tinggi dan Mitra</t>
  </si>
  <si>
    <t>Ardafa Nabil Makharim</t>
  </si>
  <si>
    <t>Trisna Bayu Permadi</t>
  </si>
  <si>
    <t>REK. 105/PNLT1/REK/V/2022</t>
  </si>
  <si>
    <t>Deteksi Tumbuhan Gulma Pada Ladang Kentang Menggunakan Probabilitas Warna dan Transfer Learning</t>
  </si>
  <si>
    <t>Analisis Unjuk Kerja Sistem Multiplexing pada Propagasi Indoor Light Fidelity (Indoor Li-Fi) Menggunakan Fixed dan Moveable LED Panel</t>
  </si>
  <si>
    <t>2 International Conference</t>
  </si>
  <si>
    <t>720/PNLT1/LPPM/IV/2022</t>
  </si>
  <si>
    <t xml:space="preserve">Pencarian Senyawa Obat Virus H9N2 Dengan Pendekatan Network Analiysis dan Machine Learning  </t>
  </si>
  <si>
    <t>PEKERTI Darul Ulum Lamongan</t>
  </si>
  <si>
    <t>Universitas Darul Ulum Lamongan</t>
  </si>
  <si>
    <t xml:space="preserve">Rahmat Sigit Hidayat  </t>
  </si>
  <si>
    <t>Jurnal Internasional Q1, Jurnal Nasional S3</t>
  </si>
  <si>
    <t>721/PNLT1/LPPM/IV/2022</t>
  </si>
  <si>
    <t>Perancangan Segmentasi Sekolah dan Evaluasi Model Promosi Pada Penerimaan Mahasiswa Baru ITTelkom Surabaya</t>
  </si>
  <si>
    <t>Leony Putri Sabrina</t>
  </si>
  <si>
    <t>Prosiding Seminar Internasional</t>
  </si>
  <si>
    <t>REK. 088/PNLT1/REK/IV/2022</t>
  </si>
  <si>
    <t>1815/PNLT1/LPPM/2022</t>
  </si>
  <si>
    <t>Intensifikasi Pertanian pada Rooftop Institut Teknologi Telkom Surabaya</t>
  </si>
  <si>
    <t>Ilham Riswanda Rif'at</t>
  </si>
  <si>
    <t>Pengembangan Truk Listrik Sebagai Angkutan Barang Ramah Lingkungan</t>
  </si>
  <si>
    <t>Nurina Devi Apriliastuti</t>
  </si>
  <si>
    <t>Indra Dwi Riantoro</t>
  </si>
  <si>
    <t>Robin addwiyansyah alvaro Samrat</t>
  </si>
  <si>
    <t>Pengembangan Sistem Kontrol dan Navigasi Traktor Otonom Untuk Lahan Pertanian</t>
  </si>
  <si>
    <t>Rizqika Ibnu K.</t>
  </si>
  <si>
    <t>Moch Rafly Putra Daffaldi</t>
  </si>
  <si>
    <t>Muhammad Ma'ruf Firmansyah</t>
  </si>
  <si>
    <t>Dewi Ahmalia Zulfiyani</t>
  </si>
  <si>
    <t>Jurnal Nasional Terakreditasi(S2), Prosiding Internasional</t>
  </si>
  <si>
    <t>Membonsai Pemograman Dinamis Untuk Pencarian Solusi Optimal (Disertai dengan Komparasi Penerapan Metode Lain)</t>
  </si>
  <si>
    <t>Praktikum Fisika Dasar</t>
  </si>
  <si>
    <t> 6853203</t>
  </si>
  <si>
    <t>0705109006</t>
  </si>
  <si>
    <t>REK. 155/PNLT1/REK/VIII/2022</t>
  </si>
  <si>
    <t>INTENSIFIKASI PERTANIAN PADA URBAN FARMING MENGGUNAKAN METODE PREDIKASI DAN MONITORING</t>
  </si>
  <si>
    <t>Hibah Matching Fund Kedaireka</t>
  </si>
  <si>
    <t>Matching Fund Kedaireka</t>
  </si>
  <si>
    <t>Kemendikbud Ristek</t>
  </si>
  <si>
    <t>Sistem Monitoring Kebun Durian dengan Multisensor Unsur Hara</t>
  </si>
  <si>
    <t>Penelitian Kerjasama ITDRI</t>
  </si>
  <si>
    <t>PEKERTI ITDRI</t>
  </si>
  <si>
    <t>ITDRI</t>
  </si>
  <si>
    <t>Pengembangan Robot Rehabilitasi Stroke Jarak Jauh Berbasis Internet of Things untuk Mendukung Kemandirian Bangsa di Bidang Kesehatan</t>
  </si>
  <si>
    <t>Penelitian Hibah Riset Keilmuan</t>
  </si>
  <si>
    <t>Pengembangan Anjungan Pengukuran Tanda-Tanda Vital Manusia dengan Sensor Kamera</t>
  </si>
  <si>
    <t>REK. 024/PNLT1/REK/II/2023</t>
  </si>
  <si>
    <t>173/PNLT1/LPPM/II/2023</t>
  </si>
  <si>
    <t>BOTNET DETECTION BASED ON NETWORK TRAFFIC USING MACHINE LEARNING METHOD'S</t>
  </si>
  <si>
    <t>penelitian dasar</t>
  </si>
  <si>
    <t>Teknologi Informasi dan Komunikasi (Nasional)</t>
  </si>
  <si>
    <t>institusi internal</t>
  </si>
  <si>
    <t>6837723</t>
  </si>
  <si>
    <t>Sabilah Sakti</t>
  </si>
  <si>
    <t>Muhammad Ma'sum Juniyanto</t>
  </si>
  <si>
    <t>Jurnal S2 Accepted</t>
  </si>
  <si>
    <t>HKI publish</t>
  </si>
  <si>
    <t>180/PNLT1/LPPM/II/2023</t>
  </si>
  <si>
    <t>OPTIMASI DESAIN PENGGERAK HUB MOTOR DENGAN MENGGUNAKAN ANN</t>
  </si>
  <si>
    <t>Transportasi (ITTS)</t>
  </si>
  <si>
    <t>'0727069503</t>
  </si>
  <si>
    <t>Oka Ibrahim P. W.</t>
  </si>
  <si>
    <t>Tanto Indra Wicaksono</t>
  </si>
  <si>
    <t>Raihan Aryanta Putra</t>
  </si>
  <si>
    <t>Accepted - Published</t>
  </si>
  <si>
    <t>Boleh Mengajukan Skema Internal 2024</t>
  </si>
  <si>
    <t>171/PNLT1/LPPM/II/2023</t>
  </si>
  <si>
    <t>RANCANG BANGUN SISTEM MONITORING TEKANAN DAN SUHU BAN KENDARAAN MENGGUNAKAN SOFTWARE DEFINED RADIO DAN INTERNET OF THINGS</t>
  </si>
  <si>
    <t>6843797</t>
  </si>
  <si>
    <t>Muhamad Daffa Romadhoni</t>
  </si>
  <si>
    <t>Jurnal Nasional S3 dan Prosiding Internasional</t>
  </si>
  <si>
    <t>Submitted - In Review</t>
  </si>
  <si>
    <t xml:space="preserve">Boleh Mengajukan Skema Internal 2024, tapi harus menyelesaikan hutang luaran hingga published </t>
  </si>
  <si>
    <t>172/PNLT1/LPPM/II/2023</t>
  </si>
  <si>
    <t>PENGATURAN TRAKSI PADA HYBRID ELECTRIC VEHICLE (HEV) BERBASIS NEURO-FUZZY</t>
  </si>
  <si>
    <t>Faiz Amsyari</t>
  </si>
  <si>
    <t>Merthisia Roszi</t>
  </si>
  <si>
    <t>Drafted</t>
  </si>
  <si>
    <t xml:space="preserve">Tidak Boleh Mengajukan Skema Internal 2023 yang in line hingga hutang terselesaikan, untuk skema lain hanya boleh menjadi anggota </t>
  </si>
  <si>
    <t>177/PNLT1/LPPM/II/2023</t>
  </si>
  <si>
    <t>ANALIS SENTIMEN TEKS REVIEW PARIWISATA DI KOTA SURABAYA SEBAGAI DASAR SISTEM PEMETAAN TURISME DAN REKOMENDASI MITIGASI RISIKO KECELAKAAN DI LOKASI WISATA</t>
  </si>
  <si>
    <t>TIK (ITTS)</t>
  </si>
  <si>
    <t>6843087</t>
  </si>
  <si>
    <t>Sudah Accepted</t>
  </si>
  <si>
    <t>175/PNLT1/LPPM/II/2023</t>
  </si>
  <si>
    <t>ANALISIS PENGARUH NOISE TERHADAP PERFORMANSI KOGNITIF</t>
  </si>
  <si>
    <t>Teknik Industri, FTEIC, ITTS</t>
  </si>
  <si>
    <t> Submitted ( In Review)</t>
  </si>
  <si>
    <t>179/PNLT1/LPPM/II/2023</t>
  </si>
  <si>
    <t>PENGEMBANGAN MODEL APLIKASI SWAP BATTERY SEPEDA MOTOR LISTRIK</t>
  </si>
  <si>
    <t>Mulya Tarmidzi R. P. H.</t>
  </si>
  <si>
    <t>Catur Prasetiya Nugroho</t>
  </si>
  <si>
    <t>Menunggu hasil review dari ISCE</t>
  </si>
  <si>
    <t>Presented, publikasi jurnal ISSN</t>
  </si>
  <si>
    <t>178/PNLT1/LPPM/II/2023</t>
  </si>
  <si>
    <t>ANALISIS DAN PENENTUAN NILAI OPTIMAL ERGONOMI LINGKUNGAN DI INSTITUT TEKNOLOGI TELKOM SURABAYA</t>
  </si>
  <si>
    <t>Kebencanaan (ITTS)</t>
  </si>
  <si>
    <t>Yuanita Lucky Fearnanda</t>
  </si>
  <si>
    <t>Yunita</t>
  </si>
  <si>
    <t>Accepted Jurnal S3</t>
  </si>
  <si>
    <t>Accepted Jurnal ISSN</t>
  </si>
  <si>
    <t>169/PNLT1/LPPM/II/2023</t>
  </si>
  <si>
    <t>PERANCANGAN PROTOTYPE APLIKASI ITTS MART V2.0</t>
  </si>
  <si>
    <t>Muhammad Dhiaul S. K. A.</t>
  </si>
  <si>
    <t> Accepted Jurnal S3</t>
  </si>
  <si>
    <t>182/PNLT1/LPPM/II/2023</t>
  </si>
  <si>
    <t>ANALISIS SENTIMEN TERHADAP BAKAL CALON PRESIDEN 2024 MENGGUNAKAN KOMBINASI PEMBOBOTAN TEXTUAL DAN NON TEXTUAL PADA KOMENTAR INSTAGRAM</t>
  </si>
  <si>
    <t>6839500</t>
  </si>
  <si>
    <t>6834400</t>
  </si>
  <si>
    <t>Jurnal Sinta 3</t>
  </si>
  <si>
    <t> Published</t>
  </si>
  <si>
    <t>181/PNLT1/LPPM/II/2023</t>
  </si>
  <si>
    <t>PENGEMBANGAN APLIKASI LAYANAN KAMPUS TERINTEGRASI MENGGUNAKAN METODE SCRUM DAN PROTOTYPING (STUDI KASUS IT TELKOM SURABAYA)</t>
  </si>
  <si>
    <t>6843682</t>
  </si>
  <si>
    <t>6833162</t>
  </si>
  <si>
    <t>Beivenly Andrea J. S.</t>
  </si>
  <si>
    <t>170/PNLT1/LPPM/II/2023</t>
  </si>
  <si>
    <t>PENGARUH MEDIA SUPERVISION, ONLINE SOCIAL NETWORKS, TERHADAP EFISIENSI INVESTASI DI INDONESIA</t>
  </si>
  <si>
    <t>Bisnis Digital, FTIB, ITTS</t>
  </si>
  <si>
    <t>Nabila Alya Parsa</t>
  </si>
  <si>
    <t>Al Fadil Daffarel</t>
  </si>
  <si>
    <t>Dokumen Kebijakan</t>
  </si>
  <si>
    <t>174/PNLT1/LPPM/II/2023</t>
  </si>
  <si>
    <t>SISTEM DETEKSI LAMPU UTAMA KENDARAAN RODA DUA</t>
  </si>
  <si>
    <t>Jurnal Nasional Terakreditasi Sinta 2</t>
  </si>
  <si>
    <t>176/PNLT1/LPPM/II/2023</t>
  </si>
  <si>
    <t>KLASIFIKASI TEKS ADUAN MAHASISWA TERKAIT LAYANAN INSTITUSI BERDASARKAN ANALISIS SENTIMEN DAN CONTEXT BASED REASONING UNTUK PENGOPTIMALAN LAYANAN</t>
  </si>
  <si>
    <t xml:space="preserve"> 6835039</t>
  </si>
  <si>
    <t>Arini Pramesta S.</t>
  </si>
  <si>
    <t>Shaquille Rayhannizam W.</t>
  </si>
  <si>
    <t>Jurnal Nasional S2 dan Jurnal Nasional S3</t>
  </si>
  <si>
    <t>Submitted Jurnal S2</t>
  </si>
  <si>
    <t>REK. 026/PNLT1/REK/II/2023</t>
  </si>
  <si>
    <t>217/PNLT 1/LPPM/II/2023</t>
  </si>
  <si>
    <t>PRAKTIKUM MANAJEMAN KEUANGAN (EDISI 1)</t>
  </si>
  <si>
    <t>Sosial Humaniora-Seni Budaya Pendidikan Keuangan dan Investasi (Nasional)</t>
  </si>
  <si>
    <t>Buku Ber-ISBN</t>
  </si>
  <si>
    <t>216/PNLT 1/LPPM/II/2023</t>
  </si>
  <si>
    <t>PENGANTAR SISTEM INFORMASI GOEGRAFI DAN PEMANFAATAN DALAM MULTIDISIPLIN ILMU</t>
  </si>
  <si>
    <t>Teknologi Informasi dan Komunikasi (ITTS)</t>
  </si>
  <si>
    <t>6785861</t>
  </si>
  <si>
    <t>215/PNLT 1/LPPM/II/2023</t>
  </si>
  <si>
    <t>DATA MINING JILID 1 : ALGORITMA DAN CONTOH PERHITUNGAN MATEMATIS</t>
  </si>
  <si>
    <t>6099359</t>
  </si>
  <si>
    <t>REK. 065/PNLT1/REK/IV/2023</t>
  </si>
  <si>
    <t>435/PNLT1/LPPM/V/2023</t>
  </si>
  <si>
    <t>Pengembangan Rooftop ITTelkom Surabaya melalui Implementasi Smart Integrated Farming System</t>
  </si>
  <si>
    <t>Pangan-Pertanian (Nasional)</t>
  </si>
  <si>
    <t>Penelitian Peugasan Internal</t>
  </si>
  <si>
    <t>6801945</t>
  </si>
  <si>
    <t>Teknilogi Informasi</t>
  </si>
  <si>
    <t>Rani Kusumawati</t>
  </si>
  <si>
    <t>Prosiding</t>
  </si>
  <si>
    <t>Prosiding Published, Paten Sederhana (PA)</t>
  </si>
  <si>
    <t>436/PNLT1/LPPM/V/2023</t>
  </si>
  <si>
    <t>Pengembangan Mobil Fin Komodo debagai Transportasi Multifungsi dengan Penggerak Motor Listrik</t>
  </si>
  <si>
    <t>Transportasi (Nasional)</t>
  </si>
  <si>
    <t>258471</t>
  </si>
  <si>
    <t>M. Rafli Ramadhan Lubis</t>
  </si>
  <si>
    <t>Oka Ibrahim Putra W.</t>
  </si>
  <si>
    <t>Muchamad Azmi</t>
  </si>
  <si>
    <t>Jurnal Q3</t>
  </si>
  <si>
    <t>REK. 056/PNLT1/REK/IV/2022</t>
  </si>
  <si>
    <t>434/PNLT1/LPPM/V/2023</t>
  </si>
  <si>
    <t>Smart Village: A Conceptual Maturity Framework “Perancangan Smart Village Maturity (SVM) Framework”</t>
  </si>
  <si>
    <t>Penelitian Kerjasama</t>
  </si>
  <si>
    <t>Institusi Internal dan institusi Mitra</t>
  </si>
  <si>
    <t>6801883</t>
  </si>
  <si>
    <t>6833033</t>
  </si>
  <si>
    <t>FARID DUTA HADYANTO</t>
  </si>
  <si>
    <t>AISYAH NABILA ZAHRA</t>
  </si>
  <si>
    <t>SYAHRINA LAYLIA RAHMA</t>
  </si>
  <si>
    <t>REK. 077/PNLT2/REK/V/2022</t>
  </si>
  <si>
    <t>506/PNLT1/LPPM/VI/2023</t>
  </si>
  <si>
    <t>Pengembangan Sensor Suara Dengan Elemen Jamak yang Handal Pada Sistem Deteksi Arah Asal Suara Tembakan</t>
  </si>
  <si>
    <t>Reka Cipta Non Tematik (Umum)</t>
  </si>
  <si>
    <t>Matching Fund, Mitra Industri, Institusi Internal</t>
  </si>
  <si>
    <t>Wafiqoh Dwi Oktaviana Putri</t>
  </si>
  <si>
    <t>Galuh Widya Cahyaningtyas</t>
  </si>
  <si>
    <t>M. Naufan Ardhi</t>
  </si>
  <si>
    <t>Vicky Herdian Maulana Wibisono</t>
  </si>
  <si>
    <t>Bima Pancara Haryono Putra</t>
  </si>
  <si>
    <t>REK. 118/PNLT3/REK/VIII/2023</t>
  </si>
  <si>
    <t>794/PNLT1/LPPM/VIII/2023</t>
  </si>
  <si>
    <t>PERANCANGAN ANTENA PHASED-ARRAY BERBASIS FIELD PROGRAMMABLE GATE ARRAY (FPGA) UNTUK APLIKASI 5G PADA PITA FREKUENSI MIDDLE BAND</t>
  </si>
  <si>
    <t>PAKERTI ITS</t>
  </si>
  <si>
    <t xml:space="preserve"> Institusi Internal dan Institusi External</t>
  </si>
  <si>
    <t>Mirza Nuria Husna</t>
  </si>
  <si>
    <t>Ahmad Fajar Baihaqi</t>
  </si>
  <si>
    <t>Ahmad Ridho Pambudiutomo</t>
  </si>
  <si>
    <t>795/PNLT1/LPPM/VIII/2023</t>
  </si>
  <si>
    <t>A comprehensive systematic review and comparison of pre, during and post Covid-19 pandemic on supply chain resilience in developing and developed countries</t>
  </si>
  <si>
    <t>NISA ISROF</t>
  </si>
  <si>
    <t>IWAN VANANY</t>
  </si>
  <si>
    <t>PRITA MEILANITASARI</t>
  </si>
  <si>
    <t>UISI GRESIK</t>
  </si>
  <si>
    <t>MADE RAHAYU PUTRI SARON</t>
  </si>
  <si>
    <t>AIDA RIFDATUL HASNA</t>
  </si>
  <si>
    <t>FITRI RAYANI SIAHAAN</t>
  </si>
  <si>
    <t>NI PUTU ADRIANA SWASTIKA YOGA</t>
  </si>
  <si>
    <t>Jurnal internasional Q1, jurnal internasional Q2, jurnal internasional Q3</t>
  </si>
  <si>
    <t>Published Prosiding (2)</t>
  </si>
  <si>
    <t>REK. 096/PNLT3/REK/VII/2023</t>
  </si>
  <si>
    <t>650/PNLT3/LPPM/VII/2023</t>
  </si>
  <si>
    <t>Analisis Service Quality pada Transportasi Umum di Indonesia dengan Metode Text Mining (Studi Kasus
pada MRT Jakarta)</t>
  </si>
  <si>
    <t>Penelitian Kompetitif Nasional (Penelitian Dosen Pemula - PDP)</t>
  </si>
  <si>
    <t>Sosial Humaniora, Seni Budaya, Pendidikan Desk Study Dalam Negeri</t>
  </si>
  <si>
    <t>Dikti</t>
  </si>
  <si>
    <t>TRACY OLIVIA</t>
  </si>
  <si>
    <t>VAGNES ANGELA
FRANSISKA</t>
  </si>
  <si>
    <t>accepted</t>
  </si>
  <si>
    <t>641/PNLT3/LPPM/VII/2023</t>
  </si>
  <si>
    <t>Digitalisasi Desa Tambak Kalisogo Untuk Meningkatkan Kualitas Layanan, usaha mikro kecil menengah dan
Pariwisata</t>
  </si>
  <si>
    <t>6658755</t>
  </si>
  <si>
    <t>Universitas Dr
Soetomo</t>
  </si>
  <si>
    <t>AKBAR RIZKI
POETRA</t>
  </si>
  <si>
    <t>RPL, FTIB, ITTS</t>
  </si>
  <si>
    <t>DAMASYA INE
LARISA</t>
  </si>
  <si>
    <t>643/PNLT3/LPPM/VII/2023</t>
  </si>
  <si>
    <t>Hybrid Molecular Fingerprint untuk Pencarian Obat Herbal Penyakit Meningitis dengan Metode Supervised Learning</t>
  </si>
  <si>
    <t>Kesehatan </t>
  </si>
  <si>
    <t>ANANDA TAQHSYA
DWIYANA</t>
  </si>
  <si>
    <t>Data Sains, FTIB, ITTS</t>
  </si>
  <si>
    <t>HALIM ARIF
CAHYONO</t>
  </si>
  <si>
    <t>649/PNLT3/LPPM/VII/2023</t>
  </si>
  <si>
    <t>Implementation of Deep Learning and Dashboarding for sentiment analysis in Small and Medium Enterprises (SMEs) on Indonesian social media</t>
  </si>
  <si>
    <t>6830679</t>
  </si>
  <si>
    <t>0720119104</t>
  </si>
  <si>
    <t xml:space="preserve"> 6785861</t>
  </si>
  <si>
    <t>Jurnal Nasional S1</t>
  </si>
  <si>
    <t>646/PNLT3/LPPM/VII/2023</t>
  </si>
  <si>
    <t>Modifikasi Algoritma Extended Kalman Filter (EKF) untuk Prediksi Penyebaran Penyakit Menular Covid-19 di Indonesia</t>
  </si>
  <si>
    <t xml:space="preserve">Kebencanaan </t>
  </si>
  <si>
    <t>6793410</t>
  </si>
  <si>
    <t>644/PNLT3/LPPM/VII/2023</t>
  </si>
  <si>
    <t>Pengaruh Kualitas Laporan Keuangan, Career Concern CEO, dan Gender CEO terhadap Efisiensi Investasi dengan Good Governance sebagai variabel Moderasi</t>
  </si>
  <si>
    <t>FANNISA EGISTA
NAYA</t>
  </si>
  <si>
    <t>TSALITS AGNITA
ULFATUN NISA'</t>
  </si>
  <si>
    <t>647/PNLT3/LPPM/VII/2023</t>
  </si>
  <si>
    <t>Pengembangan sistem analisis klasterisasi keluhan warga untuk membantu meningkatkan kepuasan masyarakat terhadap layanan Pemerintah Kota Surabaya dengan data stream mining</t>
  </si>
  <si>
    <t>6826727</t>
  </si>
  <si>
    <t>FADELIS SUKYA</t>
  </si>
  <si>
    <t>Manajemen
Informatika</t>
  </si>
  <si>
    <t>Politeknik Negeri
Malang</t>
  </si>
  <si>
    <t>Berlian Rahmy
Lidiawaty</t>
  </si>
  <si>
    <t>BERLIANA AMELIA
ARIYANTI ZAIN</t>
  </si>
  <si>
    <t>DENSA TANZILDA
WIDYAWANTARA DZ</t>
  </si>
  <si>
    <t>MUHAMMAD
MA'SUM JUNIYANTO</t>
  </si>
  <si>
    <t>645/PNLT3/LPPM/VII/2023</t>
  </si>
  <si>
    <t>PENGENALAN EKSPRESI WAJAH MAHASISWA UNTUK MENDETEKSI SUASANA BELAJAR DI KELAS MENGGUNAKAN DEEP LEARNING</t>
  </si>
  <si>
    <t xml:space="preserve"> 6767777</t>
  </si>
  <si>
    <t>ADELLIA PUSPITA
RATRI</t>
  </si>
  <si>
    <t>ANDI NUR HALISYAH</t>
  </si>
  <si>
    <t>RIYO OKTAVIAN
PRADANA</t>
  </si>
  <si>
    <t>648/PNLT3/LPPM/VII/2023</t>
  </si>
  <si>
    <t>Peramalan Curah Hujan Satu Langkah dan Multi Langkah dengan Pendekatan Intermiten menggunakan Ensemble Hybrid Exponential Smoothing Neural Network</t>
  </si>
  <si>
    <t>6806664</t>
  </si>
  <si>
    <t>Universitas
Pembangunan
Nasional Veteran
Jawa Timur</t>
  </si>
  <si>
    <t>6787771</t>
  </si>
  <si>
    <t>642/PNLT3/LPPM/VII/2023</t>
  </si>
  <si>
    <t>Rancang bangun reliable flood early warning system (RF- EWS) untuk Kota Surabaya menggunakan optimized artificial intelligence model</t>
  </si>
  <si>
    <t>ADITYA RAMADHAN
SURYA SAPUTRA</t>
  </si>
  <si>
    <t>QOWIY MUHAMMAD
ROFI ZUHDI</t>
  </si>
  <si>
    <t>REK. 099/PNLT2/REK/VII/2023</t>
  </si>
  <si>
    <t>689/PNLT1/LPPM/VII/2023</t>
  </si>
  <si>
    <t>Pengembangan Alat Pengganti Bantalan Roda Semi Otonom Untuk Tank Leopard Berbasis Electric Forklift Khusus</t>
  </si>
  <si>
    <t>210955</t>
  </si>
  <si>
    <t>Oka Ibrahim Putra Wijaya</t>
  </si>
  <si>
    <t>Mochammad Rfly Putra</t>
  </si>
  <si>
    <t>Rizky Dwi Budi Anugrah</t>
  </si>
  <si>
    <t>Dimas Mahendra</t>
  </si>
  <si>
    <t>REK. 116/PNLT1/REK/VIII/2023</t>
  </si>
  <si>
    <t>745/PNLT1/LPPM/VIII/2023</t>
  </si>
  <si>
    <t>StunTrack : Deteksi Dini Gangguan Stunting pada Pertumbuhan Batita Menggunakan CNN</t>
  </si>
  <si>
    <t>MOCHAMAD NIZAR PALEFI MA’ADY</t>
  </si>
  <si>
    <t>YOHANES SETIAWAN</t>
  </si>
  <si>
    <t>CORNELIA ANGELA CAEZARIA</t>
  </si>
  <si>
    <t>THESION MARTHA SIANIPAR</t>
  </si>
  <si>
    <t>Jurnal Nasional S1-S3, Prosiding Internasional, Prototype</t>
  </si>
  <si>
    <t>Sinta 2 submit, prosiding presented</t>
  </si>
  <si>
    <t>Manual book dan roll banner produk inovasi</t>
  </si>
  <si>
    <t>746/PNLT1/LPPM/VIII/2023</t>
  </si>
  <si>
    <t>Optimalisasi State of Charge (SoC) dan State of Helath (SOH) pada Battery Management System (BMS) Berdasarkan Tingkat Dept of Discharge (DoD) Daya Baterai Menggunakan Algoritma Adaptif</t>
  </si>
  <si>
    <t>Nasional : Energi-Energi Baru dan Terbarukan</t>
  </si>
  <si>
    <t>747/PNLT1/LPPM/VIII/2023</t>
  </si>
  <si>
    <t>Pemanenan Energi RF sebagai Sumber Energi Alternatif dalam Sistem Pertanian Intensif Berbasis IoT</t>
  </si>
  <si>
    <t>FAIZ AMSYARI RUSTAM</t>
  </si>
  <si>
    <t>NATHANAEL TJAHYADI</t>
  </si>
  <si>
    <t>draft artikel ilmiah, prosiding presented</t>
  </si>
  <si>
    <t>Manual Book dan Roll banner produk</t>
  </si>
  <si>
    <t>748/PNLT1/LPPM/VIII/2023</t>
  </si>
  <si>
    <t>Adopsi Algoritma Metropolis-Hasting Monte Carlo dalam Model Multilevel Penentuan Status Kemiskinan</t>
  </si>
  <si>
    <t>6806662</t>
  </si>
  <si>
    <t>TARISMA DWI PUTRI ALIFIANTI</t>
  </si>
  <si>
    <t xml:space="preserve">ANNAS THASYA HAAFIZHAH SALSABIILA </t>
  </si>
  <si>
    <t>749/PNLT1/LPPM/VIII/2023</t>
  </si>
  <si>
    <t>Optimasi Capacited Vehicle Routing Problem pada Studi Kasus Depo Air Minum</t>
  </si>
  <si>
    <t>DARA ILMA DEUDOENA</t>
  </si>
  <si>
    <t>EVAN HADI SUKURIYANTO</t>
  </si>
  <si>
    <t>WHISNUMURTY GALIH ANANTA</t>
  </si>
  <si>
    <t>750/PNLT1/LPPM/VIII/2023</t>
  </si>
  <si>
    <t>Pengembangan Website Digilib ITTelkom Surabaya Menggunakan Progressive Web Application untuk Repositori Tugas Akhir Mahasiswa</t>
  </si>
  <si>
    <t>FIRLANA SADDAM PRAMADHAN</t>
  </si>
  <si>
    <t>CINDY GRACYA VORTIS</t>
  </si>
  <si>
    <t>draft</t>
  </si>
  <si>
    <t>Prototype Website</t>
  </si>
  <si>
    <t>751/PNLT1/LPPM/VIII/2023</t>
  </si>
  <si>
    <t>Navigating the Political Web : Evaluasi Accessibility dan Usability Website Partai Politik sebagai Penguat Pondasi E-Demokrasi di Indonesia</t>
  </si>
  <si>
    <t>6839112</t>
  </si>
  <si>
    <t>6789028</t>
  </si>
  <si>
    <t>MUHAMMAD TAUFIKURRAHMAN</t>
  </si>
  <si>
    <t>IVANO ROSSI SUGIYANTO</t>
  </si>
  <si>
    <t>EKKY DEA AUDRY JAYA</t>
  </si>
  <si>
    <t>752/PNLT1/LPPM/VIII/2023</t>
  </si>
  <si>
    <t>Implementasi Spatial System Dynamics dalam Mensimulasi Banjir untuk Mitigasi Bencana Terdampak pada Swah di Area Jawa Timur</t>
  </si>
  <si>
    <t>SITI NUR FADHILAH</t>
  </si>
  <si>
    <t>YANUAR CAHYO E.W</t>
  </si>
  <si>
    <t>JULIETA ARNEYSA NIXIESHAKIRA</t>
  </si>
  <si>
    <t>753/PNLT1/LPPM/VIII/2023</t>
  </si>
  <si>
    <t>Pengembangan Model Pengaruh Diskriminasi Layanan terhadap Tingkat
Kepuasan dan Manfaat Layanan pada Pasien Pengguna BPJS
Kesehatan di Surabaya</t>
  </si>
  <si>
    <t>6833034</t>
  </si>
  <si>
    <t>RIZQY ATHIYYA NAFI</t>
  </si>
  <si>
    <t>EVERALD ANTHONY ARTHER</t>
  </si>
  <si>
    <t>ANINDYA SALWA SALSABILA</t>
  </si>
  <si>
    <t>754/PNLT1/LPPM/VIII/2023</t>
  </si>
  <si>
    <t>Pengembangan Robot Fisioterapi Engkel dengan Kendali Aktif Berbasis IoT untuk Mendukung Kemandirian Bangsa dalam Bidang Alat Kesehatan</t>
  </si>
  <si>
    <t>Nasional : Kesehatan-Obat</t>
  </si>
  <si>
    <t>6802117</t>
  </si>
  <si>
    <t>VITA AYU NATHALIA</t>
  </si>
  <si>
    <t>ARCADIUS OBAJA NAARIE</t>
  </si>
  <si>
    <t>Jurnal internasional Q1</t>
  </si>
  <si>
    <t>Published Q3; Submitted Q3 dan S4, publish publikasi media massa</t>
  </si>
  <si>
    <t>Submit</t>
  </si>
  <si>
    <t>755/PNLT1/LPPM/VIII/2023</t>
  </si>
  <si>
    <t>Desain Implementasi Logistics Robot berbasis Internet of Robotic Things untuk Mendukung Sistem Logistik di Pergudangan</t>
  </si>
  <si>
    <t>JESICA FEBRIANI NURA</t>
  </si>
  <si>
    <t>YAKFI ZAMZAMI ACHMAD</t>
  </si>
  <si>
    <t xml:space="preserve"> REK. 123/PNLT1/REK/VIII/2023</t>
  </si>
  <si>
    <t>803/PNLT1/LPPM/VIII/2023</t>
  </si>
  <si>
    <t>Pengembangan Teknologi Pengumpul Ikan Elektronik Berbasis Gelombang Bunyi Frekuensi Audiosonik dan Cahaya</t>
  </si>
  <si>
    <t>Penelitian Penugasan Institusi</t>
  </si>
  <si>
    <t>6786182</t>
  </si>
  <si>
    <t>Teknik  Telekomunikasi</t>
  </si>
  <si>
    <t>OKTAVIAN RIZKI PUTRA HERMAWAN</t>
  </si>
  <si>
    <t>Teknik Telekomunikasi, FTEIC, ITTS</t>
  </si>
  <si>
    <t>REGINA SALSABILLA MAHARANI</t>
  </si>
  <si>
    <t>QAANITAH SALWA WIRDHANI</t>
  </si>
  <si>
    <t>REK. 124/PNLT1/REK/VIII/2023</t>
  </si>
  <si>
    <t>793/PNLT1/LPPM/VIII/2023</t>
  </si>
  <si>
    <t>Malaysia Citizen Perception on Government Response Towards Covid-19 Disaster Management: Using LDA-based Topic Visualization on Twitter</t>
  </si>
  <si>
    <t>RIZQY ATHIYYA NAFI’ATUS SA’IDAH</t>
  </si>
  <si>
    <t>MAHARANI CITRA ADI RATNA</t>
  </si>
  <si>
    <t>International Conference SCOPUS</t>
  </si>
  <si>
    <t>REK. 157/PNLT5/REK/VIII/2023</t>
  </si>
  <si>
    <t>Smart Tani</t>
  </si>
  <si>
    <t>Hibah Prototipe</t>
  </si>
  <si>
    <t>Perguruan Tinggi dan Eksternal</t>
  </si>
  <si>
    <t xml:space="preserve">Josey Alexander Takesan </t>
  </si>
  <si>
    <t xml:space="preserve">Ibrahim Muhammad  </t>
  </si>
  <si>
    <t>Rizqika Ibnu K</t>
  </si>
  <si>
    <t>REK. 182/PNLT1/REK/X/2023</t>
  </si>
  <si>
    <t>1151/PNLT1/LPPM/X/2023</t>
  </si>
  <si>
    <t>MODULAR CHARGING STATION UNTUK MEMBANTU INFRASTRUKTUR KENDARAAN LISTRIK DI INDONESIA</t>
  </si>
  <si>
    <t>Amoure Chelsytrivia Daniella Shinvalraus</t>
  </si>
  <si>
    <t>REK.260/PNLT1/REK/XII/202</t>
  </si>
  <si>
    <t>Penerapan Energi Surya di Sekolah Menengah Pertama Kabupaten Puncak Jaya, Papua Tengah: Evaluasi dan Manfaatnya</t>
  </si>
  <si>
    <t>Penelitian Kerjasama Kemensos</t>
  </si>
  <si>
    <t>Kemensos</t>
  </si>
  <si>
    <t>REK.260/PNLT1/REK/XII/203</t>
  </si>
  <si>
    <t>Analisis Penggunaan Charging Station dengan beban Motor Listrik</t>
  </si>
  <si>
    <t>REK.260/PNLT1/REK/XII/204</t>
  </si>
  <si>
    <t>Solar Energy Harvesting Menggunakan Sel Surya Mono Crystaline sebagai Penunjang Kegiatan Pembelajaran di Sekolah Menengah Atas</t>
  </si>
  <si>
    <t>REK.260/PNLT1/REK/XII/205</t>
  </si>
  <si>
    <t>Solar Energy Harvesting Menggunakan Sel Surya Mono Crystaline untuk Daerah Terpencil</t>
  </si>
  <si>
    <t>REK.260/PNLT1/REK/XII/206</t>
  </si>
  <si>
    <t>Model Power System Stabilizer Berbasis Energi Terbarukan untuk Kebutuhan RSUD Oksibil</t>
  </si>
  <si>
    <t>0711069702</t>
  </si>
  <si>
    <t>REK.260/PNLT1/REK/XII/207</t>
  </si>
  <si>
    <t>Desain Modular Charging Station untuk Daerah Kabupaten Puncak Jaya, Papua Pegunungan</t>
  </si>
  <si>
    <t>REK.260/PNLT1/REK/XII/208</t>
  </si>
  <si>
    <t>Analisis Penggunaan Energi pada Charging Station di Kabupaten Tolikara</t>
  </si>
  <si>
    <t>KR.1050/LIT04/PPM-LIT/2024</t>
  </si>
  <si>
    <t>620/LIT06/PPM-LIT/2024</t>
  </si>
  <si>
    <t>Pemasangan Pembangkit Listrik Tenaga Surya (PLTS) skala Perumahan di Daerah Perumahan Koya Timur, Jayapura, Papua</t>
  </si>
  <si>
    <t>PENELITIAN KEMITRAAN DALAM NEGERI PERIODE 2</t>
  </si>
  <si>
    <t>UNIVERSITAS TELKOM</t>
  </si>
  <si>
    <t>619/LIT06/PPM-LIT/2024</t>
  </si>
  <si>
    <t>Pemasangan Pembangkit Listrik Tenaga Surya (PLTS) skala Rumah Sakit untuk Program Pembangunan Rumah Sakit Umum Daerah (RSUD) Mulia, Puncak Jaya, Papua</t>
  </si>
  <si>
    <t>622/LIT06/PPM-LIT/2024</t>
  </si>
  <si>
    <t>Analisis dan Implementasi Potensi Energi Surya dengan Sistem Off-Grid Di Daerah Perumahan Koya Timur, Jayapura, Papua</t>
  </si>
  <si>
    <t>S1 Teknik Elektro</t>
  </si>
  <si>
    <t>621/LIT06/PPM-LIT/2024</t>
  </si>
  <si>
    <t>Analisis dan Implementasi Potensi Energi Surya dengan Sistem Off-Grid di Rumah Sakit Umum Daerah (RSUD) Mulia, Puncak Jaya, Papua</t>
  </si>
  <si>
    <t xml:space="preserve">Berlian Rahmy Lidiawaty </t>
  </si>
  <si>
    <t>223/SAM4/PPM/2024</t>
  </si>
  <si>
    <t>Pengembangan robot exoskeleton ekstremitas bawah nasional dengan novel sistem kendali kecepatan sudut sendi berdasarkan body mass index pasien untuk asistensi fisioterapi</t>
  </si>
  <si>
    <t>Penelitian Hibah BRIN</t>
  </si>
  <si>
    <t>Telkom University Surabaya</t>
  </si>
  <si>
    <t>BRIN</t>
  </si>
  <si>
    <t>041057</t>
  </si>
  <si>
    <t>FIF</t>
  </si>
  <si>
    <t>Asep Nugroho</t>
  </si>
  <si>
    <t>Roni Permana Saputra</t>
  </si>
  <si>
    <t>Irwan Purnama, Kacuk Cikal Nugroho, Nur Khozin</t>
  </si>
  <si>
    <t>Proposal Revisi RIIM - DMS</t>
  </si>
  <si>
    <t>Studi pemodelan conducted emission pada LED Driver dengan teknik machine learning</t>
  </si>
  <si>
    <t>Penelitian Hibah BIMA</t>
  </si>
  <si>
    <t>Pengembangan Sensor EMG sebagai trigger gerakan pada robot exoskeleton ekstremitas bawah nasional untuk keperluan fisioterapi</t>
  </si>
  <si>
    <t>DIMAS ADIPUTRA</t>
  </si>
  <si>
    <t>Penentuan Harga subsidi baterai EV dalam rancang bangun Close Loop Supply Chain Untuk Peningkatan Ekonomi Nasional</t>
  </si>
  <si>
    <t>FRI</t>
  </si>
  <si>
    <t xml:space="preserve">AMALIA NUR ALIFAH </t>
  </si>
  <si>
    <t>Teknik Infustri</t>
  </si>
  <si>
    <t>KWR4.051/LIT06/PPM-LIT/2024</t>
  </si>
  <si>
    <t>328/LIT06/PPM/2024</t>
  </si>
  <si>
    <t>Smart Tani: Sistem Irigasi Otomatis Menggunakan Adaptive Neuro Fuzzy Inference untuk tanaman Melon</t>
  </si>
  <si>
    <t>MOHAMMAD YANUAR HARIYAWAN</t>
  </si>
  <si>
    <t>0728016901</t>
  </si>
  <si>
    <t>TRI AGUS DJOKO KUNTJORO</t>
  </si>
  <si>
    <t>ADZANIL RACHMADHI PUTRA</t>
  </si>
  <si>
    <t>SALMAN</t>
  </si>
  <si>
    <t>REYNALDO GERARD TUERAH</t>
  </si>
  <si>
    <t>MUHAMMAD HANAFI CHOIRULLOH</t>
  </si>
  <si>
    <t>Artikel Pada Jurnal Sinta 1-3</t>
  </si>
  <si>
    <t>326/LIT06/PPM/2024</t>
  </si>
  <si>
    <t>Pengembangan Anjungan Pemeriksaan Kesehatan Mandiri Yang Terintegrasi Dengan Sistem Informasi Manajemen Rumah Sakit</t>
  </si>
  <si>
    <t>Kesehatan dan Obat</t>
  </si>
  <si>
    <t>0711079701</t>
  </si>
  <si>
    <t>GEMPAR ALAMSYAH</t>
  </si>
  <si>
    <t>IKMAL AL AIS</t>
  </si>
  <si>
    <t>327/LIT06/PPM/2024</t>
  </si>
  <si>
    <t>Rancang Bangun Kendaraan Listrik Roda 4 REV x EVE Engine Electric (REVENG-E) Tipe I Untuk Peningkatan Daya Tarik Kampus dan Aktivasi Kompetisi Mahasiswa Mobil Listrik Bidang Energi</t>
  </si>
  <si>
    <t xml:space="preserve">
RAHADITYA DIMAS PRIHADIANTO</t>
  </si>
  <si>
    <t>AUFAR FIKRI DIMYATI</t>
  </si>
  <si>
    <t xml:space="preserve">ZENKEY SOMA MAHENDRA </t>
  </si>
  <si>
    <t>YUKI ANDRA FIRDAUS</t>
  </si>
  <si>
    <t>FEBRIANTI ANUNG SWANDARI</t>
  </si>
  <si>
    <t>WAHYU SOKMA BINTANG SAMODRA</t>
  </si>
  <si>
    <t>ALFIS SURURI</t>
  </si>
  <si>
    <t xml:space="preserve">MUCHAMAD AZMI </t>
  </si>
  <si>
    <t>Publikasi Terindeks Scopus</t>
  </si>
  <si>
    <t>KWR4.025/LIT06/PPM-LIT/2024</t>
  </si>
  <si>
    <t>316/LIT06/PPM-LIT/2024</t>
  </si>
  <si>
    <t>Normative gait data study of healthy adult population in Surabaya</t>
  </si>
  <si>
    <t>HELISYAH NUR FADHILAH</t>
  </si>
  <si>
    <t xml:space="preserve"> Sains Data </t>
  </si>
  <si>
    <t xml:space="preserve">RIFDATUN NI'MAH </t>
  </si>
  <si>
    <t>MOCHAMMAD RAFLY PUTRA DAFFALDI (1103200020)</t>
  </si>
  <si>
    <t>Teknik Elektro, FTE, TUS</t>
  </si>
  <si>
    <t>MEDILIADITA DWI DIMASTIA (1206220004)</t>
  </si>
  <si>
    <t>Sains Data, FIF, TUS</t>
  </si>
  <si>
    <t>MUHAMMAD NASRULLOH MUBARAK (1103200019)</t>
  </si>
  <si>
    <t>2 Jurnal Internasional (Wajib);Dokumen Kerjasama (MoU/MoA)</t>
  </si>
  <si>
    <t>KWR4.026/LIT06/PPM-LIT/2024</t>
  </si>
  <si>
    <t>315/LIT06/PPM-LIT/2024</t>
  </si>
  <si>
    <t>Uji coba Picobot ukuran universal pada pasien pasca stroke MMT 0 - 4 di Rumah Sakit Husada Utama Surabaya</t>
  </si>
  <si>
    <t xml:space="preserve"> Teknik Elektro</t>
  </si>
  <si>
    <t>ULLY ASFARI</t>
  </si>
  <si>
    <t xml:space="preserve">HELISYAH NUR FADHILAH </t>
  </si>
  <si>
    <t>RIFDATUN NI'MAH</t>
  </si>
  <si>
    <t>VITA AYU NATHALIA (1103200024)</t>
  </si>
  <si>
    <t>AHMAD IHDA FALAH ANNUR (1206220015)</t>
  </si>
  <si>
    <t>Jurnal Internasional (Wajib)</t>
  </si>
  <si>
    <t>Teknologi Tepat Guna;Prototype</t>
  </si>
  <si>
    <t>349/LIT06/PPM-LIT/2024</t>
  </si>
  <si>
    <t>DESAIN POWER SYSTEM DENGAN PENAMBAHAN ALTERNATOR SEBAGAI PENGISIAN BATERAI DI E-SCOOTER UNTUK MENINGKATKAN JARAK TEMPUH KENDARAAN</t>
  </si>
  <si>
    <t>6859016</t>
  </si>
  <si>
    <t>041058</t>
  </si>
  <si>
    <t>6680612 </t>
  </si>
  <si>
    <t>ISA HAFIDZ</t>
  </si>
  <si>
    <t>6680631</t>
  </si>
  <si>
    <t>TANTO WIJAYA (1102213211)</t>
  </si>
  <si>
    <t>KENSORA BINTANG PANJI SATRIO (1103212021)</t>
  </si>
  <si>
    <t>NUR WAHYUNI PUTRI (1103230014)</t>
  </si>
  <si>
    <t>351/LIT06/PPM-LIT/2026</t>
  </si>
  <si>
    <t>Jawa Timur Export Hub (JETHUB): Sistem Prediksi, Pemetaan, dan Marketplace Komoditas Pertanian untuk Eksportir di Jawa Timur</t>
  </si>
  <si>
    <t>041060</t>
  </si>
  <si>
    <t>6680680</t>
  </si>
  <si>
    <t>BERNADUS ANGGO SENO AJI</t>
  </si>
  <si>
    <t>S1 Teknologi Informasi (Kampus Surabaya)</t>
  </si>
  <si>
    <t>6760392</t>
  </si>
  <si>
    <t>6680633 </t>
  </si>
  <si>
    <t>MUHAMMAD MA'SUM JUNIYANTO (1202202056)</t>
  </si>
  <si>
    <t>REYNALDO GERARD TUERAH (1202200074)</t>
  </si>
  <si>
    <t>SALMAN (1202200022)</t>
  </si>
  <si>
    <t>352/LIT06/PPM-LIT/2027</t>
  </si>
  <si>
    <t>Optimalisasi Model Deep Learning untuk Deteksi dan Klasifikasi Dini Retinopati Diabetik</t>
  </si>
  <si>
    <t>S1 Informatika</t>
  </si>
  <si>
    <t>041061</t>
  </si>
  <si>
    <t>6889068</t>
  </si>
  <si>
    <t>6854678 </t>
  </si>
  <si>
    <t>PIMA HANI SAFITRI</t>
  </si>
  <si>
    <t>BIMAYUDHA AL'FATTAH (1301204121)</t>
  </si>
  <si>
    <t>RAMADINOV RIZKY FITRAHAQ (1203220060)</t>
  </si>
  <si>
    <t>S1 Teknologi Informasi</t>
  </si>
  <si>
    <t>HERNANDO FALAH ZELIG (1203222049)</t>
  </si>
  <si>
    <t>353/LIT06/PPM-LIT/2027</t>
  </si>
  <si>
    <t>Analisis Efektivitas Model Klasifikasi Urgensi dalam Penanganan Teks Aduan Lalu Lintas dan Transportasi</t>
  </si>
  <si>
    <t>041062</t>
  </si>
  <si>
    <t>6826699</t>
  </si>
  <si>
    <t>S1 Sistem Informasi (Kampus Surabaya)</t>
  </si>
  <si>
    <t>HAQIQI PAMUNGKAS ARBY PUTRA (1204210069)</t>
  </si>
  <si>
    <t>RENDY ADI FATMA SAPUTRA (1204210044)</t>
  </si>
  <si>
    <t>FARADILLA NUR AZIZAH (1204210100)</t>
  </si>
  <si>
    <t>355/LIT06/PPM-LIT/2030</t>
  </si>
  <si>
    <t>Perancangan Integrasi Pelayanan Ekspor Provinsi Jawa Timur Berbasis Website</t>
  </si>
  <si>
    <t> 6843682</t>
  </si>
  <si>
    <t>CAESAREANO LAFADO YESA</t>
  </si>
  <si>
    <t>041064</t>
  </si>
  <si>
    <t>WACHDA YUNIAR ROCHMAH</t>
  </si>
  <si>
    <t>S1 Bisnis Digital (Kampus Surabaya)</t>
  </si>
  <si>
    <t>ARIP RAMADAN</t>
  </si>
  <si>
    <t>8;9</t>
  </si>
  <si>
    <t>RIZAL JIHADI (1204228117)</t>
  </si>
  <si>
    <t>FAKHRI ALAUDDIN (1203220131)</t>
  </si>
  <si>
    <t>S1 Informatika (Kampus Surabaya)</t>
  </si>
  <si>
    <t>SABRINA ASTRA (1205220005)</t>
  </si>
  <si>
    <t>KWR4.030/LIT06/PPM-LIT/2024</t>
  </si>
  <si>
    <t>302/LIT06/PPM-LIT/2024</t>
  </si>
  <si>
    <t>Desain dan Pengembangan Prototipe e-MedDis : Mesin Elektronik Otomatis Penyedia Obat Berdasarkan Resep</t>
  </si>
  <si>
    <t xml:space="preserve"> Informatika</t>
  </si>
  <si>
    <t xml:space="preserve">MUHAMAD NASRULLAH </t>
  </si>
  <si>
    <t>SHINVALRAUS SAINS RAIHAN KANZU (1103210026)</t>
  </si>
  <si>
    <t>GEDE SATYAMAHINSA PRASTITA UTTAMA (1203220150)</t>
  </si>
  <si>
    <t>Informatika, FIF, TUS</t>
  </si>
  <si>
    <t>ADITYA AULIA ROHMAN (1203210145)</t>
  </si>
  <si>
    <t>289/LIT06/PPM-LIT/2024</t>
  </si>
  <si>
    <t>Implementasi Metode Fuzzy Tsukamoto Pada Air Pollutant Sensing System Untuk Mengukur Dan Mengklasifikasikan Kadar Gas Karbon Dioksida</t>
  </si>
  <si>
    <t>Kesehatan dan Obat;Teknologi Informasi dan Komunikasi</t>
  </si>
  <si>
    <t>3;13</t>
  </si>
  <si>
    <t>MUH. SYAHWAL M (1103200022)</t>
  </si>
  <si>
    <t>RAMSA WIKA ALFATI (1103202043)</t>
  </si>
  <si>
    <t>HAMMAM AL HAQQANI (1103200041)</t>
  </si>
  <si>
    <t>KWR4.031/LIT06/PPM-LIT/2024</t>
  </si>
  <si>
    <t>314/LIT06/PPM-LIT/2024</t>
  </si>
  <si>
    <t>SMART FARMING BERBASIS ANDROID DAN INTERNET OF THINGS (IOT) PETERNAKAN PLASMA JATINOM INDAH AGRI</t>
  </si>
  <si>
    <t>ACHMAD MUZAKKI</t>
  </si>
  <si>
    <t xml:space="preserve"> Rekayasa Perangkat Lunak </t>
  </si>
  <si>
    <t xml:space="preserve">MUHAMMAD ILHAM ALHARI </t>
  </si>
  <si>
    <t xml:space="preserve">ARNI MUARIFAH AMRI </t>
  </si>
  <si>
    <t>JASIEL JEHUDA SISWANTO (1204200208)</t>
  </si>
  <si>
    <t>Sistem Informasi, FRI, TUS</t>
  </si>
  <si>
    <t>JESICA FEBRIANI NURA (1103200033)</t>
  </si>
  <si>
    <t>286/LIT06/PPM-LIT/2025</t>
  </si>
  <si>
    <t>Sistem Tenaga Fotovoltaik Portabel Untuk Stasiun Pengisian Sepedah Motor Listrik Dengan Pemantauan Daya Berbasis Iot</t>
  </si>
  <si>
    <t>Transportasi;Energi dan Energi Terbarukan</t>
  </si>
  <si>
    <t xml:space="preserve"> Teknik Elektro </t>
  </si>
  <si>
    <t xml:space="preserve">RIFKI DWI PUTRANTO </t>
  </si>
  <si>
    <t>7;9</t>
  </si>
  <si>
    <t>GILBERT WEDNESTWO SAMUEL (1103200276)</t>
  </si>
  <si>
    <t>HERNADIMAS ALFATTAH (1103210015)</t>
  </si>
  <si>
    <t>CHRISTIAN JOSE ANTO KURNIAWAN (1103200273)</t>
  </si>
  <si>
    <t>290/LIT06/PPM-LIT/2024</t>
  </si>
  <si>
    <t>Analisis Metode TDOA (Time Difference of Arrival) Untuk Deteksi Arah pada Perangkat Akustik Gunshoot Locater</t>
  </si>
  <si>
    <t xml:space="preserve"> Teknik Telekomunikasi</t>
  </si>
  <si>
    <t xml:space="preserve">FANNUSH SHOFI AKBAR </t>
  </si>
  <si>
    <t xml:space="preserve">NILLA RACHMANINGRUM </t>
  </si>
  <si>
    <t>BIMA PANCARA HARYONO PUTRA (1101210528)</t>
  </si>
  <si>
    <t>Teknik Telekomunikasi, FTE, TUS</t>
  </si>
  <si>
    <t>Wafiqoh Dwi Oktaviana Putri (1101210008)</t>
  </si>
  <si>
    <t>PUGUH CHONDRO JADMIKO (1101210012)</t>
  </si>
  <si>
    <t>Publikasi Terindeks Scopus/WOS</t>
  </si>
  <si>
    <t>294/LIT06/PPM-LIT/2024</t>
  </si>
  <si>
    <t>Analisis Rantai Pasok, Tantangan dan Peluang Industri Akuakultur. ( Studi Kasus: KJA Karimun Jawa)</t>
  </si>
  <si>
    <t xml:space="preserve"> Teknik Industri</t>
  </si>
  <si>
    <t xml:space="preserve">ABDUH SAYID ALBANA </t>
  </si>
  <si>
    <t xml:space="preserve">Teknik Logistik </t>
  </si>
  <si>
    <t xml:space="preserve">AYU ENDAH WAHYUNI </t>
  </si>
  <si>
    <t>NILNA AGNIA (1104210094)</t>
  </si>
  <si>
    <t>Teknik Industri, FRI, TUS</t>
  </si>
  <si>
    <t>YASHMINE MELA ARDIANTO (1104210019)</t>
  </si>
  <si>
    <t>ANNISA'UL BAROROH (1105210001)</t>
  </si>
  <si>
    <t>Teknik Logistik, FRI, TUS</t>
  </si>
  <si>
    <t>Prosiding Nasional ber-ISSN</t>
  </si>
  <si>
    <t>297/LIT06/PPM-LIT/2024</t>
  </si>
  <si>
    <t>Prediksi Persediaan dan Permintaan Garam Nasional Menggunakan Machine Learning dalam Mendukung Ketahanan Pangan Berkelanjutan</t>
  </si>
  <si>
    <t xml:space="preserve"> Bisnis Digital </t>
  </si>
  <si>
    <t>FEB</t>
  </si>
  <si>
    <t xml:space="preserve">RIZA AKHSANI SETYO PRAYOGA </t>
  </si>
  <si>
    <t xml:space="preserve">MUSTAFA KAMAL </t>
  </si>
  <si>
    <t xml:space="preserve"> Teknologi Informasi </t>
  </si>
  <si>
    <t>MUH. REZA NUR WAHID (1205210005)</t>
  </si>
  <si>
    <t>Bisnis Digital, FEB, TUS</t>
  </si>
  <si>
    <t>DHENOK SAGITA NOER (1205210025)</t>
  </si>
  <si>
    <t>MAHDI NAUFAL PRAYUDI (1205210063)</t>
  </si>
  <si>
    <t>307/LIT06/PPM-LIT/2024</t>
  </si>
  <si>
    <t>Smart Digital Village (SDV) model assessment: Standarisasi model penilaian desa digital untuk mencapai keberlanjutan kosep smart village</t>
  </si>
  <si>
    <t xml:space="preserve"> Sistem Informasi </t>
  </si>
  <si>
    <t xml:space="preserve">HAWWIN MARDHIANA </t>
  </si>
  <si>
    <t xml:space="preserve">TITA AYU ROSPRICILIA </t>
  </si>
  <si>
    <t>9;11;17</t>
  </si>
  <si>
    <t>ANNISA NUR SALSABILLA (1204210123)</t>
  </si>
  <si>
    <t>NAZHIVA SALMA PUTRI I (1204210031)</t>
  </si>
  <si>
    <t>AMIRATUS SHOLIHA (1204228146)</t>
  </si>
  <si>
    <t>308/LIT06/PPM-LIT/2024</t>
  </si>
  <si>
    <t>Pengembangan Aplikasi Lanjutan Layanan Kampus Terintegrasi Menggunakan Metode Scrum</t>
  </si>
  <si>
    <t xml:space="preserve">CAESAREANO LAFADO YESA </t>
  </si>
  <si>
    <t xml:space="preserve">RIZKY FENALDO MAULANA </t>
  </si>
  <si>
    <t xml:space="preserve"> Informatika </t>
  </si>
  <si>
    <t>4;9</t>
  </si>
  <si>
    <t>ANGGUN DESTIWARDHANI (1205230107)</t>
  </si>
  <si>
    <t>Teknologi Tepat Guna</t>
  </si>
  <si>
    <t>312/LIT06/PPM-LIT/2024</t>
  </si>
  <si>
    <t>Prediksi Kesehatan dan Masa Pakai Baterai Lithium Iron Phospate untuk mendukung Kendaraan Listrik</t>
  </si>
  <si>
    <t>Energi dan Energi Terbarukan</t>
  </si>
  <si>
    <t>LORA KHAULA AMIFIA</t>
  </si>
  <si>
    <t xml:space="preserve"> Teknik Industri </t>
  </si>
  <si>
    <t>PERDANA SUTEJA PUTRA</t>
  </si>
  <si>
    <t>IMRAN (1103220252)</t>
  </si>
  <si>
    <t>ACHMAD SUBAYU (1103220013)</t>
  </si>
  <si>
    <t>SITI YUKI LESTARI (1104210102)</t>
  </si>
  <si>
    <t>287/LIT06/PPM-LIT/2024</t>
  </si>
  <si>
    <t>Optimasi Algoritma K-Means dengan Reduksi Dimensi Menggunakan Principal Component Analysis untuk Pemetaan Peminat Calon Mahasiswa Baru</t>
  </si>
  <si>
    <t xml:space="preserve">DYAH PUTRI RAHMAWATI </t>
  </si>
  <si>
    <t xml:space="preserve">PARAMADITYA ARISMAWATI </t>
  </si>
  <si>
    <t>RAHMAT SIGIT HIDAYAT (1206210005)</t>
  </si>
  <si>
    <t>RENDIKA NURHARTANTO SUHARTO (1206210011)</t>
  </si>
  <si>
    <t>299/LIT06/PPM-LIT/2024</t>
  </si>
  <si>
    <t>Sistem Pemantauan dan Prediksi Tekanan dan Suhu Ban Kendaraan Berbasis Internet of Things dan Machine Learning untuk Mendukung Smart Transportation</t>
  </si>
  <si>
    <t xml:space="preserve"> Teknik Komputer </t>
  </si>
  <si>
    <t xml:space="preserve">MOHAMMAD YANUAR HARIYAWAN </t>
  </si>
  <si>
    <t xml:space="preserve">ROKHMATUL INSANI </t>
  </si>
  <si>
    <t>IRDANI SUKMA ARDIHANTOKO (1102210016)</t>
  </si>
  <si>
    <t>Teknik Komputer, FTE, TUS</t>
  </si>
  <si>
    <t>FAIZ AMSYARI RUSTAM (1102210012)</t>
  </si>
  <si>
    <t>NAUFAL ZAKARIYA (1102210023)</t>
  </si>
  <si>
    <t>310/LIT06/PPM-LIT/2024</t>
  </si>
  <si>
    <t>Sistem Monitoring dan Kontroling Kualitas Air pada Tambak Udang berbasis IoT</t>
  </si>
  <si>
    <t xml:space="preserve">SUSIJANTO TRI RASMANA </t>
  </si>
  <si>
    <t xml:space="preserve">AULIA RAHMA ANNISA </t>
  </si>
  <si>
    <t>KELVIN PRASETYA (1102238025)</t>
  </si>
  <si>
    <t>FAJAR SAFRIANSYAH (1102238024)</t>
  </si>
  <si>
    <t>DENNY DAFFA RIZALDY (1204210109)</t>
  </si>
  <si>
    <t>288/LIT06/PPM-LIT/2024</t>
  </si>
  <si>
    <t>Rancang Bangun Aplikasi First Person Shooter (FPS) Sebagai Simulasi Kemampuan Menembak Militer Berbasis Virtual Reality</t>
  </si>
  <si>
    <t xml:space="preserve"> Sistem Informasi</t>
  </si>
  <si>
    <t xml:space="preserve">ROSYID ABDILLAH </t>
  </si>
  <si>
    <t>9;16;17</t>
  </si>
  <si>
    <t>LORENZO LARIDHO SEMBIRING (1201200547)</t>
  </si>
  <si>
    <t>Rekayasa Perangkat Lunak, FIF, TUS</t>
  </si>
  <si>
    <t>DITO ADITYA NUGROHO (1201220037)</t>
  </si>
  <si>
    <t>ANISA ULFADILAH (1204220050)</t>
  </si>
  <si>
    <t>292/LIT06/PPM-LIT/2024</t>
  </si>
  <si>
    <t>Perancangan Antena Mikrostrip Berpencatu Seri Dengan Jarak dan Ukuran Tak Seragam Untuk Aplikasi Phased Array Radar</t>
  </si>
  <si>
    <t>FANNUSH SHOFI AKBAR</t>
  </si>
  <si>
    <t xml:space="preserve"> Teknik Telekomunikasi </t>
  </si>
  <si>
    <t xml:space="preserve">TRI AGUS DJOKO KUNTJORO </t>
  </si>
  <si>
    <t>9;16</t>
  </si>
  <si>
    <t>NOVITA (1101228050)</t>
  </si>
  <si>
    <t>BERCHMANS RICHARD GERE KOPA (1101190007)</t>
  </si>
  <si>
    <t>293/LIT06/PPM-LIT/2024</t>
  </si>
  <si>
    <t>IT Strategic Plan: Smart Economy Berdasarkan Analisis People, Process, and Technology "Digital SMEs Kampungs"</t>
  </si>
  <si>
    <t>ARIS KUSUMAWATI</t>
  </si>
  <si>
    <t xml:space="preserve">MOCHAMAD NIZAR PALEFI MA'ADY </t>
  </si>
  <si>
    <t>1;8;9</t>
  </si>
  <si>
    <t>ALYA SELVIA TAMZILA (1204210149)</t>
  </si>
  <si>
    <t>303/LIT06/PPM-LIT/2024</t>
  </si>
  <si>
    <t>Perencanaan Strategi Sistem Informasi Data Siswa untuk Mendukung Efisiensi Proses Akademik di Sekolah Menengah Kejuruan</t>
  </si>
  <si>
    <t xml:space="preserve">ULLY ASFARI </t>
  </si>
  <si>
    <t xml:space="preserve">ARIS KUSUMAWATI </t>
  </si>
  <si>
    <t>4;17</t>
  </si>
  <si>
    <t>NAOMI BENEVOLENCE SANTOSO (1204220027)</t>
  </si>
  <si>
    <t>CHEASARIO YEHEZKIEL ORTISTA (1204220073)</t>
  </si>
  <si>
    <t>TRISNA FITRI HANDAYANI (1204220099)</t>
  </si>
  <si>
    <t>304/LIT06/PPM-LIT/2024</t>
  </si>
  <si>
    <t>Analisis Transisi Kendaraan Energi Konvensional menjadi Kendaraan Energi Baterai dengan pendekatan Multi-Level Perspective</t>
  </si>
  <si>
    <t>0000000000</t>
  </si>
  <si>
    <t>NAWANG AJI RABUKUNTARI (1105210003)</t>
  </si>
  <si>
    <t>IANSYAH TEGAR SAMUDRA (1104212014)</t>
  </si>
  <si>
    <t>proposal penelitian lanjutan untuk skema penelitian eksternal</t>
  </si>
  <si>
    <t>350/LIT06/PPM-LIT/2025</t>
  </si>
  <si>
    <t>Monitoring dan analisis kecepatan kendaraan lalu lintas dengan machine learning dalam rangka SDG ke 9 "industry, innovation and infrastructure"</t>
  </si>
  <si>
    <t>041059</t>
  </si>
  <si>
    <t>MUSTAFA KAMAL</t>
  </si>
  <si>
    <t>RADITYA ADI SANTOSO (1202212020)</t>
  </si>
  <si>
    <t>MACHFUD ICHSAN KHOIRUDIN (1202210032)</t>
  </si>
  <si>
    <t>MAOREEN DAMAR SAFIRA SUBAKTI (1202210470)</t>
  </si>
  <si>
    <t>306/LIT06/PPM-LIT/2024</t>
  </si>
  <si>
    <t>Pemetaan dan Prediksi Eksitasi Elektromagnetik pada SMPS (Switched Mode Power Supply) menggunakan Teknik Machine Learning dan Analisis Spektrum: Sebuah Pendekatan Prediktif untuk Mengurangi Emisi Elektromagnetik</t>
  </si>
  <si>
    <t>MUHAMMAD RIZAL FIRMANSYAH (1102210009)</t>
  </si>
  <si>
    <t>295/LIT06/PPM-LIT/2024</t>
  </si>
  <si>
    <t>ANALISIS STUDI KELAYAKAN BISNIS PADA PENGEMBANGAN UMKM INDUSTRI FASHION HEWAN "BIRKINPET ERGONOMIC HARNESS" DITINJAU DARI ASPEK PRODUKSI, ASPEK PEMASARAN DAN ASPEK KEUANGAN</t>
  </si>
  <si>
    <t>Sosial dan Humaniora</t>
  </si>
  <si>
    <t xml:space="preserve">DOMINGGO BAYU BASKARA </t>
  </si>
  <si>
    <t xml:space="preserve">ALIFIANSYAH ARRIZQY HIDAYAT </t>
  </si>
  <si>
    <t xml:space="preserve">RAULIA RISKI </t>
  </si>
  <si>
    <t>TRACY OLIVIA (1205210058)</t>
  </si>
  <si>
    <t>ANINDYA SALWA SALSABILA (1204210016)</t>
  </si>
  <si>
    <t>313/LIT06/PPM-LIT/2024</t>
  </si>
  <si>
    <t>Perancangan Prototype Website Jual Beli Bahan Pangan Daring</t>
  </si>
  <si>
    <t>RIZQA AMELIA ZUNAIDI</t>
  </si>
  <si>
    <t xml:space="preserve">SRI HIDAYATI </t>
  </si>
  <si>
    <t>DWI NUR AZIZAH HAMIDAH (1104210051)</t>
  </si>
  <si>
    <t>FEBRIN CLAUDIA ANGELI (1104210028)</t>
  </si>
  <si>
    <t>M. BAIHAQI ILMI MA' AZA (1202210481)</t>
  </si>
  <si>
    <t>305/LIT06/PPM-LIT/2024</t>
  </si>
  <si>
    <t>Studi Struktur dan Sifat Listrik dari Material Katoda Baterai untuk Pengembangan Recycle Baterai Lithium</t>
  </si>
  <si>
    <t>Transportasi;Material Maju</t>
  </si>
  <si>
    <t>0405049401</t>
  </si>
  <si>
    <t xml:space="preserve">LINAHTADIYA ANDIANI </t>
  </si>
  <si>
    <t>Teknik Fisika</t>
  </si>
  <si>
    <t>Telkom University Bandung</t>
  </si>
  <si>
    <t>4;9;12</t>
  </si>
  <si>
    <t>MOHAMMAD FAHMI ILMI YOGIANTO (1103210268)</t>
  </si>
  <si>
    <t>ALIFIO NOERIFANZA (1103238029)</t>
  </si>
  <si>
    <t>291/LIT06/PPM-LIT/2024</t>
  </si>
  <si>
    <t>Perencanaan dan perhitungan prediksi kebutuhan air bersih dengan perbandingan algoritma prediksi machine learning dalam rangka SDG ke 6 "clean water and sanitation"</t>
  </si>
  <si>
    <t>TITUS KRISTANTO</t>
  </si>
  <si>
    <t>MASTUTY AYU NINGTYAS (</t>
  </si>
  <si>
    <t>MUHAMMAD ARKAN FAUZAN WICAKSONO (1202202044)</t>
  </si>
  <si>
    <t>Teknologi Informasi, FIF, TUS</t>
  </si>
  <si>
    <t>FAHMI AMMRY HELMI IRFANSYAH (1202200052)</t>
  </si>
  <si>
    <t>ALIF NURUL HIDAYAH (1202200070)</t>
  </si>
  <si>
    <t>301/LIT06/PPM-LIT/2024</t>
  </si>
  <si>
    <t>Deteksi Stunting pada Anak Berbasis Klasifikasi Multimodal</t>
  </si>
  <si>
    <t xml:space="preserve">MOH. HAMIM ZAJULI AL FAROBY </t>
  </si>
  <si>
    <t>F(F</t>
  </si>
  <si>
    <t>I MADE WISNU ADI SANJAYA (1206230033)</t>
  </si>
  <si>
    <t>CISA VALENTINO CAHYA RAMADHANI (1202220420)</t>
  </si>
  <si>
    <t>309/LIT06/PPM-LIT/2024</t>
  </si>
  <si>
    <t>Segmentasi Sekolah pada Penerimaan Mahasiswa Baru Telkom University Surabaya dengan Algoritma DBSCAN</t>
  </si>
  <si>
    <t>REGITA PUTRI PERMATA</t>
  </si>
  <si>
    <t xml:space="preserve"> Data Sains</t>
  </si>
  <si>
    <t>MUHAMMAD SAYYID IMADUDDIN (1206222042)</t>
  </si>
  <si>
    <t>IVAN SHOLANA (1203210030)</t>
  </si>
  <si>
    <t>284/LIT06/PPM-LIT/2024</t>
  </si>
  <si>
    <t>Perancangan UI/UX Dashboard TUS Mart dengan Pendekatan Human Computer Interaction</t>
  </si>
  <si>
    <t xml:space="preserve">RIZQA AMELIA ZUNAIDI </t>
  </si>
  <si>
    <t>HUKI CHANDRA</t>
  </si>
  <si>
    <t>NORMA NOVIKA (1104210024)</t>
  </si>
  <si>
    <t>ALI AKBAR NAFIS (1104220037)</t>
  </si>
  <si>
    <t>NORMA SEPTIN NURLAELA (1104210050)</t>
  </si>
  <si>
    <t>283/LIT06/PPM-LIT/2024</t>
  </si>
  <si>
    <t>Desain UI/UX untuk Smart Academic System</t>
  </si>
  <si>
    <t xml:space="preserve">PURNAMA ANAKING </t>
  </si>
  <si>
    <t>IRSYAD RAMADHANI SOETEDJO (1204200144)</t>
  </si>
  <si>
    <t>MUHAMMAD RIDWAN (1204200199)</t>
  </si>
  <si>
    <t>MUHAMMAD TAUFIKURRAHMAN (1204210015)</t>
  </si>
  <si>
    <t>354/LIT06/PPM-LIT/2029</t>
  </si>
  <si>
    <t>Pembuatan Board Games Media Pembelajaran untuk Simulasi Transportasi dan Distribusi</t>
  </si>
  <si>
    <t>6778519</t>
  </si>
  <si>
    <t>S1 Teknik Logistik</t>
  </si>
  <si>
    <t>041063</t>
  </si>
  <si>
    <t>6787821</t>
  </si>
  <si>
    <t>DESITA NUR RACHMANIAR</t>
  </si>
  <si>
    <t>S1 Teknik Logistik (Kampus Surabaya)</t>
  </si>
  <si>
    <t>6784457</t>
  </si>
  <si>
    <t>GRANITA HAJAR</t>
  </si>
  <si>
    <t>LOVINA AMIL HASANAH (1105210002)</t>
  </si>
  <si>
    <t>RIRIS AINUR ROSIDAH (1105210006)</t>
  </si>
  <si>
    <t>300/LIT06/PPM-LIT/2024</t>
  </si>
  <si>
    <t>Deteksi Kantuk dan Peringatan untuk Driver</t>
  </si>
  <si>
    <t xml:space="preserve">VESSA RIZKY OKTAVIA </t>
  </si>
  <si>
    <t>WHISNUMURTY GALIH ANANTA (1203210002)</t>
  </si>
  <si>
    <t>EVAN HADI SUKURIYANTO (1203210016)</t>
  </si>
  <si>
    <t>MUHAMMAD PAKSI SATRIAWAN (1204210041)</t>
  </si>
  <si>
    <t>296/LIT06/PPM-LIT/2024</t>
  </si>
  <si>
    <t>Identifikasi Nomor Kontainer menggunakan AI berbasis mobile app dengan Studi Kasus PT Pelindo Peti Kemas</t>
  </si>
  <si>
    <t>Transportasi;Material Maju;Teknologi Informasi dan Komunikasi</t>
  </si>
  <si>
    <t xml:space="preserve">FIDI WINCOKO PUTRO </t>
  </si>
  <si>
    <t xml:space="preserve">ALQIS RAUSANFITA </t>
  </si>
  <si>
    <t>9;17</t>
  </si>
  <si>
    <t>FIRSTYATAMA AUZAN FARHADI (1203220009)</t>
  </si>
  <si>
    <t>MUHAMMAD IQBAL MAULANA (1203230066)</t>
  </si>
  <si>
    <t>E'EN AHMADAN YOGA WILANDA (1201222013)</t>
  </si>
  <si>
    <t>Prototype;proposal penelitian lanjutan untuk skema penelitian eksternal</t>
  </si>
  <si>
    <t>298/LIT06/PPM-LIT/2024</t>
  </si>
  <si>
    <t>Perancangan Antena Pengumpan Lensa untuk Inter-Site Link Millimeter Wave</t>
  </si>
  <si>
    <t xml:space="preserve">ARRIZKY AYU FARADILA PURNAMA </t>
  </si>
  <si>
    <t>FARIS JA</t>
  </si>
  <si>
    <t>GALUH WIDYA CAHYANINGTYAS (1101200006)</t>
  </si>
  <si>
    <t>DINDA APRILIA KASDA (1101203032)</t>
  </si>
  <si>
    <t>311/LIT06/PPM-LIT/2024</t>
  </si>
  <si>
    <t>Identifikasi Variable Siklus Hidup Baterai Electric Vehicle untuk Mendukung Sustainable Development Goals (SDGs) 7 dan 13 di Indonesia</t>
  </si>
  <si>
    <t>7;13</t>
  </si>
  <si>
    <t>RIZHA NURMILA HILDA (1104210089)</t>
  </si>
  <si>
    <t>MOHAMMAD ZAINUDIN MUBAROK (1104210037)</t>
  </si>
  <si>
    <t>NALA ROHMATUL UMMA (1104220165)</t>
  </si>
  <si>
    <t>285/LIT06/PPM-LIT/2024</t>
  </si>
  <si>
    <t>Automatic Task Provisioning and Routing for Automated Guided Vehicle (AGV) in Smart Factory</t>
  </si>
  <si>
    <t>Transportasi;Teknologi Informasi dan Komunikasi</t>
  </si>
  <si>
    <t xml:space="preserve">OKTAVIA AYU PERMATA </t>
  </si>
  <si>
    <t xml:space="preserve">BERNADUS ANGGO SENO AJI </t>
  </si>
  <si>
    <t>FIANDIO ADHI PRADHANA (1202192034)</t>
  </si>
  <si>
    <t>MUHAMMAD ANJAS ARDIANSYAH (1202210488)</t>
  </si>
  <si>
    <t>KWR4.042/LIT06/PPM-LIT/2024</t>
  </si>
  <si>
    <t>330/LIT06/PPM-LIT/2024</t>
  </si>
  <si>
    <t>Business Intelligence for Analyzing Sentiment of Academicians' Performance using CNN</t>
  </si>
  <si>
    <t>ROKHMATUL INSANI</t>
  </si>
  <si>
    <t>ALQIS RAUSANFITA</t>
  </si>
  <si>
    <t>HAWWIN MARDHIANA</t>
  </si>
  <si>
    <t>BI - signed.pdf</t>
  </si>
  <si>
    <t>331/LIT06/PPM-LIT/2024</t>
  </si>
  <si>
    <t>Instagram-Driven Influence Maximization on University Branding for Maximizing Prospective Students</t>
  </si>
  <si>
    <t>ANITA HAKIM NASUTION</t>
  </si>
  <si>
    <t>ALIFIANSYAH ARRIZQY HIDAYAT</t>
  </si>
  <si>
    <t>IM ok - signed.pdf</t>
  </si>
  <si>
    <t>329/LIT06/PPM-LIT/2024</t>
  </si>
  <si>
    <t>Deteksi dan Lokalisasi Frekuensi Acoustic Howling pada Sinyal Suara Percakapan Publik dengan Neural Network</t>
  </si>
  <si>
    <t>PANGESTU WIDODO</t>
  </si>
  <si>
    <t>Penelitian Mandiri - Pangestu Widodo - 2024 - telah disetujui KK.pdf</t>
  </si>
  <si>
    <t>046/LIT06/PPM-LIT/2025</t>
  </si>
  <si>
    <t>Rancang Bangun sistem monitoring gas oksigen dan karbondioksida berbasis Internet of Thing (IoT)</t>
  </si>
  <si>
    <t>Pertahanan dan Keamanan</t>
  </si>
  <si>
    <t>Universitas Telkom Kampus Surabaya</t>
  </si>
  <si>
    <t>4 (Terapan) - Komponen teknologi diintegrasikan dan diuji dalam lingkungan simulasi atau laboratorium.</t>
  </si>
  <si>
    <t>Penelitian Internal</t>
  </si>
  <si>
    <t>Indonesia</t>
  </si>
  <si>
    <t>Institusi Internal</t>
  </si>
  <si>
    <t>Direktorat Kampus Surabaya</t>
  </si>
  <si>
    <t>3 (Kehidupan Sehat dan Sejahtera)
9 (Industri, Inovasi dan Infrastruktur)
11 (Kota dan Permukiman yang Berkelanjutan)</t>
  </si>
  <si>
    <t>RANGGA ROOSPRATAMA  ARIF</t>
  </si>
  <si>
    <t>MUHAMMAD MA\'RUF FIRMANSYAH</t>
  </si>
  <si>
    <t>1 (Satu) Artikel ilmiah pada Jurnal Q1/Q2 terindeks Scopus/WoS</t>
  </si>
  <si>
    <t>024/LIT06/PPM-LIT/2026</t>
  </si>
  <si>
    <t>Identifikasi Penyakit Busuk Akar Pada Tanaman Melon Berdasarkan Volatile Organic Compound Menggunakan Electronic Nose Untuk Mendukung Pertanian Presisi</t>
  </si>
  <si>
    <t>3 (Dasar) - Fungsi dasar teknologi telah dibuktikan di lingkungan laboratorium.</t>
  </si>
  <si>
    <t>2 (Tanpa Kelaparan)
9 (Industri, Inovasi dan Infrastruktur)</t>
  </si>
  <si>
    <t>CISA VALENTINO CAHYA RAMADHANI</t>
  </si>
  <si>
    <t>AHSHA AISNA AL WAFI</t>
  </si>
  <si>
    <t>Optimalisasi Budidaya Anggur di Greenhouse Rooftop Telkom University Surabaya Menggunakan Sensor Tanah Terintegrasi Berbasis IoT dan ML</t>
  </si>
  <si>
    <t xml:space="preserve"> Teknoogi Informasi </t>
  </si>
  <si>
    <t>ANISA DZULKARNAIN</t>
  </si>
  <si>
    <t>055/LIT06/PPM-LIT/2025</t>
  </si>
  <si>
    <t>OpenAgri: Sistem Precision Agriculture Portabel Berbasis Wireless Sensor Network dan Artificial Intelligence untuk Optimasi Irigasi dan Nutrisi di Lahan Terbuka</t>
  </si>
  <si>
    <t>2 (Dasar) - Konsep teknologi awal didefinisikan dan aplikasi potensial mulai diidentifikasi.</t>
  </si>
  <si>
    <t xml:space="preserve"> Sistem Informasi   </t>
  </si>
  <si>
    <t>2 (Tanpa Kelaparan)
3 (Kehidupan Sehat dan Sejahtera)
12 (Konsumsi dan Produksi yang Bertanggung Jawab)</t>
  </si>
  <si>
    <t>STEVEN ANDRE GONASSIS</t>
  </si>
  <si>
    <t>ZAHWA FARAH ALBANI</t>
  </si>
  <si>
    <t>M. FAHMI ARYA MAULANA</t>
  </si>
  <si>
    <t>088/LIT06/PPM-LIT/2025</t>
  </si>
  <si>
    <t>Applying Spatio-Temporal Neural Network Methods for Accurate Intermittent Rainfall Forecasting</t>
  </si>
  <si>
    <t xml:space="preserve"> Data Sains </t>
  </si>
  <si>
    <t>9 (Industri, Inovasi dan Infrastruktur)
13 (Penanganan Perubahan Iklim)</t>
  </si>
  <si>
    <t>AURA AULIA ANASTASYA HADI PUTRI</t>
  </si>
  <si>
    <t>1 (Satu) Artikel ilmiah pada Jurnal Q3/Q4 terindeks Scopus/WoS</t>
  </si>
  <si>
    <t>096/LIT06/PPM-LIT/2026</t>
  </si>
  <si>
    <t>Aplikasi Deteksi Dini Penyakit Liver dengan Metode Hybrid Random Forest dan Support Vector Machine</t>
  </si>
  <si>
    <t>3 (Kehidupan Sehat dan Sejahtera)</t>
  </si>
  <si>
    <t>ALFONSUS YOGA DEWA SAPUTRA</t>
  </si>
  <si>
    <t>HARTITA WIRASTRI</t>
  </si>
  <si>
    <t>DWI LUTFI TAUFIQ IHSANI</t>
  </si>
  <si>
    <t>133/LIT06/PPM-LIT/2027</t>
  </si>
  <si>
    <t>Aplikasi Sistem Informasi Geografis untuk Analisis Klaster Time Series Curah Hujan di Indonesia dengan Metode Klaster Hirarkis dan Non-Hierarkis</t>
  </si>
  <si>
    <t>Kebencanaan</t>
  </si>
  <si>
    <t>FIDI WINCOKO PUTRO</t>
  </si>
  <si>
    <t xml:space="preserve"> Sains Data  </t>
  </si>
  <si>
    <t>ZIDAN IRFAN ZAKY</t>
  </si>
  <si>
    <t>354/LIT06/PPM-LIT/2027</t>
  </si>
  <si>
    <t>Pengembangan ERP dalam Manajemen Supply Chain: Mewujudkan Perencanaan Permintaan dan Proyeksi Penjualan yang Akurat</t>
  </si>
  <si>
    <t>Penelitian Kerja Sama Dalam Negeri</t>
  </si>
  <si>
    <t>1 (Dasar) - Konsep dasar dan prinsip-prinsip ilmiah baru mulai diidentifikasi.</t>
  </si>
  <si>
    <t>Internal dan Eksternal</t>
  </si>
  <si>
    <t>Institusi Internal dan Industri Dalam Negeri</t>
  </si>
  <si>
    <t>RIZKY FENALDO MAULANA</t>
  </si>
  <si>
    <t>RAULIA RISKI</t>
  </si>
  <si>
    <t xml:space="preserve"> Teknik Logistik </t>
  </si>
  <si>
    <t>9 (Industri, Inovasi dan Infrastruktur)</t>
  </si>
  <si>
    <t>FAKHRI ALAUDDIN</t>
  </si>
  <si>
    <t>FERRY OKTARIANSYAH</t>
  </si>
  <si>
    <t>STEPHANIE DEBORA ASSA</t>
  </si>
  <si>
    <t xml:space="preserve">1 (Satu) Artikel ilmiah pada International Conference Proceeding terindeks Scopus/WoS + MoA/PKS
</t>
  </si>
  <si>
    <t>083/LIT06/PPM-LIT/2029</t>
  </si>
  <si>
    <t>Ergonomics Design and Risk Management in Industries</t>
  </si>
  <si>
    <t>ILMA MUFIDAH</t>
  </si>
  <si>
    <t>3 (Kehidupan Sehat dan Sejahtera)
8 (Pekerjaan Layak dan Pertumbuhan Ekonomi)
9 (Industri, Inovasi dan Infrastruktur)</t>
  </si>
  <si>
    <t>NORMA NOVIKA</t>
  </si>
  <si>
    <t>FEBRIN CLAUDIA ANGELI</t>
  </si>
  <si>
    <t>CRESENTIA ARIESTA VERONIKA</t>
  </si>
  <si>
    <t>099/LIT06/PPM-LIT/2030</t>
  </si>
  <si>
    <t>Integrasi Teknologi Blockchain untuk Meningkatkan Ketertelusuran pada Rantai Pasok Minyak Sawit di Indonesia</t>
  </si>
  <si>
    <t>FARAH ZAKIYAH RAHMANTI</t>
  </si>
  <si>
    <t>8 (Pekerjaan Layak dan Pertumbuhan Ekonomi)
9 (Industri, Inovasi dan Infrastruktur)
12 (Konsumsi dan Produksi yang Bertanggung Jawab)</t>
  </si>
  <si>
    <t>RAFAEL CHRISTIAN MARBUN</t>
  </si>
  <si>
    <t>GHOZYAN HILMAN KURNIAWAN</t>
  </si>
  <si>
    <t>HANIF GUNTUR LAKSONO SENTOSA</t>
  </si>
  <si>
    <t>133/LIT06/PPM-LIT/2031</t>
  </si>
  <si>
    <t>Analisis Penerimaan Teknologi pada Penggantian Baterai Kendaraan Listrik mengunakan Model TRAM : Study Case Kota Surabaya.</t>
  </si>
  <si>
    <t>AYU ENDAH WAHYUNI</t>
  </si>
  <si>
    <t>MUHAMMAD UBAIDILLAH DHIA ULHAQ</t>
  </si>
  <si>
    <t>NILNA AGNIA</t>
  </si>
  <si>
    <t>MOHAMMAD NAUVAL DWI SAPUTRA</t>
  </si>
  <si>
    <t>129/LIT06/PPM-LIT/2032</t>
  </si>
  <si>
    <t>Prediksi Jurusan Perkuliahan menggunakan Federated Learning. Studi Case Telkom University Surabaya</t>
  </si>
  <si>
    <t>Sosial Humaniora, Pendidikan, Seni dan Budaya</t>
  </si>
  <si>
    <t xml:space="preserve"> Teknologi Informasi  </t>
  </si>
  <si>
    <t>4 (Pendidikan Berkualitas)
9 (Industri, Inovasi dan Infrastruktur)</t>
  </si>
  <si>
    <t>MICHAEL ANGELLO QADOSY RIYADI</t>
  </si>
  <si>
    <t>ELSA  AJENG PRATIWI</t>
  </si>
  <si>
    <t>137/LIT06/PPM-LIT/2033</t>
  </si>
  <si>
    <t>Model Pengendalian Persediaan Adaptif dengan Defect Predictive Analytics</t>
  </si>
  <si>
    <t>SULTHAN RAFIF</t>
  </si>
  <si>
    <t>LATHIFA PUTERI ASY\'ARI</t>
  </si>
  <si>
    <t>ARDINAL BENEDICK TANJUNG</t>
  </si>
  <si>
    <t>ALFI PURWANINGRUM</t>
  </si>
  <si>
    <t>145/LIT06/PPM-LIT/2034</t>
  </si>
  <si>
    <t>School Bus Route Optimization in Surabaya</t>
  </si>
  <si>
    <t>ABDUH SAYID ALBANA</t>
  </si>
  <si>
    <t>GISTI AYU PRATIWI</t>
  </si>
  <si>
    <t>11 (Kota dan Permukiman yang Berkelanjutan)
13 (Penanganan Perubahan Iklim)</t>
  </si>
  <si>
    <t>AISYAH DEWI</t>
  </si>
  <si>
    <t>MUHAMMAD KEVIN DHIYA UL HAQ</t>
  </si>
  <si>
    <t>PATRICK TIMOTIUS STEVENS</t>
  </si>
  <si>
    <t>126/LIT06/PPM-LIT/2035</t>
  </si>
  <si>
    <t>Klasifikasi Potensi Sekolah untuk Pengoptimalan Program Penerimaan Mahasiswa Baru dengan Machine Learning</t>
  </si>
  <si>
    <t xml:space="preserve"> Bisnis Digiatal </t>
  </si>
  <si>
    <t>4 (Pendidikan Berkualitas)
9 (Industri, Inovasi dan Infrastruktur)
17 (Kemitraan untuk Mencapai Tujuan)</t>
  </si>
  <si>
    <t>I MADE WISNU ADI SANJAYA</t>
  </si>
  <si>
    <t>AULIYA ARDHINI PUTRI</t>
  </si>
  <si>
    <t>046/LIT06/PPM-LIT/2036</t>
  </si>
  <si>
    <t>Perancangan Sistem Pengumpulan dan Pengelolaan Data Gait Berbasis MongoDB untuk Analisis dengan Visualisasi Interaktif</t>
  </si>
  <si>
    <t>RIZAL RAHMAN RIZKIKA</t>
  </si>
  <si>
    <t>AHMAD IHDA FALAH ANNUR</t>
  </si>
  <si>
    <t>MUHAMMAD ABDULLAH IKHSAN</t>
  </si>
  <si>
    <t>1 (Satu) Artikel ilmiah pada International Conference Proceeding terindeks Scopus/WoS</t>
  </si>
  <si>
    <t>046/LIT06/PPM-LIT/2037</t>
  </si>
  <si>
    <t>Pembangunan Platform Jaringan Kerja Untuk Penyandang Disabilitas Berbasis Web</t>
  </si>
  <si>
    <t>8 (Pekerjaan Layak dan Pertumbuhan Ekonomi)
10 (Berkurangnya Kesenjangan)</t>
  </si>
  <si>
    <t>HAIDAR FULCA KURNIAWAN</t>
  </si>
  <si>
    <t>NUEVALEN REFITRA ALSWANDO</t>
  </si>
  <si>
    <t>GENDHI RAMONA PRASTYO</t>
  </si>
  <si>
    <t>217/LIT06/PPM-LIT/2038</t>
  </si>
  <si>
    <t>Perencanaan dan peramalan kebutuhan air bersih dengan algoritma peramalan deep learning dalam rangka penguatan SDG ke 6 “clean water and sanitation”</t>
  </si>
  <si>
    <t>Pangan</t>
  </si>
  <si>
    <t>MASTUTY AYU NINGTYAS</t>
  </si>
  <si>
    <t>3 (Kehidupan Sehat dan Sejahtera)
6 (Air Bersih dan Sanitasi Layak)
7 (Energi Bersih dan Terjangkau)
9 (Industri, Inovasi dan Infrastruktur)
11 (Kota dan Permukiman yang Berkelanjutan)
12 (Konsumsi dan Produksi yang Bertanggung Jawab)
13 (Penanganan Perubahan Iklim)</t>
  </si>
  <si>
    <t>218/LIT06/PPM-LIT/2039</t>
  </si>
  <si>
    <t>Pengembangan sistem pengisian cepat baterai Lithium polymer pada sebuah robot fisioterapi</t>
  </si>
  <si>
    <t>6 (Terapan) - Sistem prototipe yang lengkap diuji dalam lingkungan yang relevan.</t>
  </si>
  <si>
    <t>CHAIRONI LATIF</t>
  </si>
  <si>
    <t>3 (Kehidupan Sehat dan Sejahtera)
9 (Industri, Inovasi dan Infrastruktur)</t>
  </si>
  <si>
    <t>ACHMAD SUBAYU</t>
  </si>
  <si>
    <t>NADYA NANDAYU JANNA</t>
  </si>
  <si>
    <t>DIO IFAN AULIYA</t>
  </si>
  <si>
    <t>223/LIT06/PPM-LIT/2040</t>
  </si>
  <si>
    <t>Klasifikasi Stadium Diabetic Retinopathy Menggunakan Hybrid Model Berbasis Deep Learning</t>
  </si>
  <si>
    <t>3 (Kehidupan Sehat dan Sejahtera)
10 (Berkurangnya Kesenjangan)</t>
  </si>
  <si>
    <t>RAMADINOV RIZKY FITRAHAQ</t>
  </si>
  <si>
    <t>JOHN TJANDRA UTOMO</t>
  </si>
  <si>
    <t>MOHAMMAD GIBRAN KHALILULLAH</t>
  </si>
  <si>
    <t>251/LIT06/PPM-LIT/2041</t>
  </si>
  <si>
    <t>Integrasi Data Analytics dalam Website Pelayanan Ekspor Provinsi Jawa Timur untuk Mendukung Pengambilan Keputusan</t>
  </si>
  <si>
    <t xml:space="preserve"> Bisnis Digital  </t>
  </si>
  <si>
    <t>9 (Industri, Inovasi dan Infrastruktur)
17 (Kemitraan untuk Mencapai Tujuan)</t>
  </si>
  <si>
    <t>NAJLA MAKASSAR</t>
  </si>
  <si>
    <t>NAJMA MAKASSAR</t>
  </si>
  <si>
    <t>290/LIT06/PPM-LIT/2042</t>
  </si>
  <si>
    <t>Rancang Bangun Perangkat Pendeteksi Arah Tembakan menggunakan Gelombang Suara</t>
  </si>
  <si>
    <t>MUHSIN</t>
  </si>
  <si>
    <t>RISDILAH MIMMA UNTSA</t>
  </si>
  <si>
    <t>9 (Industri, Inovasi dan Infrastruktur)
16 (Perdamaian, Keadilan dan Kelembagaan yang Tangguh)</t>
  </si>
  <si>
    <t>R. HEDI TABAH PRATAMA PUTRA</t>
  </si>
  <si>
    <t>FAJAR FEBRIO PUTRA NOVLYAWAN</t>
  </si>
  <si>
    <t>SYAHRU ROHMANA ADI</t>
  </si>
  <si>
    <t>291/LIT06/PPM-LIT/2043</t>
  </si>
  <si>
    <t>Pembangunan Aplikasi Untuk Registrasi Anjungan Pemeriksaan Kesehatan Mandiri Berbasis Progressive Web Apps</t>
  </si>
  <si>
    <t>5 (Terapan) - Teknologi diuji dalam lingkungan yang mirip dengan kondisi operasional sebenarnya.</t>
  </si>
  <si>
    <t xml:space="preserve"> Informatika   </t>
  </si>
  <si>
    <t>ANANDA BINTANG SAPUTRA</t>
  </si>
  <si>
    <t>326/LIT06/PPM-LIT/2044</t>
  </si>
  <si>
    <t>Monitoring dan analisis lalu lintas kendaraan dengan computer vision dan deep learning dalam rangka penguatan SDG ke 9 “industry, innovation and infrastructure”</t>
  </si>
  <si>
    <t>9 (Industri, Inovasi dan Infrastruktur)
11 (Kota dan Permukiman yang Berkelanjutan)</t>
  </si>
  <si>
    <t>SULTHONIKA MAHFUDZ AL MUJAHIDIN</t>
  </si>
  <si>
    <t>KEVIN IMANUEL SETIAWAN</t>
  </si>
  <si>
    <t>271/LIT06/PPM-LIT/2045</t>
  </si>
  <si>
    <t>Smart Vertigasi Pada Budidaya Melon</t>
  </si>
  <si>
    <t>AGUS SULISTYA</t>
  </si>
  <si>
    <t xml:space="preserve"> Sistem Informasi  </t>
  </si>
  <si>
    <t>SHINTA PUTRI NIRMALA</t>
  </si>
  <si>
    <t>NATANAEL WIJAYA TIONO</t>
  </si>
  <si>
    <t>FARANDIO AL-KHALID</t>
  </si>
  <si>
    <t>241/LIT06/PPM-LIT/2046</t>
  </si>
  <si>
    <t>Analisis InSilico berbasis Machine Learning untuk Prediksi Ligan Potensial pada Relasi Protein CISH Sebagai Treatment Meningitis</t>
  </si>
  <si>
    <t>324/LIT06/PPM-LIT/2047</t>
  </si>
  <si>
    <t>Pengembangan Sistem Otomasi Pemberian Pakan berbasis Machine Learning dan Iot untuk Prediksi Pola Konsumsi dan Produktivitas Ayam Petelur</t>
  </si>
  <si>
    <t>2 (Tanpa Kelaparan)
3 (Kehidupan Sehat dan Sejahtera)
9 (Industri, Inovasi dan Infrastruktur)
12 (Konsumsi dan Produksi yang Bertanggung Jawab)</t>
  </si>
  <si>
    <t>AYSAR FULCA SETYA PUTRA</t>
  </si>
  <si>
    <t>MUCHAMMAD RIZQI ANDREYANTO SYAPUTRA</t>
  </si>
  <si>
    <t>HAMMAM JAUHARUL KARIM</t>
  </si>
  <si>
    <t>257/LIT06/PPM-LIT/2048</t>
  </si>
  <si>
    <t>PERANCANGAN ANTENA SUBARRAY VERTIKAL BERBASIS MIKROSTRIP BERPENCATU SERI DENGAN JARAK DAN BENTUK TAK SERAGAM</t>
  </si>
  <si>
    <t>WAHYU HADI HUSODO</t>
  </si>
  <si>
    <t>233/LIT06/PPM-LIT/2049</t>
  </si>
  <si>
    <t>SMART METER UNTUK MENANGANI GANGGUAN TEGANGAN DAN SAKLAR OTOMATIS PENGHUBUNG JARINGAN LISTRIK</t>
  </si>
  <si>
    <t>Energi - Energi Baru dan Terbarukan</t>
  </si>
  <si>
    <t>7 (Energi Bersih dan Terjangkau)
9 (Industri, Inovasi dan Infrastruktur)
11 (Kota dan Permukiman yang Berkelanjutan)</t>
  </si>
  <si>
    <t>HERNADIMAS ALFATTAH</t>
  </si>
  <si>
    <t>YAYOUNG ZHEKA HARDYNARTA</t>
  </si>
  <si>
    <t>MUHAMMAD EVAN PERMANA</t>
  </si>
  <si>
    <t>259/LIT06/PPM-LIT/2050</t>
  </si>
  <si>
    <t>Aplikasi Deteksi Objek Berbasis Suara untuk Membantu Tunanetra Menghindari Ancaman Secara Real Time Menggunakan Deep Learning</t>
  </si>
  <si>
    <t>DEWI RAHMAWATI</t>
  </si>
  <si>
    <t>ARNI MUARIFAH AMRI</t>
  </si>
  <si>
    <t>DEVIT ERLINGGA ARAFIUDIN</t>
  </si>
  <si>
    <t>DIANDRA NABIL PUTRA CAHYONO</t>
  </si>
  <si>
    <t>MOCH. RICKY PRATAMA</t>
  </si>
  <si>
    <t>172/LIT06/PPM-LIT/2051</t>
  </si>
  <si>
    <t>Teknologi dan Industri 4.0 Koperasi di Indonesia Persepsi Gen-Z: Pemetaan Tipologi Kapabilitas Dinamis Skill Future Model Bisnis Digital</t>
  </si>
  <si>
    <t>ANGGUN DESTIWARDHANI</t>
  </si>
  <si>
    <t>JUZSI YULIA INSANI</t>
  </si>
  <si>
    <t>311/LIT06/PPM-LIT/2052</t>
  </si>
  <si>
    <t>Strategi Tecnology Talent Acqusition Melalui Employer Branding untuk Meningkatkan Preferensi Karir Gen-Z Di Koperasi Indonesia</t>
  </si>
  <si>
    <t>BAMBANG AGUS SUMANTRI</t>
  </si>
  <si>
    <t>8 (Pekerjaan Layak dan Pertumbuhan Ekonomi)</t>
  </si>
  <si>
    <t>RHEINA FAIRIZHAVIRA</t>
  </si>
  <si>
    <t>ADAM SATRIA NUGRAHA</t>
  </si>
  <si>
    <t>NAZHIF NABIL DIAB</t>
  </si>
  <si>
    <t>197/LIT06/PPM-LIT/2050</t>
  </si>
  <si>
    <t>Model Kinematika Gait berbasis Functional Data Analysis Kurva Gerakan Tungkai Bawah</t>
  </si>
  <si>
    <t xml:space="preserve"> HELISYAH NUR FADHILAH</t>
  </si>
  <si>
    <t>MEDILIADITA DWI DIMASTIA</t>
  </si>
  <si>
    <t>EKA PUTRI OKTAVIA</t>
  </si>
  <si>
    <t>ANNISA SALSABILA</t>
  </si>
  <si>
    <t>272/LIT06/PPM-LIT/2054</t>
  </si>
  <si>
    <t>Transformasi Digital UMKM Pengolahan Ikan: Strategi Blueprint Teknologi Informasi dalam penerapan Enterprise Resource Planning untuk mendukung SDG 8 dan SDG 9</t>
  </si>
  <si>
    <t>8 (Pekerjaan Layak dan Pertumbuhan Ekonomi)
9 (Industri, Inovasi dan Infrastruktur)</t>
  </si>
  <si>
    <t>ILLIYYIN AKBAR ARIYANTO</t>
  </si>
  <si>
    <t>MAHARANI FEBHI ATHA NINGRUM</t>
  </si>
  <si>
    <t>MUHAMMAD</t>
  </si>
  <si>
    <t>296/LIT06/PPM-LIT/2055</t>
  </si>
  <si>
    <t>Analisis Pengaruh Teknik Spread Spectrum pada Driver LED terhadap Lifetime Lampu LED Menggunakan Pendekatan Machine Learning</t>
  </si>
  <si>
    <t>MUHAMMAD RIZAL FIRMANSYAH</t>
  </si>
  <si>
    <t>PERTIWI SUSLIANI ARNOLDUS</t>
  </si>
  <si>
    <t>301/LIT06/PPM-LIT/2056</t>
  </si>
  <si>
    <t>Perancangan Sistem Komunikasi Vehicle to Vehicle (V2V) Berbasis Software Defined Radio</t>
  </si>
  <si>
    <t>HENDY BRIANTORO</t>
  </si>
  <si>
    <t>AGUNG FIRMANSYAH DJALIL</t>
  </si>
  <si>
    <t>NUR SALIM HIDAYATULLAH</t>
  </si>
  <si>
    <t>APRILIA INASENSIA MORUK</t>
  </si>
  <si>
    <t>Perancangan dan Implementasi Sistem Informasi Terpadu untuk Manajemen Penelitian dan Pengabdian Masyarakat di STAI Ali bin Abi Thalib</t>
  </si>
  <si>
    <t>4 (Pendidikan Berkualitas)
9 (Industri, Inovasi dan Infrastruktur)
16 (Perdamaian, Keadilan dan Kelembagaan yang Tangguh)</t>
  </si>
  <si>
    <t>MUHAMMAD RIZKY QOIRUL HUDA</t>
  </si>
  <si>
    <t>ANISA ULFADILAH</t>
  </si>
  <si>
    <t>Studi Kebutuhan dan Implementasi e-MedDis: Mesin Otomatis ATM Obat berbasis Elektronik</t>
  </si>
  <si>
    <t>KHARISMA MONIKA DIAN PERTIWI</t>
  </si>
  <si>
    <t>AZZAHRA RIZKI SULARDI TRISNAWATI</t>
  </si>
  <si>
    <t>TUHFAH FAIRUZIA ZAHIRAH RAMDHANI</t>
  </si>
  <si>
    <t>Perancangan Alat Bantu Komunikasi Darurat Pendaki menggunakan Lora dan IoT</t>
  </si>
  <si>
    <t>NILLA RACHMANINGRUM</t>
  </si>
  <si>
    <t>ANDI MUHAMMAD THARIQ FATHUR RACHMAN</t>
  </si>
  <si>
    <t>Dana yang Diusulkan</t>
  </si>
  <si>
    <t>Sinta ID PT</t>
  </si>
  <si>
    <t>Kode PT PDDikti</t>
  </si>
  <si>
    <t>Nama Member1</t>
  </si>
  <si>
    <t>DANA MEMBER 1</t>
  </si>
  <si>
    <t>Nama Member2</t>
  </si>
  <si>
    <t>DANA MEMBER 2</t>
  </si>
  <si>
    <t>Fakultas6</t>
  </si>
  <si>
    <t>PT7</t>
  </si>
  <si>
    <t>Nama Member3</t>
  </si>
  <si>
    <t>DANA MEMBER 3</t>
  </si>
  <si>
    <t>Fakultas9</t>
  </si>
  <si>
    <t>PT10</t>
  </si>
  <si>
    <t>DANA MEMBER 4</t>
  </si>
  <si>
    <t>Fakultas12</t>
  </si>
  <si>
    <t>PT13</t>
  </si>
  <si>
    <t>DANA MEMBER 5</t>
  </si>
  <si>
    <t>Fakultas15</t>
  </si>
  <si>
    <t>PT16</t>
  </si>
  <si>
    <t>Sinta ID Member6</t>
  </si>
  <si>
    <t>NIDN Member6</t>
  </si>
  <si>
    <t>Nama Member6</t>
  </si>
  <si>
    <t>DANA MEMBER 6</t>
  </si>
  <si>
    <t>Prodi17</t>
  </si>
  <si>
    <t>Fakultas18</t>
  </si>
  <si>
    <t>PT19</t>
  </si>
  <si>
    <t>Nama Mhs1</t>
  </si>
  <si>
    <t>Nama Mhs8</t>
  </si>
  <si>
    <t>Prodi Mhs8</t>
  </si>
  <si>
    <t>Publikasi Ilmiah</t>
  </si>
  <si>
    <t>Media Massa</t>
  </si>
  <si>
    <t>Produk / Jasa</t>
  </si>
  <si>
    <t>Capaian Publikasi Ilmiah</t>
  </si>
  <si>
    <t>Pertanyaan</t>
  </si>
  <si>
    <t>Jumlah PKM</t>
  </si>
  <si>
    <t>REK.024/ABDI3/PPM/III/2020</t>
  </si>
  <si>
    <t>Penerapan Teknologi Pakan Otomatis Bagi Peternak Ikan di Gresik</t>
  </si>
  <si>
    <t>Pengmas Dana Internal</t>
  </si>
  <si>
    <t>Institut Telknologi Telkom Surabaya</t>
  </si>
  <si>
    <t>Lora K. Amifia</t>
  </si>
  <si>
    <t>Jumlah Pengabdian kepada masyarakat yang didanai oleh industri nasional</t>
  </si>
  <si>
    <t>IPTEK BAGI MASYARAKAT BUDI DAYA IKAN DI BUDURAN SIDOARJO JAWTA TIMUR</t>
  </si>
  <si>
    <t>jumlah Pengabdian kepada masyarakat yang didanai oleh non-industri nasional/kementrian</t>
  </si>
  <si>
    <t>Count of Sumber Dana</t>
  </si>
  <si>
    <t>Workshop on using Braille Embosser and Text Editor Software for the Blind and Visual Impairment Students</t>
  </si>
  <si>
    <t>Pengmas penugasan</t>
  </si>
  <si>
    <t>Pembedayaan Difabel</t>
  </si>
  <si>
    <t>jumlah Pengabdian kepada masyarakat yang didanai oleh instansi/lembaga asing/luar negeri</t>
  </si>
  <si>
    <t>CDC Telkom</t>
  </si>
  <si>
    <t>Upaya Penanganan Wabah COVID-19 Terhadap Komunitas Tunarungu di Kota Surabaya</t>
  </si>
  <si>
    <t>jumlah kerjasama non-profit di bidang pengabdian kepada masyarakat</t>
  </si>
  <si>
    <t>Pentingnya APD (faceshield) untuk Masyarakat dan UKM</t>
  </si>
  <si>
    <t>Mohammad Abyan Seifa</t>
  </si>
  <si>
    <t xml:space="preserve">Gilang Ahmad Ramadhani Akbar </t>
  </si>
  <si>
    <t>Publikasi Media Massa Online</t>
  </si>
  <si>
    <t>Jurnal submitted, artikel media massa publish</t>
  </si>
  <si>
    <t>jumlah rata-rata dana pengabdian kepada masyarakat per dosen per tahun</t>
  </si>
  <si>
    <t>Kemendiktisaintek</t>
  </si>
  <si>
    <t>jumlah pendanaan pengabdian kepada masyarakat pada bidang seni budaya</t>
  </si>
  <si>
    <t>Kemenristek Dikti</t>
  </si>
  <si>
    <t>REK.091/ABDI1/REK/III/2021</t>
  </si>
  <si>
    <t>1025/ABDI1/LPPM/III/2021</t>
  </si>
  <si>
    <t>Peningkatan Pengawasan Pengunjung Wisata Pasir Putih Dalegan di Masa Pandemi Covid19 dengan Aplikasi Pendeteksi Jarak Berbasis Kecerdasan Buatan</t>
  </si>
  <si>
    <t>pkm reguler</t>
  </si>
  <si>
    <t>INDUSTRI KREATIF DAN PENGEMBANGAN TEKNOLOGI MAJU</t>
  </si>
  <si>
    <t>Pengmas Kompetitif Internal</t>
  </si>
  <si>
    <t>Auliya Rahman Pakarti</t>
  </si>
  <si>
    <t>Edo Handoko</t>
  </si>
  <si>
    <t>Publikasi Media Massa Nasional</t>
  </si>
  <si>
    <t>Produk TTG Aplikasi Deteksi Jarak</t>
  </si>
  <si>
    <t>jumlah pendanaan pengabdian kepada masyarakat pada proyek-proyek kemasyarakatan</t>
  </si>
  <si>
    <t>1027/ABDI1/LPPM/III/2021</t>
  </si>
  <si>
    <t>Implementasi Metode Rebranding Pada Produk Hasil Urban Farming Masyarakat Lokal di Masa Pandemi</t>
  </si>
  <si>
    <t>PEMBERDAYAAN DESA/WILAYAH BINAAN</t>
  </si>
  <si>
    <t>MUHAMMAD ALFAIRUS HIDAYATULLAH</t>
  </si>
  <si>
    <t>INES MULIA NURDIANA</t>
  </si>
  <si>
    <t>PUTRI AMELIA FEBRIANTI</t>
  </si>
  <si>
    <t>Jurnal Internal</t>
  </si>
  <si>
    <t>Peningkatan Pemberdayaan Mitra</t>
  </si>
  <si>
    <t>Accepted, online</t>
  </si>
  <si>
    <t>PT.POS INDONESIA</t>
  </si>
  <si>
    <t>1028/ABDI1/LPPM/III/2021</t>
  </si>
  <si>
    <t>Rancang Workbench Ergonomis untuk mendukung aktivitas bank sampah</t>
  </si>
  <si>
    <t>ANDHICO WIRYATAMA</t>
  </si>
  <si>
    <t>HENDRAWAN ISWIDODO</t>
  </si>
  <si>
    <t>Video Kegiatan</t>
  </si>
  <si>
    <t>1029/ABDI1/LPPM/III/2021</t>
  </si>
  <si>
    <t>PKM Peningkatan Branding dan Optimalisasi Manajemen Usaha Pada UKM Handy Craft Az-Zahra, Desa Gubeng, Surabaya</t>
  </si>
  <si>
    <t>Farhan Hadi Pratama</t>
  </si>
  <si>
    <t>Prosiding Seminar Nasional ber-ISBN.
Jurnal Nasional Terakreditasi Sinta 3
JURNAL PENGABDIAN KEPADA MASYARAKAT</t>
  </si>
  <si>
    <t>Peningkatan Pemberdayaan Mitra
Peningkatan signifikan</t>
  </si>
  <si>
    <t>Submitted, Published, Peningkatan Signifikan</t>
  </si>
  <si>
    <t>1032/ABDI1/LPPM/III/2021</t>
  </si>
  <si>
    <t>Pengendali Tingkat Keasaman Air Kolam Untuk Peternak Ikan Lele di Desa Jatirejo, Mojokerto</t>
  </si>
  <si>
    <t>ANAK AGUNG KUSUMA JAYA NINGRAT</t>
  </si>
  <si>
    <t xml:space="preserve">JESICA F NURA </t>
  </si>
  <si>
    <t>Produk TTG</t>
  </si>
  <si>
    <t>Submitted, published, berfungsi dan telah diserahterimakan</t>
  </si>
  <si>
    <t>1033/ABDI1/LPPM/III/2021</t>
  </si>
  <si>
    <t>Pemanfaatan Teknologi Sonar untuk Membantu Nelayan Kedung Cowek, Kec.Bulak</t>
  </si>
  <si>
    <t>Bryan Birzha Marsono</t>
  </si>
  <si>
    <t>Galuh Widya</t>
  </si>
  <si>
    <t>Miscbachul Munir</t>
  </si>
  <si>
    <t>1035/ABDI1/LPPM/III/2021</t>
  </si>
  <si>
    <t>Pendayagunaan IT untuk Branding Kampung Ondomohen Sebagai Wisata Edukasi 3R (Reduce, Reuse, dan Recycle)</t>
  </si>
  <si>
    <t>Thania Anindillah Putri</t>
  </si>
  <si>
    <t>1030/ABDI1/LPPM/III/2021</t>
  </si>
  <si>
    <t>Sosialisasi Penggunaan "Fingerprint" dan Database untuk Absensi Guru di Yayasan Natanisha, Sekolah Anak Berkebutuhan Khusus "AGCA"</t>
  </si>
  <si>
    <t>Media massa published</t>
  </si>
  <si>
    <t>Jurnal Pengabdian</t>
  </si>
  <si>
    <t>1026/ABDI1/LPPM/III/2021</t>
  </si>
  <si>
    <t>PKM SIM Apotek untuk Pengelolaan Data Jual Beli pada Apotek Amel Mojokerto</t>
  </si>
  <si>
    <t>ALFONSUS NATHANAEL DAMAR PRISTIANTIO</t>
  </si>
  <si>
    <t>M. IQBAL HAFIDZ</t>
  </si>
  <si>
    <t>MUHAMMAD DAFFA ADIYATMA YUSUF</t>
  </si>
  <si>
    <t>Jurnal submitted</t>
  </si>
  <si>
    <t>1036/ABDI1/LPPM/III/2021</t>
  </si>
  <si>
    <t>Sterillisasi Sayur buah Pada Koperasi Hita Loka Tara menggunakan UV Light untuk Meningkatkan Kualitas Produk Hasil Panen Hidroponik dan Buah</t>
  </si>
  <si>
    <t>pkm berbasis penelitian</t>
  </si>
  <si>
    <t>Video publish youtube, published media massa, pelatihan penggunaan alat</t>
  </si>
  <si>
    <t>International Conference</t>
  </si>
  <si>
    <t>1037/ABDI1/LPPM/III/2021</t>
  </si>
  <si>
    <t>Pemasaran Online Produk Nasi Tiwul di Kabupaten Malang</t>
  </si>
  <si>
    <t>Jurnal published, published media massa</t>
  </si>
  <si>
    <t>REK.092/ABDI1/REK/III/2021</t>
  </si>
  <si>
    <t>1054/ABDI1/LPPM/III/2021</t>
  </si>
  <si>
    <t>Peningkatan kapasitas Desa ngeni dengan Penerangan jalan Umum Tenaga Surya dan Pelatihan Keterampilan Teknologi ICT</t>
  </si>
  <si>
    <t>pkm Penugasan</t>
  </si>
  <si>
    <t>Legowo Budi Prasodjo</t>
  </si>
  <si>
    <t>Nurina Devi Aprilliastuti</t>
  </si>
  <si>
    <t>Ilham Akbar Maulana</t>
  </si>
  <si>
    <t>Jurnal submitted, publish media massa, PJU</t>
  </si>
  <si>
    <t>REK.119/ABDI1/REK/V/2021</t>
  </si>
  <si>
    <t>1276/ABDI1/LPPM/III/2021</t>
  </si>
  <si>
    <t>Sosialisasi dan Training Crane Pemulasaran Jenazah secara Terpadu di Rumah Sakit Pendidikan Universitas Airlangga Surabaya</t>
  </si>
  <si>
    <t>Insani Sabilillah</t>
  </si>
  <si>
    <t>Meita Betania</t>
  </si>
  <si>
    <t>1277/ABDI1/LPPM/III/2021</t>
  </si>
  <si>
    <t>Sosialisasi dan Training Crane Pemulasaran Jenazah secara Terpadu di Rumah Sakit Umum Daerah Sidoarjo</t>
  </si>
  <si>
    <t>Rokmatul Insani</t>
  </si>
  <si>
    <t>Nabilla Adinna Cahyani</t>
  </si>
  <si>
    <t>Edriand Imens Raygrandi</t>
  </si>
  <si>
    <t>1278/ABDI1/LPPM/III/2021</t>
  </si>
  <si>
    <t>Sosialisasi dan Training Crane Pemulasaran Jenazah secara Terpadu di Dinas Kesehatan Kabupaten Gresik</t>
  </si>
  <si>
    <t>Benazir Imam Arif M</t>
  </si>
  <si>
    <t>M. MIFTAHUL ABIDIN</t>
  </si>
  <si>
    <t>IRFANSAH W.</t>
  </si>
  <si>
    <t>Pelatihan penggunaan mesin braille embosser dengan fitur voice di Balai Literasi Braille Indonesia Abiyoso</t>
  </si>
  <si>
    <t>Media massa tayang, produk TTG sudah terpasang</t>
  </si>
  <si>
    <t>1821/ABDI1/LPPM/VI/2021</t>
  </si>
  <si>
    <t>Sosialisasi Crane Pemulasaraan Jenazah di RS Aisyiyah Kudus</t>
  </si>
  <si>
    <t>Febri Purnama Putri</t>
  </si>
  <si>
    <t>REK.087/SAM4/REK/III/2021</t>
  </si>
  <si>
    <t>Pengembangan industri dan wisata edukasi Kampung Pintar Suroboyo melalui Penerapan Teknologi Minim Kontak dengan Pendekatan Berbasis Kerakyatan</t>
  </si>
  <si>
    <t>Hibah BiMA Pemberdayaan Berbasis Masyarakat</t>
  </si>
  <si>
    <t>REK.150/SAM4/REK/VIII/2021</t>
  </si>
  <si>
    <t>1381/ABDI1/LPPM/III/2021</t>
  </si>
  <si>
    <t>Pengembangan Computerized Maintenance Management System di RSUD Tongas</t>
  </si>
  <si>
    <t xml:space="preserve">
0727048809</t>
  </si>
  <si>
    <t>Dimas Mahendra Budi Santosa</t>
  </si>
  <si>
    <t>Publish 5 jurnal, produk android</t>
  </si>
  <si>
    <t>1382/ABDI1/LPPM/III/2021</t>
  </si>
  <si>
    <t>Pelatihan Software Simulasi Livewire untuk Siswa SMK Telkom Cirebon Secara Online untuk Meningkatkan Sinergi antara Lembaga dibawah Yayasan Pendidikan Telkom</t>
  </si>
  <si>
    <t>Publish video youtube</t>
  </si>
  <si>
    <t>Implementasi Green Marketing pada Produk Urban Farming UMKM Lokal</t>
  </si>
  <si>
    <t>pkm Mandiri</t>
  </si>
  <si>
    <t>Fidelian Adinda Syafani</t>
  </si>
  <si>
    <t>Muhammad Miftahul Abidin</t>
  </si>
  <si>
    <t>Haifa Puji Rahayuningsih</t>
  </si>
  <si>
    <t>Ni Wayan Ditapramesti</t>
  </si>
  <si>
    <t>Muchammad Dzulfikar Alfani</t>
  </si>
  <si>
    <t>Media massa sudah terbit, kemasan baru ramah lingkungan</t>
  </si>
  <si>
    <t>1822/ABDI1/LPPM/VIII/2021</t>
  </si>
  <si>
    <t>Website Usaha Ice Tube (Kenning Ice Tube) untuk Menunjang Pemasaran di Dunia Digital</t>
  </si>
  <si>
    <t>Rully Rosady</t>
  </si>
  <si>
    <t>Mochamad Fajar Nofriyandri</t>
  </si>
  <si>
    <t>Annisa Ainin Fadilah</t>
  </si>
  <si>
    <t>Nabila Nur Amalia</t>
  </si>
  <si>
    <t>Berliana Amelia Ariyanti Zein</t>
  </si>
  <si>
    <t>Video Kegiatan, Publikasi Media Internal</t>
  </si>
  <si>
    <t>Publikasi online</t>
  </si>
  <si>
    <t>Website UMKM</t>
  </si>
  <si>
    <t>Dapat diakses</t>
  </si>
  <si>
    <t>1823/ABDI1/LPPM/VIII/2021</t>
  </si>
  <si>
    <t>Tanda Tangan Elektronik Berbasis QR Code untuk Mempermudah Perizinan pada Masa Pandemi di Kantor Kecamatan Bulak Surabaya</t>
  </si>
  <si>
    <t>Publikasi Media Internal</t>
  </si>
  <si>
    <t>REDI (Rebranding dan Digitalisasi Pemasaran UMKM Mahda Collection)</t>
  </si>
  <si>
    <t>Deny Satria Ardi</t>
  </si>
  <si>
    <t>Alfito De Vega Mayavanny</t>
  </si>
  <si>
    <t>Densa Tanzild Widyawantara D</t>
  </si>
  <si>
    <t>Naufal Ammar Badri</t>
  </si>
  <si>
    <t>Jurnal Accepted, video online, logo dan produk terlaksana</t>
  </si>
  <si>
    <t xml:space="preserve">Implementasi E-Marketing dengan Memanfaatkan E-Commerce dan Social Media dalam Transformasi Strategi Pemasaran untuk Urban Farming pada UMKM Lokal </t>
  </si>
  <si>
    <t>Muhammad Faiq Farhan Rajwa</t>
  </si>
  <si>
    <t>Yudith IqbalDika Permana</t>
  </si>
  <si>
    <t>Annisa Rahma Ayuningtyas</t>
  </si>
  <si>
    <t>Emi Damayanti</t>
  </si>
  <si>
    <t>Zara Hawiningrum</t>
  </si>
  <si>
    <t>Nurul Hikmah Wildyansya</t>
  </si>
  <si>
    <t>Publikasi sudah terbit, e-commerce &amp; social media account untuk mitra</t>
  </si>
  <si>
    <t>Rebranding Produk pada UMKM Ukusno Stemboat untuk Memperluas Area Pemasaran Saat Kondisi Pandemi COVID-19</t>
  </si>
  <si>
    <t>Adela Dewi Fortuna</t>
  </si>
  <si>
    <t>Jurnal Accepted, video online, peningkatan besar pemberdayaan mitra</t>
  </si>
  <si>
    <t>1824/ABDI1/LPPM/VIII/2021</t>
  </si>
  <si>
    <t>Bersihkan Hati dengan Berbagi, Kembangkan Masyarakat dari Faktor Ekonomi pada Bubur Ayam Teteh Lina</t>
  </si>
  <si>
    <t>Aisyah Pinky Marshanda</t>
  </si>
  <si>
    <t>Beivenly Andrea Jayadiva S</t>
  </si>
  <si>
    <t>Rahayu Nur Rochmah</t>
  </si>
  <si>
    <t>Video online</t>
  </si>
  <si>
    <t>Pembuatan Sistem Pengarsipan Posyandu Dinoyo Berbasis Website</t>
  </si>
  <si>
    <t>Akbar Tiar Afta Prabowo</t>
  </si>
  <si>
    <t>Andhika Muhammad Prabowo</t>
  </si>
  <si>
    <t>Kuncoro Manik Dharma Putra</t>
  </si>
  <si>
    <t>Anggara Widan Striawan</t>
  </si>
  <si>
    <t>Thomas Adi  Kusuma</t>
  </si>
  <si>
    <t>Diana Puspita</t>
  </si>
  <si>
    <t>Jurnal accepted, video online, produk website</t>
  </si>
  <si>
    <t>Media massa</t>
  </si>
  <si>
    <t>REK.022/SAM4/REK/II/2021</t>
  </si>
  <si>
    <t>Sistem Sterilisasi Udara pada Ruangan Tertutup Berbasis IOT</t>
  </si>
  <si>
    <t>Hibah Ayo Bikin Nyata (ABN)</t>
  </si>
  <si>
    <t>REK. 220/SAM4/REK/X/2021</t>
  </si>
  <si>
    <t>Perancangan Mesin Pengering Rumpur Laut (Part of Smart Aquaculture Monitoring and Control System) untuk budidaya Rumput Laut di Kampung Rumput Laut Dusun Tanjungsari, Kabupaten Sidoarjo, Provinsi Jawa Timur</t>
  </si>
  <si>
    <t>pkm kerjasama</t>
  </si>
  <si>
    <t>REK.070/ABDI1/REK/II/2022</t>
  </si>
  <si>
    <t>385/ABDI1/LPPM/II/2022</t>
  </si>
  <si>
    <t>Sistem Pengawasan Kualitas Air Tambak Budidaya Lobster Untuk Meningkatkan Perkembangbiakan Lobster Berbasis IoT Sebagai Upaya Pengembangan Pusat Riset UMKM Budidaya Lebster di Jawa Timur</t>
  </si>
  <si>
    <t>Pengmas Berbasis Penelitian</t>
  </si>
  <si>
    <t>INDUSTRI KREATIF DAN PENERAPAN TEKNOLOGI MAJU</t>
  </si>
  <si>
    <t>Prosiding Internasional (ICAITI)</t>
  </si>
  <si>
    <t>386/ABDI1/LPPM/II/2022</t>
  </si>
  <si>
    <t>Taufiqur Rahman</t>
  </si>
  <si>
    <t>Elma Saskia Mawardi</t>
  </si>
  <si>
    <t>Informatika, FTIB, ITTelkom Surabaya</t>
  </si>
  <si>
    <t>Daniel Dabra Pasongli</t>
  </si>
  <si>
    <t>Jurnal Published</t>
  </si>
  <si>
    <t>387/ABDI1/LPPM/II/2022</t>
  </si>
  <si>
    <t>Optimalisasi Panel Surya sebagai Pembangkit Listrik Alternatif untuk Meleyani Kebutuhan Listrik Masyarakat Kampung Oase Ondomohen</t>
  </si>
  <si>
    <t>PEMBERDAYAAN DESA ATAU WILAYAH BINAAN</t>
  </si>
  <si>
    <t>Tiur Imanuela Ayu Larasati Wibowo</t>
  </si>
  <si>
    <t>Jurnal published, publikasi media massa online, produk finished</t>
  </si>
  <si>
    <t>388/ABDI1/LPPM/II/2022</t>
  </si>
  <si>
    <t>Pembuatan Sistem Manajemen Aset Wakaf Untuk Yayasan Al-Manar 1989 Babatan Pilang Wiyung Surabaya</t>
  </si>
  <si>
    <t>389/ABDI1/LPPM/II/2022</t>
  </si>
  <si>
    <t>Pendampingan Penyusunan Pembukuan Dan Laporan Keuangan Untuk UKM Di Kota Surabaya</t>
  </si>
  <si>
    <t>Publikasi published, produk finished</t>
  </si>
  <si>
    <t>390/ABDI1/LPPM/II/2022</t>
  </si>
  <si>
    <t>Pengembangan Wisata Kampung Hijau Dan Pengelolahan Sampah Makanan Warga Untuk Budidaya Magot Menjadi Pakan Ikan Di Kampung Ondomohen Magersari Surabaya</t>
  </si>
  <si>
    <t>Silvi Prastiwi</t>
  </si>
  <si>
    <t>Jurnal Published, Video kegiatan dan media massa published, peningkatan keterampilan mitra</t>
  </si>
  <si>
    <t>391/ABDI1/LPPM/II/2022</t>
  </si>
  <si>
    <t>PKM Aplikasi Bergerak Untuk Pemesanan Air Minum Isi Ulang Pada Depo Bahagia</t>
  </si>
  <si>
    <t>Jurnal published, publikasi media massa published</t>
  </si>
  <si>
    <t>392/ABDI1/LPPM/II/2022</t>
  </si>
  <si>
    <t>Pelatihan Online Streaming Pengajian Bagi Pengurus Langgar Al-Qodir</t>
  </si>
  <si>
    <t>Muhammad Nafi Udin</t>
  </si>
  <si>
    <t>Video dokumentasi</t>
  </si>
  <si>
    <t>393/ABDI1/LPPM/II/2022</t>
  </si>
  <si>
    <t>Pemanfaatan Teknologi Smart Farming Untuk Meningkatkan Efisiensi Budidaya Janur Di Kelompok Tani Elok Mekar Sari Surabaya</t>
  </si>
  <si>
    <t>Rizky Maulana Syafi' Zamhari</t>
  </si>
  <si>
    <t>Syammas Muhyiddin</t>
  </si>
  <si>
    <t>Jurnal published, Media massa published</t>
  </si>
  <si>
    <t>394/ABDI1/LPPM/II/2022</t>
  </si>
  <si>
    <t>Pemanfaatan Teknologi Gelombang Bunyi Sebagai Salah Satu Alternatif Penambahan Hotspot Berkumpulnya Ikan Bagi Nelayan Pesisir Pantai Kenjeran, Kota Surabaya</t>
  </si>
  <si>
    <t>Akhir pelunasan: TW II, Publikasi published, produk finished</t>
  </si>
  <si>
    <t>395/ABDI1/LPPM/II/2022</t>
  </si>
  <si>
    <t>Pengembangan Aplikasi Penjualan Dan Proyek Pada Koperasi Pegawai Institut Teknologi Telkom Hita Loka Tara</t>
  </si>
  <si>
    <t>Mochammad Ihza Rizky Karim</t>
  </si>
  <si>
    <t>396/ABDI1/LPPM/II/2022</t>
  </si>
  <si>
    <t>Pelatihan Implementasi Green Marketing Dan Digital Marketing Memanfaatkan Social Media dan E- Comerce Untuk UMKM</t>
  </si>
  <si>
    <t>Jenny Ghifrina Putri S.</t>
  </si>
  <si>
    <t>M. Ghouzul A'Dhom</t>
  </si>
  <si>
    <t>Vagnes Angela F.</t>
  </si>
  <si>
    <t>Jurnal published, Publikasi published</t>
  </si>
  <si>
    <t>397/ABDI1/LPPM/II/2022</t>
  </si>
  <si>
    <t>PKM EYED ( EDUCATION YOUTH OF ENTREPRENEURS) PROGRAM PEMANFAATAN IT UNTUK MENINGKATKAN PRODUKTIF DAN EKONOMI MASYARAKAT DI SEPANJANG ASRI PASKA PANDEMI COVID-19</t>
  </si>
  <si>
    <t>Rizki Afifatus Sa'diyah</t>
  </si>
  <si>
    <t>M Dawud Emerulloh</t>
  </si>
  <si>
    <t>Jurnal published, media massa published, peningkatan mitra</t>
  </si>
  <si>
    <t>398/ABDI1/LPPM/II/2022</t>
  </si>
  <si>
    <t>Penerapan QRcode Pada Sistem Digitalisasi Produk Dan Hasil Inovasi Dan Tanaman Di Kampung Oase Odomohen</t>
  </si>
  <si>
    <t>Nauvaldy Virgiawan</t>
  </si>
  <si>
    <t>Akhir pelunasan: April 2023, minggu 2. submit ulang</t>
  </si>
  <si>
    <t>399/ABDI1/LPPM/II/2022</t>
  </si>
  <si>
    <t>Strategi Peningkatan Pemasaran dan Penjualan Produk Olahan Buah Mangrove Melalui Pembuatan Website</t>
  </si>
  <si>
    <t>Ari Candra Rahmanaga</t>
  </si>
  <si>
    <t>Aliffianto Nur Huda</t>
  </si>
  <si>
    <t>Akhir pelunasan: TW III, Publikasi published</t>
  </si>
  <si>
    <t>Pelatihan Pengembangan Inovasi Bisnis Digital Berbasis Web Untuk Meningkatkan Daya Saing SMK Di Jatim</t>
  </si>
  <si>
    <t>Jurnal published</t>
  </si>
  <si>
    <t>925/ABDI1/LPPM/VII/2022</t>
  </si>
  <si>
    <t>Pembentukan Kelompok Usaha dan Strategi Branding untuk Membentuk Identitas Brand</t>
  </si>
  <si>
    <t>Lovina Amil Hasanah</t>
  </si>
  <si>
    <t>Muhammad Farhan Abdillah Sholeh</t>
  </si>
  <si>
    <t>REK.124/ABDI1/REK/VII/2022</t>
  </si>
  <si>
    <t>926/ABDI1/LPPM/VII/2022</t>
  </si>
  <si>
    <t>Pelatihan Pemanfaatan Fintech Lending Dan Payment pada UMKM</t>
  </si>
  <si>
    <t>Achmad Yanu Alif Fianto</t>
  </si>
  <si>
    <t>Gadis Artha Mevia Eka Agusty</t>
  </si>
  <si>
    <t>Nada’ Alfi Nabila</t>
  </si>
  <si>
    <t>Tsabita Imtiyaz</t>
  </si>
  <si>
    <t>Jurnal published, media massa published, ekosistem fintech berkelanjutan</t>
  </si>
  <si>
    <t>927/ABDI1/LPPM/VII/2022</t>
  </si>
  <si>
    <t>Pengembangan Kampung Wisata Edukasi dengan Penerapan Teknologi dan Pemberdayaan Masyarakat Di Kampoeng Songo Surabaya</t>
  </si>
  <si>
    <t>928/ABDI1/LPPM/VII/2022</t>
  </si>
  <si>
    <t>Pengembangan WebProfile pada Usaha Furniture Surabaya (Studi Kasus UD. Rozi Rohmad)</t>
  </si>
  <si>
    <t>929/ABDI1/LPPM/VII/2022</t>
  </si>
  <si>
    <t>Literasi Adopsi Digital Berbasis Teknologi Informasi Secara Tepat Guna pada Sekolah Menengah Atas untuk Meningkatkan Kualitas Pembelajaran</t>
  </si>
  <si>
    <t xml:space="preserve">Ridho Rahmattullah </t>
  </si>
  <si>
    <t>Jurnal published, published media massa dan video youtube</t>
  </si>
  <si>
    <t>930/ABDI1/LPPM/VII/2022</t>
  </si>
  <si>
    <t>Penyusunan Kriteria Kepuasan Pelanggan pada Kelompok Usaha Bareng Raya</t>
  </si>
  <si>
    <t>Mochamad Basofi</t>
  </si>
  <si>
    <t>ANNISA'UL BAROROH</t>
  </si>
  <si>
    <t>Kuisioner Kepuasan Pelanggan</t>
  </si>
  <si>
    <t>931/ABDI1/LPPM/VII/2022</t>
  </si>
  <si>
    <t>Pelatihan Branding dan Corporate Identity Berbasis Aplikasi Pada UMKM</t>
  </si>
  <si>
    <t>Reinardus Andoni</t>
  </si>
  <si>
    <t>Jurnal published, publikasi media massa published, perubahan brand identity</t>
  </si>
  <si>
    <t>932/ABDI1/LPPM/VII/2022</t>
  </si>
  <si>
    <t>Instalasi dan Pelatihan Aplikasi Sister di STAI Ali bin Abi Thalib Surabaya</t>
  </si>
  <si>
    <t xml:space="preserve">6802117    </t>
  </si>
  <si>
    <t>Arini Pramesta S</t>
  </si>
  <si>
    <t>Cahyo Saputra</t>
  </si>
  <si>
    <t>Ghaly Pramdudya Adhi Mukti</t>
  </si>
  <si>
    <t>Published media massa dan video youtube</t>
  </si>
  <si>
    <t>Manajemen Perubahan dengan ADKAR Model untuk Penerapan Good University Governance Melalui Pembuatan Enterprise Architecture di Sekolah Tinggi Agama Islam Ali Bin Abi Thalib</t>
  </si>
  <si>
    <t>Nabil Maulana Ramadhan</t>
  </si>
  <si>
    <t>Integrated Management Library System (IMAGIN), Pengembangan Perpustakaan ITTelkom Surabaya Terintegrasi Berbasis Web</t>
  </si>
  <si>
    <t>Denny Daffa Rizalky</t>
  </si>
  <si>
    <t>Akhir pelunasan: 16 Juni 2023, submit ulang</t>
  </si>
  <si>
    <t>935/ABDI1/LPPM/VII/2022</t>
  </si>
  <si>
    <t>Ayudia Nur Rahmadina</t>
  </si>
  <si>
    <t>Farhan Nanda Prihambudi</t>
  </si>
  <si>
    <t>Akhir pelunasan: TW II, submit ulang  , Publikasih publisehd, facebook pemberdayaan mitra</t>
  </si>
  <si>
    <t>936/ABDI1/LPPM/VII/2022</t>
  </si>
  <si>
    <t>Pendampingan Perizinan Usaha Melalui Online Single Submission Risk-Based Approach</t>
  </si>
  <si>
    <t>ANGEL BR TARIGAN</t>
  </si>
  <si>
    <t>WINALDA RISKY FEBRIYANTI</t>
  </si>
  <si>
    <t>FEBRIAN FARDA HASDIKIYAH</t>
  </si>
  <si>
    <t>Jurnal published, video published</t>
  </si>
  <si>
    <t>INOVASI PROTOTYPE E-MOTORCYCLE UNTUK MEMBANTU OPERASIONAL TELKOM AKSES</t>
  </si>
  <si>
    <t>Hibah CDC</t>
  </si>
  <si>
    <t>Oka IbrahimPutra Wijaya</t>
  </si>
  <si>
    <t>Wal Asri: Akselerasi Pemberdayaan Remaja Masjid Berbasis Digital Learning Space Guna Menyiapkan Generasi yang berAKHLAK di Era Transformasi Digital</t>
  </si>
  <si>
    <t>Siti Zainatur Rahmah</t>
  </si>
  <si>
    <t>Pengembangan Panel Surya Untuk Penerapan Hidroponik dan Lampu Penerangan Wisata Kuliner dan Budidaya Ikan Berbasis Internet of Things di Kampung Oase Ondomohen</t>
  </si>
  <si>
    <t>REK. 117/PNLT1/REK/VI/2022</t>
  </si>
  <si>
    <t>842/ABDI1/LPPM/VI/2022</t>
  </si>
  <si>
    <t>Peningkatan Produksi Arang Briket Melalui Otomatisasi Mesin dan Penguatan Branding Pada Kelompok Masyarakat di Kampung Oase Ondomohen Surabaya</t>
  </si>
  <si>
    <t>Multidisiplin dan Lintas Sektoral</t>
  </si>
  <si>
    <t>Pengembangan Sistem Otomasi Hidroponik berbasis Internet of Things Sebagai Upaya Ketahanan Pangan dan Objek Wisata Edukasi Kampung Songo Simomulyo Baru, Surabaya</t>
  </si>
  <si>
    <t>DEK.101/PPM2/DEK-TI/IX/2022</t>
  </si>
  <si>
    <t>899/ABDI1/DEK-TI/IX/2022</t>
  </si>
  <si>
    <t>Pelatihan Literasi TIK Untuk Guru PAUD PPT Kemuning Surabaya</t>
  </si>
  <si>
    <t>Pengmas Penugasan Fakultas</t>
  </si>
  <si>
    <t>Pengmas Penugasan</t>
  </si>
  <si>
    <t>submitted</t>
  </si>
  <si>
    <t>Modul Pelatihan</t>
  </si>
  <si>
    <t>terpenuhi</t>
  </si>
  <si>
    <t>REK. 259/ABDI1/REK/IX/2022</t>
  </si>
  <si>
    <t>1273/ABDI1/LPPM/XI/2023</t>
  </si>
  <si>
    <t>Destilasi Air Sumur Asin dengan Charging Battery-Solar Panel Berbasis IoT</t>
  </si>
  <si>
    <t>Pengmas Kerjasama</t>
  </si>
  <si>
    <t>Rizqy Athiyya Nafi'atus</t>
  </si>
  <si>
    <t>1274/ABDI1/LPPM/XI/2023</t>
  </si>
  <si>
    <t>Rekayasa Digitalisasi Pertanian Hidroponik BUMDES Mutiara Timur Untuk Mengontrol Kualitas Air Berbasis IoT Guna Mencapai Desa Kedungdalem yang Digital dan Mandiri</t>
  </si>
  <si>
    <t>Evan Hadi Syukuriyanto</t>
  </si>
  <si>
    <t>1275/ABDI1/LPPM/XI/2023</t>
  </si>
  <si>
    <t>Penggunaan Teknologi Smart Farmin Untuk Meningkatkan Efisiensi Budidaya Jamur Kelompok Tani Elok Mekar Sari Surabaya</t>
  </si>
  <si>
    <t>Leonardo Krisna Gita Dharmawan</t>
  </si>
  <si>
    <t>Ardhya Ramadani</t>
  </si>
  <si>
    <t>Jessica Theodora</t>
  </si>
  <si>
    <t>REK. 025/ABDI1/REK/II/2023</t>
  </si>
  <si>
    <t>146/ABDI1/LPPM/II/2023</t>
  </si>
  <si>
    <t>PENGEMBANGAN SARANA PROMOSI DAN PEMASARAN DIGITAL PADA PT. ADAM DJAYA TEKNIK MELALUI OPTIMASI DIGITAL BUSINESS</t>
  </si>
  <si>
    <t>Industri Kreatif dan Penerapan Teknologi Maju</t>
  </si>
  <si>
    <t>PKM KOMPETITIF INTERNAL</t>
  </si>
  <si>
    <t>YULIA WAHYU NINGSIH</t>
  </si>
  <si>
    <t>ARINI PRAMESTA SETYANINGTITAH</t>
  </si>
  <si>
    <t>ADITIYA TARUNA SEPTIAN WIBOWO</t>
  </si>
  <si>
    <t>Jurnal Nasional Ber-ISSN</t>
  </si>
  <si>
    <t xml:space="preserve"> Jurnal Accepted </t>
  </si>
  <si>
    <t>147/ABDI1/LPPM/II/2023</t>
  </si>
  <si>
    <t>DIGITALISASI USAHA MIKRO, KECIL, DAN MENENGAH (UMKM) DI KAMPUNG CINCAU, SURABAYA</t>
  </si>
  <si>
    <t>Pemberdayaan Desa/WIlayah Binaan</t>
  </si>
  <si>
    <t xml:space="preserve">Yohanes Setiawan </t>
  </si>
  <si>
    <t>MUHAMMAD ANJAS ARDIANSYAH</t>
  </si>
  <si>
    <t>MACHFUD ICHSAN KHOIRUDIN</t>
  </si>
  <si>
    <t>MUHAMMAD RASHID SYAPUTRA</t>
  </si>
  <si>
    <t>Jurnal accepted, publikasi media massa published</t>
  </si>
  <si>
    <t>Video kegiatan sudah dipost di youtube prodi</t>
  </si>
  <si>
    <t>Video Kegiatan Pengabdian Kepada Masyarakat</t>
  </si>
  <si>
    <t>148/ABDI1/LPPM/II/2023</t>
  </si>
  <si>
    <t>PENGEMBANGAN APLIKASI PENGELOLAAN DATA POTENSI DAN SUMBER KESEJAHTERAAN SOSIAL PROVINSI JAWA TIMUR (E-PSKS JATIM)</t>
  </si>
  <si>
    <t>BAGUS CAHYO SULISTIYO</t>
  </si>
  <si>
    <t>CHRISDION ANDREW RAMAPUTRA</t>
  </si>
  <si>
    <t xml:space="preserve">ARCADIUS OBAJA NAARIE </t>
  </si>
  <si>
    <t>Jurnal Submitted, publikasi media massa published, aplikasi E-PSKS Jatim</t>
  </si>
  <si>
    <t>149/ABDI1/LPPM/II/2023</t>
  </si>
  <si>
    <t>IMPLEMENTASI APLIKASI ADMINISTRASI DOKUMEN KEPEGAWAIAN DI PT. ANUGRAH LAUT INDONESIA</t>
  </si>
  <si>
    <t>DAMASYA INE LARISA</t>
  </si>
  <si>
    <t>Rekayasa Perangkat Lunak, FTIB, ITTS</t>
  </si>
  <si>
    <t>RYAN ADI SAPUTRA</t>
  </si>
  <si>
    <t>Media Massa Eksternal, Media Massa Mitra</t>
  </si>
  <si>
    <t>Publised Jurnal Nasional S4</t>
  </si>
  <si>
    <t>150/ABDI1/LPPM/II/2023</t>
  </si>
  <si>
    <t>PELATIHAN DAN SOSIALISASI IMPLEMENTASI HALAL SUPPLY CHAIN MANAGEMENT PADA INDUSTRI PENGOLAHAN MAKANAN</t>
  </si>
  <si>
    <t xml:space="preserve">SAID AZIZ LUTHFIANSYAH BUFTHEIM </t>
  </si>
  <si>
    <t xml:space="preserve">BETSYEDA FREA ANUARITA </t>
  </si>
  <si>
    <t>RAHMALIA NURHALISSA</t>
  </si>
  <si>
    <t>publikasi media massa published</t>
  </si>
  <si>
    <t>PROSIDING INTERNASIONAL</t>
  </si>
  <si>
    <t>151/ABDI1/LPPM/II/2023</t>
  </si>
  <si>
    <t>SOSIALISASI DAN PELATIHAN PEMBUATAN DESAIN KEMASAN PRODUK MINUMAN UMKM 'KAMPUNG KRANGGAN GANG V</t>
  </si>
  <si>
    <t>SASOTYA RIGAN RAFSANJANA</t>
  </si>
  <si>
    <t xml:space="preserve">TINEKE SANDRA WISESHA </t>
  </si>
  <si>
    <t>152/ABDI1/LPPM/II/2023</t>
  </si>
  <si>
    <t>PELATIHAN PENINGKATAN KUALITAS DAN EFEKTIVITAS DAKWAH ONLINE BAGI UNIT KEGIATAN KEROHANIAN ISLAM AL HABSYI</t>
  </si>
  <si>
    <t xml:space="preserve">AHMAD NURDIYANSYAH LUTHFI SALAM </t>
  </si>
  <si>
    <t>154/ABDI1/LPPM/II/2023</t>
  </si>
  <si>
    <t>IMPLEMENTASI SMART FISH POND BERBASIS IOT UNTUK BUDIDAYA IKAN LELE DI KELOMPOK TANI ELOK MEKAR SARI</t>
  </si>
  <si>
    <t>MUHAMMAD ARYA DUTA ATHALA AKBAR</t>
  </si>
  <si>
    <t xml:space="preserve">VIDIRA ANINDITA RAMYA </t>
  </si>
  <si>
    <t>INTAN ANGGREITA SONIA PUTER</t>
  </si>
  <si>
    <t>155/ABDI1/LPPM/II/2023</t>
  </si>
  <si>
    <t>PELATIHAN PROGRAM RE-BRANDING, BRAND AWARENESS DAN DIGITALISASI MARKETING PADA UMKM PKK KELURAHAN SEDATI GEDE</t>
  </si>
  <si>
    <t>6727245</t>
  </si>
  <si>
    <t>DAVID NAKA NUGROHO MUSTAKIM</t>
  </si>
  <si>
    <t xml:space="preserve">MUHAMMAD ZUBAIDILAH AMIN </t>
  </si>
  <si>
    <t>Jurnal accepted, publikasi video posted</t>
  </si>
  <si>
    <t>156/ABDI1/LPPM/II/2023</t>
  </si>
  <si>
    <t>PENGEMBANGAN WEB DIREKTORI DIGITAL UKM BINAAN TELKOM WITEL SURABAYA SELATAN</t>
  </si>
  <si>
    <t xml:space="preserve">IRMA JAUZALIA MAHESWARI </t>
  </si>
  <si>
    <t xml:space="preserve">RIZKI PUTRA DARMAWAN SUTRISNO </t>
  </si>
  <si>
    <t xml:space="preserve">IHDAFAUZIYAH </t>
  </si>
  <si>
    <t>Publikasi Media Massa Nasional dan Video Kegiatan</t>
  </si>
  <si>
    <t>153/ABDI1/LPPM/II/2023</t>
  </si>
  <si>
    <t>PEMBUATAN MODUL DAN PELATIHAN RANGKAIAN LISTRIK (SERI-PARALEL) SEBAGAI PENUNJANG MATA PELAJARAN IPA DI SMP AL ISLAH SURABAYA</t>
  </si>
  <si>
    <t>FIRMAN AHMAD MAULANA</t>
  </si>
  <si>
    <t xml:space="preserve">MUHAMAD DAFFA ROMADHONI </t>
  </si>
  <si>
    <t>JE'IZZA ALYA NABILA</t>
  </si>
  <si>
    <t>157/ABDI1/LPPM/II/2023</t>
  </si>
  <si>
    <t>RANCANG BANGUN SISTEM INFORMASI TPQ AL-MUBAAROK BERBASIS DESKTOP</t>
  </si>
  <si>
    <t>Infomatika, FTIB, ITTS</t>
  </si>
  <si>
    <t>FENDI VIRGIANSYAH</t>
  </si>
  <si>
    <t>Artikel Media Massa</t>
  </si>
  <si>
    <t>publikasi media massa published,</t>
  </si>
  <si>
    <t>Video Dokumentasi</t>
  </si>
  <si>
    <t>video published di youtube prodi</t>
  </si>
  <si>
    <t>160/ABDI1/LPPM/II/2023</t>
  </si>
  <si>
    <t>158/ABDI1/LPPM/II/2023</t>
  </si>
  <si>
    <t>IRDANI SUKMA ARDIHANTOKO</t>
  </si>
  <si>
    <t>MUJAHIDIN SYAMIL KAFFAH</t>
  </si>
  <si>
    <t>Publish jurnal ISSN dan media massa</t>
  </si>
  <si>
    <t>159/ABDI1/LPPM/II/2023</t>
  </si>
  <si>
    <t>PELATIHAN OPTIMALISASI SISTEM INFORMASI SEBAGAI MEDIA STRATEGIS DI SEKTOR PETERNAKAN TELUR BEBEK</t>
  </si>
  <si>
    <t>DINDA FERNANDA HARSONO PUTRI</t>
  </si>
  <si>
    <t>YUNI QORIAH VERDIANA</t>
  </si>
  <si>
    <t>RHEYNANSYA TABRIZ TAJJ HAURAVIN AL KANZA</t>
  </si>
  <si>
    <t>Jurnal published S3, Publikasi media massa published</t>
  </si>
  <si>
    <t>145/ABDI1/LPPM/II/2023</t>
  </si>
  <si>
    <t>EVALUASI DAN PENGEMBANGAN TATA KELOLA TEKNOLOGI INFORMASI PADA LEMBAGA AMIL ZAKAT NASIONAL</t>
  </si>
  <si>
    <t>YUVENS ANGGITO</t>
  </si>
  <si>
    <t xml:space="preserve">WAHID YASIN </t>
  </si>
  <si>
    <t>HENDRIK HERMAWAN</t>
  </si>
  <si>
    <t>Laporan Audit dan Tata Kelola Teknologi Informasi</t>
  </si>
  <si>
    <t>REK. 011/SAM4/REK/1/2023</t>
  </si>
  <si>
    <t>ALat Pemanggil IkaN (Electronic Fish Attractor) "ALPIN" Pemanfaatan Teknologi Electronic Fish Attractor berbasis IoT Nirkabel dalam meningkatkan efisiensi Nelayan Kelurahan Kedung Cowet, Kecamatan Bulak, Surabaya, Jawa Timur</t>
  </si>
  <si>
    <t>Oktavian Rizki Putra
Hermawan</t>
  </si>
  <si>
    <t>Regina Salsabilla
Maharani_x000D_</t>
  </si>
  <si>
    <t>Qaanitah Salwa W</t>
  </si>
  <si>
    <t>REK. 097/ABDI3/REK/VII/2023</t>
  </si>
  <si>
    <t>651/ABDI3/LPPM/VII/2023</t>
  </si>
  <si>
    <t>tematik - Green
Economy</t>
  </si>
  <si>
    <t>Pemberdayaan Berbasis Masyarakat</t>
  </si>
  <si>
    <t>Teknik
Komputer</t>
  </si>
  <si>
    <t>AHMAD HABIBI</t>
  </si>
  <si>
    <t>ALDO JUAN
WIDODO</t>
  </si>
  <si>
    <t>MOCH FIKRY
FATHUL YAQIN</t>
  </si>
  <si>
    <t>YASHMINE MELA
ARDIANTO</t>
  </si>
  <si>
    <t>Jurnal Nasional Ber ISSN</t>
  </si>
  <si>
    <t>Artikel di media massa dan video pelaksanaan kegiatan</t>
  </si>
  <si>
    <t>Peningkatan jenis produk mitra_x000D_</t>
  </si>
  <si>
    <t>652/ABDI3/LPPM/VII/2023</t>
  </si>
  <si>
    <t>Penerapan Smart Urban Farming dan Pengelolaan Sampah Organik</t>
  </si>
  <si>
    <t>rirn - Teknologi
Informasi dan
Komunikasi_x000D_</t>
  </si>
  <si>
    <t xml:space="preserve">Aulia Rahma Annisa
</t>
  </si>
  <si>
    <t xml:space="preserve">Lora Khaula Amifia
</t>
  </si>
  <si>
    <t>MUHAMAD
DAFFA
ROMADHONI</t>
  </si>
  <si>
    <t>YOSEFAN ALFEUS
BAYUAJI</t>
  </si>
  <si>
    <t>Peningkatanketerampilan mitra</t>
  </si>
  <si>
    <t>REK. 117/ABDI1/REK/VIII/2023</t>
  </si>
  <si>
    <t>756/ABDI1/LPPM/VIII/2023</t>
  </si>
  <si>
    <t>Pengembangan Website Profiling Qori dan Imam Masjid pada Al-Barra Studio</t>
  </si>
  <si>
    <t>Pengmas Reguler</t>
  </si>
  <si>
    <t xml:space="preserve">Jurnal Nasional Ber-ISSN (Submitted);                         </t>
  </si>
  <si>
    <t>Publikasi Media Massa: 2; Video Kegiatan</t>
  </si>
  <si>
    <t xml:space="preserve">Website Profile dan Pelatihan Penggunaan Web </t>
  </si>
  <si>
    <t>757/ABDI1/LPPM/VIII/2023</t>
  </si>
  <si>
    <t>Pengembangan Sistem Informasi Manajemen Perpustakaan SMA Negeri 13 Surabaya (PUSGALAS) Berbasis Web</t>
  </si>
  <si>
    <t>Jurnal Nasional Ber-ISSN (Submitted)</t>
  </si>
  <si>
    <t xml:space="preserve">Produk TTG     </t>
  </si>
  <si>
    <t>758/ABDI1/LPPM/VIII/2023</t>
  </si>
  <si>
    <t>PKM Pembuatan Website pada Forum Komunikasi Astronom Amatir Lintas Jawa Timur (FOKALIS JATIM)</t>
  </si>
  <si>
    <t xml:space="preserve"> Publikasi Media Massa: 2; Video Kegiatan</t>
  </si>
  <si>
    <t>Produk TTG ; Website Komunitas</t>
  </si>
  <si>
    <t>759/ABDI1/LPPM/VIII/2023</t>
  </si>
  <si>
    <t>Website Pengungkap Berbagai Modus Penipuan Digital Untuk Meningkatkan Kesadaran Masyarakat Surabaya</t>
  </si>
  <si>
    <t xml:space="preserve"> Mochamad Nizar Palefi Ma'ady</t>
  </si>
  <si>
    <t xml:space="preserve">Rosyid Abdillah </t>
  </si>
  <si>
    <t xml:space="preserve">Prosiding Seminar Nasional (Submitted)                      </t>
  </si>
  <si>
    <t xml:space="preserve"> Publikasi Media Massa:2 ; Video Kegiatan</t>
  </si>
  <si>
    <t>Produk Website</t>
  </si>
  <si>
    <t>published</t>
  </si>
  <si>
    <t>760/ABDI1/LPPM/VIII/2023</t>
  </si>
  <si>
    <t>Deseminasi Sistem Stand Alone Hidroponik Berbasis Tenaga Surya dan Pelatihan Penjualan Hasil Hidroponik di Kampung Wisata Edukasi Kampung Songo</t>
  </si>
  <si>
    <t xml:space="preserve">Jurnal Nasional Ber-ISSN (Submitted)                                        </t>
  </si>
  <si>
    <t>Publikasi Media Massa: 2;Video Kegiatan</t>
  </si>
  <si>
    <t xml:space="preserve"> Produk TTG Website</t>
  </si>
  <si>
    <t>761/ABDI1/LPPM/VIII/2023</t>
  </si>
  <si>
    <t>Peningkatan Awarness Keilmuan Elektro dan Logistik pada Siswa SMA melalui Pelatihan Mikrokontroller dan TIK untuk Menghadapi Persaingan Pada Dunia Industri 4.0</t>
  </si>
  <si>
    <t>Jurnal Nasional Ber-ISSN (Publish ABDINE )</t>
  </si>
  <si>
    <t>Publikasi Media Massa: 2; Video Kegiatan;</t>
  </si>
  <si>
    <t xml:space="preserve"> Jasa Peningkatan Pemberdayaan Mitra Awarness Keilmuan Elektro dan Logistic Meningkat</t>
  </si>
  <si>
    <t>762/ABDI1/LPPM/VIII/2023</t>
  </si>
  <si>
    <t>Pengembangan Sarana Promosi dan Pemasaran Digital pada Surabaya Desain Center</t>
  </si>
  <si>
    <t xml:space="preserve">Jurnal Nasional Ber-ISSN (Submitted)                    </t>
  </si>
  <si>
    <t xml:space="preserve">Publikasi Media Massa: 2; Video Kegiatan; </t>
  </si>
  <si>
    <t>Produk TTG Website</t>
  </si>
  <si>
    <t>763/ABDI1/LPPM/VIII/2023</t>
  </si>
  <si>
    <t>Pengenalan dan Pelatihan Tata Kelola SI/TI pada PT. Hidynamix Mitra Solusindo sebagai upaya Peningkatan Competitive Advantage di Era Transformasi Digital</t>
  </si>
  <si>
    <t xml:space="preserve">Jurnal Nasional Ber-ISSN (Published)                  </t>
  </si>
  <si>
    <t xml:space="preserve"> Publikasi Media Massa: 2;Video Kegiatan;   </t>
  </si>
  <si>
    <t>Draft</t>
  </si>
  <si>
    <t>764/ABDI1/LPPM/VIII/2023</t>
  </si>
  <si>
    <t>Program Re-Branding sebagai Sarana Penciptaan Brand Awareness pada Produk UMKM PKK Kelurahan Sedati Gede</t>
  </si>
  <si>
    <t xml:space="preserve">Jurnal Nasional Ber-ISSN (Sinta 5)                   </t>
  </si>
  <si>
    <t xml:space="preserve"> Publikasi Media Massa: 2;Video Kegiatan;  </t>
  </si>
  <si>
    <t>Jasa Pemberdayaan Mitra</t>
  </si>
  <si>
    <t>765/ABDI1/LPPM/VIII/2023</t>
  </si>
  <si>
    <t>Pelatihan Program Re-Branding, Brand Awareness, dan Digitalisasi Marketing pada Aneka Industri dan Kerajinan Kecil Menengah Surabaya</t>
  </si>
  <si>
    <t xml:space="preserve">Jurnal Nasional Terakreditasi  </t>
  </si>
  <si>
    <t xml:space="preserve"> Publikasi Media Massa: 2; Video Kegiatan;                    </t>
  </si>
  <si>
    <t>766/ABDI1/LPPM/VIII/2023</t>
  </si>
  <si>
    <t>Sosialisasi dan Implementasi Sistem Informasi Kampung Tangguh (SIKAT)</t>
  </si>
  <si>
    <t xml:space="preserve"> Fidi Wincoko Putro </t>
  </si>
  <si>
    <t xml:space="preserve">Jurnal Nasional Ber-ISSN (Accepted)        </t>
  </si>
  <si>
    <t>REK. 092/ABDI1/REK/VII/2023</t>
  </si>
  <si>
    <t>628/ABDI1/LPPM/VII/2023</t>
  </si>
  <si>
    <t>Kelas Pengenalan dan Pembuatan Produk Kekinian</t>
  </si>
  <si>
    <t>pengmas Penugasan</t>
  </si>
  <si>
    <t>PKM PENUGASAN INTERNAL</t>
  </si>
  <si>
    <t>629/ABDI1/LPPM/VII/2023</t>
  </si>
  <si>
    <t>Pengenalan Dasar Konsep Internet of Things dan Implementasinya kepada Masyarakat SMA/SMK di Surabaya</t>
  </si>
  <si>
    <t xml:space="preserve"> Susijanto Tri Rasmana</t>
  </si>
  <si>
    <t>630/ABDI1/LPPM/VII/2023</t>
  </si>
  <si>
    <t>Social Media Analysis Training Sebagai Sarana Persiapan Menghadapi Era Digital</t>
  </si>
  <si>
    <t>631/ABDI1/LPPM/VII/2023</t>
  </si>
  <si>
    <t>Mengenal Bahaya Sekitar untuk Bekerja Lebih Produktif</t>
  </si>
  <si>
    <t>Mitigasi dan Ketangguhan Bencana</t>
  </si>
  <si>
    <t xml:space="preserve">Perdana Suteja Putra </t>
  </si>
  <si>
    <t>REK. 165/ABDI1/REK/IX/2023</t>
  </si>
  <si>
    <t>1102/ABDI1/LPPM/IX/2023</t>
  </si>
  <si>
    <t>Program Pelatihan Software MathCAD Untuk Penunjang Pembelajaran</t>
  </si>
  <si>
    <t>6680643</t>
  </si>
  <si>
    <t>Pinkkan Alisia Audria Fadillah</t>
  </si>
  <si>
    <t>Herdiana Febrianti</t>
  </si>
  <si>
    <t>1103/ABDI1/LPPM/IX/2023</t>
  </si>
  <si>
    <t>Workshop Pemanfaatan Google Workspace dan Excel Basic Analysis Function untuk Pengolahan Data Kuisioner</t>
  </si>
  <si>
    <t>Putri Dwi Indah Rahmawati</t>
  </si>
  <si>
    <t>Fasya Mazaya</t>
  </si>
  <si>
    <t>Media Online</t>
  </si>
  <si>
    <t>Modul Presentasi</t>
  </si>
  <si>
    <t>Pembuatan Sistem Penyedia Air dengan Pompa Air Listrik Tenaga Surya Untuk Perumahan di Sentani Papua dalam Rangka Sustainable Development Goals (SDGs)</t>
  </si>
  <si>
    <t xml:space="preserve"> Rp 372.392.900</t>
  </si>
  <si>
    <t>PKM KERJASAMA</t>
  </si>
  <si>
    <t>REK.259_ABDI1_REK_XII_2023</t>
  </si>
  <si>
    <t>Implementasi PLTS di Sekolah Menengah Pertama di Kabupaten Puncak Jaya, Provinsi Papua Tengah</t>
  </si>
  <si>
    <t>REK.259_ABDI1_REK_XII_2024</t>
  </si>
  <si>
    <t>Implementasi 3 Unit Charging Station di Kota jayapura, Papua</t>
  </si>
  <si>
    <t>REK.259_ABDI1_REK_XII_2025</t>
  </si>
  <si>
    <t>Implementasi PLTS di Sekolah Menengah Atas di Kabupaten Puncak Jaya, Provinsi Papua Tengah</t>
  </si>
  <si>
    <t>REK.259_ABDI1_REK_XII_2026</t>
  </si>
  <si>
    <t>Implementasi Charging Station di Kabupaten Yakuhimo, Papua Pegunungan</t>
  </si>
  <si>
    <t>REK.259_ABDI1_REK_XII_2027</t>
  </si>
  <si>
    <t>Implementasi 60 Unit PLTS pada RSUD Oksibil, Puncak Jaya, Papua Pegunungan</t>
  </si>
  <si>
    <t>REK.259_ABDI1_REK_XII_2028</t>
  </si>
  <si>
    <t>Implementasi 3 Unit Charging Station di Kabupaten Puncak Jaya, Papua Pegunungan</t>
  </si>
  <si>
    <t>REK.259_ABDI1_REK_XII_2029</t>
  </si>
  <si>
    <t xml:space="preserve"> Implementasi 3 Unit Charging Station di Kabupaten Tolikara, Papua Pegunungan</t>
  </si>
  <si>
    <t>04/INNOV4/TLKM/2023</t>
  </si>
  <si>
    <t>SEAWIT: SISTEM KENDALI KADAR pH dan SALINITAS BERBASIS IOT UNTUK BUDIDAYA RUMPUT LAUT PADA TAMBAK TANJUNGSARI</t>
  </si>
  <si>
    <t>Innovillage</t>
  </si>
  <si>
    <t>Perancangan Alat Sterilisasi Untuk Meningkatkan Kualitas Produksi Susu Sapi Di Peternakan Sapi Perah Tasli Milk</t>
  </si>
  <si>
    <t>Perancangan Sistem IoT dan Aplikasi Mobile “Halo Mama” untuk Monitoring Ibu Hamil guna Pencegahan Risiko Melahirkan Bayi Stunting</t>
  </si>
  <si>
    <t>Pembuatan Iot dan Perancangan Website “Connect Pediatrics” Untuk Monitoring Kesehatan Balita pada Posyandu</t>
  </si>
  <si>
    <t>Penerapan Intelligent Organic Waste Transformation (Inorwat) pada Bank Sampah Gerakan Kendali Sampah Untuk Mengolah Sampah Organik Berbasis IoT</t>
  </si>
  <si>
    <t>Valentino Cisa</t>
  </si>
  <si>
    <t>Berlian Amelia Zain</t>
  </si>
  <si>
    <t>PENERAPAN IOT BEBAS HAMA BERBASIS GELOMBANG ULTRASONIK - FARMSENTINEL</t>
  </si>
  <si>
    <t>KWR4.063/ABD04/PPM-JPM/2024</t>
  </si>
  <si>
    <t>0339/ABD07/PPM-JPM/2024</t>
  </si>
  <si>
    <t>PEMBUATAN MODUL DAN WORKSHOP TEKNIK FOTO PRODUK  UNTUK OPTIMALISASI KONTEN DIGITAL MARKETING PADA UMKM BINAAN TELKOM CDC</t>
  </si>
  <si>
    <t>Sosial Humaniora</t>
  </si>
  <si>
    <t>ADISYA RESTI RAHMADANTI</t>
  </si>
  <si>
    <t>0727019901</t>
  </si>
  <si>
    <t>'0708128901</t>
  </si>
  <si>
    <t>KWR4.063/ABD04/PPM-JPM/2025</t>
  </si>
  <si>
    <t>0321/ABD07/PPM-JPM/2024</t>
  </si>
  <si>
    <t>APLIKASI DASHBOARD MONITORING USAHA MIKRO KECIL MENENGAH, LAYANAN, PENGADUAN MASYRAKAT DESA PANJUNAN, KEC.DUDUKSAMPEYAN, KOTA GRESIK</t>
  </si>
  <si>
    <t>TIK</t>
  </si>
  <si>
    <t>KWR4.063/ABD04/PPM-JPM/2026</t>
  </si>
  <si>
    <t>0337/ABD07/PPM-JPM/2024</t>
  </si>
  <si>
    <t>PENGEMBANGAN WEBSITE PENGUNGKAP MODUS PENIPUAN DIGITAL BERBENTUK VISUAL DAN CROWDSOURCING</t>
  </si>
  <si>
    <t>MOCHAMAD NIZAR PALEFI MA'ADY</t>
  </si>
  <si>
    <t>KWR4.063/ABD04/PPM-JPM/2027</t>
  </si>
  <si>
    <t>0320/ABD07/PPM-JPM/2024</t>
  </si>
  <si>
    <t>PEMBUATAN WEBSITE PENGADUAN LAYANAN ADMINISTRASI KEPENDUDUKAN DI DESA PANJUNAN</t>
  </si>
  <si>
    <t>0340/ABD07/PPM-JPM/2024</t>
  </si>
  <si>
    <t>PELATIHAN APLIKASI KOMPUTER UNTUK MENINGKATKAN BRAND AWARENESS TELKOM UNIVERSITY SURABAYA</t>
  </si>
  <si>
    <t>0323/ABD07/PPM-JPM/2024</t>
  </si>
  <si>
    <t>PEMBUATAN INCENATOR SEDERHANA UNTUK PENGOLAHAN SAMPAH WARGA NOVENA MANDIRI, DESA WEDORO</t>
  </si>
  <si>
    <t>Kesehatan</t>
  </si>
  <si>
    <t>0324/ABD07/PPM-JPM/2024</t>
  </si>
  <si>
    <t>SOSIALISASI PENCEGAHAN STUNTING DALAM PERSPEKTIF TEKNOLOGI PADA ERA INDUSTRI 5.0 V1.00</t>
  </si>
  <si>
    <t>0328/ABD07/PPM-JPM/2024</t>
  </si>
  <si>
    <t>PENINGKATAN LITERASI DIGITAL MASYARAKAT KAMPUNG CINCAU MELALUI PENDAMPINGAN/PELATIHAN PENGELOLAAN WEBSITE</t>
  </si>
  <si>
    <t>RIZA AKHSANI SETYO PRAYOGA</t>
  </si>
  <si>
    <t>0322/ABD07/PPM-JPM/2024</t>
  </si>
  <si>
    <t>IMPLEMENTASI DAN SOSIALISASI SISTEM INFORMASI MANAJEMEN SEKOLAH PADA SD KEMALA BHAYANGKARI 1 SURABAYA</t>
  </si>
  <si>
    <t>TITA AYU ROSPRICILIA</t>
  </si>
  <si>
    <t>0333/ABD07/PPM-JPM/2024</t>
  </si>
  <si>
    <t>PENGEMBANGAN LANJUTAN APLIKASI PENGELOLAAN DATA POTENSI DAN SUMBER KESEJAHTERAAN SOSIAL PROVINSI JAWA TIMUR (E-PSKS JATIM)</t>
  </si>
  <si>
    <t>AFFIFIANA PRISYANTI</t>
  </si>
  <si>
    <t>0326/ABD07/PPM-JPM/2024</t>
  </si>
  <si>
    <t>PERANCANGAN IT BLUEPRINT DESA PANJUNAN SEBAGAI STRATEGI PENGEMBANGAN KONSEP SMART VILLAGE</t>
  </si>
  <si>
    <t>0329/ABD07/PPM-JPM/2024</t>
  </si>
  <si>
    <t>ANALISIS DAN PENGEMBANGAN KAMPUNG BEBEK DESA KEBONSARI BERBASIS TEKNOLOGI INFORMASI.</t>
  </si>
  <si>
    <t>YUPIT SUDIANTO</t>
  </si>
  <si>
    <t>0335/ABD07/PPM-JPM/2024</t>
  </si>
  <si>
    <t>SMART IRRIGATION UNTUK OPTIMALISASI PERTANIAN SISTEM GREENHOUSE PADA KELOMPOK PETANI TANI SEJAHTERA DESA TEMUASRI</t>
  </si>
  <si>
    <t>0327/ABD07/PPM-JPM/2024</t>
  </si>
  <si>
    <t>OPTIMASI PEMANTAUAN GEJALA MEDIS DAN EARLY WARNING PADA APLIKASI "KESEHATANKU": SYSTEM HEALTH CARE BAGI PENYANDANG DISABILITAS DARI HIPERTENSI, GLUKOSA, DAN TUBERKULOSIS</t>
  </si>
  <si>
    <t>RULIA RIZKY</t>
  </si>
  <si>
    <t>0341/ABD07/PPM-JPM/2024</t>
  </si>
  <si>
    <t>SISTEM INFORMASI DATA KEPENDUDUKAN UNTUK OPTIMALISASI PENYELENGGARAAN PELAYANAN DESA DI DESA DALEGAN KECAMATAN PANCENG KABUPATEN GRESIK</t>
  </si>
  <si>
    <t>MOHAMMAD SHOLIK</t>
  </si>
  <si>
    <t>Rekaya Perangkat Lunak</t>
  </si>
  <si>
    <t>0336/ABD07/PPM-JPM/2024</t>
  </si>
  <si>
    <t>DIGITALISASI INFRASTRUKTUR AUDIO DI MASJID AL HIDAYAH UNTUK PENINGKATAN KUALITAS DAKWAH</t>
  </si>
  <si>
    <t>AULIA RAHMA ANNISA</t>
  </si>
  <si>
    <t>0330/ABD07/PPM-JPM/2024</t>
  </si>
  <si>
    <t>PELATIHAN KECERDASAN BUATAN BERBASIS TEKS UNTUK PEMBELAJARAN DI SMK TELKOM SIDOARJO</t>
  </si>
  <si>
    <t>0338/ABD07/PPM-JPM/2024</t>
  </si>
  <si>
    <t>PODCAST BIMASAKTI UNTUK SOSIALISASI KEBIJAKAN PERINDUSTRIAN DAN PERDAGANGAN PROVINSI JAWA TIMUR</t>
  </si>
  <si>
    <t>KRISNAYANTI ADITASARI</t>
  </si>
  <si>
    <t>'0704069901</t>
  </si>
  <si>
    <t>DOMINGGO BAYU BASKARA</t>
  </si>
  <si>
    <t xml:space="preserve"> 0332/ABD07/PPM-JPM/2024</t>
  </si>
  <si>
    <t>PENDATAAN DAN IMPLEMENTASI E-COMMERCE PADA USAHA MIKRO KECIL MENENGAH DESA PANJUNAN GOES TO SMART VILLAGE</t>
  </si>
  <si>
    <t>0334/ABD07/PPM-JPM/2024</t>
  </si>
  <si>
    <t>SISTEM INFORMASI BERBASIS WEB SEBAGAI MEDIA EDUKASI DAN PELATIHAN PEMBUATAN MEDIA TANAM PADA CV. NETAFARM INDO LESTARI SIDOARJO</t>
  </si>
  <si>
    <t>0331/ABD07/PPM-JPM/2024</t>
  </si>
  <si>
    <t>PENYULUHAN PENGELOLAAN SAMPAH RUMAH TANGGA MENUJU LINGKUNGAN BERKELANJUTAN: KOLABORASI PKK NGAGELREJO</t>
  </si>
  <si>
    <t>RAHADITYA DIMAS PRIHADIANTO</t>
  </si>
  <si>
    <t>0389/ABD07/PPM-JPM/2024</t>
  </si>
  <si>
    <t>PENGEMBANGAN MODUL VIRTUAL REALITY UNTUK PEMBELAJARAN LEADERSHIP KUKM BERBASIS OBS</t>
  </si>
  <si>
    <t>0384/ABD07/PPM-JPM/2024</t>
  </si>
  <si>
    <t>REVOLUSI DIGITAL PENINGKATAN DAYA SAING BISNIS SANTRIDIGIPRENEUR MELALUI EKSPLORASI APLIKASI VIRTUAL REALITY</t>
  </si>
  <si>
    <t xml:space="preserve"> 0383/ABD07/PPM-JPM/2024</t>
  </si>
  <si>
    <t>PENGEMBANGAN METADATA CATALOG BERBASIS CLOUD UNTUK OPTIMALISASI KNOWLEDGE MANAGEMENT PADA WEBSITE ADIDES</t>
  </si>
  <si>
    <t>0382/ABD07/PPM-JPM/2024</t>
  </si>
  <si>
    <t>DASHBOARD MANAJEMEN SIMULASI KEKUATAN GEOPOLITIK/GEOTEKNOLOGI PERTAHANAN INDONESIA DI LAUT NATUNA UTARA</t>
  </si>
  <si>
    <t>Pertahanan</t>
  </si>
  <si>
    <t xml:space="preserve"> 0393/ABD07/PPM-JPM/2024</t>
  </si>
  <si>
    <t>INTEGRASI TEKNOLOGI IOT DALAM PENGEMBANGAN SISTEM PEMANTAUAN KUALITAS AIR DAN KESEHATAN UDANG UNTUK OPTIMALISASI PERIKANAN. LOKASI : (DUSUN KAJAR), DESA: PANDANREJO, KECAMATAN : BUMIAJI, KABUPATEN MALANG, PROVINSI - JAWA TIMUR)</t>
  </si>
  <si>
    <t>Kendaraan modular ramah lingkungan untuk UMKM di kampung oase ondomohen surabaya</t>
  </si>
  <si>
    <t>BIMA</t>
  </si>
  <si>
    <t>Pemerintah</t>
  </si>
  <si>
    <t>Implementasi digital marketing dalam upaya peningkatan penjualan dan pendapatan hasil home industri custom joran pancing nelayan di Indonesia</t>
  </si>
  <si>
    <t>EKA CAHYA MULIAWATI</t>
  </si>
  <si>
    <t>Pemanfaatan limbah hidroponik untuk produksi pakan ternak menggunakan teknologi tepat guna mesin hybrid &amp; digital marketing di Surabaya</t>
  </si>
  <si>
    <t>0392/ABD07/PPM-JPM/2024</t>
  </si>
  <si>
    <t>LITERASI SUMBER DAYA MANUSIA BERBASIS TEKNOLOGI INFORMASI SECARA TEPAT GUNA PADA UMKM VETPICUREAN UNTUK MENINGKATKAN PRODUKTIFITAS KARYAWAN</t>
  </si>
  <si>
    <t>6859382</t>
  </si>
  <si>
    <t>0388/ABD07/PPM-JPM/2024</t>
  </si>
  <si>
    <t>0391/ABD07/PPM-JPM/2024</t>
  </si>
  <si>
    <t>PEMBUATAN SISTEM RAPOR PADA TPQ AL-MUBAAROK SURABAYA</t>
  </si>
  <si>
    <t>6839500 </t>
  </si>
  <si>
    <t>6854678</t>
  </si>
  <si>
    <t>0386/ABD07/PPM-JPM/2024</t>
  </si>
  <si>
    <t>DIGITALISASI SISTEM KONSELING BIMBINGAN KONSELING INDIVIDU PADA SMA KHADIJAH SURABAYA</t>
  </si>
  <si>
    <t> 6778837</t>
  </si>
  <si>
    <t> 6680626</t>
  </si>
  <si>
    <t>6768348</t>
  </si>
  <si>
    <t>0390/ABD07/PPM-JPM/2024</t>
  </si>
  <si>
    <t>PERBAIKAN DAN PENGEMBANGAN ROBOT PELAYAN MEDIS DI RSUD DR. MOHAMAD SOEWANDHIE SURABAYA</t>
  </si>
  <si>
    <t> 6680631 </t>
  </si>
  <si>
    <t> 6680928</t>
  </si>
  <si>
    <t>0701129102</t>
  </si>
  <si>
    <t>SUSIJANTO TRI RASMANA</t>
  </si>
  <si>
    <t>0387/ABD07/PPM-JPM/2024</t>
  </si>
  <si>
    <t>DIGITALISASI BANK SAMPAH SEBAGAI OPTIMALISASI PENGELOLAAN SAMPAH DAN PENDAYAGUNAAN KELOMPOK TANI DI ELOK MEKAR SARI, SEMOLOWARU</t>
  </si>
  <si>
    <t> 6786182 </t>
  </si>
  <si>
    <t>ARRIZKY AYU FARADILA PURNAMA</t>
  </si>
  <si>
    <t>6680625 </t>
  </si>
  <si>
    <t>6829130</t>
  </si>
  <si>
    <t>BUDIDAYA AYAM PETELUR UNTUK KELOMPOK MASYARAKAT DESA SARI ROGO</t>
  </si>
  <si>
    <t>DESA BINAAN</t>
  </si>
  <si>
    <t>TRI ARIEF SARDJONO</t>
  </si>
  <si>
    <t xml:space="preserve"> TEKNIK ELEKTRO </t>
  </si>
  <si>
    <t>PEMBUATAN PUPUK ORGANIK BENTUK GRANULE DARI LIMBAH TERNAK DENGAN MEMANFAATKAN TEKNOLOGI IOT DI DESA SARIROGO</t>
  </si>
  <si>
    <t xml:space="preserve"> TEKNOLOGI INFORMASI </t>
  </si>
  <si>
    <t>MONITORING KOLAM IKAN TANAH UNTUK BUDIDAYA IKAN TERNAK</t>
  </si>
  <si>
    <t xml:space="preserve"> TEKNIK KOMPUTER </t>
  </si>
  <si>
    <t>SISTEM PERTANIAN TUMPANG SARI BUDIDAYA IKAN DENGAN TANAMAN ORKA MERAH DI DESA SARI ROGO, SIDOARJO</t>
  </si>
  <si>
    <t>6680680 </t>
  </si>
  <si>
    <t>MONITORING AVERAGE DAILY GAIN PETERNAKAN KAMBING OLEH KELOMPOK MASYARAKAT DESA SARI ROGO</t>
  </si>
  <si>
    <t>DESIMINASI SISTEM PEMBANGKIT TENAGA SURYA UNTUK GURU DAN SISWA DI LAMONGAN</t>
  </si>
  <si>
    <t>TEKNOLOGI TEPAT GUNA</t>
  </si>
  <si>
    <t>Energi</t>
  </si>
  <si>
    <t>PEMBERDAYAAN HASIL USAHA TAMBAK MELALUI PEMASARAN DIGITAL DAN OPTAMALISASI PACKING UNTUK KEMANDIRIAN DISTRIBUSI PRODUK</t>
  </si>
  <si>
    <t xml:space="preserve"> BISNIS DIGITAL </t>
  </si>
  <si>
    <t>N. AZIZIA GIA MUTIARASARI</t>
  </si>
  <si>
    <t>WAHYU EKA KISWARDANI</t>
  </si>
  <si>
    <t>MANAJEMEN PENGETAHUAN BERBASIS TEKNOLOGI FILTRASI AIR UNTUK MENINGKATKAN HASIL TAMBAK PADA KELOMPOK PETANI IKAN DESA BANTENG PUTIH LAMONGAN</t>
  </si>
  <si>
    <t>0730088001</t>
  </si>
  <si>
    <t>PEMBANGUNAN WEBSITE UMKMCERDAS UNTUK PENINGKATAN EFISIENSI OPERASIONAL UMKM KAMPOENG ILMU SURBAYA</t>
  </si>
  <si>
    <t xml:space="preserve"> SAINS DATA </t>
  </si>
  <si>
    <t>PENGEMBANGAN SISTEM INFORMASI ADMINISTRASI SEBAGAI INOVASI DIGITAL PADA DESA GRABAGAN SIDOARJO</t>
  </si>
  <si>
    <t>SMART TANI: SISTEM IRIGASI TETES OTOMATIS BERBASIS IOT UNTUK BUDIDAYA MELON DI GREENHOUSE JAMBANGAN</t>
  </si>
  <si>
    <t>PEMBERDAYAAN UMKM CV. ALFA SURYA MELALUI PEMANFAATAN KENDARAAN LISTRIK RODA DUA DALAM DISTRIBUSI BARANG YANG EFISIEN</t>
  </si>
  <si>
    <t>PENDAMPINGAN PERINTISAN KOPERASI MULTI PIHAK BERBASIS KELOMPOK MASYARAKAT DI DESA BANTENGPUTIH</t>
  </si>
  <si>
    <t>INTEGRASI BUSINESS INTELLIGENCE UNTUK PENGELOLAAN DATA DAN KONTEN DI WEBSITE ADIDES</t>
  </si>
  <si>
    <t>WHITE-SWINDLER-V3: PENGEMBANGAN WEB UNTUK MENGUNGKAP MODUS PENIPUAN DIGITAL BERBASIS MEDIA SOSIAL DENGAN TEORI INFLUENCE MAXIMIZATION.</t>
  </si>
  <si>
    <t xml:space="preserve"> SISTEM INFORMASI </t>
  </si>
  <si>
    <t>PENERAPAN TEKNOLOGI TEPAT GUNA: INOVASI ALAT RUANG MENYUSUI PORTABEL UNTUK MENDUKUNG KENYAMANAN IBU MENYUSUI DI RUANG PUBLIK</t>
  </si>
  <si>
    <t xml:space="preserve"> TEKNIK INDUSTRI </t>
  </si>
  <si>
    <t>PENERAPAN STRATEGI BRANDING BERBASIS AI UNTUK DIGITALISASI UMKM</t>
  </si>
  <si>
    <t xml:space="preserve">PEMBUATAN ALAT PRODUKSI PUPUK DARI ENCENG GONDOK </t>
  </si>
  <si>
    <t xml:space="preserve"> TEKNIK LOGISTIK </t>
  </si>
  <si>
    <t>INDUKSI TEKNOLOGI DASHBOARD UNTUK MONITORING LAYANAN AKADEMIK SEKOLAH DI SMP HANG TUAH 4 SURABAYA</t>
  </si>
  <si>
    <t>PENERAPAN PICOBOT UNTUK FISIOTERAPI BERJALAN PASIEN PASCA STROKE.</t>
  </si>
  <si>
    <t>PENGEMBANGAN APLIKASI BIMBINGAN KONSELING MURID SMA NEGERI 1 KAMAL</t>
  </si>
  <si>
    <t>PENGEMBANGAN SISTEM ABSENSI MENGGUNAKAN FINGERPRINT PADA SMP AL FALAH ASSALAM</t>
  </si>
  <si>
    <t xml:space="preserve"> INFORMATIKA </t>
  </si>
  <si>
    <t>SAFIRA ROHMATUL LAILY</t>
  </si>
  <si>
    <t>SISTEM IRIGASI TETES OTOMATIS BERBASIS IOT UNTUK TANAMAN BUDIDAYA  DESA SARI ROGO</t>
  </si>
  <si>
    <t>IMPLEMENTASI SISTEM PERPUSTAKAAN DIGITAL BERBASIS WEBSITE UNTUK MENINGKATKAN EFISIENSI DAN KUALITAS LAYANAN PERPUSTAKAAN DI SMP AL-FALAH ASSALAM</t>
  </si>
  <si>
    <t>IMPLEMENTASI LINGKUNGAN KERJA YANG NYAMAN MELALUI KAMPANYE DIGITAL HIDUP SEHAT</t>
  </si>
  <si>
    <t>PENDAMPINGAN/PELATIHAN</t>
  </si>
  <si>
    <t>PELATIHAN DESIGN WEBSITE DAN PENGENALAN PERANGKAT IOT</t>
  </si>
  <si>
    <t>PENINGKATAN LITERASI DATA SISWA SMP MELALUI PELATIHAN VISUALISASI DATA INTERAKTIF DENGAN LOOKER STUDIO</t>
  </si>
  <si>
    <t>Pengembangan Hasil Produk Usaha Tambak dan Manajemen Bisnis Koperasi Multi Pihak Di Desa Bantengputih Kabupaten Lamongan Melalui Program Pemberdayaan Masyarakat oleh Mahasiswa</t>
  </si>
  <si>
    <t>Program Pemberdayaan Masyarakat Mahasiswa (PMM)</t>
  </si>
  <si>
    <t>Mitra/Masyarakat Sasar</t>
  </si>
  <si>
    <t>Prodi23</t>
  </si>
  <si>
    <t>Prodi12</t>
  </si>
  <si>
    <t>Guru - guru SMK Muhammadiyah 1 Pasuruan</t>
  </si>
  <si>
    <t>Peternak Ikan Barokah Jaya</t>
  </si>
  <si>
    <t>SLB Aisyiyah Ponorogo</t>
  </si>
  <si>
    <t>Komunitas TIBA (Tim Bisindo dan Aksesbilitas)</t>
  </si>
  <si>
    <t>Ikatan Dokter Indonesia (IDI) Jawa Timur</t>
  </si>
  <si>
    <t>Kelompok Sadar Wisata (Pokdarwis) Pantai Pasir Putih Dalegan</t>
  </si>
  <si>
    <t>RW 6 Kelurahan Wonokusumo Kecamatan Semampir, Surabaya</t>
  </si>
  <si>
    <t>RW 06 BULAKSARI</t>
  </si>
  <si>
    <t>UKM Az Zahra Creation</t>
  </si>
  <si>
    <t>PETERNAK IKAN LELE DI DESA JATIREJO, MOJOKERTO</t>
  </si>
  <si>
    <t>Kelompok Kampung Nelayan Kedung Cowek</t>
  </si>
  <si>
    <t>Kampung Ondomohen</t>
  </si>
  <si>
    <t>Sekolah Anak Berkebutuhan Khusus AGCA</t>
  </si>
  <si>
    <t>SD Negeri Kudubanjar 1 Jombang</t>
  </si>
  <si>
    <t>Koperasi Hita Loka Tara</t>
  </si>
  <si>
    <t>Warung Nasi Tiwul SBR</t>
  </si>
  <si>
    <t>Desa Ngeni</t>
  </si>
  <si>
    <t>Rumah Sakit Universitas Airlangga (RS UNAIR)</t>
  </si>
  <si>
    <t>RSUD Kabupaten Sidoarjo</t>
  </si>
  <si>
    <t>RSI SITI HAJAR</t>
  </si>
  <si>
    <t>BLBI Abiyoso</t>
  </si>
  <si>
    <t>DI RS AISYIYAH KUDUS</t>
  </si>
  <si>
    <t>RSUD Tongas</t>
  </si>
  <si>
    <t>SISWA SMA, SMK, DAN MA</t>
  </si>
  <si>
    <t>RW 06 Bulaksari</t>
  </si>
  <si>
    <t>Kening Ice Tube</t>
  </si>
  <si>
    <t>Instansi Pemerintah Kecamatan Bulak</t>
  </si>
  <si>
    <t>Mahda Collection</t>
  </si>
  <si>
    <t>Tomyan Steambot</t>
  </si>
  <si>
    <t>Bubur Ayam</t>
  </si>
  <si>
    <t>Posyandu Dinoyo</t>
  </si>
  <si>
    <t>UMKM Budidaya Lobster</t>
  </si>
  <si>
    <t>Komunitas Kampung Edukatif Ondomohen</t>
  </si>
  <si>
    <t>Kampung Wisata Ondomohen</t>
  </si>
  <si>
    <t>Yayasan Al-Manar 1989</t>
  </si>
  <si>
    <t>Telkom CDC</t>
  </si>
  <si>
    <t>Kampung Oase Ondomohen</t>
  </si>
  <si>
    <t>Depo Air Minum Isi Ulang Bahagia</t>
  </si>
  <si>
    <t>Pengurus Langgar Al Qodir</t>
  </si>
  <si>
    <t>Kelompok Tani Elok Mekar Sari</t>
  </si>
  <si>
    <t>Komunitas UKM Binaan Telkom Community Devetopment Center</t>
  </si>
  <si>
    <t>RT 11/RW 06 Sepanjang Asri</t>
  </si>
  <si>
    <t>Pegiat Lingkungan Kampung Ondomohen</t>
  </si>
  <si>
    <t>UKM Sumono</t>
  </si>
  <si>
    <t>Maspion IT</t>
  </si>
  <si>
    <t>Kelompok Usaha Bareng Raya</t>
  </si>
  <si>
    <t>UKM Binaan Telkom Community Development Cente</t>
  </si>
  <si>
    <t>UKM Kampoeng Songo</t>
  </si>
  <si>
    <t>Kelompok Perajin Usaha Furniture</t>
  </si>
  <si>
    <t>SMAN 1 Surabaya</t>
  </si>
  <si>
    <t>STAI Ali bin Abi Thalib Surabaya</t>
  </si>
  <si>
    <t>Perpustakaan ITTelkom Surabaya</t>
  </si>
  <si>
    <t>Koallsi Perempuan Indonesia (KPI) BP. Pangkah Wetan</t>
  </si>
  <si>
    <t>Wal Asri – Akselerasi Pemberdayaan Remaja Musholla Berbasis Digital Learning Space Guna Menyiapkan Generasi yang ber-AKHLAK di Era Transformasi Digital</t>
  </si>
  <si>
    <t>Komunitas Wal Asri Al-Banjari Group</t>
  </si>
  <si>
    <t>Guru PAUD PPT Kemuning Surabaya</t>
  </si>
  <si>
    <t>PT ADAM JAYA TEKNIK</t>
  </si>
  <si>
    <t>UKM Kampung Cincau</t>
  </si>
  <si>
    <t>Dinas Sosial Provinsi Jawa Timur</t>
  </si>
  <si>
    <t>PT. Anugrah Laut Indonesia</t>
  </si>
  <si>
    <t>UMKM PRODUSEN GMG MIE AYAM</t>
  </si>
  <si>
    <t>Kampung Kranggan</t>
  </si>
  <si>
    <t>Yayasan Dana Sosial Al Falah</t>
  </si>
  <si>
    <t>Elok Mekar Sari</t>
  </si>
  <si>
    <t>UKM Rintisan Kelompok PKK Desa Sedati</t>
  </si>
  <si>
    <t>SMP Al Islah</t>
  </si>
  <si>
    <t>TPQ Al-Mubaarok</t>
  </si>
  <si>
    <t>Yayasan Pendidikan Al Islah Surabaya</t>
  </si>
  <si>
    <t>SMP Al Islah Surabaуа</t>
  </si>
  <si>
    <t>CV Ferdi Jaya</t>
  </si>
  <si>
    <t>LAZNAS Yayasan Dana Sosial Al Falah</t>
  </si>
  <si>
    <t>Al Barra Studio</t>
  </si>
  <si>
    <t>SMA Negeri 13 Surabaya</t>
  </si>
  <si>
    <t>Forum Komunikasi Astronom Amatir Lintas Jawa Timur (FOKALIS JATIM)</t>
  </si>
  <si>
    <t>RTIK Surabaya</t>
  </si>
  <si>
    <t>UMKM Kampung Songo</t>
  </si>
  <si>
    <t>SMK Telkom Sidoarjo</t>
  </si>
  <si>
    <t>Paguyuban Batu Permata Pasar Kayoon</t>
  </si>
  <si>
    <t>PT. Hidynamix Mitra Solusindo</t>
  </si>
  <si>
    <t>UMKM Rintisan Kelompok PKK Desa Sedati Gede</t>
  </si>
  <si>
    <t>UPT Aneka Industri dan Kerajinan Jawa Timur</t>
  </si>
  <si>
    <t>Desa tambak kalisogo</t>
  </si>
  <si>
    <t>Sekolah SMA/SMK/MA atau sederajat dan umum</t>
  </si>
  <si>
    <t>SMA/SMK DI SURABAYA</t>
  </si>
  <si>
    <t>SMA/SMK/MA Sederajat</t>
  </si>
  <si>
    <t>Guru dan Siswa pada SLTA sederajat di Jawa Timur</t>
  </si>
  <si>
    <t>Guru MGMP Matematika dan Fisika</t>
  </si>
  <si>
    <t>SMA/SMK/MA dan yang Sederajat</t>
  </si>
  <si>
    <t>TAMBAK TANJUNGSARI</t>
  </si>
  <si>
    <t>PETERNAKAN SAPI PERAH TASLI MILK</t>
  </si>
  <si>
    <t>Desa Kalipare</t>
  </si>
  <si>
    <t>Japan, Kec. Sooko, Kabupaten Mojokerto</t>
  </si>
  <si>
    <t>Bank Sampah GKS</t>
  </si>
  <si>
    <t>Desa Keloposepuluh</t>
  </si>
  <si>
    <t>Desa Wonosalam</t>
  </si>
  <si>
    <t>UMKM Binaan Telkom CDC Area Kota Surabaya dan Surabaya Selatan</t>
  </si>
  <si>
    <t>Desa Panjunan, Kec.Duduk sampeyan, Kota Gresik</t>
  </si>
  <si>
    <t>Desa Panjunan</t>
  </si>
  <si>
    <t>Karang Taruna/ Pemuda di Lingkungan Wonokromo</t>
  </si>
  <si>
    <t>Warga Novena Mandiri desa Wedoro</t>
  </si>
  <si>
    <t>anggota posyandu pepelegi</t>
  </si>
  <si>
    <t>Kampung Cincau</t>
  </si>
  <si>
    <t>SD Kemala Bhayangkari 1 Surabaya</t>
  </si>
  <si>
    <t>Desa Panjunan Kabupaten Gresik</t>
  </si>
  <si>
    <t>Kampung Bebek dan Telur Asin Desa Kebonsari</t>
  </si>
  <si>
    <t>Kelompok Tani Tani Sejahtera Desa Temuasri</t>
  </si>
  <si>
    <t>Masyarakat Taman, Kabupaten Sidoarjo</t>
  </si>
  <si>
    <t>Perangkat Desa Dalegan</t>
  </si>
  <si>
    <t>Pengurus Masjid Al Hidayah</t>
  </si>
  <si>
    <t>Dinas Perindustrian dan Perdagangan Provinsi Jawa Timur</t>
  </si>
  <si>
    <t>Masyarakat penggiat UMKM Desa Panjunan</t>
  </si>
  <si>
    <t>CV. Netafarm Indo Lestari</t>
  </si>
  <si>
    <t>PKK RT05/RW10</t>
  </si>
  <si>
    <t>UPT Pelatihan Dinas Koperasi dan UKM Jawa Timur</t>
  </si>
  <si>
    <t>Pondok Pesantren Mathla’ul Amien</t>
  </si>
  <si>
    <t>Asosiasi Dosen Intgrator Desa (ADIDES)</t>
  </si>
  <si>
    <t>Angkatan Laut (Sekolah Tinggi Teknologi Angkatan Laut)</t>
  </si>
  <si>
    <t>Kelpompok Petani Kajar Bumiaji Batu</t>
  </si>
  <si>
    <t>PT VETERI NUTRI ANIMALIA</t>
  </si>
  <si>
    <t>Kelurahan Gayungan</t>
  </si>
  <si>
    <t>TPQ Al-Mubaarok Surabaya</t>
  </si>
  <si>
    <t>SMA Khadijah Surabaya</t>
  </si>
  <si>
    <t>Tenaga medis di RSUD dr. Mohamad Soewandhie Surabaya</t>
  </si>
  <si>
    <t>KELOMPOK TANI ELOK MEKAR SARI</t>
  </si>
  <si>
    <t>Masyarakat Desa Sari Rogo</t>
  </si>
  <si>
    <t>Kelompok masyarakat ternak kambing desa Sari Rogo</t>
  </si>
  <si>
    <t>kelompok masyarakat Desa Sari Rogo</t>
  </si>
  <si>
    <t>Kelompok Masyarakat Desa Sari Rogo</t>
  </si>
  <si>
    <t>SMKN 2 Lamongan</t>
  </si>
  <si>
    <t>Desa Banteng Putih</t>
  </si>
  <si>
    <t>Kelompok Petani Ikan</t>
  </si>
  <si>
    <t>Kampoeng Ilmu Surabaya</t>
  </si>
  <si>
    <t>Kamadi, SE</t>
  </si>
  <si>
    <t>Kelompok Tani Satu Padu Kelurahan Jambangan</t>
  </si>
  <si>
    <t>UMKM Surabaya</t>
  </si>
  <si>
    <t>Pemerintah Desa Bantengputih</t>
  </si>
  <si>
    <t>Asosiasi Dosen Integrator Desa (ADIDES)</t>
  </si>
  <si>
    <t>Relawan TIK Jawa Timur</t>
  </si>
  <si>
    <t>Posyandu Desa</t>
  </si>
  <si>
    <t>UMKM Binaan TELKOM CDC Surabaya Selatan</t>
  </si>
  <si>
    <t>RT. 14, RW. 09, Desa Pepelegi, Kec. Waru, Sidoarjo</t>
  </si>
  <si>
    <t>SMP Hang Tuah 4 Surabaya</t>
  </si>
  <si>
    <t>RSUD BHAKTI DHARMA HUSADA</t>
  </si>
  <si>
    <t>SMA Negeri 1 Kamal</t>
  </si>
  <si>
    <t>SMP Al Falah Assalam</t>
  </si>
  <si>
    <t>Desa Sari Rogo</t>
  </si>
  <si>
    <t>SMP Al-Falah Assalam Surabaya</t>
  </si>
  <si>
    <t>Wulan Sekryasih (Pemilik/Pengelola UMKM)</t>
  </si>
  <si>
    <t>SMP Hangtuah 4 Surabaya</t>
  </si>
  <si>
    <t>Data real dosen</t>
  </si>
  <si>
    <t>Data dosen untuk keperluan Akreditasi</t>
  </si>
  <si>
    <t>Data real dana penelitian &amp; pkm Dosen (bisa dibuat data untuk AMI)</t>
  </si>
  <si>
    <t>Data dana penelitian &amp; pkm Dosen (khusu ini untuk data Akreditasi)</t>
  </si>
  <si>
    <t>Nama</t>
  </si>
  <si>
    <t>PkM</t>
  </si>
  <si>
    <t>Realisasi</t>
  </si>
  <si>
    <t>Rp</t>
  </si>
  <si>
    <t>Rifa Atul Izza Asyari</t>
  </si>
  <si>
    <t>Helmy dan dijah</t>
  </si>
  <si>
    <t>Data KUG</t>
  </si>
  <si>
    <t>*pendanaan mas dimas tidak perlu dibagi, semua diakui 450jt</t>
  </si>
  <si>
    <t>moch. iskandar riansyah</t>
  </si>
  <si>
    <t>PT2</t>
  </si>
  <si>
    <t>PT3</t>
  </si>
  <si>
    <t>PT5</t>
  </si>
  <si>
    <t>PT6</t>
  </si>
  <si>
    <t>Nama Member7</t>
  </si>
  <si>
    <t>PT8</t>
  </si>
  <si>
    <t>Nama Member8</t>
  </si>
  <si>
    <t>billy montolalu</t>
  </si>
  <si>
    <t>anfazul faridatul azizah</t>
  </si>
  <si>
    <t>hawwin mardhiana</t>
  </si>
  <si>
    <t>internal</t>
  </si>
  <si>
    <t>mohammad sholik</t>
  </si>
  <si>
    <t>dominggo bayu baskara</t>
  </si>
  <si>
    <t>rahaditya dimas prihadianto</t>
  </si>
  <si>
    <t>wahyu andy prastyabudi</t>
  </si>
  <si>
    <t>susijanto tri rasmana</t>
  </si>
  <si>
    <t>nilla rachmaningrum</t>
  </si>
  <si>
    <t>yupit sudianto</t>
  </si>
  <si>
    <t>rokhmatul insani</t>
  </si>
  <si>
    <t>farah zakiyah rahmanti</t>
  </si>
  <si>
    <t>titus kristanto</t>
  </si>
  <si>
    <t>dimas adiputra</t>
  </si>
  <si>
    <t>ully asfari</t>
  </si>
  <si>
    <t>isa hafidz</t>
  </si>
  <si>
    <t>agus sulistya</t>
  </si>
  <si>
    <t>benazir imam arif muttawin</t>
  </si>
  <si>
    <t>dwi edi setyawan</t>
  </si>
  <si>
    <t>tiar anindya putri</t>
  </si>
  <si>
    <t>moh.hamim zajuli al faroby</t>
  </si>
  <si>
    <t>granita hajar</t>
  </si>
  <si>
    <t>bagas putra pradana</t>
  </si>
  <si>
    <t>almira ivah edina</t>
  </si>
  <si>
    <t>amalia nur alifah</t>
  </si>
  <si>
    <t>ahmad wali satria bahari johan</t>
  </si>
  <si>
    <t>khodijah amiroh</t>
  </si>
  <si>
    <t>arliyanti nurdin</t>
  </si>
  <si>
    <t>mochamad nizar palefi ma'ady</t>
  </si>
  <si>
    <t>rizky fenaldo maulana</t>
  </si>
  <si>
    <t>lora khaula amifia</t>
  </si>
  <si>
    <t>oktavia ayu permata</t>
  </si>
  <si>
    <t>rizqa amelia zunaidi</t>
  </si>
  <si>
    <t>pangestu widodo</t>
  </si>
  <si>
    <t>walid maulana hadiansyah</t>
  </si>
  <si>
    <t>fidi wincoko putro</t>
  </si>
  <si>
    <t>sekar widyasari putri</t>
  </si>
  <si>
    <t>noerma pudji istyanto</t>
  </si>
  <si>
    <t>ubaidillah umar</t>
  </si>
  <si>
    <t>desita nur rachmaniar</t>
  </si>
  <si>
    <t>darlin aulia</t>
  </si>
  <si>
    <t>riza akhsani setyo prayoga</t>
  </si>
  <si>
    <t>aris kusumawati</t>
  </si>
  <si>
    <t xml:space="preserve">nicko nur rakhmaddian
</t>
  </si>
  <si>
    <t>purnama anaking</t>
  </si>
  <si>
    <t>regita putri permata</t>
  </si>
  <si>
    <t>rifdatun ni'mah</t>
  </si>
  <si>
    <t>helisyah nur fadhilah</t>
  </si>
  <si>
    <t>muhammad dzulfikar fauzi</t>
  </si>
  <si>
    <t>raulia riski</t>
  </si>
  <si>
    <t>yohanes setiawan</t>
  </si>
  <si>
    <t>sri hidayati</t>
  </si>
  <si>
    <t>dahliar ananda</t>
  </si>
  <si>
    <t>silvi istiqomah</t>
  </si>
  <si>
    <t>huki chandra</t>
  </si>
  <si>
    <t>risdilah mimma untsa</t>
  </si>
  <si>
    <t>caesareano lafado yesa</t>
  </si>
  <si>
    <t>aulia rahma annisa</t>
  </si>
  <si>
    <t>mustafa kamal</t>
  </si>
  <si>
    <t>arrizky ayu faradila purnama</t>
  </si>
  <si>
    <t>adzanil rachmadhi putra</t>
  </si>
  <si>
    <t>rifki dwi putranto</t>
  </si>
  <si>
    <t>wachda yuniar rochmah</t>
  </si>
  <si>
    <t>achmad muzakki</t>
  </si>
  <si>
    <t>perdana suteja putra</t>
  </si>
  <si>
    <t>abduh sayid albana</t>
  </si>
  <si>
    <t>eka sari oktarina</t>
  </si>
  <si>
    <t>helmy widyantara</t>
  </si>
  <si>
    <t>berlian rahmy lidiawaty</t>
  </si>
  <si>
    <t>muhammad adib kamali</t>
  </si>
  <si>
    <t>bernadus anggo seno aji</t>
  </si>
  <si>
    <t>adisya resti rahmadanti</t>
  </si>
  <si>
    <t>kharisma monika dian pertiwi</t>
  </si>
  <si>
    <t>paramaditya arismawati</t>
  </si>
  <si>
    <t>chaironi latif</t>
  </si>
  <si>
    <t>mastuty ayu ningtyas</t>
  </si>
  <si>
    <t>tita ayu rospricilia</t>
  </si>
  <si>
    <t>affifiana prisyanti</t>
  </si>
  <si>
    <t>muhammad ilham alhari</t>
  </si>
  <si>
    <t>moh. hamim zajuli al faroby</t>
  </si>
  <si>
    <t>krisnayanti aditasari</t>
  </si>
  <si>
    <t>arni muarifah amri</t>
  </si>
  <si>
    <t>aufar fikri dimyati</t>
  </si>
  <si>
    <t>alifiansyah arrizqy hidayat</t>
  </si>
  <si>
    <t>anita hakim nasution</t>
  </si>
  <si>
    <t>arip ramadan</t>
  </si>
  <si>
    <t>vessa rizky oktavia</t>
  </si>
  <si>
    <t>anifatul faricha</t>
  </si>
  <si>
    <t>tri arief sardjono</t>
  </si>
  <si>
    <t>mohammad yanuar hariyawan</t>
  </si>
  <si>
    <t>philip tobianto daely</t>
  </si>
  <si>
    <t>bambang agus sumantri</t>
  </si>
  <si>
    <t>ardian yusuf wicaksono</t>
  </si>
  <si>
    <t>Boosting Eco‐Friendly Farmland Productivity for Food Resilience at Al Kaaf Orphanage</t>
  </si>
  <si>
    <t>IEEE Tech4Good</t>
  </si>
  <si>
    <t>PT1</t>
  </si>
  <si>
    <t>DANA MEMBER1</t>
  </si>
  <si>
    <t>DANA MEMBER2</t>
  </si>
  <si>
    <t>DANA MEMBER3</t>
  </si>
  <si>
    <t>DANA MEMBER4</t>
  </si>
  <si>
    <t>DANA MEMBER5</t>
  </si>
  <si>
    <t>DANA MEMBER6</t>
  </si>
  <si>
    <t>DANA MEMBER7</t>
  </si>
  <si>
    <t>DANA MEMBER8</t>
  </si>
  <si>
    <t>Prodi Mhs1</t>
  </si>
  <si>
    <t>Prodi Mhs2</t>
  </si>
  <si>
    <t>Prodi Mhs3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</si>
</sst>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-[$Rp-421]* #,##0_-;\-[$Rp-421]* #,##0_-;_-[$Rp-421]* &quot;-&quot;??_-;_-@_-"/>
    <numFmt numFmtId="167" formatCode="_-[$Rp-421]* #,##0_-;\-[$Rp-421]* #,##0_-;_-[$Rp-421]* &quot;-&quot;_-;_-@_-"/>
    <numFmt numFmtId="168" formatCode="_-[$Rp-3809]* #,##0.00_-;\-[$Rp-3809]* #,##0.00_-;_-[$Rp-3809]* &quot;-&quot;??_-;_-@_-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name val="Calibri"/>
      <family val="2"/>
      <scheme val="minor"/>
    </font>
    <font>
      <b/>
      <sz val="10"/>
      <color theme="0"/>
      <name val="Arial"/>
      <family val="2"/>
    </font>
    <font>
      <b/>
      <sz val="10"/>
      <name val="Arial"/>
      <family val="2"/>
    </font>
    <font>
      <sz val="9"/>
      <color rgb="FF000000"/>
      <name val="Calibri"/>
      <family val="2"/>
    </font>
    <font>
      <sz val="11"/>
      <color rgb="FFFF0000"/>
      <name val="Calibri"/>
      <family val="2"/>
      <scheme val="minor"/>
    </font>
    <font>
      <sz val="10"/>
      <color rgb="FF5A6169"/>
      <name val="Signika"/>
      <family val="2"/>
      <charset val="1"/>
    </font>
    <font>
      <sz val="9"/>
      <color rgb="FF000000"/>
      <name val="Calibri"/>
      <family val="2"/>
      <scheme val="minor"/>
    </font>
    <font>
      <sz val="9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theme="2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FF0000"/>
      <name val="Calibri"/>
      <family val="2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 Light"/>
      <family val="2"/>
      <scheme val="major"/>
    </font>
    <font>
      <b/>
      <sz val="9"/>
      <color indexed="81"/>
      <name val="Tahoma"/>
      <family val="2"/>
    </font>
    <font>
      <b/>
      <sz val="9"/>
      <name val="Calibri"/>
      <family val="2"/>
      <scheme val="minor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9"/>
      <color rgb="FF5A6169"/>
      <name val="Arial"/>
      <family val="2"/>
    </font>
    <font>
      <u/>
      <sz val="8"/>
      <color theme="10"/>
      <name val="Calibri"/>
      <family val="2"/>
      <scheme val="minor"/>
    </font>
    <font>
      <sz val="9"/>
      <color theme="1"/>
      <name val="Calibri"/>
      <scheme val="minor"/>
    </font>
    <font>
      <u/>
      <sz val="9"/>
      <color theme="10"/>
      <name val="Calibri"/>
      <scheme val="minor"/>
    </font>
    <font>
      <sz val="9"/>
      <color rgb="FF000000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3C2F4"/>
        <bgColor indexed="64"/>
      </patternFill>
    </fill>
    <fill>
      <patternFill patternType="solid">
        <fgColor rgb="FFB8E7F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164" fontId="5" fillId="0" borderId="0" applyFont="0" applyFill="0" applyBorder="0" applyAlignment="0" applyProtection="0"/>
    <xf numFmtId="0" fontId="6" fillId="0" borderId="0"/>
    <xf numFmtId="0" fontId="41" fillId="0" borderId="0"/>
    <xf numFmtId="43" fontId="5" fillId="0" borderId="0" applyFont="0" applyFill="0" applyBorder="0" applyAlignment="0" applyProtection="0"/>
    <xf numFmtId="0" fontId="5" fillId="0" borderId="0"/>
    <xf numFmtId="0" fontId="21" fillId="0" borderId="0" applyNumberFormat="0" applyFill="0" applyBorder="0" applyAlignment="0" applyProtection="0"/>
  </cellStyleXfs>
  <cellXfs count="8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wrapText="1"/>
    </xf>
    <xf numFmtId="2" fontId="3" fillId="0" borderId="6" xfId="0" quotePrefix="1" applyNumberFormat="1" applyFont="1" applyBorder="1" applyAlignment="1">
      <alignment horizontal="center" vertical="center"/>
    </xf>
    <xf numFmtId="0" fontId="3" fillId="0" borderId="6" xfId="0" quotePrefix="1" applyFont="1" applyBorder="1" applyAlignment="1">
      <alignment horizontal="center" vertical="center" wrapText="1"/>
    </xf>
    <xf numFmtId="0" fontId="3" fillId="7" borderId="6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wrapText="1"/>
    </xf>
    <xf numFmtId="0" fontId="3" fillId="7" borderId="6" xfId="0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/>
    </xf>
    <xf numFmtId="0" fontId="0" fillId="12" borderId="0" xfId="0" applyFill="1"/>
    <xf numFmtId="49" fontId="0" fillId="0" borderId="0" xfId="0" applyNumberFormat="1" applyAlignment="1">
      <alignment vertical="center" wrapText="1"/>
    </xf>
    <xf numFmtId="0" fontId="0" fillId="12" borderId="0" xfId="0" applyFill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14" borderId="0" xfId="0" applyFill="1" applyAlignment="1">
      <alignment vertical="center"/>
    </xf>
    <xf numFmtId="0" fontId="0" fillId="15" borderId="0" xfId="0" applyFill="1" applyAlignment="1">
      <alignment vertical="center"/>
    </xf>
    <xf numFmtId="0" fontId="0" fillId="0" borderId="0" xfId="0" pivotButton="1"/>
    <xf numFmtId="0" fontId="3" fillId="12" borderId="1" xfId="0" applyFont="1" applyFill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1" xfId="0" quotePrefix="1" applyFont="1" applyFill="1" applyBorder="1" applyAlignment="1">
      <alignment horizontal="center" vertical="center" wrapText="1"/>
    </xf>
    <xf numFmtId="167" fontId="3" fillId="16" borderId="6" xfId="0" applyNumberFormat="1" applyFont="1" applyFill="1" applyBorder="1" applyAlignment="1">
      <alignment horizontal="center" vertical="center" wrapText="1"/>
    </xf>
    <xf numFmtId="167" fontId="3" fillId="16" borderId="1" xfId="0" applyNumberFormat="1" applyFont="1" applyFill="1" applyBorder="1" applyAlignment="1">
      <alignment vertical="center"/>
    </xf>
    <xf numFmtId="42" fontId="0" fillId="16" borderId="0" xfId="0" applyNumberFormat="1" applyFill="1" applyAlignment="1">
      <alignment horizontal="center" vertical="center" wrapText="1"/>
    </xf>
    <xf numFmtId="2" fontId="3" fillId="0" borderId="10" xfId="0" quotePrefix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8" fillId="0" borderId="0" xfId="0" applyFont="1"/>
    <xf numFmtId="0" fontId="8" fillId="5" borderId="1" xfId="0" applyFont="1" applyFill="1" applyBorder="1" applyAlignment="1">
      <alignment horizontal="left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left" vertical="center"/>
    </xf>
    <xf numFmtId="0" fontId="8" fillId="18" borderId="1" xfId="0" applyFont="1" applyFill="1" applyBorder="1" applyAlignment="1">
      <alignment horizontal="left" vertical="center"/>
    </xf>
    <xf numFmtId="0" fontId="2" fillId="19" borderId="0" xfId="0" applyFont="1" applyFill="1" applyAlignment="1">
      <alignment horizontal="left" vertical="center"/>
    </xf>
    <xf numFmtId="0" fontId="8" fillId="19" borderId="0" xfId="0" applyFont="1" applyFill="1" applyAlignment="1">
      <alignment horizontal="center" vertical="center"/>
    </xf>
    <xf numFmtId="0" fontId="8" fillId="19" borderId="0" xfId="0" applyFont="1" applyFill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0" fontId="3" fillId="7" borderId="1" xfId="0" quotePrefix="1" applyFont="1" applyFill="1" applyBorder="1" applyAlignment="1">
      <alignment horizontal="center" vertical="center"/>
    </xf>
    <xf numFmtId="0" fontId="8" fillId="3" borderId="1" xfId="0" applyFont="1" applyFill="1" applyBorder="1"/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42" fontId="8" fillId="19" borderId="0" xfId="0" applyNumberFormat="1" applyFont="1" applyFill="1"/>
    <xf numFmtId="42" fontId="12" fillId="8" borderId="1" xfId="0" applyNumberFormat="1" applyFont="1" applyFill="1" applyBorder="1" applyAlignment="1">
      <alignment horizontal="center" vertical="center"/>
    </xf>
    <xf numFmtId="42" fontId="8" fillId="0" borderId="0" xfId="0" applyNumberFormat="1" applyFont="1"/>
    <xf numFmtId="42" fontId="8" fillId="0" borderId="1" xfId="0" applyNumberFormat="1" applyFont="1" applyBorder="1" applyAlignment="1">
      <alignment horizontal="center" vertical="center"/>
    </xf>
    <xf numFmtId="42" fontId="8" fillId="0" borderId="1" xfId="0" applyNumberFormat="1" applyFont="1" applyBorder="1"/>
    <xf numFmtId="0" fontId="8" fillId="0" borderId="1" xfId="0" applyFont="1" applyBorder="1"/>
    <xf numFmtId="0" fontId="8" fillId="0" borderId="17" xfId="0" applyFont="1" applyBorder="1" applyAlignment="1">
      <alignment horizontal="center" vertical="center"/>
    </xf>
    <xf numFmtId="0" fontId="8" fillId="0" borderId="17" xfId="0" applyFont="1" applyBorder="1"/>
    <xf numFmtId="1" fontId="2" fillId="20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0" fontId="13" fillId="20" borderId="7" xfId="0" applyFont="1" applyFill="1" applyBorder="1" applyAlignment="1">
      <alignment vertical="center"/>
    </xf>
    <xf numFmtId="1" fontId="2" fillId="20" borderId="4" xfId="0" applyNumberFormat="1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1" fontId="2" fillId="21" borderId="14" xfId="0" applyNumberFormat="1" applyFont="1" applyFill="1" applyBorder="1" applyAlignment="1">
      <alignment horizontal="center" vertical="center"/>
    </xf>
    <xf numFmtId="1" fontId="2" fillId="21" borderId="1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42" fontId="8" fillId="0" borderId="8" xfId="0" applyNumberFormat="1" applyFont="1" applyBorder="1"/>
    <xf numFmtId="0" fontId="3" fillId="11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42" fontId="2" fillId="0" borderId="0" xfId="0" applyNumberFormat="1" applyFont="1"/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vertical="center" wrapText="1"/>
    </xf>
    <xf numFmtId="0" fontId="3" fillId="14" borderId="1" xfId="0" quotePrefix="1" applyFont="1" applyFill="1" applyBorder="1" applyAlignment="1">
      <alignment horizontal="center" vertical="center"/>
    </xf>
    <xf numFmtId="0" fontId="0" fillId="14" borderId="0" xfId="0" applyFill="1"/>
    <xf numFmtId="0" fontId="0" fillId="0" borderId="0" xfId="0" applyAlignment="1">
      <alignment horizontal="left" vertical="center" wrapText="1"/>
    </xf>
    <xf numFmtId="167" fontId="3" fillId="16" borderId="6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 wrapText="1"/>
    </xf>
    <xf numFmtId="42" fontId="8" fillId="0" borderId="1" xfId="0" applyNumberFormat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wrapText="1"/>
    </xf>
    <xf numFmtId="0" fontId="14" fillId="0" borderId="6" xfId="0" applyFont="1" applyBorder="1" applyAlignment="1">
      <alignment wrapText="1"/>
    </xf>
    <xf numFmtId="0" fontId="3" fillId="11" borderId="6" xfId="0" quotePrefix="1" applyFont="1" applyFill="1" applyBorder="1" applyAlignment="1">
      <alignment horizontal="center" vertical="center" wrapText="1"/>
    </xf>
    <xf numFmtId="0" fontId="3" fillId="7" borderId="6" xfId="0" quotePrefix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6" fontId="0" fillId="0" borderId="0" xfId="1" applyNumberFormat="1" applyFont="1" applyAlignment="1">
      <alignment vertical="center" wrapText="1"/>
    </xf>
    <xf numFmtId="167" fontId="0" fillId="16" borderId="0" xfId="0" applyNumberFormat="1" applyFill="1" applyAlignment="1">
      <alignment vertical="center" wrapText="1"/>
    </xf>
    <xf numFmtId="42" fontId="0" fillId="16" borderId="0" xfId="0" applyNumberFormat="1" applyFill="1" applyAlignment="1">
      <alignment vertical="center" wrapText="1"/>
    </xf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18" fillId="0" borderId="6" xfId="0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7" fillId="0" borderId="6" xfId="0" applyFont="1" applyBorder="1" applyAlignment="1">
      <alignment horizontal="center" vertical="center"/>
    </xf>
    <xf numFmtId="0" fontId="20" fillId="0" borderId="0" xfId="0" applyFont="1"/>
    <xf numFmtId="0" fontId="0" fillId="0" borderId="4" xfId="0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6" xfId="0" quotePrefix="1" applyFont="1" applyBorder="1" applyAlignment="1">
      <alignment horizontal="center" vertical="center" wrapText="1"/>
    </xf>
    <xf numFmtId="0" fontId="22" fillId="0" borderId="1" xfId="6" applyFont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22" fillId="0" borderId="6" xfId="6" applyFont="1" applyBorder="1" applyAlignment="1">
      <alignment horizontal="center" vertical="center" wrapText="1"/>
    </xf>
    <xf numFmtId="0" fontId="22" fillId="0" borderId="6" xfId="6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3" fillId="25" borderId="6" xfId="0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vertical="center" wrapText="1"/>
    </xf>
    <xf numFmtId="0" fontId="3" fillId="25" borderId="6" xfId="0" quotePrefix="1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horizontal="left" vertical="center" wrapText="1"/>
    </xf>
    <xf numFmtId="0" fontId="3" fillId="25" borderId="0" xfId="0" applyFont="1" applyFill="1" applyAlignment="1">
      <alignment vertical="center" wrapText="1"/>
    </xf>
    <xf numFmtId="0" fontId="3" fillId="26" borderId="6" xfId="0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vertical="center" wrapText="1"/>
    </xf>
    <xf numFmtId="0" fontId="22" fillId="26" borderId="6" xfId="6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horizontal="left" vertical="center" wrapText="1"/>
    </xf>
    <xf numFmtId="0" fontId="0" fillId="26" borderId="0" xfId="0" applyFill="1" applyAlignment="1">
      <alignment vertical="center" wrapText="1"/>
    </xf>
    <xf numFmtId="0" fontId="3" fillId="26" borderId="0" xfId="0" applyFont="1" applyFill="1" applyAlignment="1">
      <alignment vertical="center" wrapText="1"/>
    </xf>
    <xf numFmtId="167" fontId="3" fillId="25" borderId="6" xfId="0" applyNumberFormat="1" applyFont="1" applyFill="1" applyBorder="1" applyAlignment="1">
      <alignment horizontal="center" vertical="center" wrapText="1"/>
    </xf>
    <xf numFmtId="0" fontId="22" fillId="0" borderId="6" xfId="6" applyFont="1" applyBorder="1" applyAlignment="1">
      <alignment horizontal="center" vertical="center"/>
    </xf>
    <xf numFmtId="0" fontId="3" fillId="11" borderId="6" xfId="0" applyFont="1" applyFill="1" applyBorder="1" applyAlignment="1">
      <alignment horizontal="left" vertical="center" wrapText="1"/>
    </xf>
    <xf numFmtId="0" fontId="3" fillId="0" borderId="6" xfId="0" quotePrefix="1" applyFont="1" applyBorder="1" applyAlignment="1">
      <alignment horizontal="center" vertical="center"/>
    </xf>
    <xf numFmtId="0" fontId="3" fillId="19" borderId="6" xfId="0" applyFont="1" applyFill="1" applyBorder="1" applyAlignment="1">
      <alignment horizontal="center" vertical="center"/>
    </xf>
    <xf numFmtId="0" fontId="3" fillId="0" borderId="6" xfId="0" quotePrefix="1" applyFont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/>
    </xf>
    <xf numFmtId="0" fontId="17" fillId="0" borderId="6" xfId="0" quotePrefix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17" fillId="0" borderId="6" xfId="0" quotePrefix="1" applyFont="1" applyBorder="1" applyAlignment="1">
      <alignment vertical="center"/>
    </xf>
    <xf numFmtId="0" fontId="17" fillId="0" borderId="6" xfId="0" applyFont="1" applyBorder="1" applyAlignment="1">
      <alignment vertical="center" wrapText="1"/>
    </xf>
    <xf numFmtId="0" fontId="3" fillId="12" borderId="7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left" vertical="center" wrapText="1"/>
    </xf>
    <xf numFmtId="0" fontId="3" fillId="12" borderId="7" xfId="0" applyFont="1" applyFill="1" applyBorder="1" applyAlignment="1">
      <alignment horizontal="center" vertical="center" wrapText="1"/>
    </xf>
    <xf numFmtId="0" fontId="3" fillId="12" borderId="7" xfId="0" applyFont="1" applyFill="1" applyBorder="1" applyAlignment="1">
      <alignment vertical="center" wrapText="1"/>
    </xf>
    <xf numFmtId="0" fontId="3" fillId="12" borderId="7" xfId="0" quotePrefix="1" applyFont="1" applyFill="1" applyBorder="1" applyAlignment="1">
      <alignment horizontal="center" vertical="center"/>
    </xf>
    <xf numFmtId="0" fontId="0" fillId="25" borderId="0" xfId="0" applyFill="1"/>
    <xf numFmtId="0" fontId="3" fillId="25" borderId="6" xfId="0" applyFont="1" applyFill="1" applyBorder="1" applyAlignment="1">
      <alignment horizontal="center" vertical="center"/>
    </xf>
    <xf numFmtId="0" fontId="3" fillId="25" borderId="6" xfId="0" quotePrefix="1" applyFont="1" applyFill="1" applyBorder="1" applyAlignment="1">
      <alignment horizontal="center" vertical="center"/>
    </xf>
    <xf numFmtId="167" fontId="3" fillId="25" borderId="6" xfId="0" applyNumberFormat="1" applyFont="1" applyFill="1" applyBorder="1" applyAlignment="1">
      <alignment horizontal="center" vertical="center"/>
    </xf>
    <xf numFmtId="0" fontId="3" fillId="25" borderId="6" xfId="0" applyFont="1" applyFill="1" applyBorder="1" applyAlignment="1">
      <alignment vertical="center"/>
    </xf>
    <xf numFmtId="0" fontId="3" fillId="19" borderId="6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17" borderId="1" xfId="0" applyFont="1" applyFill="1" applyBorder="1" applyAlignment="1">
      <alignment horizontal="left" vertical="center" wrapText="1"/>
    </xf>
    <xf numFmtId="0" fontId="3" fillId="17" borderId="6" xfId="0" applyFont="1" applyFill="1" applyBorder="1" applyAlignment="1">
      <alignment horizontal="left" vertical="center" wrapText="1"/>
    </xf>
    <xf numFmtId="167" fontId="3" fillId="16" borderId="1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67" fontId="3" fillId="16" borderId="1" xfId="0" applyNumberFormat="1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/>
    </xf>
    <xf numFmtId="0" fontId="3" fillId="11" borderId="6" xfId="0" quotePrefix="1" applyFon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167" fontId="3" fillId="12" borderId="1" xfId="0" applyNumberFormat="1" applyFont="1" applyFill="1" applyBorder="1" applyAlignment="1">
      <alignment horizontal="center" vertical="center" wrapText="1"/>
    </xf>
    <xf numFmtId="167" fontId="3" fillId="12" borderId="1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49" fontId="3" fillId="12" borderId="6" xfId="0" applyNumberFormat="1" applyFont="1" applyFill="1" applyBorder="1" applyAlignment="1">
      <alignment horizontal="center" vertical="center"/>
    </xf>
    <xf numFmtId="2" fontId="3" fillId="12" borderId="6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0" fillId="12" borderId="28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 wrapText="1"/>
    </xf>
    <xf numFmtId="49" fontId="3" fillId="0" borderId="6" xfId="0" quotePrefix="1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3" fillId="11" borderId="6" xfId="0" applyFont="1" applyFill="1" applyBorder="1" applyAlignment="1">
      <alignment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167" fontId="3" fillId="14" borderId="1" xfId="0" applyNumberFormat="1" applyFont="1" applyFill="1" applyBorder="1" applyAlignment="1">
      <alignment horizontal="center" vertical="center" wrapText="1"/>
    </xf>
    <xf numFmtId="167" fontId="3" fillId="14" borderId="1" xfId="0" applyNumberFormat="1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/>
    </xf>
    <xf numFmtId="49" fontId="3" fillId="14" borderId="6" xfId="0" applyNumberFormat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vertical="center"/>
    </xf>
    <xf numFmtId="167" fontId="3" fillId="14" borderId="1" xfId="0" applyNumberFormat="1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49" fontId="3" fillId="0" borderId="10" xfId="0" applyNumberFormat="1" applyFont="1" applyBorder="1" applyAlignment="1">
      <alignment horizontal="center" vertical="center"/>
    </xf>
    <xf numFmtId="0" fontId="3" fillId="11" borderId="1" xfId="0" quotePrefix="1" applyFont="1" applyFill="1" applyBorder="1" applyAlignment="1">
      <alignment horizontal="center" vertical="center" wrapText="1"/>
    </xf>
    <xf numFmtId="0" fontId="3" fillId="7" borderId="6" xfId="0" quotePrefix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6" xfId="0" quotePrefix="1" applyNumberFormat="1" applyFont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11" borderId="12" xfId="0" quotePrefix="1" applyFont="1" applyFill="1" applyBorder="1" applyAlignment="1">
      <alignment horizontal="center" vertical="center"/>
    </xf>
    <xf numFmtId="167" fontId="3" fillId="16" borderId="7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11" borderId="0" xfId="0" quotePrefix="1" applyFont="1" applyFill="1" applyAlignment="1">
      <alignment horizontal="center" vertical="center"/>
    </xf>
    <xf numFmtId="167" fontId="3" fillId="16" borderId="7" xfId="0" applyNumberFormat="1" applyFont="1" applyFill="1" applyBorder="1" applyAlignment="1">
      <alignment horizontal="center" vertical="center" wrapText="1"/>
    </xf>
    <xf numFmtId="2" fontId="3" fillId="0" borderId="0" xfId="0" quotePrefix="1" applyNumberFormat="1" applyFont="1" applyAlignment="1">
      <alignment horizontal="center" vertical="center"/>
    </xf>
    <xf numFmtId="0" fontId="3" fillId="16" borderId="7" xfId="0" applyFont="1" applyFill="1" applyBorder="1" applyAlignment="1">
      <alignment vertical="center"/>
    </xf>
    <xf numFmtId="0" fontId="3" fillId="12" borderId="7" xfId="0" applyFont="1" applyFill="1" applyBorder="1" applyAlignment="1">
      <alignment vertical="center"/>
    </xf>
    <xf numFmtId="0" fontId="0" fillId="12" borderId="7" xfId="0" applyFill="1" applyBorder="1" applyAlignment="1">
      <alignment vertical="center"/>
    </xf>
    <xf numFmtId="0" fontId="0" fillId="12" borderId="29" xfId="0" applyFill="1" applyBorder="1" applyAlignment="1">
      <alignment vertical="center"/>
    </xf>
    <xf numFmtId="0" fontId="0" fillId="12" borderId="15" xfId="0" applyFill="1" applyBorder="1" applyAlignment="1">
      <alignment vertical="center"/>
    </xf>
    <xf numFmtId="0" fontId="3" fillId="16" borderId="6" xfId="0" applyFont="1" applyFill="1" applyBorder="1" applyAlignment="1">
      <alignment vertical="center"/>
    </xf>
    <xf numFmtId="0" fontId="3" fillId="16" borderId="6" xfId="0" applyFont="1" applyFill="1" applyBorder="1" applyAlignment="1">
      <alignment horizontal="center" vertical="center" wrapText="1"/>
    </xf>
    <xf numFmtId="2" fontId="17" fillId="0" borderId="6" xfId="0" quotePrefix="1" applyNumberFormat="1" applyFont="1" applyBorder="1" applyAlignment="1">
      <alignment horizontal="center" vertical="center"/>
    </xf>
    <xf numFmtId="167" fontId="3" fillId="16" borderId="6" xfId="0" applyNumberFormat="1" applyFont="1" applyFill="1" applyBorder="1" applyAlignment="1">
      <alignment vertical="center"/>
    </xf>
    <xf numFmtId="0" fontId="17" fillId="0" borderId="6" xfId="0" quotePrefix="1" applyFont="1" applyBorder="1" applyAlignment="1">
      <alignment horizontal="center" vertical="center" wrapText="1"/>
    </xf>
    <xf numFmtId="167" fontId="17" fillId="16" borderId="6" xfId="0" applyNumberFormat="1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6" xfId="0" quotePrefix="1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" xfId="0" quotePrefix="1" applyFont="1" applyBorder="1"/>
    <xf numFmtId="167" fontId="17" fillId="0" borderId="6" xfId="0" applyNumberFormat="1" applyFont="1" applyBorder="1" applyAlignment="1">
      <alignment horizontal="center" vertical="center"/>
    </xf>
    <xf numFmtId="167" fontId="17" fillId="0" borderId="6" xfId="0" applyNumberFormat="1" applyFont="1" applyBorder="1" applyAlignment="1">
      <alignment horizontal="center" vertical="center" wrapText="1"/>
    </xf>
    <xf numFmtId="167" fontId="17" fillId="16" borderId="6" xfId="0" applyNumberFormat="1" applyFont="1" applyFill="1" applyBorder="1" applyAlignment="1">
      <alignment horizontal="center" vertical="center"/>
    </xf>
    <xf numFmtId="0" fontId="17" fillId="0" borderId="6" xfId="0" applyFont="1" applyBorder="1"/>
    <xf numFmtId="0" fontId="17" fillId="0" borderId="6" xfId="0" quotePrefix="1" applyFont="1" applyBorder="1"/>
    <xf numFmtId="167" fontId="17" fillId="16" borderId="6" xfId="0" applyNumberFormat="1" applyFont="1" applyFill="1" applyBorder="1" applyAlignment="1">
      <alignment vertical="center"/>
    </xf>
    <xf numFmtId="0" fontId="17" fillId="16" borderId="6" xfId="0" applyFont="1" applyFill="1" applyBorder="1" applyAlignment="1">
      <alignment vertical="center"/>
    </xf>
    <xf numFmtId="0" fontId="22" fillId="11" borderId="6" xfId="6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22" fillId="0" borderId="9" xfId="6" applyFont="1" applyBorder="1" applyAlignment="1">
      <alignment horizontal="center" vertical="center" wrapText="1"/>
    </xf>
    <xf numFmtId="0" fontId="27" fillId="14" borderId="0" xfId="0" applyFont="1" applyFill="1"/>
    <xf numFmtId="0" fontId="22" fillId="0" borderId="0" xfId="6" applyFont="1" applyFill="1" applyAlignment="1">
      <alignment horizontal="center" vertical="center" wrapText="1"/>
    </xf>
    <xf numFmtId="0" fontId="22" fillId="0" borderId="6" xfId="6" applyFont="1" applyFill="1" applyBorder="1" applyAlignment="1">
      <alignment horizontal="center" vertical="center"/>
    </xf>
    <xf numFmtId="0" fontId="22" fillId="19" borderId="6" xfId="6" applyFont="1" applyFill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6" xfId="0" quotePrefix="1" applyFont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14" fillId="0" borderId="4" xfId="0" applyFont="1" applyBorder="1" applyAlignment="1">
      <alignment wrapText="1"/>
    </xf>
    <xf numFmtId="0" fontId="14" fillId="0" borderId="17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14" xfId="0" quotePrefix="1" applyFont="1" applyBorder="1" applyAlignment="1">
      <alignment wrapText="1"/>
    </xf>
    <xf numFmtId="0" fontId="14" fillId="0" borderId="17" xfId="0" quotePrefix="1" applyFont="1" applyBorder="1" applyAlignment="1">
      <alignment wrapText="1"/>
    </xf>
    <xf numFmtId="0" fontId="14" fillId="14" borderId="17" xfId="0" applyFont="1" applyFill="1" applyBorder="1" applyAlignment="1">
      <alignment wrapText="1"/>
    </xf>
    <xf numFmtId="0" fontId="14" fillId="14" borderId="14" xfId="0" applyFont="1" applyFill="1" applyBorder="1" applyAlignment="1">
      <alignment wrapText="1"/>
    </xf>
    <xf numFmtId="0" fontId="14" fillId="0" borderId="8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0" xfId="0" applyFont="1" applyAlignment="1">
      <alignment wrapText="1"/>
    </xf>
    <xf numFmtId="0" fontId="18" fillId="0" borderId="6" xfId="0" applyFont="1" applyBorder="1" applyAlignment="1">
      <alignment wrapText="1"/>
    </xf>
    <xf numFmtId="0" fontId="14" fillId="0" borderId="6" xfId="0" applyFont="1" applyBorder="1"/>
    <xf numFmtId="0" fontId="14" fillId="23" borderId="6" xfId="0" applyFont="1" applyFill="1" applyBorder="1" applyAlignment="1">
      <alignment wrapText="1"/>
    </xf>
    <xf numFmtId="0" fontId="14" fillId="0" borderId="6" xfId="0" quotePrefix="1" applyFont="1" applyBorder="1"/>
    <xf numFmtId="0" fontId="14" fillId="19" borderId="6" xfId="0" applyFont="1" applyFill="1" applyBorder="1" applyAlignment="1">
      <alignment wrapText="1"/>
    </xf>
    <xf numFmtId="0" fontId="14" fillId="27" borderId="6" xfId="0" applyFont="1" applyFill="1" applyBorder="1" applyAlignment="1">
      <alignment wrapText="1"/>
    </xf>
    <xf numFmtId="167" fontId="14" fillId="0" borderId="6" xfId="0" applyNumberFormat="1" applyFont="1" applyBorder="1" applyAlignment="1">
      <alignment horizontal="center" vertical="center"/>
    </xf>
    <xf numFmtId="167" fontId="14" fillId="0" borderId="6" xfId="0" applyNumberFormat="1" applyFont="1" applyBorder="1" applyAlignment="1">
      <alignment horizontal="center" vertical="center" wrapText="1"/>
    </xf>
    <xf numFmtId="0" fontId="14" fillId="27" borderId="6" xfId="0" quotePrefix="1" applyFont="1" applyFill="1" applyBorder="1" applyAlignment="1">
      <alignment wrapText="1"/>
    </xf>
    <xf numFmtId="0" fontId="14" fillId="0" borderId="6" xfId="0" quotePrefix="1" applyFont="1" applyBorder="1" applyAlignment="1">
      <alignment wrapText="1"/>
    </xf>
    <xf numFmtId="167" fontId="14" fillId="16" borderId="6" xfId="0" applyNumberFormat="1" applyFont="1" applyFill="1" applyBorder="1" applyAlignment="1">
      <alignment horizontal="center" vertical="center"/>
    </xf>
    <xf numFmtId="167" fontId="14" fillId="16" borderId="6" xfId="0" applyNumberFormat="1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vertical="center"/>
    </xf>
    <xf numFmtId="0" fontId="14" fillId="19" borderId="6" xfId="0" quotePrefix="1" applyFont="1" applyFill="1" applyBorder="1" applyAlignment="1">
      <alignment wrapText="1"/>
    </xf>
    <xf numFmtId="0" fontId="14" fillId="10" borderId="6" xfId="0" applyFont="1" applyFill="1" applyBorder="1" applyAlignment="1">
      <alignment vertical="center" wrapText="1"/>
    </xf>
    <xf numFmtId="0" fontId="14" fillId="10" borderId="6" xfId="0" quotePrefix="1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 wrapText="1"/>
    </xf>
    <xf numFmtId="0" fontId="14" fillId="11" borderId="6" xfId="0" applyFont="1" applyFill="1" applyBorder="1" applyAlignment="1">
      <alignment horizontal="center" vertical="center" wrapText="1"/>
    </xf>
    <xf numFmtId="0" fontId="14" fillId="11" borderId="6" xfId="0" quotePrefix="1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/>
    </xf>
    <xf numFmtId="0" fontId="3" fillId="0" borderId="9" xfId="0" quotePrefix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3" fillId="0" borderId="2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28" borderId="0" xfId="0" applyFont="1" applyFill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3" fillId="16" borderId="6" xfId="0" applyFont="1" applyFill="1" applyBorder="1"/>
    <xf numFmtId="0" fontId="30" fillId="0" borderId="6" xfId="0" applyFont="1" applyBorder="1" applyAlignment="1">
      <alignment horizontal="center" vertical="center"/>
    </xf>
    <xf numFmtId="0" fontId="3" fillId="11" borderId="6" xfId="0" applyFont="1" applyFill="1" applyBorder="1" applyAlignment="1">
      <alignment wrapText="1"/>
    </xf>
    <xf numFmtId="0" fontId="3" fillId="7" borderId="6" xfId="0" applyFont="1" applyFill="1" applyBorder="1"/>
    <xf numFmtId="0" fontId="3" fillId="11" borderId="6" xfId="0" applyFont="1" applyFill="1" applyBorder="1"/>
    <xf numFmtId="0" fontId="3" fillId="0" borderId="6" xfId="0" applyFont="1" applyBorder="1" applyAlignment="1">
      <alignment wrapText="1"/>
    </xf>
    <xf numFmtId="0" fontId="25" fillId="28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wrapText="1"/>
    </xf>
    <xf numFmtId="0" fontId="17" fillId="16" borderId="6" xfId="0" applyFont="1" applyFill="1" applyBorder="1"/>
    <xf numFmtId="0" fontId="22" fillId="7" borderId="6" xfId="6" applyFont="1" applyFill="1" applyBorder="1" applyAlignment="1">
      <alignment horizontal="center" vertical="center" wrapText="1"/>
    </xf>
    <xf numFmtId="0" fontId="3" fillId="26" borderId="6" xfId="0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center" vertical="center" wrapText="1"/>
    </xf>
    <xf numFmtId="0" fontId="3" fillId="26" borderId="6" xfId="0" quotePrefix="1" applyFont="1" applyFill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0" fillId="26" borderId="0" xfId="0" applyFill="1"/>
    <xf numFmtId="0" fontId="0" fillId="0" borderId="6" xfId="0" applyBorder="1" applyAlignment="1">
      <alignment horizontal="center" vertical="center"/>
    </xf>
    <xf numFmtId="0" fontId="26" fillId="0" borderId="6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4" fillId="0" borderId="0" xfId="0" applyFont="1" applyAlignment="1">
      <alignment wrapText="1"/>
    </xf>
    <xf numFmtId="0" fontId="34" fillId="0" borderId="0" xfId="0" applyFont="1"/>
    <xf numFmtId="0" fontId="3" fillId="0" borderId="0" xfId="0" applyFont="1" applyAlignment="1">
      <alignment wrapText="1"/>
    </xf>
    <xf numFmtId="0" fontId="36" fillId="13" borderId="0" xfId="0" applyFont="1" applyFill="1" applyAlignment="1">
      <alignment horizontal="center" vertical="center" wrapText="1"/>
    </xf>
    <xf numFmtId="0" fontId="22" fillId="0" borderId="1" xfId="6" applyFont="1" applyBorder="1" applyAlignment="1">
      <alignment horizontal="center" vertical="center" wrapText="1"/>
    </xf>
    <xf numFmtId="0" fontId="22" fillId="0" borderId="7" xfId="6" applyFont="1" applyBorder="1" applyAlignment="1">
      <alignment horizontal="center" vertical="center" wrapText="1"/>
    </xf>
    <xf numFmtId="0" fontId="22" fillId="0" borderId="0" xfId="6" applyFont="1" applyAlignment="1">
      <alignment wrapText="1"/>
    </xf>
    <xf numFmtId="0" fontId="3" fillId="16" borderId="7" xfId="0" applyFont="1" applyFill="1" applyBorder="1" applyAlignment="1">
      <alignment horizontal="center" vertical="center" wrapText="1"/>
    </xf>
    <xf numFmtId="0" fontId="0" fillId="16" borderId="0" xfId="0" applyFill="1"/>
    <xf numFmtId="0" fontId="22" fillId="0" borderId="0" xfId="6" applyFont="1" applyAlignment="1">
      <alignment horizontal="center" vertical="center" wrapText="1"/>
    </xf>
    <xf numFmtId="0" fontId="22" fillId="0" borderId="1" xfId="6" applyFont="1" applyBorder="1" applyAlignment="1">
      <alignment vertical="center" wrapText="1"/>
    </xf>
    <xf numFmtId="0" fontId="22" fillId="14" borderId="1" xfId="6" applyFont="1" applyFill="1" applyBorder="1" applyAlignment="1">
      <alignment horizontal="center" vertical="center" wrapText="1"/>
    </xf>
    <xf numFmtId="0" fontId="17" fillId="19" borderId="6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2" fontId="3" fillId="0" borderId="1" xfId="0" quotePrefix="1" applyNumberFormat="1" applyFont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2" fontId="4" fillId="0" borderId="1" xfId="0" quotePrefix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3" fillId="25" borderId="1" xfId="0" applyFont="1" applyFill="1" applyBorder="1" applyAlignment="1">
      <alignment vertical="center" wrapText="1"/>
    </xf>
    <xf numFmtId="49" fontId="3" fillId="0" borderId="1" xfId="0" quotePrefix="1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" fontId="3" fillId="0" borderId="1" xfId="0" quotePrefix="1" applyNumberFormat="1" applyFont="1" applyBorder="1" applyAlignment="1">
      <alignment horizontal="center" vertical="center" wrapText="1"/>
    </xf>
    <xf numFmtId="0" fontId="3" fillId="26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0" borderId="1" xfId="6" applyFont="1" applyFill="1" applyBorder="1" applyAlignment="1">
      <alignment horizontal="center" vertical="center" wrapText="1"/>
    </xf>
    <xf numFmtId="0" fontId="22" fillId="0" borderId="1" xfId="6" applyFont="1" applyFill="1" applyBorder="1" applyAlignment="1">
      <alignment vertical="center" wrapText="1"/>
    </xf>
    <xf numFmtId="166" fontId="3" fillId="0" borderId="1" xfId="1" applyNumberFormat="1" applyFont="1" applyFill="1" applyBorder="1" applyAlignment="1">
      <alignment vertical="center" wrapText="1"/>
    </xf>
    <xf numFmtId="166" fontId="18" fillId="0" borderId="1" xfId="1" applyNumberFormat="1" applyFont="1" applyFill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2" fillId="0" borderId="1" xfId="6" applyFont="1" applyFill="1" applyBorder="1" applyAlignment="1">
      <alignment horizontal="center" vertical="center"/>
    </xf>
    <xf numFmtId="0" fontId="24" fillId="0" borderId="1" xfId="6" applyFont="1" applyFill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vertical="center" wrapText="1"/>
    </xf>
    <xf numFmtId="2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vertical="center" wrapText="1"/>
    </xf>
    <xf numFmtId="0" fontId="4" fillId="0" borderId="1" xfId="0" quotePrefix="1" applyFont="1" applyBorder="1" applyAlignment="1">
      <alignment horizontal="center" vertical="center" wrapText="1"/>
    </xf>
    <xf numFmtId="166" fontId="11" fillId="0" borderId="1" xfId="1" applyNumberFormat="1" applyFont="1" applyFill="1" applyBorder="1" applyAlignment="1">
      <alignment horizontal="right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167" fontId="37" fillId="0" borderId="1" xfId="0" applyNumberFormat="1" applyFont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8" fillId="29" borderId="1" xfId="0" applyFont="1" applyFill="1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9" fillId="30" borderId="4" xfId="0" applyFont="1" applyFill="1" applyBorder="1" applyAlignment="1">
      <alignment vertical="center" wrapText="1"/>
    </xf>
    <xf numFmtId="0" fontId="8" fillId="30" borderId="1" xfId="0" applyFont="1" applyFill="1" applyBorder="1" applyAlignment="1">
      <alignment vertical="center" wrapText="1"/>
    </xf>
    <xf numFmtId="0" fontId="8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8" fillId="30" borderId="1" xfId="0" applyFont="1" applyFill="1" applyBorder="1" applyAlignment="1">
      <alignment horizontal="center" vertical="center" wrapText="1"/>
    </xf>
    <xf numFmtId="0" fontId="0" fillId="30" borderId="1" xfId="0" applyFill="1" applyBorder="1" applyAlignment="1">
      <alignment horizontal="center" vertical="center" wrapText="1"/>
    </xf>
    <xf numFmtId="0" fontId="0" fillId="30" borderId="1" xfId="0" applyFill="1" applyBorder="1" applyAlignment="1">
      <alignment vertical="center" wrapText="1"/>
    </xf>
    <xf numFmtId="0" fontId="0" fillId="30" borderId="2" xfId="0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vertical="center"/>
    </xf>
    <xf numFmtId="0" fontId="8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8" fillId="30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14" borderId="4" xfId="0" applyFont="1" applyFill="1" applyBorder="1" applyAlignment="1">
      <alignment vertical="center" wrapText="1"/>
    </xf>
    <xf numFmtId="0" fontId="0" fillId="30" borderId="1" xfId="0" applyFill="1" applyBorder="1" applyAlignment="1">
      <alignment wrapText="1"/>
    </xf>
    <xf numFmtId="49" fontId="8" fillId="30" borderId="4" xfId="0" applyNumberFormat="1" applyFont="1" applyFill="1" applyBorder="1" applyAlignment="1">
      <alignment vertical="center" wrapText="1"/>
    </xf>
    <xf numFmtId="0" fontId="0" fillId="30" borderId="4" xfId="0" applyFill="1" applyBorder="1" applyAlignment="1">
      <alignment vertical="center" wrapText="1"/>
    </xf>
    <xf numFmtId="0" fontId="0" fillId="30" borderId="1" xfId="0" applyFill="1" applyBorder="1" applyAlignment="1">
      <alignment horizontal="center" vertical="center"/>
    </xf>
    <xf numFmtId="0" fontId="0" fillId="15" borderId="4" xfId="0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/>
    </xf>
    <xf numFmtId="0" fontId="0" fillId="15" borderId="1" xfId="0" applyFill="1" applyBorder="1" applyAlignment="1">
      <alignment horizontal="center" vertical="center" wrapText="1"/>
    </xf>
    <xf numFmtId="0" fontId="8" fillId="15" borderId="1" xfId="0" applyFont="1" applyFill="1" applyBorder="1" applyAlignment="1">
      <alignment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vertical="center" wrapText="1"/>
    </xf>
    <xf numFmtId="0" fontId="6" fillId="30" borderId="4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0" fillId="30" borderId="7" xfId="0" applyFill="1" applyBorder="1" applyAlignment="1">
      <alignment vertical="center"/>
    </xf>
    <xf numFmtId="0" fontId="8" fillId="30" borderId="7" xfId="0" applyFont="1" applyFill="1" applyBorder="1" applyAlignment="1">
      <alignment horizontal="center" vertical="center"/>
    </xf>
    <xf numFmtId="0" fontId="0" fillId="30" borderId="7" xfId="0" applyFill="1" applyBorder="1" applyAlignment="1">
      <alignment vertical="center" wrapText="1"/>
    </xf>
    <xf numFmtId="0" fontId="0" fillId="30" borderId="7" xfId="0" applyFill="1" applyBorder="1" applyAlignment="1">
      <alignment horizontal="center" vertical="center" wrapText="1"/>
    </xf>
    <xf numFmtId="0" fontId="0" fillId="30" borderId="16" xfId="0" applyFill="1" applyBorder="1" applyAlignment="1">
      <alignment vertical="center" wrapText="1"/>
    </xf>
    <xf numFmtId="49" fontId="13" fillId="7" borderId="14" xfId="0" applyNumberFormat="1" applyFont="1" applyFill="1" applyBorder="1" applyAlignment="1">
      <alignment horizontal="center" vertical="center" wrapText="1"/>
    </xf>
    <xf numFmtId="49" fontId="13" fillId="7" borderId="17" xfId="0" applyNumberFormat="1" applyFont="1" applyFill="1" applyBorder="1" applyAlignment="1">
      <alignment horizontal="center" vertical="center" wrapText="1"/>
    </xf>
    <xf numFmtId="49" fontId="13" fillId="5" borderId="17" xfId="0" applyNumberFormat="1" applyFont="1" applyFill="1" applyBorder="1" applyAlignment="1">
      <alignment horizontal="center" vertical="center" wrapText="1"/>
    </xf>
    <xf numFmtId="49" fontId="13" fillId="7" borderId="30" xfId="0" applyNumberFormat="1" applyFont="1" applyFill="1" applyBorder="1" applyAlignment="1">
      <alignment horizontal="center" vertical="center" wrapText="1"/>
    </xf>
    <xf numFmtId="0" fontId="9" fillId="30" borderId="15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vertical="center"/>
    </xf>
    <xf numFmtId="0" fontId="8" fillId="30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30" borderId="1" xfId="0" applyFont="1" applyFill="1" applyBorder="1" applyAlignment="1">
      <alignment wrapText="1"/>
    </xf>
    <xf numFmtId="0" fontId="6" fillId="30" borderId="15" xfId="0" applyFont="1" applyFill="1" applyBorder="1" applyAlignment="1">
      <alignment vertical="center" wrapText="1"/>
    </xf>
    <xf numFmtId="0" fontId="6" fillId="30" borderId="7" xfId="0" applyFont="1" applyFill="1" applyBorder="1" applyAlignment="1">
      <alignment vertical="center" wrapText="1"/>
    </xf>
    <xf numFmtId="0" fontId="0" fillId="30" borderId="7" xfId="0" applyFill="1" applyBorder="1" applyAlignment="1">
      <alignment horizontal="center" vertical="center"/>
    </xf>
    <xf numFmtId="0" fontId="6" fillId="30" borderId="15" xfId="6" applyFont="1" applyFill="1" applyBorder="1" applyAlignment="1">
      <alignment vertical="center" wrapText="1"/>
    </xf>
    <xf numFmtId="0" fontId="6" fillId="30" borderId="1" xfId="0" applyFont="1" applyFill="1" applyBorder="1" applyAlignment="1">
      <alignment vertical="center" wrapText="1"/>
    </xf>
    <xf numFmtId="49" fontId="6" fillId="30" borderId="15" xfId="0" applyNumberFormat="1" applyFont="1" applyFill="1" applyBorder="1" applyAlignment="1">
      <alignment vertical="center" wrapText="1"/>
    </xf>
    <xf numFmtId="0" fontId="0" fillId="30" borderId="15" xfId="0" applyFill="1" applyBorder="1" applyAlignment="1">
      <alignment vertical="center" wrapText="1"/>
    </xf>
    <xf numFmtId="0" fontId="6" fillId="31" borderId="4" xfId="6" applyFont="1" applyFill="1" applyBorder="1" applyAlignment="1">
      <alignment vertical="center" wrapText="1"/>
    </xf>
    <xf numFmtId="0" fontId="6" fillId="30" borderId="4" xfId="6" applyFont="1" applyFill="1" applyBorder="1" applyAlignment="1">
      <alignment vertical="center" wrapText="1"/>
    </xf>
    <xf numFmtId="49" fontId="13" fillId="7" borderId="17" xfId="0" applyNumberFormat="1" applyFont="1" applyFill="1" applyBorder="1" applyAlignment="1">
      <alignment horizontal="right" vertical="center" wrapText="1"/>
    </xf>
    <xf numFmtId="0" fontId="8" fillId="30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 vertical="center"/>
    </xf>
    <xf numFmtId="0" fontId="8" fillId="15" borderId="1" xfId="0" applyFont="1" applyFill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30" borderId="7" xfId="0" applyFont="1" applyFill="1" applyBorder="1" applyAlignment="1">
      <alignment horizontal="right" vertical="center"/>
    </xf>
    <xf numFmtId="0" fontId="0" fillId="30" borderId="7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13" borderId="21" xfId="0" applyFont="1" applyFill="1" applyBorder="1" applyAlignment="1">
      <alignment horizontal="center" vertical="center" wrapText="1"/>
    </xf>
    <xf numFmtId="0" fontId="19" fillId="13" borderId="9" xfId="0" applyFont="1" applyFill="1" applyBorder="1" applyAlignment="1">
      <alignment horizontal="center" vertical="center" wrapText="1"/>
    </xf>
    <xf numFmtId="49" fontId="19" fillId="13" borderId="9" xfId="0" applyNumberFormat="1" applyFont="1" applyFill="1" applyBorder="1" applyAlignment="1">
      <alignment horizontal="center" vertical="center" wrapText="1"/>
    </xf>
    <xf numFmtId="166" fontId="19" fillId="13" borderId="9" xfId="1" applyNumberFormat="1" applyFont="1" applyFill="1" applyBorder="1" applyAlignment="1">
      <alignment horizontal="center" vertical="center" wrapText="1"/>
    </xf>
    <xf numFmtId="167" fontId="19" fillId="13" borderId="9" xfId="0" applyNumberFormat="1" applyFont="1" applyFill="1" applyBorder="1" applyAlignment="1">
      <alignment horizontal="center" vertical="center" wrapText="1"/>
    </xf>
    <xf numFmtId="42" fontId="19" fillId="13" borderId="9" xfId="0" applyNumberFormat="1" applyFont="1" applyFill="1" applyBorder="1" applyAlignment="1">
      <alignment horizontal="center" vertical="center" wrapText="1"/>
    </xf>
    <xf numFmtId="49" fontId="19" fillId="13" borderId="7" xfId="0" applyNumberFormat="1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vertical="center" wrapText="1"/>
    </xf>
    <xf numFmtId="0" fontId="19" fillId="13" borderId="7" xfId="0" applyFont="1" applyFill="1" applyBorder="1" applyAlignment="1">
      <alignment vertical="center" wrapText="1"/>
    </xf>
    <xf numFmtId="0" fontId="19" fillId="13" borderId="7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vertical="center" wrapText="1"/>
    </xf>
    <xf numFmtId="0" fontId="19" fillId="13" borderId="23" xfId="0" applyFont="1" applyFill="1" applyBorder="1" applyAlignment="1">
      <alignment vertical="center" wrapText="1"/>
    </xf>
    <xf numFmtId="0" fontId="6" fillId="31" borderId="4" xfId="0" applyFont="1" applyFill="1" applyBorder="1" applyAlignment="1">
      <alignment vertical="center" wrapText="1"/>
    </xf>
    <xf numFmtId="0" fontId="6" fillId="19" borderId="4" xfId="0" applyFont="1" applyFill="1" applyBorder="1" applyAlignment="1">
      <alignment vertical="center" wrapText="1"/>
    </xf>
    <xf numFmtId="168" fontId="3" fillId="0" borderId="1" xfId="1" applyNumberFormat="1" applyFont="1" applyBorder="1" applyAlignment="1">
      <alignment horizontal="left" vertical="center"/>
    </xf>
    <xf numFmtId="168" fontId="3" fillId="12" borderId="1" xfId="1" applyNumberFormat="1" applyFont="1" applyFill="1" applyBorder="1" applyAlignment="1">
      <alignment horizontal="left" vertical="center"/>
    </xf>
    <xf numFmtId="168" fontId="3" fillId="14" borderId="1" xfId="1" applyNumberFormat="1" applyFont="1" applyFill="1" applyBorder="1" applyAlignment="1">
      <alignment horizontal="left" vertical="center"/>
    </xf>
    <xf numFmtId="168" fontId="3" fillId="0" borderId="7" xfId="1" applyNumberFormat="1" applyFont="1" applyBorder="1" applyAlignment="1">
      <alignment horizontal="left" vertical="center"/>
    </xf>
    <xf numFmtId="168" fontId="3" fillId="12" borderId="7" xfId="1" applyNumberFormat="1" applyFont="1" applyFill="1" applyBorder="1" applyAlignment="1">
      <alignment horizontal="left" vertical="center"/>
    </xf>
    <xf numFmtId="168" fontId="3" fillId="0" borderId="6" xfId="1" applyNumberFormat="1" applyFont="1" applyBorder="1" applyAlignment="1">
      <alignment horizontal="left" vertical="center"/>
    </xf>
    <xf numFmtId="168" fontId="3" fillId="25" borderId="6" xfId="1" applyNumberFormat="1" applyFont="1" applyFill="1" applyBorder="1" applyAlignment="1">
      <alignment horizontal="left" vertical="center"/>
    </xf>
    <xf numFmtId="168" fontId="3" fillId="0" borderId="6" xfId="1" applyNumberFormat="1" applyFont="1" applyFill="1" applyBorder="1" applyAlignment="1">
      <alignment horizontal="left" vertical="center"/>
    </xf>
    <xf numFmtId="168" fontId="14" fillId="0" borderId="6" xfId="1" applyNumberFormat="1" applyFont="1" applyFill="1" applyBorder="1" applyAlignment="1">
      <alignment horizontal="left" vertical="center"/>
    </xf>
    <xf numFmtId="168" fontId="14" fillId="0" borderId="6" xfId="1" applyNumberFormat="1" applyFont="1" applyBorder="1" applyAlignment="1">
      <alignment horizontal="left" vertical="center"/>
    </xf>
    <xf numFmtId="168" fontId="3" fillId="0" borderId="6" xfId="1" applyNumberFormat="1" applyFont="1" applyBorder="1" applyAlignment="1">
      <alignment horizontal="center" vertical="center"/>
    </xf>
    <xf numFmtId="168" fontId="17" fillId="0" borderId="6" xfId="1" applyNumberFormat="1" applyFont="1" applyFill="1" applyBorder="1" applyAlignment="1">
      <alignment horizontal="left" vertical="center"/>
    </xf>
    <xf numFmtId="168" fontId="17" fillId="0" borderId="6" xfId="1" applyNumberFormat="1" applyFont="1" applyBorder="1" applyAlignment="1">
      <alignment horizontal="left" vertical="center"/>
    </xf>
    <xf numFmtId="168" fontId="17" fillId="0" borderId="6" xfId="0" applyNumberFormat="1" applyFont="1" applyBorder="1" applyAlignment="1">
      <alignment horizontal="center" vertical="center" wrapText="1"/>
    </xf>
    <xf numFmtId="168" fontId="17" fillId="26" borderId="6" xfId="0" applyNumberFormat="1" applyFont="1" applyFill="1" applyBorder="1" applyAlignment="1">
      <alignment horizontal="center" vertical="center" wrapText="1"/>
    </xf>
    <xf numFmtId="168" fontId="17" fillId="0" borderId="6" xfId="1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35" fillId="13" borderId="1" xfId="0" applyFont="1" applyFill="1" applyBorder="1" applyAlignment="1">
      <alignment vertical="center" wrapText="1"/>
    </xf>
    <xf numFmtId="0" fontId="0" fillId="0" borderId="17" xfId="0" applyBorder="1" applyAlignment="1">
      <alignment vertical="center" wrapText="1"/>
    </xf>
    <xf numFmtId="168" fontId="3" fillId="12" borderId="1" xfId="0" applyNumberFormat="1" applyFont="1" applyFill="1" applyBorder="1" applyAlignment="1">
      <alignment horizontal="center" vertical="center" wrapText="1"/>
    </xf>
    <xf numFmtId="168" fontId="3" fillId="14" borderId="1" xfId="0" applyNumberFormat="1" applyFont="1" applyFill="1" applyBorder="1" applyAlignment="1">
      <alignment horizontal="center" vertical="center" wrapText="1"/>
    </xf>
    <xf numFmtId="168" fontId="3" fillId="0" borderId="7" xfId="0" applyNumberFormat="1" applyFont="1" applyBorder="1" applyAlignment="1">
      <alignment horizontal="center" vertical="center" wrapText="1"/>
    </xf>
    <xf numFmtId="168" fontId="3" fillId="12" borderId="7" xfId="0" applyNumberFormat="1" applyFont="1" applyFill="1" applyBorder="1" applyAlignment="1">
      <alignment horizontal="center" vertical="center" wrapText="1"/>
    </xf>
    <xf numFmtId="168" fontId="3" fillId="0" borderId="6" xfId="0" applyNumberFormat="1" applyFont="1" applyBorder="1" applyAlignment="1">
      <alignment horizontal="center" vertical="center" wrapText="1"/>
    </xf>
    <xf numFmtId="168" fontId="3" fillId="25" borderId="6" xfId="0" applyNumberFormat="1" applyFont="1" applyFill="1" applyBorder="1" applyAlignment="1">
      <alignment horizontal="center" vertical="center" wrapText="1"/>
    </xf>
    <xf numFmtId="168" fontId="14" fillId="0" borderId="6" xfId="0" applyNumberFormat="1" applyFont="1" applyBorder="1" applyAlignment="1">
      <alignment horizontal="center" vertical="center" wrapText="1"/>
    </xf>
    <xf numFmtId="168" fontId="3" fillId="0" borderId="6" xfId="0" applyNumberFormat="1" applyFont="1" applyBorder="1"/>
    <xf numFmtId="168" fontId="3" fillId="0" borderId="6" xfId="0" applyNumberFormat="1" applyFont="1" applyBorder="1" applyAlignment="1">
      <alignment vertical="center"/>
    </xf>
    <xf numFmtId="168" fontId="3" fillId="0" borderId="6" xfId="0" applyNumberFormat="1" applyFont="1" applyBorder="1" applyAlignment="1">
      <alignment horizontal="center" vertical="center"/>
    </xf>
    <xf numFmtId="168" fontId="17" fillId="0" borderId="6" xfId="0" applyNumberFormat="1" applyFont="1" applyBorder="1" applyAlignment="1">
      <alignment vertical="center"/>
    </xf>
    <xf numFmtId="0" fontId="6" fillId="31" borderId="15" xfId="0" applyFont="1" applyFill="1" applyBorder="1" applyAlignment="1">
      <alignment vertical="center" wrapText="1"/>
    </xf>
    <xf numFmtId="0" fontId="6" fillId="31" borderId="7" xfId="0" applyFont="1" applyFill="1" applyBorder="1" applyAlignment="1">
      <alignment vertical="center" wrapText="1"/>
    </xf>
    <xf numFmtId="0" fontId="0" fillId="31" borderId="7" xfId="0" applyFill="1" applyBorder="1" applyAlignment="1">
      <alignment horizontal="center" vertical="center"/>
    </xf>
    <xf numFmtId="0" fontId="0" fillId="31" borderId="7" xfId="0" applyFill="1" applyBorder="1" applyAlignment="1">
      <alignment vertical="center"/>
    </xf>
    <xf numFmtId="0" fontId="0" fillId="31" borderId="7" xfId="0" applyFill="1" applyBorder="1" applyAlignment="1">
      <alignment vertical="center" wrapText="1"/>
    </xf>
    <xf numFmtId="0" fontId="0" fillId="31" borderId="7" xfId="0" applyFill="1" applyBorder="1" applyAlignment="1">
      <alignment horizontal="center" vertical="center" wrapText="1"/>
    </xf>
    <xf numFmtId="0" fontId="0" fillId="31" borderId="16" xfId="0" applyFill="1" applyBorder="1" applyAlignment="1">
      <alignment vertical="center" wrapText="1"/>
    </xf>
    <xf numFmtId="0" fontId="0" fillId="19" borderId="0" xfId="0" applyFill="1" applyAlignment="1">
      <alignment vertical="center"/>
    </xf>
    <xf numFmtId="0" fontId="17" fillId="0" borderId="9" xfId="0" applyFont="1" applyBorder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5" borderId="7" xfId="0" applyFont="1" applyFill="1" applyBorder="1" applyAlignment="1">
      <alignment horizontal="center" vertical="center" wrapText="1"/>
    </xf>
    <xf numFmtId="49" fontId="40" fillId="5" borderId="7" xfId="0" applyNumberFormat="1" applyFont="1" applyFill="1" applyBorder="1" applyAlignment="1">
      <alignment horizontal="center" vertical="center" wrapText="1"/>
    </xf>
    <xf numFmtId="168" fontId="40" fillId="5" borderId="7" xfId="0" applyNumberFormat="1" applyFont="1" applyFill="1" applyBorder="1" applyAlignment="1">
      <alignment horizontal="center" vertical="center" wrapText="1"/>
    </xf>
    <xf numFmtId="168" fontId="40" fillId="5" borderId="7" xfId="1" applyNumberFormat="1" applyFont="1" applyFill="1" applyBorder="1" applyAlignment="1">
      <alignment horizontal="center" vertical="center" wrapText="1"/>
    </xf>
    <xf numFmtId="49" fontId="40" fillId="2" borderId="7" xfId="0" applyNumberFormat="1" applyFont="1" applyFill="1" applyBorder="1" applyAlignment="1">
      <alignment horizontal="center" vertical="center" wrapText="1"/>
    </xf>
    <xf numFmtId="49" fontId="40" fillId="16" borderId="7" xfId="0" applyNumberFormat="1" applyFont="1" applyFill="1" applyBorder="1" applyAlignment="1">
      <alignment horizontal="center" vertical="center" wrapText="1"/>
    </xf>
    <xf numFmtId="49" fontId="40" fillId="3" borderId="7" xfId="0" applyNumberFormat="1" applyFont="1" applyFill="1" applyBorder="1" applyAlignment="1">
      <alignment horizontal="center" vertical="center" wrapText="1"/>
    </xf>
    <xf numFmtId="0" fontId="39" fillId="24" borderId="25" xfId="0" applyFont="1" applyFill="1" applyBorder="1" applyAlignment="1">
      <alignment horizontal="center" vertical="center" wrapText="1"/>
    </xf>
    <xf numFmtId="0" fontId="39" fillId="9" borderId="7" xfId="0" applyFont="1" applyFill="1" applyBorder="1" applyAlignment="1">
      <alignment horizontal="center" vertical="center" wrapText="1"/>
    </xf>
    <xf numFmtId="0" fontId="39" fillId="9" borderId="5" xfId="0" applyFont="1" applyFill="1" applyBorder="1" applyAlignment="1">
      <alignment horizontal="center" vertical="center"/>
    </xf>
    <xf numFmtId="0" fontId="39" fillId="9" borderId="5" xfId="0" applyFont="1" applyFill="1" applyBorder="1" applyAlignment="1">
      <alignment horizontal="center" vertical="center" wrapText="1"/>
    </xf>
    <xf numFmtId="0" fontId="39" fillId="9" borderId="27" xfId="0" applyFont="1" applyFill="1" applyBorder="1" applyAlignment="1">
      <alignment vertical="center" wrapText="1"/>
    </xf>
    <xf numFmtId="0" fontId="39" fillId="7" borderId="0" xfId="0" applyFont="1" applyFill="1" applyAlignment="1">
      <alignment horizontal="center" vertical="center" wrapText="1"/>
    </xf>
    <xf numFmtId="0" fontId="39" fillId="6" borderId="0" xfId="0" applyFont="1" applyFill="1" applyAlignment="1">
      <alignment horizontal="center" vertical="center" wrapText="1"/>
    </xf>
    <xf numFmtId="0" fontId="17" fillId="29" borderId="6" xfId="0" applyFont="1" applyFill="1" applyBorder="1" applyAlignment="1">
      <alignment vertical="center"/>
    </xf>
    <xf numFmtId="0" fontId="17" fillId="11" borderId="6" xfId="0" applyFont="1" applyFill="1" applyBorder="1" applyAlignment="1">
      <alignment horizontal="center" vertical="center"/>
    </xf>
    <xf numFmtId="49" fontId="17" fillId="0" borderId="6" xfId="0" quotePrefix="1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vertical="center"/>
    </xf>
    <xf numFmtId="49" fontId="17" fillId="0" borderId="6" xfId="0" quotePrefix="1" applyNumberFormat="1" applyFont="1" applyBorder="1" applyAlignment="1">
      <alignment vertical="center"/>
    </xf>
    <xf numFmtId="0" fontId="4" fillId="25" borderId="6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8" fillId="27" borderId="1" xfId="0" applyFont="1" applyFill="1" applyBorder="1" applyAlignment="1">
      <alignment horizontal="left" vertical="center"/>
    </xf>
    <xf numFmtId="0" fontId="42" fillId="0" borderId="0" xfId="0" applyFont="1"/>
    <xf numFmtId="0" fontId="8" fillId="31" borderId="7" xfId="0" applyFont="1" applyFill="1" applyBorder="1" applyAlignment="1">
      <alignment horizontal="right" vertical="center"/>
    </xf>
    <xf numFmtId="0" fontId="6" fillId="0" borderId="15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8" fillId="17" borderId="7" xfId="0" applyFont="1" applyFill="1" applyBorder="1" applyAlignment="1">
      <alignment vertical="center"/>
    </xf>
    <xf numFmtId="0" fontId="8" fillId="17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2" fontId="11" fillId="13" borderId="9" xfId="0" applyNumberFormat="1" applyFont="1" applyFill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17" fillId="29" borderId="6" xfId="0" applyFont="1" applyFill="1" applyBorder="1" applyAlignment="1">
      <alignment horizontal="center" vertical="center" wrapText="1"/>
    </xf>
    <xf numFmtId="0" fontId="34" fillId="0" borderId="0" xfId="0" applyFont="1" applyAlignment="1">
      <alignment vertical="top" wrapText="1"/>
    </xf>
    <xf numFmtId="42" fontId="3" fillId="0" borderId="1" xfId="0" applyNumberFormat="1" applyFont="1" applyBorder="1" applyAlignment="1">
      <alignment vertical="center" wrapText="1"/>
    </xf>
    <xf numFmtId="0" fontId="22" fillId="0" borderId="7" xfId="6" applyFont="1" applyBorder="1" applyAlignment="1">
      <alignment vertical="center" wrapText="1"/>
    </xf>
    <xf numFmtId="0" fontId="0" fillId="30" borderId="7" xfId="0" quotePrefix="1" applyFill="1" applyBorder="1" applyAlignment="1">
      <alignment horizontal="center" vertical="center" wrapText="1"/>
    </xf>
    <xf numFmtId="0" fontId="0" fillId="30" borderId="7" xfId="0" quotePrefix="1" applyFill="1" applyBorder="1" applyAlignment="1">
      <alignment vertical="center" wrapText="1"/>
    </xf>
    <xf numFmtId="0" fontId="0" fillId="30" borderId="1" xfId="0" quotePrefix="1" applyFill="1" applyBorder="1" applyAlignment="1">
      <alignment vertical="center" wrapText="1"/>
    </xf>
    <xf numFmtId="0" fontId="0" fillId="30" borderId="1" xfId="0" quotePrefix="1" applyFill="1" applyBorder="1" applyAlignment="1">
      <alignment horizontal="center" vertical="center" wrapText="1"/>
    </xf>
    <xf numFmtId="0" fontId="19" fillId="13" borderId="23" xfId="0" applyFont="1" applyFill="1" applyBorder="1" applyAlignment="1">
      <alignment horizontal="center" vertical="center" wrapText="1"/>
    </xf>
    <xf numFmtId="49" fontId="40" fillId="3" borderId="8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 wrapText="1"/>
    </xf>
    <xf numFmtId="0" fontId="0" fillId="0" borderId="0" xfId="0" quotePrefix="1" applyAlignment="1">
      <alignment vertical="center" wrapText="1"/>
    </xf>
    <xf numFmtId="0" fontId="5" fillId="30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6" fillId="30" borderId="7" xfId="0" applyFont="1" applyFill="1" applyBorder="1" applyAlignment="1">
      <alignment wrapText="1"/>
    </xf>
    <xf numFmtId="0" fontId="0" fillId="25" borderId="0" xfId="0" applyFill="1" applyAlignment="1">
      <alignment vertical="center" wrapText="1"/>
    </xf>
    <xf numFmtId="0" fontId="6" fillId="30" borderId="8" xfId="0" applyFont="1" applyFill="1" applyBorder="1" applyAlignment="1">
      <alignment vertical="center" wrapText="1"/>
    </xf>
    <xf numFmtId="0" fontId="0" fillId="30" borderId="2" xfId="0" quotePrefix="1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1" xfId="0" applyFill="1" applyBorder="1" applyAlignment="1">
      <alignment vertical="center" wrapText="1"/>
    </xf>
    <xf numFmtId="0" fontId="3" fillId="0" borderId="21" xfId="0" applyFont="1" applyBorder="1" applyAlignment="1">
      <alignment horizontal="left" vertical="center" wrapText="1"/>
    </xf>
    <xf numFmtId="0" fontId="19" fillId="19" borderId="0" xfId="0" applyFont="1" applyFill="1" applyAlignment="1">
      <alignment vertical="center" wrapText="1"/>
    </xf>
    <xf numFmtId="0" fontId="3" fillId="19" borderId="0" xfId="0" applyFont="1" applyFill="1" applyAlignment="1">
      <alignment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4" fillId="19" borderId="0" xfId="0" applyFont="1" applyFill="1"/>
    <xf numFmtId="0" fontId="14" fillId="19" borderId="0" xfId="0" applyFont="1" applyFill="1" applyAlignment="1">
      <alignment vertical="center" wrapText="1"/>
    </xf>
    <xf numFmtId="0" fontId="11" fillId="19" borderId="0" xfId="0" applyFont="1" applyFill="1" applyAlignment="1">
      <alignment vertical="center" wrapText="1"/>
    </xf>
    <xf numFmtId="0" fontId="3" fillId="19" borderId="0" xfId="0" applyFont="1" applyFill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left" vertical="center" wrapText="1"/>
    </xf>
    <xf numFmtId="0" fontId="3" fillId="19" borderId="9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 wrapText="1"/>
    </xf>
    <xf numFmtId="166" fontId="4" fillId="0" borderId="1" xfId="1" applyNumberFormat="1" applyFont="1" applyFill="1" applyBorder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43" fillId="0" borderId="6" xfId="6" applyFont="1" applyBorder="1" applyAlignment="1">
      <alignment horizontal="center" vertical="center" wrapText="1"/>
    </xf>
    <xf numFmtId="0" fontId="11" fillId="19" borderId="6" xfId="6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left" vertical="center" wrapText="1"/>
    </xf>
    <xf numFmtId="168" fontId="17" fillId="26" borderId="6" xfId="1" applyNumberFormat="1" applyFont="1" applyFill="1" applyBorder="1" applyAlignment="1">
      <alignment horizontal="left" vertical="center"/>
    </xf>
    <xf numFmtId="0" fontId="17" fillId="26" borderId="6" xfId="0" applyFont="1" applyFill="1" applyBorder="1" applyAlignment="1">
      <alignment vertical="center"/>
    </xf>
    <xf numFmtId="0" fontId="17" fillId="26" borderId="6" xfId="0" applyFont="1" applyFill="1" applyBorder="1" applyAlignment="1">
      <alignment vertical="center" wrapText="1"/>
    </xf>
    <xf numFmtId="0" fontId="17" fillId="26" borderId="6" xfId="0" quotePrefix="1" applyFont="1" applyFill="1" applyBorder="1" applyAlignment="1">
      <alignment horizontal="center" vertical="center"/>
    </xf>
    <xf numFmtId="167" fontId="17" fillId="26" borderId="6" xfId="0" applyNumberFormat="1" applyFont="1" applyFill="1" applyBorder="1" applyAlignment="1">
      <alignment horizontal="center" vertical="center"/>
    </xf>
    <xf numFmtId="0" fontId="17" fillId="26" borderId="6" xfId="0" quotePrefix="1" applyFont="1" applyFill="1" applyBorder="1" applyAlignment="1">
      <alignment vertical="center"/>
    </xf>
    <xf numFmtId="167" fontId="17" fillId="26" borderId="6" xfId="0" applyNumberFormat="1" applyFont="1" applyFill="1" applyBorder="1" applyAlignment="1">
      <alignment vertical="center"/>
    </xf>
    <xf numFmtId="0" fontId="22" fillId="26" borderId="6" xfId="6" applyFont="1" applyFill="1" applyBorder="1" applyAlignment="1">
      <alignment horizontal="center" vertical="center"/>
    </xf>
    <xf numFmtId="0" fontId="17" fillId="26" borderId="0" xfId="0" applyFont="1" applyFill="1" applyAlignment="1">
      <alignment vertical="center"/>
    </xf>
    <xf numFmtId="49" fontId="19" fillId="13" borderId="9" xfId="0" applyNumberFormat="1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right" vertical="center"/>
    </xf>
    <xf numFmtId="166" fontId="3" fillId="0" borderId="1" xfId="1" applyNumberFormat="1" applyFont="1" applyFill="1" applyBorder="1" applyAlignment="1">
      <alignment horizontal="center" vertical="center" wrapText="1"/>
    </xf>
    <xf numFmtId="42" fontId="3" fillId="0" borderId="1" xfId="0" applyNumberFormat="1" applyFont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vertical="center" wrapText="1"/>
    </xf>
    <xf numFmtId="0" fontId="21" fillId="0" borderId="6" xfId="6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center" vertical="center"/>
    </xf>
    <xf numFmtId="168" fontId="17" fillId="0" borderId="9" xfId="1" applyNumberFormat="1" applyFont="1" applyBorder="1" applyAlignment="1">
      <alignment horizontal="left" vertical="center"/>
    </xf>
    <xf numFmtId="0" fontId="17" fillId="11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vertical="center" wrapText="1"/>
    </xf>
    <xf numFmtId="0" fontId="17" fillId="0" borderId="9" xfId="0" quotePrefix="1" applyFont="1" applyBorder="1" applyAlignment="1">
      <alignment horizontal="center" vertical="center"/>
    </xf>
    <xf numFmtId="167" fontId="17" fillId="16" borderId="9" xfId="0" applyNumberFormat="1" applyFont="1" applyFill="1" applyBorder="1" applyAlignment="1">
      <alignment horizontal="center" vertical="center"/>
    </xf>
    <xf numFmtId="0" fontId="17" fillId="0" borderId="9" xfId="0" quotePrefix="1" applyFont="1" applyBorder="1" applyAlignment="1">
      <alignment vertical="center"/>
    </xf>
    <xf numFmtId="0" fontId="17" fillId="16" borderId="9" xfId="0" applyFont="1" applyFill="1" applyBorder="1" applyAlignment="1">
      <alignment vertical="center"/>
    </xf>
    <xf numFmtId="167" fontId="3" fillId="0" borderId="1" xfId="0" applyNumberFormat="1" applyFont="1" applyBorder="1" applyAlignment="1">
      <alignment horizontal="center" vertical="center" wrapText="1"/>
    </xf>
    <xf numFmtId="0" fontId="22" fillId="0" borderId="7" xfId="6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3" fillId="0" borderId="1" xfId="0" applyFont="1" applyBorder="1" applyAlignment="1">
      <alignment vertical="center" wrapText="1"/>
    </xf>
    <xf numFmtId="0" fontId="21" fillId="0" borderId="1" xfId="6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42" fontId="19" fillId="0" borderId="1" xfId="0" applyNumberFormat="1" applyFont="1" applyBorder="1" applyAlignment="1">
      <alignment vertical="center" wrapText="1"/>
    </xf>
    <xf numFmtId="49" fontId="19" fillId="0" borderId="1" xfId="0" applyNumberFormat="1" applyFont="1" applyBorder="1" applyAlignment="1">
      <alignment vertical="center" wrapText="1"/>
    </xf>
    <xf numFmtId="0" fontId="14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3" fillId="0" borderId="1" xfId="0" quotePrefix="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24" fillId="0" borderId="1" xfId="6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166" fontId="17" fillId="0" borderId="1" xfId="1" applyNumberFormat="1" applyFont="1" applyFill="1" applyBorder="1" applyAlignment="1">
      <alignment vertical="center" wrapText="1"/>
    </xf>
    <xf numFmtId="2" fontId="17" fillId="0" borderId="1" xfId="0" quotePrefix="1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3" fillId="0" borderId="1" xfId="0" quotePrefix="1" applyFont="1" applyBorder="1" applyAlignment="1">
      <alignment vertical="center" wrapText="1"/>
    </xf>
    <xf numFmtId="42" fontId="4" fillId="0" borderId="1" xfId="0" applyNumberFormat="1" applyFont="1" applyBorder="1" applyAlignment="1">
      <alignment horizontal="center" vertical="center" wrapText="1"/>
    </xf>
    <xf numFmtId="42" fontId="4" fillId="0" borderId="1" xfId="0" applyNumberFormat="1" applyFont="1" applyBorder="1" applyAlignment="1">
      <alignment vertical="center" wrapText="1"/>
    </xf>
    <xf numFmtId="42" fontId="3" fillId="0" borderId="1" xfId="0" quotePrefix="1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2" fontId="3" fillId="0" borderId="1" xfId="0" applyNumberFormat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28" fillId="0" borderId="1" xfId="6" applyFont="1" applyFill="1" applyBorder="1" applyAlignment="1">
      <alignment horizontal="center" vertical="center" wrapText="1"/>
    </xf>
    <xf numFmtId="42" fontId="0" fillId="0" borderId="1" xfId="0" applyNumberFormat="1" applyBorder="1" applyAlignment="1">
      <alignment vertical="center" wrapText="1"/>
    </xf>
    <xf numFmtId="16" fontId="3" fillId="0" borderId="1" xfId="0" quotePrefix="1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2" fontId="18" fillId="0" borderId="1" xfId="0" applyNumberFormat="1" applyFont="1" applyBorder="1" applyAlignment="1">
      <alignment horizontal="center" vertical="center" wrapText="1"/>
    </xf>
    <xf numFmtId="167" fontId="18" fillId="0" borderId="1" xfId="0" quotePrefix="1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18" fillId="0" borderId="1" xfId="0" quotePrefix="1" applyNumberFormat="1" applyFont="1" applyBorder="1" applyAlignment="1">
      <alignment horizontal="center" vertical="center" wrapText="1"/>
    </xf>
    <xf numFmtId="42" fontId="18" fillId="0" borderId="1" xfId="0" applyNumberFormat="1" applyFont="1" applyBorder="1" applyAlignment="1">
      <alignment horizontal="center" vertical="center" wrapText="1"/>
    </xf>
    <xf numFmtId="42" fontId="18" fillId="0" borderId="1" xfId="0" applyNumberFormat="1" applyFont="1" applyBorder="1" applyAlignment="1">
      <alignment vertical="center" wrapText="1"/>
    </xf>
    <xf numFmtId="0" fontId="18" fillId="0" borderId="1" xfId="0" applyFont="1" applyBorder="1" applyAlignment="1">
      <alignment vertical="center"/>
    </xf>
    <xf numFmtId="0" fontId="18" fillId="0" borderId="2" xfId="0" applyFont="1" applyBorder="1" applyAlignment="1">
      <alignment vertical="center" wrapText="1"/>
    </xf>
    <xf numFmtId="166" fontId="14" fillId="0" borderId="1" xfId="1" applyNumberFormat="1" applyFont="1" applyFill="1" applyBorder="1" applyAlignment="1">
      <alignment vertical="center" wrapText="1"/>
    </xf>
    <xf numFmtId="2" fontId="14" fillId="0" borderId="1" xfId="0" quotePrefix="1" applyNumberFormat="1" applyFont="1" applyBorder="1" applyAlignment="1">
      <alignment horizontal="center" vertical="center" wrapText="1"/>
    </xf>
    <xf numFmtId="167" fontId="14" fillId="0" borderId="1" xfId="0" quotePrefix="1" applyNumberFormat="1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4" fillId="0" borderId="1" xfId="0" quotePrefix="1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horizontal="center" vertical="center" wrapText="1"/>
    </xf>
    <xf numFmtId="42" fontId="14" fillId="0" borderId="1" xfId="0" applyNumberFormat="1" applyFont="1" applyBorder="1" applyAlignment="1">
      <alignment vertical="center" wrapText="1"/>
    </xf>
    <xf numFmtId="165" fontId="3" fillId="0" borderId="1" xfId="0" quotePrefix="1" applyNumberFormat="1" applyFont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 wrapText="1"/>
    </xf>
    <xf numFmtId="167" fontId="11" fillId="0" borderId="1" xfId="0" quotePrefix="1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2" fontId="11" fillId="0" borderId="1" xfId="0" applyNumberFormat="1" applyFont="1" applyBorder="1" applyAlignment="1">
      <alignment horizontal="center" vertical="center" wrapText="1"/>
    </xf>
    <xf numFmtId="42" fontId="11" fillId="0" borderId="1" xfId="0" applyNumberFormat="1" applyFont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0" fontId="17" fillId="0" borderId="1" xfId="6" applyFont="1" applyFill="1" applyBorder="1" applyAlignment="1">
      <alignment vertical="center" wrapText="1"/>
    </xf>
    <xf numFmtId="167" fontId="3" fillId="0" borderId="1" xfId="0" applyNumberFormat="1" applyFont="1" applyBorder="1" applyAlignment="1">
      <alignment vertical="center" wrapText="1"/>
    </xf>
    <xf numFmtId="49" fontId="3" fillId="0" borderId="1" xfId="0" quotePrefix="1" applyNumberFormat="1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vertical="center" wrapText="1"/>
    </xf>
    <xf numFmtId="0" fontId="31" fillId="0" borderId="2" xfId="0" applyFont="1" applyBorder="1" applyAlignment="1">
      <alignment vertical="center"/>
    </xf>
    <xf numFmtId="0" fontId="22" fillId="0" borderId="7" xfId="6" applyFont="1" applyFill="1" applyBorder="1" applyAlignment="1">
      <alignment vertical="center" wrapText="1"/>
    </xf>
    <xf numFmtId="166" fontId="3" fillId="0" borderId="7" xfId="1" applyNumberFormat="1" applyFont="1" applyFill="1" applyBorder="1" applyAlignment="1">
      <alignment vertical="center" wrapText="1"/>
    </xf>
    <xf numFmtId="2" fontId="3" fillId="0" borderId="7" xfId="0" quotePrefix="1" applyNumberFormat="1" applyFont="1" applyBorder="1" applyAlignment="1">
      <alignment horizontal="center" vertical="center" wrapText="1"/>
    </xf>
    <xf numFmtId="42" fontId="3" fillId="0" borderId="7" xfId="0" applyNumberFormat="1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2" fontId="3" fillId="0" borderId="7" xfId="0" applyNumberFormat="1" applyFont="1" applyBorder="1" applyAlignment="1">
      <alignment horizontal="center" vertical="center" wrapText="1"/>
    </xf>
    <xf numFmtId="42" fontId="3" fillId="0" borderId="7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applyFont="1" applyBorder="1" applyAlignment="1">
      <alignment vertical="center" wrapText="1"/>
    </xf>
    <xf numFmtId="166" fontId="3" fillId="0" borderId="7" xfId="1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6" applyFont="1" applyFill="1" applyBorder="1" applyAlignment="1">
      <alignment horizontal="center" vertical="center" wrapText="1"/>
    </xf>
    <xf numFmtId="0" fontId="14" fillId="0" borderId="7" xfId="0" applyFont="1" applyBorder="1" applyAlignment="1">
      <alignment vertical="center"/>
    </xf>
    <xf numFmtId="49" fontId="19" fillId="33" borderId="1" xfId="0" applyNumberFormat="1" applyFont="1" applyFill="1" applyBorder="1" applyAlignment="1">
      <alignment horizontal="center" vertical="center" wrapText="1"/>
    </xf>
    <xf numFmtId="2" fontId="11" fillId="33" borderId="1" xfId="0" applyNumberFormat="1" applyFont="1" applyFill="1" applyBorder="1" applyAlignment="1">
      <alignment horizontal="center" vertical="center" wrapText="1"/>
    </xf>
    <xf numFmtId="42" fontId="19" fillId="33" borderId="1" xfId="0" applyNumberFormat="1" applyFont="1" applyFill="1" applyBorder="1" applyAlignment="1">
      <alignment vertical="center" wrapText="1"/>
    </xf>
    <xf numFmtId="49" fontId="19" fillId="33" borderId="1" xfId="0" applyNumberFormat="1" applyFont="1" applyFill="1" applyBorder="1" applyAlignment="1">
      <alignment vertical="center" wrapText="1"/>
    </xf>
    <xf numFmtId="0" fontId="19" fillId="33" borderId="1" xfId="0" applyFont="1" applyFill="1" applyBorder="1" applyAlignment="1">
      <alignment horizontal="center" vertical="center" wrapText="1"/>
    </xf>
    <xf numFmtId="0" fontId="19" fillId="33" borderId="1" xfId="0" applyFont="1" applyFill="1" applyBorder="1" applyAlignment="1">
      <alignment vertical="center" wrapText="1"/>
    </xf>
    <xf numFmtId="0" fontId="35" fillId="33" borderId="1" xfId="0" applyFont="1" applyFill="1" applyBorder="1" applyAlignment="1">
      <alignment vertical="center" wrapText="1"/>
    </xf>
    <xf numFmtId="0" fontId="36" fillId="33" borderId="0" xfId="0" applyFont="1" applyFill="1" applyAlignment="1">
      <alignment horizontal="center" vertical="center" wrapText="1"/>
    </xf>
    <xf numFmtId="0" fontId="3" fillId="33" borderId="1" xfId="0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vertical="center" wrapText="1"/>
    </xf>
    <xf numFmtId="0" fontId="3" fillId="33" borderId="1" xfId="0" applyFont="1" applyFill="1" applyBorder="1" applyAlignment="1">
      <alignment horizontal="left" vertical="center" wrapText="1"/>
    </xf>
    <xf numFmtId="0" fontId="10" fillId="33" borderId="1" xfId="0" applyFont="1" applyFill="1" applyBorder="1" applyAlignment="1">
      <alignment horizontal="center" vertical="center" wrapText="1"/>
    </xf>
    <xf numFmtId="166" fontId="3" fillId="33" borderId="1" xfId="1" applyNumberFormat="1" applyFont="1" applyFill="1" applyBorder="1" applyAlignment="1">
      <alignment vertical="center" wrapText="1"/>
    </xf>
    <xf numFmtId="2" fontId="3" fillId="33" borderId="1" xfId="0" quotePrefix="1" applyNumberFormat="1" applyFont="1" applyFill="1" applyBorder="1" applyAlignment="1">
      <alignment horizontal="center" vertical="center" wrapText="1"/>
    </xf>
    <xf numFmtId="167" fontId="3" fillId="33" borderId="1" xfId="0" applyNumberFormat="1" applyFont="1" applyFill="1" applyBorder="1" applyAlignment="1">
      <alignment horizontal="center" vertical="center" wrapText="1"/>
    </xf>
    <xf numFmtId="49" fontId="3" fillId="33" borderId="1" xfId="0" applyNumberFormat="1" applyFont="1" applyFill="1" applyBorder="1" applyAlignment="1">
      <alignment horizontal="center" vertical="center" wrapText="1"/>
    </xf>
    <xf numFmtId="49" fontId="3" fillId="33" borderId="1" xfId="0" quotePrefix="1" applyNumberFormat="1" applyFont="1" applyFill="1" applyBorder="1" applyAlignment="1">
      <alignment horizontal="center" vertical="center" wrapText="1"/>
    </xf>
    <xf numFmtId="42" fontId="3" fillId="33" borderId="1" xfId="0" applyNumberFormat="1" applyFont="1" applyFill="1" applyBorder="1" applyAlignment="1">
      <alignment horizontal="center" vertical="center" wrapText="1"/>
    </xf>
    <xf numFmtId="2" fontId="3" fillId="33" borderId="1" xfId="0" applyNumberFormat="1" applyFont="1" applyFill="1" applyBorder="1" applyAlignment="1">
      <alignment horizontal="center" vertical="center" wrapText="1"/>
    </xf>
    <xf numFmtId="42" fontId="3" fillId="33" borderId="1" xfId="0" applyNumberFormat="1" applyFont="1" applyFill="1" applyBorder="1" applyAlignment="1">
      <alignment vertical="center" wrapText="1"/>
    </xf>
    <xf numFmtId="0" fontId="14" fillId="33" borderId="1" xfId="0" applyFont="1" applyFill="1" applyBorder="1" applyAlignment="1">
      <alignment vertical="center"/>
    </xf>
    <xf numFmtId="0" fontId="3" fillId="33" borderId="2" xfId="0" applyFont="1" applyFill="1" applyBorder="1" applyAlignment="1">
      <alignment vertical="center" wrapText="1"/>
    </xf>
    <xf numFmtId="0" fontId="3" fillId="33" borderId="0" xfId="0" applyFont="1" applyFill="1" applyAlignment="1">
      <alignment vertical="center" wrapText="1"/>
    </xf>
    <xf numFmtId="0" fontId="3" fillId="33" borderId="1" xfId="0" quotePrefix="1" applyFont="1" applyFill="1" applyBorder="1" applyAlignment="1">
      <alignment horizontal="center" vertical="center" wrapText="1"/>
    </xf>
    <xf numFmtId="0" fontId="3" fillId="33" borderId="1" xfId="0" quotePrefix="1" applyFont="1" applyFill="1" applyBorder="1" applyAlignment="1">
      <alignment vertical="center" wrapText="1"/>
    </xf>
    <xf numFmtId="0" fontId="3" fillId="33" borderId="0" xfId="0" applyFont="1" applyFill="1" applyAlignment="1">
      <alignment horizontal="center" vertical="center" wrapText="1"/>
    </xf>
    <xf numFmtId="0" fontId="22" fillId="33" borderId="1" xfId="6" applyFont="1" applyFill="1" applyBorder="1" applyAlignment="1">
      <alignment vertical="center" wrapText="1"/>
    </xf>
    <xf numFmtId="0" fontId="22" fillId="33" borderId="1" xfId="6" applyFont="1" applyFill="1" applyBorder="1" applyAlignment="1">
      <alignment horizontal="center" vertical="center" wrapText="1"/>
    </xf>
    <xf numFmtId="166" fontId="3" fillId="33" borderId="1" xfId="1" applyNumberFormat="1" applyFont="1" applyFill="1" applyBorder="1" applyAlignment="1">
      <alignment horizontal="center" vertical="center" wrapText="1"/>
    </xf>
    <xf numFmtId="0" fontId="0" fillId="33" borderId="1" xfId="0" applyFill="1" applyBorder="1" applyAlignment="1">
      <alignment vertical="center" wrapText="1"/>
    </xf>
    <xf numFmtId="0" fontId="0" fillId="33" borderId="17" xfId="0" applyFill="1" applyBorder="1" applyAlignment="1">
      <alignment vertical="center" wrapText="1"/>
    </xf>
    <xf numFmtId="0" fontId="0" fillId="33" borderId="0" xfId="0" applyFill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0" fontId="3" fillId="26" borderId="1" xfId="0" applyFont="1" applyFill="1" applyBorder="1" applyAlignment="1">
      <alignment horizontal="center" vertical="center" wrapText="1"/>
    </xf>
    <xf numFmtId="0" fontId="22" fillId="26" borderId="1" xfId="6" applyFont="1" applyFill="1" applyBorder="1" applyAlignment="1">
      <alignment vertical="center" wrapText="1"/>
    </xf>
    <xf numFmtId="0" fontId="22" fillId="26" borderId="1" xfId="6" applyFont="1" applyFill="1" applyBorder="1" applyAlignment="1">
      <alignment horizontal="center" vertical="center" wrapText="1"/>
    </xf>
    <xf numFmtId="49" fontId="3" fillId="26" borderId="1" xfId="0" applyNumberFormat="1" applyFont="1" applyFill="1" applyBorder="1" applyAlignment="1">
      <alignment horizontal="left" vertical="center" wrapText="1"/>
    </xf>
    <xf numFmtId="49" fontId="3" fillId="26" borderId="1" xfId="0" applyNumberFormat="1" applyFont="1" applyFill="1" applyBorder="1" applyAlignment="1">
      <alignment horizontal="center" vertical="center" wrapText="1"/>
    </xf>
    <xf numFmtId="49" fontId="19" fillId="26" borderId="1" xfId="0" applyNumberFormat="1" applyFont="1" applyFill="1" applyBorder="1" applyAlignment="1">
      <alignment horizontal="center" vertical="center" wrapText="1"/>
    </xf>
    <xf numFmtId="166" fontId="3" fillId="26" borderId="1" xfId="1" applyNumberFormat="1" applyFont="1" applyFill="1" applyBorder="1" applyAlignment="1">
      <alignment vertical="center" wrapText="1"/>
    </xf>
    <xf numFmtId="2" fontId="3" fillId="26" borderId="1" xfId="0" applyNumberFormat="1" applyFont="1" applyFill="1" applyBorder="1" applyAlignment="1">
      <alignment horizontal="center" vertical="center" wrapText="1"/>
    </xf>
    <xf numFmtId="42" fontId="3" fillId="26" borderId="1" xfId="0" applyNumberFormat="1" applyFont="1" applyFill="1" applyBorder="1" applyAlignment="1">
      <alignment horizontal="center" vertical="center" wrapText="1"/>
    </xf>
    <xf numFmtId="2" fontId="11" fillId="26" borderId="1" xfId="0" applyNumberFormat="1" applyFont="1" applyFill="1" applyBorder="1" applyAlignment="1">
      <alignment horizontal="center" vertical="center" wrapText="1"/>
    </xf>
    <xf numFmtId="42" fontId="19" fillId="26" borderId="1" xfId="0" applyNumberFormat="1" applyFont="1" applyFill="1" applyBorder="1" applyAlignment="1">
      <alignment vertical="center" wrapText="1"/>
    </xf>
    <xf numFmtId="49" fontId="19" fillId="26" borderId="1" xfId="0" applyNumberFormat="1" applyFont="1" applyFill="1" applyBorder="1" applyAlignment="1">
      <alignment vertical="center" wrapText="1"/>
    </xf>
    <xf numFmtId="0" fontId="19" fillId="26" borderId="1" xfId="0" applyFont="1" applyFill="1" applyBorder="1" applyAlignment="1">
      <alignment horizontal="center" vertical="center" wrapText="1"/>
    </xf>
    <xf numFmtId="0" fontId="19" fillId="26" borderId="1" xfId="0" applyFont="1" applyFill="1" applyBorder="1" applyAlignment="1">
      <alignment vertical="center" wrapText="1"/>
    </xf>
    <xf numFmtId="0" fontId="35" fillId="26" borderId="1" xfId="0" applyFont="1" applyFill="1" applyBorder="1" applyAlignment="1">
      <alignment vertical="center" wrapText="1"/>
    </xf>
    <xf numFmtId="0" fontId="36" fillId="26" borderId="0" xfId="0" applyFont="1" applyFill="1" applyAlignment="1">
      <alignment horizontal="center" vertical="center" wrapText="1"/>
    </xf>
    <xf numFmtId="0" fontId="11" fillId="26" borderId="1" xfId="0" applyFont="1" applyFill="1" applyBorder="1" applyAlignment="1">
      <alignment horizontal="left" vertical="center" wrapText="1"/>
    </xf>
    <xf numFmtId="2" fontId="3" fillId="26" borderId="1" xfId="0" quotePrefix="1" applyNumberFormat="1" applyFont="1" applyFill="1" applyBorder="1" applyAlignment="1">
      <alignment horizontal="center" vertical="center" wrapText="1"/>
    </xf>
    <xf numFmtId="167" fontId="3" fillId="26" borderId="1" xfId="0" quotePrefix="1" applyNumberFormat="1" applyFont="1" applyFill="1" applyBorder="1" applyAlignment="1">
      <alignment horizontal="center" vertical="center" wrapText="1"/>
    </xf>
    <xf numFmtId="49" fontId="3" fillId="26" borderId="1" xfId="0" quotePrefix="1" applyNumberFormat="1" applyFont="1" applyFill="1" applyBorder="1" applyAlignment="1">
      <alignment horizontal="center" vertical="center" wrapText="1"/>
    </xf>
    <xf numFmtId="42" fontId="3" fillId="26" borderId="1" xfId="0" applyNumberFormat="1" applyFont="1" applyFill="1" applyBorder="1" applyAlignment="1">
      <alignment vertical="center" wrapText="1"/>
    </xf>
    <xf numFmtId="0" fontId="3" fillId="26" borderId="1" xfId="0" applyFont="1" applyFill="1" applyBorder="1" applyAlignment="1">
      <alignment horizontal="left" vertical="center" wrapText="1"/>
    </xf>
    <xf numFmtId="0" fontId="3" fillId="26" borderId="2" xfId="0" applyFont="1" applyFill="1" applyBorder="1" applyAlignment="1">
      <alignment vertical="center" wrapText="1"/>
    </xf>
    <xf numFmtId="0" fontId="29" fillId="26" borderId="6" xfId="0" applyFont="1" applyFill="1" applyBorder="1" applyAlignment="1">
      <alignment horizontal="center"/>
    </xf>
    <xf numFmtId="0" fontId="29" fillId="26" borderId="6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8" fillId="32" borderId="7" xfId="0" applyFont="1" applyFill="1" applyBorder="1" applyAlignment="1">
      <alignment vertical="center"/>
    </xf>
    <xf numFmtId="0" fontId="8" fillId="32" borderId="1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left" vertical="center"/>
    </xf>
    <xf numFmtId="0" fontId="8" fillId="34" borderId="1" xfId="0" applyFont="1" applyFill="1" applyBorder="1" applyAlignment="1">
      <alignment vertical="center" wrapText="1"/>
    </xf>
    <xf numFmtId="0" fontId="8" fillId="34" borderId="1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9" fillId="29" borderId="19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0" fontId="8" fillId="35" borderId="7" xfId="0" applyFont="1" applyFill="1" applyBorder="1" applyAlignment="1">
      <alignment vertical="center" wrapText="1"/>
    </xf>
    <xf numFmtId="0" fontId="8" fillId="35" borderId="1" xfId="0" applyFont="1" applyFill="1" applyBorder="1" applyAlignment="1">
      <alignment horizontal="left" vertical="center"/>
    </xf>
    <xf numFmtId="0" fontId="8" fillId="36" borderId="7" xfId="0" applyFont="1" applyFill="1" applyBorder="1" applyAlignment="1">
      <alignment vertical="center"/>
    </xf>
    <xf numFmtId="0" fontId="8" fillId="36" borderId="1" xfId="0" applyFont="1" applyFill="1" applyBorder="1" applyAlignment="1">
      <alignment horizontal="left" vertical="center"/>
    </xf>
    <xf numFmtId="49" fontId="3" fillId="33" borderId="1" xfId="0" applyNumberFormat="1" applyFont="1" applyFill="1" applyBorder="1" applyAlignment="1">
      <alignment horizontal="left" vertical="center" wrapText="1"/>
    </xf>
    <xf numFmtId="49" fontId="11" fillId="33" borderId="1" xfId="0" applyNumberFormat="1" applyFont="1" applyFill="1" applyBorder="1" applyAlignment="1">
      <alignment horizontal="center" vertical="center" wrapText="1"/>
    </xf>
    <xf numFmtId="42" fontId="3" fillId="26" borderId="1" xfId="0" quotePrefix="1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/>
    </xf>
    <xf numFmtId="0" fontId="21" fillId="0" borderId="1" xfId="6" applyBorder="1" applyAlignment="1">
      <alignment horizontal="center" vertical="center"/>
    </xf>
    <xf numFmtId="0" fontId="21" fillId="19" borderId="6" xfId="6" applyFill="1" applyBorder="1" applyAlignment="1">
      <alignment horizontal="center" vertical="center"/>
    </xf>
    <xf numFmtId="0" fontId="29" fillId="26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2" fontId="3" fillId="0" borderId="10" xfId="0" applyNumberFormat="1" applyFont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0" fontId="1" fillId="0" borderId="0" xfId="0" applyFont="1"/>
    <xf numFmtId="44" fontId="0" fillId="0" borderId="0" xfId="0" applyNumberFormat="1" applyAlignment="1">
      <alignment horizontal="center" vertical="center"/>
    </xf>
    <xf numFmtId="0" fontId="22" fillId="0" borderId="0" xfId="6" applyFont="1" applyFill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2" fillId="0" borderId="0" xfId="6" applyFont="1" applyBorder="1" applyAlignment="1">
      <alignment wrapText="1"/>
    </xf>
    <xf numFmtId="0" fontId="3" fillId="19" borderId="6" xfId="0" applyFont="1" applyFill="1" applyBorder="1" applyAlignment="1">
      <alignment horizontal="left" vertical="center" wrapText="1"/>
    </xf>
    <xf numFmtId="0" fontId="4" fillId="19" borderId="7" xfId="0" applyFont="1" applyFill="1" applyBorder="1" applyAlignment="1">
      <alignment horizontal="left" vertical="center" wrapText="1"/>
    </xf>
    <xf numFmtId="0" fontId="4" fillId="19" borderId="6" xfId="0" applyFont="1" applyFill="1" applyBorder="1" applyAlignment="1">
      <alignment horizontal="left" vertical="center" wrapText="1"/>
    </xf>
    <xf numFmtId="0" fontId="45" fillId="26" borderId="6" xfId="6" applyFont="1" applyFill="1" applyBorder="1" applyAlignment="1">
      <alignment horizontal="center" vertical="center" wrapText="1"/>
    </xf>
    <xf numFmtId="0" fontId="46" fillId="26" borderId="6" xfId="0" applyFont="1" applyFill="1" applyBorder="1" applyAlignment="1">
      <alignment horizontal="center" vertical="center" wrapText="1"/>
    </xf>
    <xf numFmtId="0" fontId="46" fillId="26" borderId="6" xfId="0" applyFont="1" applyFill="1" applyBorder="1" applyAlignment="1">
      <alignment horizontal="left" vertical="center" wrapText="1"/>
    </xf>
    <xf numFmtId="0" fontId="46" fillId="26" borderId="6" xfId="0" applyFont="1" applyFill="1" applyBorder="1" applyAlignment="1">
      <alignment horizontal="center" vertical="center"/>
    </xf>
    <xf numFmtId="168" fontId="46" fillId="26" borderId="6" xfId="0" applyNumberFormat="1" applyFont="1" applyFill="1" applyBorder="1" applyAlignment="1">
      <alignment horizontal="left" vertical="center"/>
    </xf>
    <xf numFmtId="0" fontId="46" fillId="26" borderId="6" xfId="0" applyFont="1" applyFill="1" applyBorder="1" applyAlignment="1">
      <alignment vertical="center"/>
    </xf>
    <xf numFmtId="167" fontId="46" fillId="26" borderId="6" xfId="0" applyNumberFormat="1" applyFont="1" applyFill="1" applyBorder="1" applyAlignment="1">
      <alignment horizontal="center" vertical="center"/>
    </xf>
    <xf numFmtId="0" fontId="44" fillId="26" borderId="6" xfId="0" applyFont="1" applyFill="1" applyBorder="1" applyAlignment="1">
      <alignment horizontal="center" vertical="center" wrapText="1"/>
    </xf>
    <xf numFmtId="167" fontId="46" fillId="26" borderId="6" xfId="0" applyNumberFormat="1" applyFont="1" applyFill="1" applyBorder="1" applyAlignment="1">
      <alignment vertical="center"/>
    </xf>
    <xf numFmtId="0" fontId="45" fillId="26" borderId="6" xfId="6" applyFont="1" applyFill="1" applyBorder="1" applyAlignment="1">
      <alignment horizontal="center" vertical="center"/>
    </xf>
    <xf numFmtId="0" fontId="46" fillId="26" borderId="6" xfId="0" applyFont="1" applyFill="1" applyBorder="1" applyAlignment="1">
      <alignment vertical="center" wrapText="1"/>
    </xf>
    <xf numFmtId="0" fontId="3" fillId="0" borderId="10" xfId="0" applyFont="1" applyBorder="1" applyAlignment="1">
      <alignment vertical="center"/>
    </xf>
    <xf numFmtId="0" fontId="21" fillId="0" borderId="12" xfId="6" applyFill="1" applyBorder="1" applyAlignment="1">
      <alignment horizontal="center" vertical="center"/>
    </xf>
    <xf numFmtId="0" fontId="21" fillId="0" borderId="0" xfId="6" applyAlignment="1">
      <alignment horizontal="center" vertical="center"/>
    </xf>
    <xf numFmtId="0" fontId="21" fillId="0" borderId="6" xfId="6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1" fillId="0" borderId="0" xfId="6" applyFill="1" applyAlignment="1">
      <alignment horizontal="center" vertical="center"/>
    </xf>
    <xf numFmtId="0" fontId="21" fillId="0" borderId="9" xfId="6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4" fillId="19" borderId="23" xfId="0" applyFont="1" applyFill="1" applyBorder="1" applyAlignment="1">
      <alignment horizontal="center" vertical="top" wrapText="1"/>
    </xf>
    <xf numFmtId="0" fontId="21" fillId="0" borderId="0" xfId="6" applyFill="1" applyAlignment="1">
      <alignment horizontal="center" vertical="center" wrapText="1"/>
    </xf>
    <xf numFmtId="0" fontId="12" fillId="8" borderId="1" xfId="0" applyFont="1" applyFill="1" applyBorder="1" applyAlignment="1">
      <alignment horizontal="center"/>
    </xf>
    <xf numFmtId="0" fontId="12" fillId="8" borderId="0" xfId="0" applyFont="1" applyFill="1" applyAlignment="1">
      <alignment horizontal="center" vertical="center"/>
    </xf>
    <xf numFmtId="0" fontId="12" fillId="8" borderId="13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/>
    </xf>
    <xf numFmtId="0" fontId="12" fillId="22" borderId="13" xfId="0" applyFont="1" applyFill="1" applyBorder="1" applyAlignment="1">
      <alignment horizontal="left" vertical="center"/>
    </xf>
    <xf numFmtId="42" fontId="13" fillId="21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13" fillId="20" borderId="2" xfId="0" applyFont="1" applyFill="1" applyBorder="1" applyAlignment="1">
      <alignment horizontal="center" vertical="center"/>
    </xf>
    <xf numFmtId="0" fontId="13" fillId="20" borderId="3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0" borderId="17" xfId="0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42" fontId="13" fillId="20" borderId="2" xfId="0" applyNumberFormat="1" applyFont="1" applyFill="1" applyBorder="1" applyAlignment="1">
      <alignment horizontal="center" vertical="center"/>
    </xf>
    <xf numFmtId="42" fontId="13" fillId="20" borderId="3" xfId="0" applyNumberFormat="1" applyFont="1" applyFill="1" applyBorder="1" applyAlignment="1">
      <alignment horizontal="center" vertical="center"/>
    </xf>
  </cellXfs>
  <cellStyles count="7">
    <cellStyle name="Comma" xfId="1" builtinId="3"/>
    <cellStyle name="Comma 2" xfId="4" xr:uid="{00000000-0005-0000-0000-000001000000}"/>
    <cellStyle name="Hyperlink" xfId="6" builtinId="8"/>
    <cellStyle name="Normal" xfId="0" builtinId="0"/>
    <cellStyle name="Normal 2" xfId="2" xr:uid="{00000000-0005-0000-0000-000004000000}"/>
    <cellStyle name="Normal 3" xfId="3" xr:uid="{00000000-0005-0000-0000-000005000000}"/>
    <cellStyle name="Normal 3 2" xfId="5" xr:uid="{00000000-0005-0000-0000-000006000000}"/>
  </cellStyles>
  <dxfs count="5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7" formatCode="_-[$Rp-421]* #,##0_-;\-[$Rp-421]* #,##0_-;_-[$Rp-421]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168" formatCode="_-[$Rp-3809]* #,##0.00_-;\-[$Rp-3809]* #,##0.00_-;_-[$Rp-3809]* &quot;-&quot;??_-;_-@_-"/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ont>
        <sz val="9"/>
      </font>
      <numFmt numFmtId="2" formatCode="0.00"/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32" formatCode="_-&quot;Rp&quot;* #,##0_-;\-&quot;Rp&quot;* #,##0_-;_-&quot;Rp&quot;* &quot;-&quot;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66" formatCode="_-[$Rp-421]* #,##0_-;\-[$Rp-421]* #,##0_-;_-[$Rp-421]* &quot;-&quot;??_-;_-@_-"/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solid">
          <fgColor indexed="64"/>
          <bgColor theme="4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Calibri"/>
        <scheme val="minor"/>
      </font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000000"/>
          <bgColor rgb="FF4472C4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E1F2"/>
          <bgColor rgb="FFD9E1F2"/>
        </patternFill>
      </fill>
      <alignment horizontal="general"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BF3FA"/>
      <color rgb="FFF095B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tutyayu itts" id="{917724FD-4624-4BC0-BF84-D6E9A63DB5D4}" userId="S::mastutyayu@ittelkom-sby.ac.id::e0f1c729-c415-413f-804f-40d020996db6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5.426070023146" createdVersion="8" refreshedVersion="8" minRefreshableVersion="3" recordCount="191" xr:uid="{00000000-000A-0000-FFFF-FFFF2B000000}">
  <cacheSource type="worksheet">
    <worksheetSource ref="D1:Q192" sheet="PKM AUDIT"/>
  </cacheSource>
  <cacheFields count="14">
    <cacheField name="Judul Penelitian" numFmtId="0">
      <sharedItems containsBlank="1"/>
    </cacheField>
    <cacheField name="Nama Skema" numFmtId="0">
      <sharedItems containsBlank="1"/>
    </cacheField>
    <cacheField name="Tahun Usulan" numFmtId="0">
      <sharedItems containsString="0" containsBlank="1" containsNumber="1" containsInteger="1" minValue="2020" maxValue="2025"/>
    </cacheField>
    <cacheField name="Tahun Pelaksanaan Kegiatan" numFmtId="0">
      <sharedItems containsString="0" containsBlank="1" containsNumber="1" containsInteger="1" minValue="2020" maxValue="2025"/>
    </cacheField>
    <cacheField name="Lama Kegiatan (bulan)" numFmtId="0">
      <sharedItems containsString="0" containsBlank="1" containsNumber="1" containsInteger="1" minValue="1" maxValue="12"/>
    </cacheField>
    <cacheField name="Bidang Fokus" numFmtId="0">
      <sharedItems containsBlank="1"/>
    </cacheField>
    <cacheField name="Dana yang Diusulkan" numFmtId="0">
      <sharedItems containsBlank="1" containsMixedTypes="1" containsNumber="1" containsInteger="1" minValue="0" maxValue="450000000"/>
    </cacheField>
    <cacheField name="Dana Disetujui" numFmtId="0">
      <sharedItems containsBlank="1" containsMixedTypes="1" containsNumber="1" containsInteger="1" minValue="1000000" maxValue="450000000"/>
    </cacheField>
    <cacheField name="Nama Institusi Penerima Dana" numFmtId="0">
      <sharedItems containsBlank="1"/>
    </cacheField>
    <cacheField name="Target TKT" numFmtId="0">
      <sharedItems containsBlank="1" containsMixedTypes="1" containsNumber="1" containsInteger="1" minValue="1" maxValue="7"/>
    </cacheField>
    <cacheField name="Nama Program Hibah" numFmtId="0">
      <sharedItems containsBlank="1"/>
    </cacheField>
    <cacheField name="Kategori Sumber Dana" numFmtId="0">
      <sharedItems containsBlank="1"/>
    </cacheField>
    <cacheField name="Negara Sumber Dana" numFmtId="0">
      <sharedItems containsBlank="1"/>
    </cacheField>
    <cacheField name="Sumber Dana" numFmtId="0">
      <sharedItems containsBlank="1" count="8">
        <s v="Institut Telknologi Telkom Surabaya"/>
        <m/>
        <s v="Kemendiktisaintek"/>
        <s v="CDC Telkom"/>
        <s v="Kemenristek Dikti"/>
        <s v="PT.POS INDONESIA"/>
        <s v="Kemensos"/>
        <s v="Telkom Univers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1">
  <r>
    <s v="Penerapan Teknologi Pakan Otomatis Bagi Peternak Ikan di Gresik"/>
    <s v="Pengmas Dana Internal"/>
    <n v="2020"/>
    <m/>
    <m/>
    <m/>
    <m/>
    <n v="6500000"/>
    <m/>
    <m/>
    <m/>
    <s v="Internal"/>
    <m/>
    <x v="0"/>
  </r>
  <r>
    <s v="IPTEK BAGI MASYARAKAT BUDI DAYA IKAN DI BUDURAN SIDOARJO JAWTA TIMUR"/>
    <s v="Pengmas Dana Internal"/>
    <n v="2020"/>
    <m/>
    <m/>
    <m/>
    <m/>
    <n v="6500000"/>
    <m/>
    <s v="-"/>
    <m/>
    <s v="Internal"/>
    <m/>
    <x v="0"/>
  </r>
  <r>
    <s v="Workshop on using Braille Embosser and Text Editor Software for the Blind and Visual Impairment Students"/>
    <s v="Pengmas penugasan"/>
    <n v="2020"/>
    <n v="2020"/>
    <n v="4"/>
    <s v="Pembedayaan Difabel"/>
    <m/>
    <n v="4475000"/>
    <m/>
    <s v="-"/>
    <m/>
    <s v="Internal"/>
    <m/>
    <x v="0"/>
  </r>
  <r>
    <s v="Upaya Penanganan Wabah COVID-19 Terhadap Komunitas Tunarungu di Kota Surabaya"/>
    <s v="Pengmas penugasan"/>
    <n v="2020"/>
    <n v="2020"/>
    <m/>
    <m/>
    <m/>
    <n v="4000000"/>
    <m/>
    <s v="-"/>
    <m/>
    <s v="Internal"/>
    <m/>
    <x v="0"/>
  </r>
  <r>
    <s v="Pentingnya APD (faceshield) untuk Masyarakat dan UKM"/>
    <s v="Pengmas penugasan"/>
    <n v="2020"/>
    <n v="2020"/>
    <n v="1"/>
    <m/>
    <m/>
    <n v="6400000"/>
    <m/>
    <s v="-"/>
    <m/>
    <s v="Internal"/>
    <m/>
    <x v="0"/>
  </r>
  <r>
    <m/>
    <m/>
    <m/>
    <m/>
    <m/>
    <m/>
    <m/>
    <m/>
    <m/>
    <m/>
    <m/>
    <m/>
    <m/>
    <x v="1"/>
  </r>
  <r>
    <s v="Peningkatan Pengawasan Pengunjung Wisata Pasir Putih Dalegan di Masa Pandemi Covid19 dengan Aplikasi Pendeteksi Jarak Berbasis Kecerdasan Buatan"/>
    <s v="pkm reguler"/>
    <n v="2021"/>
    <n v="2021"/>
    <n v="6"/>
    <s v="INDUSTRI KREATIF DAN PENGEMBANGAN TEKNOLOGI MAJU"/>
    <n v="7000000"/>
    <n v="7000000"/>
    <s v="ITTelkom Surabaya"/>
    <n v="7"/>
    <s v="Pengmas Kompetitif Internal"/>
    <s v="Internal"/>
    <s v="ID"/>
    <x v="0"/>
  </r>
  <r>
    <s v="Implementasi Metode Rebranding Pada Produk Hasil Urban Farming Masyarakat Lokal di Masa Pandemi"/>
    <s v="pkm reguler"/>
    <n v="2021"/>
    <n v="2021"/>
    <n v="6"/>
    <s v="PEMBERDAYAAN DESA/WILAYAH BINAAN"/>
    <n v="6750000"/>
    <n v="6750000"/>
    <s v="ITTelkom Surabaya"/>
    <n v="7"/>
    <s v="Pengmas Kompetitif Internal"/>
    <s v="Internal"/>
    <s v="ID"/>
    <x v="0"/>
  </r>
  <r>
    <s v="Rancang Workbench Ergonomis untuk mendukung aktivitas bank sampah"/>
    <s v="pkm reguler"/>
    <n v="2021"/>
    <n v="2021"/>
    <n v="6"/>
    <s v="PEMBERDAYAAN DESA/WILAYAH BINAAN"/>
    <n v="6750000"/>
    <n v="6750000"/>
    <s v="ITTelkom Surabaya"/>
    <n v="7"/>
    <s v="Pengmas Kompetitif Internal"/>
    <s v="Internal"/>
    <s v="ID"/>
    <x v="0"/>
  </r>
  <r>
    <s v="PKM Peningkatan Branding dan Optimalisasi Manajemen Usaha Pada UKM Handy Craft Az-Zahra, Desa Gubeng, Surabaya"/>
    <s v="pkm reguler"/>
    <n v="2021"/>
    <n v="2021"/>
    <n v="6"/>
    <s v="INDUSTRI KREATIF DAN PENGEMBANGAN TEKNOLOGI MAJU"/>
    <n v="6750000"/>
    <n v="6750000"/>
    <s v="ITTelkom Surabaya"/>
    <n v="7"/>
    <s v="Pengmas Kompetitif Internal"/>
    <s v="Internal"/>
    <s v="ID"/>
    <x v="0"/>
  </r>
  <r>
    <s v="Pengendali Tingkat Keasaman Air Kolam Untuk Peternak Ikan Lele di Desa Jatirejo, Mojokerto"/>
    <s v="pkm reguler"/>
    <n v="2021"/>
    <n v="2021"/>
    <n v="6"/>
    <s v="INDUSTRI KREATIF DAN PENGEMBANGAN TEKNOLOGI MAJU"/>
    <n v="6900000"/>
    <n v="6900000"/>
    <s v="ITTelkom Surabaya"/>
    <n v="7"/>
    <s v="Pengmas Kompetitif Internal"/>
    <s v="Internal"/>
    <s v="ID"/>
    <x v="0"/>
  </r>
  <r>
    <s v="Pemanfaatan Teknologi Sonar untuk Membantu Nelayan Kedung Cowek, Kec.Bulak"/>
    <s v="pkm reguler"/>
    <n v="2021"/>
    <n v="2021"/>
    <n v="6"/>
    <s v="INDUSTRI KREATIF DAN PENGEMBANGAN TEKNOLOGI MAJU"/>
    <n v="6900000"/>
    <n v="6900000"/>
    <s v="ITTelkom Surabaya"/>
    <n v="7"/>
    <s v="Pengmas Kompetitif Internal"/>
    <s v="Internal"/>
    <s v="ID"/>
    <x v="0"/>
  </r>
  <r>
    <s v="Pendayagunaan IT untuk Branding Kampung Ondomohen Sebagai Wisata Edukasi 3R (Reduce, Reuse, dan Recycle)"/>
    <s v="pkm reguler"/>
    <n v="2021"/>
    <n v="2021"/>
    <n v="6"/>
    <s v="INDUSTRI KREATIF DAN PENGEMBANGAN TEKNOLOGI MAJU"/>
    <n v="6749500"/>
    <n v="6749500"/>
    <s v="ITTelkom Surabaya"/>
    <n v="7"/>
    <s v="Pengmas Kompetitif Internal"/>
    <s v="Internal"/>
    <s v="ID"/>
    <x v="0"/>
  </r>
  <r>
    <s v="Sosialisasi Penggunaan &quot;Fingerprint&quot; dan Database untuk Absensi Guru di Yayasan Natanisha, Sekolah Anak Berkebutuhan Khusus &quot;AGCA&quot;"/>
    <s v="pkm reguler"/>
    <n v="2021"/>
    <n v="2021"/>
    <n v="6"/>
    <s v="PEMBERDAYAAN DESA/WILAYAH BINAAN"/>
    <n v="3400000"/>
    <n v="3400000"/>
    <s v="ITTelkom Surabaya"/>
    <n v="7"/>
    <s v="Pengmas Kompetitif Internal"/>
    <s v="Internal"/>
    <s v="ID"/>
    <x v="0"/>
  </r>
  <r>
    <s v="PKM SIM Apotek untuk Pengelolaan Data Jual Beli pada Apotek Amel Mojokerto"/>
    <s v="pkm reguler"/>
    <n v="2021"/>
    <n v="2021"/>
    <n v="6"/>
    <s v="INDUSTRI KREATIF DAN PENGEMBANGAN TEKNOLOGI MAJU"/>
    <n v="6950000"/>
    <n v="6950000"/>
    <s v="ITTelkom Surabaya"/>
    <n v="7"/>
    <s v="Pengmas Kompetitif Internal"/>
    <s v="Internal"/>
    <s v="ID"/>
    <x v="0"/>
  </r>
  <r>
    <s v="Sterillisasi Sayur buah Pada Koperasi Hita Loka Tara menggunakan UV Light untuk Meningkatkan Kualitas Produk Hasil Panen Hidroponik dan Buah"/>
    <s v="pkm berbasis penelitian"/>
    <n v="2021"/>
    <n v="2021"/>
    <n v="6"/>
    <s v="INDUSTRI KREATIF DAN PENGEMBANGAN TEKNOLOGI MAJU"/>
    <n v="15670000"/>
    <n v="15670000"/>
    <s v="ITTelkom Surabaya"/>
    <n v="7"/>
    <s v="Pengmas Kompetitif Internal"/>
    <s v="Internal"/>
    <s v="ID"/>
    <x v="0"/>
  </r>
  <r>
    <s v="Pemasaran Online Produk Nasi Tiwul di Kabupaten Malang"/>
    <s v="pkm berbasis penelitian"/>
    <n v="2021"/>
    <n v="2021"/>
    <n v="6"/>
    <s v="PEMBERDAYAAN DESA/WILAYAH BINAAN"/>
    <n v="15300000"/>
    <n v="15300000"/>
    <s v="ITTelkom Surabaya"/>
    <n v="7"/>
    <s v="Pengmas Kompetitif Internal"/>
    <s v="Internal"/>
    <s v="ID"/>
    <x v="0"/>
  </r>
  <r>
    <s v="Peningkatan kapasitas Desa ngeni dengan Penerangan jalan Umum Tenaga Surya dan Pelatihan Keterampilan Teknologi ICT"/>
    <s v="pkm Penugasan"/>
    <n v="2021"/>
    <n v="2021"/>
    <n v="6"/>
    <s v="PEMBERDAYAAN DESA/WILAYAH BINAAN"/>
    <n v="20000000"/>
    <n v="20000000"/>
    <s v="ITTelkom Surabaya"/>
    <n v="7"/>
    <s v="Pengmas Kompetitif Internal"/>
    <s v="Internal"/>
    <s v="ID"/>
    <x v="0"/>
  </r>
  <r>
    <s v="Sosialisasi dan Training Crane Pemulasaran Jenazah secara Terpadu di Rumah Sakit Pendidikan Universitas Airlangga Surabaya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Sosialisasi dan Training Crane Pemulasaran Jenazah secara Terpadu di Rumah Sakit Umum Daerah Sidoarjo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Sosialisasi dan Training Crane Pemulasaran Jenazah secara Terpadu di Dinas Kesehatan Kabupaten Gresik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Pelatihan penggunaan mesin braille embosser dengan fitur voice di Balai Literasi Braille Indonesia Abiyoso"/>
    <s v="pkm Penugasan"/>
    <n v="2021"/>
    <n v="2021"/>
    <n v="3"/>
    <s v="PEMBERDAYAAN DESA/WILAYAH BINAAN"/>
    <n v="450000000"/>
    <n v="450000000"/>
    <s v="ITTelkom Surabaya"/>
    <n v="7"/>
    <s v="Pengmas Kompetitif Internal"/>
    <s v="Internal"/>
    <s v="ID"/>
    <x v="0"/>
  </r>
  <r>
    <s v="Sosialisasi Crane Pemulasaraan Jenazah di RS Aisyiyah Kudus"/>
    <s v="pkm Penugasan"/>
    <n v="2021"/>
    <n v="2021"/>
    <n v="3"/>
    <s v="PEMBERDAYAAN DESA/WILAYAH BINAAN"/>
    <n v="40000000"/>
    <n v="40000000"/>
    <s v="ITTelkom Surabaya"/>
    <n v="7"/>
    <s v="Pengmas Kompetitif Internal"/>
    <s v="Internal"/>
    <s v="ID"/>
    <x v="0"/>
  </r>
  <r>
    <s v="Pengembangan industri dan wisata edukasi Kampung Pintar Suroboyo melalui Penerapan Teknologi Minim Kontak dengan Pendekatan Berbasis Kerakyatan"/>
    <s v="Hibah BiMA Pemberdayaan Berbasis Masyarakat"/>
    <n v="2021"/>
    <n v="2021"/>
    <n v="5"/>
    <s v="INDUSTRI KREATIF DAN PENGEMBANGAN TEKNOLOGI MAJU"/>
    <n v="48800000"/>
    <n v="48800000"/>
    <s v="ITTelkom Surabaya"/>
    <n v="7"/>
    <s v="Pengmas Kompetitif Internal"/>
    <s v="Eksternal"/>
    <m/>
    <x v="2"/>
  </r>
  <r>
    <s v="Pengembangan Computerized Maintenance Management System di RSUD Tongas"/>
    <s v="pkm reguler"/>
    <n v="2021"/>
    <n v="2021"/>
    <n v="5"/>
    <s v="INDUSTRI KREATIF DAN PENGEMBANGAN TEKNOLOGI MAJU"/>
    <n v="3456000"/>
    <n v="3456000"/>
    <s v="ITTelkom Surabaya"/>
    <n v="7"/>
    <s v="Pengmas Kompetitif Internal"/>
    <s v="Internal"/>
    <m/>
    <x v="0"/>
  </r>
  <r>
    <s v="Pelatihan Software Simulasi Livewire untuk Siswa SMK Telkom Cirebon Secara Online untuk Meningkatkan Sinergi antara Lembaga dibawah Yayasan Pendidikan Telkom"/>
    <s v="pkm reguler"/>
    <n v="2021"/>
    <n v="2021"/>
    <n v="5"/>
    <s v="INDUSTRI KREATIF DAN PENGEMBANGAN TEKNOLOGI MAJU"/>
    <n v="1000000"/>
    <n v="1000000"/>
    <s v="ITTelkom Surabaya"/>
    <n v="7"/>
    <s v="Pengmas Kompetitif Internal"/>
    <s v="Internal"/>
    <m/>
    <x v="0"/>
  </r>
  <r>
    <s v="Implementasi Green Marketing pada Produk Urban Farming UMKM Lokal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Website Usaha Ice Tube (Kenning Ice Tube) untuk Menunjang Pemasaran di Dunia Digital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Tanda Tangan Elektronik Berbasis QR Code untuk Mempermudah Perizinan pada Masa Pandemi di Kantor Kecamatan Bulak Surabaya"/>
    <s v="pkm Mandiri"/>
    <n v="2021"/>
    <n v="2021"/>
    <n v="5"/>
    <s v="PEMBERDAYAAN DESA/WILAYAH BINAAN"/>
    <n v="0"/>
    <n v="5000000"/>
    <s v="ITTelkom Surabaya"/>
    <n v="7"/>
    <s v="Pengmas Kompetitif Internal"/>
    <s v="Internal"/>
    <m/>
    <x v="0"/>
  </r>
  <r>
    <s v="REDI (Rebranding dan Digitalisasi Pemasaran UMKM Mahda Collection)"/>
    <s v="pkm Mandiri"/>
    <n v="2021"/>
    <n v="2021"/>
    <n v="5"/>
    <s v="INDUSTRI KREATIF DAN PENGEMBANGAN TEKNOLOGI MAJU"/>
    <n v="0"/>
    <n v="4850000"/>
    <s v="ITTelkom Surabaya"/>
    <n v="7"/>
    <s v="Pengmas Kompetitif Internal"/>
    <s v="Internal"/>
    <m/>
    <x v="0"/>
  </r>
  <r>
    <s v="Implementasi E-Marketing dengan Memanfaatkan E-Commerce dan Social Media dalam Transformasi Strategi Pemasaran untuk Urban Farming pada UMKM Lokal 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Rebranding Produk pada UMKM Ukusno Stemboat untuk Memperluas Area Pemasaran Saat Kondisi Pandemi COVID-19"/>
    <s v="pkm Mandiri"/>
    <n v="2021"/>
    <n v="2021"/>
    <n v="5"/>
    <s v="INDUSTRI KREATIF DAN PENGEMBANGAN TEKNOLOGI MAJU"/>
    <n v="0"/>
    <n v="5000000"/>
    <s v="ITTelkom Surabaya"/>
    <n v="7"/>
    <s v="Pengmas Kompetitif Internal"/>
    <s v="Internal"/>
    <m/>
    <x v="0"/>
  </r>
  <r>
    <s v="Bersihkan Hati dengan Berbagi, Kembangkan Masyarakat dari Faktor Ekonomi pada Bubur Ayam Teteh Lina"/>
    <s v="pkm Mandiri"/>
    <n v="2021"/>
    <n v="2021"/>
    <n v="5"/>
    <s v="PEMBERDAYAAN DESA/WILAYAH BINAAN"/>
    <n v="0"/>
    <n v="5575000"/>
    <s v="ITTelkom Surabaya"/>
    <n v="7"/>
    <s v="Pengmas Kompetitif Internal"/>
    <s v="Internal"/>
    <m/>
    <x v="0"/>
  </r>
  <r>
    <s v="Pembuatan Sistem Pengarsipan Posyandu Dinoyo Berbasis Website"/>
    <s v="pkm Mandiri"/>
    <n v="2021"/>
    <n v="2021"/>
    <n v="5"/>
    <s v="PEMBERDAYAAN DESA/WILAYAH BINAAN"/>
    <n v="0"/>
    <n v="5000000"/>
    <s v="ITTelkom Surabaya"/>
    <n v="7"/>
    <s v="Pengmas Kompetitif Internal"/>
    <s v="Internal"/>
    <m/>
    <x v="0"/>
  </r>
  <r>
    <s v="Sistem Sterilisasi Udara pada Ruangan Tertutup Berbasis IOT"/>
    <s v="Hibah Ayo Bikin Nyata (ABN)"/>
    <n v="2021"/>
    <n v="2021"/>
    <n v="8"/>
    <s v="PEMBERDAYAAN DESA/WILAYAH BINAAN"/>
    <n v="45000000"/>
    <n v="45000000"/>
    <s v="ITTelkom Surabaya"/>
    <n v="7"/>
    <m/>
    <s v="Eksternal"/>
    <m/>
    <x v="3"/>
  </r>
  <r>
    <s v="Perancangan Mesin Pengering Rumpur Laut (Part of Smart Aquaculture Monitoring and Control System) untuk budidaya Rumput Laut di Kampung Rumput Laut Dusun Tanjungsari, Kabupaten Sidoarjo, Provinsi Jawa Timur"/>
    <s v="pkm kerjasama"/>
    <n v="2021"/>
    <n v="2021"/>
    <n v="2"/>
    <s v="PEMBERDAYAAN DESA/WILAYAH BINAAN"/>
    <s v="-"/>
    <n v="17500000"/>
    <s v="ITTelkom Surabaya"/>
    <n v="7"/>
    <m/>
    <s v="Eksternal"/>
    <m/>
    <x v="0"/>
  </r>
  <r>
    <m/>
    <m/>
    <m/>
    <m/>
    <m/>
    <m/>
    <m/>
    <m/>
    <m/>
    <m/>
    <m/>
    <m/>
    <m/>
    <x v="1"/>
  </r>
  <r>
    <s v="Sistem Pengawasan Kualitas Air Tambak Budidaya Lobster Untuk Meningkatkan Perkembangbiakan Lobster Berbasis IoT Sebagai Upaya Pengembangan Pusat Riset UMKM Budidaya Lebster di Jawa Timur"/>
    <s v="Pengmas Berbasis Penelitian"/>
    <n v="2022"/>
    <n v="2022"/>
    <m/>
    <s v="INDUSTRI KREATIF DAN PENERAPAN TEKNOLOGI MAJU"/>
    <m/>
    <n v="16408500"/>
    <s v="ITTelkom Surabaya"/>
    <n v="7"/>
    <s v="Pengmas Kompetitif Internal"/>
    <s v="Internal"/>
    <s v="ID"/>
    <x v="0"/>
  </r>
  <r>
    <s v="PENGEMBANGAN WEBSITE KAMPUNG WISATA EDUKASI (STUDI KASUS KAMPUNG ONDOMOHEN SURABAYA)"/>
    <s v="pkm reguler"/>
    <n v="2022"/>
    <n v="2022"/>
    <m/>
    <s v="INDUSTRI KREATIF DAN PENERAPAN TEKNOLOGI MAJU"/>
    <m/>
    <n v="6000000"/>
    <s v="ITTelkom Surabaya"/>
    <n v="7"/>
    <s v="Pengmas Kompetitif Internal"/>
    <s v="Internal"/>
    <s v="ID"/>
    <x v="0"/>
  </r>
  <r>
    <s v="Optimalisasi Panel Surya sebagai Pembangkit Listrik Alternatif untuk Meleyani Kebutuhan Listrik Masyarakat Kampung Oase Ondomohen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mbuatan Sistem Manajemen Aset Wakaf Untuk Yayasan Al-Manar 1989 Babatan Pilang Wiyung Surabaya"/>
    <s v="pkm reguler"/>
    <n v="2022"/>
    <n v="2022"/>
    <m/>
    <s v="PEMBERDAYAAN DESA ATAU WILAYAH BINAAN"/>
    <m/>
    <n v="6425000"/>
    <s v="ITTelkom Surabaya"/>
    <n v="7"/>
    <s v="Pengmas Kompetitif Internal"/>
    <s v="Internal"/>
    <s v="ID"/>
    <x v="0"/>
  </r>
  <r>
    <s v="Pendampingan Penyusunan Pembukuan Dan Laporan Keuangan Untuk UKM Di Kota Surabaya"/>
    <s v="pkm reguler"/>
    <n v="2022"/>
    <n v="2022"/>
    <m/>
    <s v="INDUSTRI KREATIF DAN PENERAPAN TEKNOLOGI MAJU"/>
    <m/>
    <n v="7000000"/>
    <s v="ITTelkom Surabaya"/>
    <n v="7"/>
    <s v="Pengmas Kompetitif Internal"/>
    <s v="Internal"/>
    <s v="ID"/>
    <x v="0"/>
  </r>
  <r>
    <s v="Pengembangan Wisata Kampung Hijau Dan Pengelolahan Sampah Makanan Warga Untuk Budidaya Magot Menjadi Pakan Ikan Di Kampung Ondomohen Magersari Surabaya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KM Aplikasi Bergerak Untuk Pemesanan Air Minum Isi Ulang Pada Depo Bahagia"/>
    <s v="pkm reguler"/>
    <n v="2022"/>
    <n v="2022"/>
    <m/>
    <s v="INDUSTRI KREATIF DAN PENERAPAN TEKNOLOGI MAJU"/>
    <m/>
    <n v="6900000"/>
    <s v="ITTelkom Surabaya"/>
    <n v="7"/>
    <s v="Pengmas Kompetitif Internal"/>
    <s v="Internal"/>
    <s v="ID"/>
    <x v="0"/>
  </r>
  <r>
    <s v="Pelatihan Online Streaming Pengajian Bagi Pengurus Langgar Al-Qodir"/>
    <s v="pkm reguler"/>
    <n v="2022"/>
    <n v="2022"/>
    <m/>
    <s v="INDUSTRI KREATIF DAN PENERAPAN TEKNOLOGI MAJU"/>
    <m/>
    <n v="6000000"/>
    <s v="ITTelkom Surabaya"/>
    <n v="7"/>
    <s v="Pengmas Kompetitif Internal"/>
    <s v="Internal"/>
    <s v="ID"/>
    <x v="0"/>
  </r>
  <r>
    <s v="Pemanfaatan Teknologi Smart Farming Untuk Meningkatkan Efisiensi Budidaya Janur Di Kelompok Tani Elok Mekar Sari Surabaya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manfaatan Teknologi Gelombang Bunyi Sebagai Salah Satu Alternatif Penambahan Hotspot Berkumpulnya Ikan Bagi Nelayan Pesisir Pantai Kenjeran, Kota Surabaya"/>
    <s v="pkm reguler"/>
    <n v="2022"/>
    <n v="2022"/>
    <m/>
    <s v="PEMBERDAYAAN DESA ATAU WILAYAH BINAAN"/>
    <m/>
    <n v="6500000"/>
    <s v="ITTelkom Surabaya"/>
    <n v="7"/>
    <s v="Pengmas Kompetitif Internal"/>
    <s v="Internal"/>
    <s v="ID"/>
    <x v="0"/>
  </r>
  <r>
    <s v="Pengembangan Aplikasi Penjualan Dan Proyek Pada Koperasi Pegawai Institut Teknologi Telkom Hita Loka Tara"/>
    <s v="pkm reguler"/>
    <n v="2022"/>
    <n v="2022"/>
    <m/>
    <s v="INDUSTRI KREATIF DAN PENERAPAN TEKNOLOGI MAJU"/>
    <m/>
    <n v="6955000"/>
    <s v="ITTelkom Surabaya"/>
    <n v="7"/>
    <s v="Pengmas Kompetitif Internal"/>
    <s v="Internal"/>
    <s v="ID"/>
    <x v="0"/>
  </r>
  <r>
    <s v="Pelatihan Implementasi Green Marketing Dan Digital Marketing Memanfaatkan Social Media dan E- Comerce Untuk UMKM"/>
    <s v="pkm reguler"/>
    <n v="2022"/>
    <n v="2022"/>
    <m/>
    <s v="INDUSTRI KREATIF DAN PENERAPAN TEKNOLOGI MAJU"/>
    <m/>
    <n v="6671000"/>
    <s v="ITTelkom Surabaya"/>
    <n v="7"/>
    <s v="Pengmas Kompetitif Internal"/>
    <s v="Internal"/>
    <s v="ID"/>
    <x v="0"/>
  </r>
  <r>
    <s v="PKM EYED ( EDUCATION YOUTH OF ENTREPRENEURS) PROGRAM PEMANFAATAN IT UNTUK MENINGKATKAN PRODUKTIF DAN EKONOMI MASYARAKAT DI SEPANJANG ASRI PASKA PANDEMI COVID-19"/>
    <s v="pkm reguler"/>
    <n v="2022"/>
    <n v="2022"/>
    <m/>
    <s v="PEMBERDAYAAN DESA ATAU WILAYAH BINAAN"/>
    <m/>
    <n v="7000000"/>
    <s v="ITTelkom Surabaya"/>
    <n v="7"/>
    <s v="Pengmas Kompetitif Internal"/>
    <s v="Internal"/>
    <s v="ID"/>
    <x v="0"/>
  </r>
  <r>
    <s v="Penerapan QRcode Pada Sistem Digitalisasi Produk Dan Hasil Inovasi Dan Tanaman Di Kampung Oase Odomohen"/>
    <s v="pkm reguler"/>
    <n v="2022"/>
    <n v="2022"/>
    <m/>
    <s v="INDUSTRI KREATIF DAN PENERAPAN TEKNOLOGI MAJU"/>
    <m/>
    <n v="5570000"/>
    <s v="ITTelkom Surabaya"/>
    <n v="7"/>
    <s v="Pengmas Kompetitif Internal"/>
    <s v="Internal"/>
    <s v="ID"/>
    <x v="0"/>
  </r>
  <r>
    <s v="Strategi Peningkatan Pemasaran dan Penjualan Produk Olahan Buah Mangrove Melalui Pembuatan Website"/>
    <s v="pkm reguler"/>
    <n v="2022"/>
    <n v="2022"/>
    <m/>
    <s v="INDUSTRI KREATIF DAN PENERAPAN TEKNOLOGI MAJU"/>
    <m/>
    <n v="7000000"/>
    <s v="ITTelkom Surabaya"/>
    <n v="7"/>
    <s v="Pengmas Kompetitif Internal"/>
    <s v="Internal"/>
    <s v="ID"/>
    <x v="0"/>
  </r>
  <r>
    <s v="Pelatihan Pengembangan Inovasi Bisnis Digital Berbasis Web Untuk Meningkatkan Daya Saing SMK Di Jatim"/>
    <s v="pkm Penugasan"/>
    <n v="2022"/>
    <n v="2022"/>
    <m/>
    <s v="INDUSTRI KREATIF DAN PENERAPAN TEKNOLOGI MAJU"/>
    <m/>
    <n v="10000000"/>
    <s v="ITTelkom Surabaya"/>
    <n v="7"/>
    <s v="Pengmas Kompetitif Internal"/>
    <s v="Internal"/>
    <s v="ID"/>
    <x v="0"/>
  </r>
  <r>
    <s v="Pembentukan Kelompok Usaha dan Strategi Branding untuk Membentuk Identitas Brand"/>
    <s v="pkm reguler"/>
    <n v="2022"/>
    <n v="2022"/>
    <m/>
    <s v="PEMBERDAYAAN DESA/WILAYAH BINAAN"/>
    <m/>
    <n v="6971250"/>
    <s v="ITTelkom Surabaya"/>
    <n v="7"/>
    <s v="Pengmas Kompetitif Internal"/>
    <s v="Internal"/>
    <s v="ID"/>
    <x v="0"/>
  </r>
  <r>
    <s v="Pelatihan Pemanfaatan Fintech Lending Dan Payment pada UMKM"/>
    <s v="pkm reguler"/>
    <n v="2022"/>
    <n v="2022"/>
    <m/>
    <s v="INDUSTRI KREATIF DAN PENGEMBANGAN TEKNOLOGI MAJU"/>
    <m/>
    <n v="6941000"/>
    <s v="ITTelkom Surabaya"/>
    <n v="7"/>
    <s v="Pengmas Kompetitif Internal"/>
    <s v="Internal"/>
    <s v="ID"/>
    <x v="0"/>
  </r>
  <r>
    <s v="Pengembangan Kampung Wisata Edukasi dengan Penerapan Teknologi dan Pemberdayaan Masyarakat Di Kampoeng Songo Surabaya"/>
    <s v="pkm reguler"/>
    <n v="2022"/>
    <n v="2022"/>
    <m/>
    <s v="INDUSTRI KREATIF DAN PENGEMBANGAN TEKNOLOGI MAJU"/>
    <m/>
    <n v="7000000"/>
    <s v="ITTelkom Surabaya"/>
    <n v="7"/>
    <s v="Pengmas Kompetitif Internal"/>
    <s v="Internal"/>
    <s v="ID"/>
    <x v="0"/>
  </r>
  <r>
    <s v="Pengembangan WebProfile pada Usaha Furniture Surabaya (Studi Kasus UD. Rozi Rohmad)"/>
    <s v="pkm reguler"/>
    <n v="2022"/>
    <n v="2022"/>
    <m/>
    <s v="INDUSTRI KREATIF DAN PENGEMBANGAN TEKNOLOGI MAJU"/>
    <m/>
    <n v="6000000"/>
    <s v="ITTelkom Surabaya"/>
    <n v="7"/>
    <s v="Pengmas Kompetitif Internal"/>
    <s v="Internal"/>
    <s v="ID"/>
    <x v="0"/>
  </r>
  <r>
    <s v="Literasi Adopsi Digital Berbasis Teknologi Informasi Secara Tepat Guna pada Sekolah Menengah Atas untuk Meningkatkan Kualitas Pembelajaran"/>
    <s v="pkm reguler"/>
    <n v="2022"/>
    <n v="2022"/>
    <m/>
    <s v="PEMBERDAYAAN DESA/WILAYAH BINAAN"/>
    <m/>
    <n v="5500000"/>
    <s v="ITTelkom Surabaya"/>
    <n v="7"/>
    <s v="Pengmas Kompetitif Internal"/>
    <s v="Internal"/>
    <s v="ID"/>
    <x v="0"/>
  </r>
  <r>
    <s v="Penyusunan Kriteria Kepuasan Pelanggan pada Kelompok Usaha Bareng Raya"/>
    <s v="pkm reguler"/>
    <n v="2022"/>
    <n v="2022"/>
    <m/>
    <s v="PEMBERDAYAAN DESA/WILAYAH BINAAN"/>
    <m/>
    <n v="6960000"/>
    <s v="ITTelkom Surabaya"/>
    <n v="7"/>
    <s v="Pengmas Kompetitif Internal"/>
    <s v="Internal"/>
    <s v="ID"/>
    <x v="0"/>
  </r>
  <r>
    <s v="Pelatihan Branding dan Corporate Identity Berbasis Aplikasi Pada UMKM"/>
    <s v="pkm reguler"/>
    <n v="2022"/>
    <n v="2022"/>
    <n v="7"/>
    <s v="PEMBERDAYAAN DESA/WILAYAH BINAAN"/>
    <m/>
    <n v="6000000"/>
    <s v="ITTelkom Surabaya"/>
    <n v="7"/>
    <s v="Pengmas Kompetitif Internal"/>
    <s v="Internal"/>
    <s v="ID"/>
    <x v="0"/>
  </r>
  <r>
    <s v="Instalasi dan Pelatihan Aplikasi Sister di STAI Ali bin Abi Thalib Surabaya"/>
    <s v="pkm reguler"/>
    <n v="2022"/>
    <n v="2022"/>
    <m/>
    <s v="PEMBERDAYAAN DESA/WILAYAH BINAAN"/>
    <m/>
    <n v="5250000"/>
    <s v="ITTelkom Surabaya"/>
    <n v="7"/>
    <s v="Pengmas Kompetitif Internal"/>
    <s v="Internal"/>
    <s v="ID"/>
    <x v="0"/>
  </r>
  <r>
    <s v="Manajemen Perubahan dengan ADKAR Model untuk Penerapan Good University Governance Melalui Pembuatan Enterprise Architecture di Sekolah Tinggi Agama Islam Ali Bin Abi Thalib"/>
    <s v="pkm reguler"/>
    <n v="2022"/>
    <n v="2022"/>
    <m/>
    <s v="PEMBERDAYAAN DESA/WILAYAH BINAAN"/>
    <m/>
    <n v="6000000"/>
    <s v="ITTelkom Surabaya"/>
    <n v="7"/>
    <s v="Pengmas Kompetitif Internal"/>
    <s v="Internal"/>
    <s v="ID"/>
    <x v="0"/>
  </r>
  <r>
    <s v="Integrated Management Library System (IMAGIN), Pengembangan Perpustakaan ITTelkom Surabaya Terintegrasi Berbasis Web"/>
    <s v="pkm reguler"/>
    <n v="2022"/>
    <n v="2022"/>
    <m/>
    <s v="PEMBERDAYAAN DESA/WILAYAH BINAAN"/>
    <m/>
    <n v="13600000"/>
    <s v="ITTelkom Surabaya"/>
    <n v="7"/>
    <s v="Pengmas Kompetitif Internal"/>
    <s v="Internal"/>
    <s v="ID"/>
    <x v="0"/>
  </r>
  <r>
    <s v="Pemanfaatan Fitur Facebook sebagai Upaya dalam Meningkatkan Penjualan Produk UMKM di Ujungpangkah Kabupaten Gresik"/>
    <s v="pkm reguler"/>
    <n v="2022"/>
    <n v="2022"/>
    <m/>
    <s v="INDUSTRI KREATIF DAN PENGEMBANGAN TEKNOLOGI MAJU"/>
    <m/>
    <n v="5000000"/>
    <s v="ITTelkom Surabaya"/>
    <n v="7"/>
    <s v="Pengmas Kompetitif Internal"/>
    <s v="Internal"/>
    <s v="ID"/>
    <x v="0"/>
  </r>
  <r>
    <s v="Pendampingan Perizinan Usaha Melalui Online Single Submission Risk-Based Approach"/>
    <s v="pkm reguler"/>
    <n v="2022"/>
    <n v="2022"/>
    <m/>
    <s v="INDUSTRI KREATIF DAN PENGEMBANGAN TEKNOLOGI MAJU"/>
    <m/>
    <n v="6330000"/>
    <s v="ITTelkom Surabaya"/>
    <n v="7"/>
    <s v="Pengmas Kompetitif Internal"/>
    <s v="Internal"/>
    <s v="ID"/>
    <x v="0"/>
  </r>
  <r>
    <s v="INOVASI PROTOTYPE E-MOTORCYCLE UNTUK MEMBANTU OPERASIONAL TELKOM AKSES"/>
    <s v="Hibah CDC"/>
    <n v="2022"/>
    <n v="2022"/>
    <m/>
    <s v="INDUSTRI KREATIF DAN PENGEMBANGAN TEKNOLOGI MAJU"/>
    <m/>
    <n v="100000000"/>
    <s v="ITTelkom Surabaya"/>
    <n v="7"/>
    <m/>
    <s v="Eksternal"/>
    <s v="ID"/>
    <x v="3"/>
  </r>
  <r>
    <s v="Wal Asri: Akselerasi Pemberdayaan Remaja Masjid Berbasis Digital Learning Space Guna Menyiapkan Generasi yang berAKHLAK di Era Transformasi Digital"/>
    <s v="Hibah Ayo Bikin Nyata (ABN)"/>
    <n v="2022"/>
    <n v="2022"/>
    <m/>
    <m/>
    <m/>
    <n v="50000000"/>
    <s v="ITTelkom Surabaya"/>
    <n v="7"/>
    <m/>
    <s v="Eksternal"/>
    <s v="ID"/>
    <x v="3"/>
  </r>
  <r>
    <s v="Pengembangan Panel Surya Untuk Penerapan Hidroponik dan Lampu Penerangan Wisata Kuliner dan Budidaya Ikan Berbasis Internet of Things di Kampung Oase Ondomohen"/>
    <s v="Hibah BiMA Pemberdayaan Berbasis Masyarakat"/>
    <n v="2022"/>
    <n v="2022"/>
    <m/>
    <s v="PEMBERDAYAAN DESA/WILAYAH BINAAN"/>
    <m/>
    <n v="46175000"/>
    <s v="ITTelkom Surabaya"/>
    <n v="7"/>
    <m/>
    <s v="Eksternal"/>
    <s v="ID"/>
    <x v="2"/>
  </r>
  <r>
    <s v="Peningkatan Produksi Arang Briket Melalui Otomatisasi Mesin dan Penguatan Branding Pada Kelompok Masyarakat di Kampung Oase Ondomohen Surabaya"/>
    <s v="Hibah BiMA Pemberdayaan Berbasis Masyarakat"/>
    <n v="2022"/>
    <n v="2022"/>
    <m/>
    <s v="Multidisiplin dan Lintas Sektoral"/>
    <m/>
    <n v="46500000"/>
    <s v="ITTelkom Surabaya"/>
    <n v="7"/>
    <m/>
    <s v="Eksternal"/>
    <s v="ID"/>
    <x v="2"/>
  </r>
  <r>
    <s v="Pengembangan Sistem Otomasi Hidroponik berbasis Internet of Things Sebagai Upaya Ketahanan Pangan dan Objek Wisata Edukasi Kampung Songo Simomulyo Baru, Surabaya"/>
    <s v="Hibah BiMA Pemberdayaan Berbasis Masyarakat"/>
    <n v="2022"/>
    <n v="2022"/>
    <m/>
    <s v="Pangan"/>
    <m/>
    <n v="43200000"/>
    <s v="ITTelkom Surabaya"/>
    <n v="7"/>
    <m/>
    <s v="Eksternal"/>
    <s v="ID"/>
    <x v="2"/>
  </r>
  <r>
    <s v="Pelatihan Literasi TIK Untuk Guru PAUD PPT Kemuning Surabaya"/>
    <s v="Pengmas Penugasan Fakultas"/>
    <n v="2022"/>
    <n v="2022"/>
    <m/>
    <s v="INDUSTRI KREATIF DAN PENGEMBANGAN TEKNOLOGI MAJU"/>
    <m/>
    <n v="5000000"/>
    <s v="ITTelkom Surabaya"/>
    <n v="7"/>
    <s v="Pengmas Penugasan"/>
    <s v="Internal"/>
    <s v="ID"/>
    <x v="0"/>
  </r>
  <r>
    <s v="Destilasi Air Sumur Asin dengan Charging Battery-Solar Panel Berbasis IoT"/>
    <s v="Pengmas Kerjasama"/>
    <n v="2022"/>
    <n v="2022"/>
    <n v="6"/>
    <s v="INDUSTRI KREATIF DAN PENGEMBANGAN TEKNOLOGI MAJU"/>
    <m/>
    <n v="13201608"/>
    <s v="ITTelkom Surabaya"/>
    <n v="7"/>
    <m/>
    <s v="Internal"/>
    <m/>
    <x v="0"/>
  </r>
  <r>
    <s v="Rekayasa Digitalisasi Pertanian Hidroponik BUMDES Mutiara Timur Untuk Mengontrol Kualitas Air Berbasis IoT Guna Mencapai Desa Kedungdalem yang Digital dan Mandiri"/>
    <s v="Pengmas Kerjasama"/>
    <n v="2022"/>
    <n v="2022"/>
    <n v="6"/>
    <s v="INDUSTRI KREATIF DAN PENGEMBANGAN TEKNOLOGI MAJU"/>
    <m/>
    <n v="17034333"/>
    <s v="ITTelkom Surabaya"/>
    <n v="7"/>
    <m/>
    <s v="Internal"/>
    <m/>
    <x v="0"/>
  </r>
  <r>
    <s v="Penggunaan Teknologi Smart Farmin Untuk Meningkatkan Efisiensi Budidaya Jamur Kelompok Tani Elok Mekar Sari Surabaya"/>
    <s v="Pengmas Kerjasama"/>
    <n v="2022"/>
    <n v="2022"/>
    <n v="6"/>
    <s v="PEMBERDAYAAN DESA/WILAYAH BINAAN"/>
    <m/>
    <n v="15083902"/>
    <s v="ITTelkom Surabaya"/>
    <n v="7"/>
    <m/>
    <s v="Internal"/>
    <m/>
    <x v="0"/>
  </r>
  <r>
    <m/>
    <m/>
    <m/>
    <m/>
    <m/>
    <m/>
    <m/>
    <m/>
    <m/>
    <m/>
    <m/>
    <m/>
    <m/>
    <x v="1"/>
  </r>
  <r>
    <s v="PENGEMBANGAN SARANA PROMOSI DAN PEMASARAN DIGITAL PADA PT. ADAM DJAYA TEKNIK MELALUI OPTIMASI DIGITAL BUSINESS"/>
    <s v="pkm reguler"/>
    <n v="2023"/>
    <n v="2023"/>
    <n v="6"/>
    <s v="INDUSTRI KREATIF DAN PENERAPAN TEKNOLOGI MAJU"/>
    <m/>
    <n v="6000000"/>
    <s v="Institut Teknologi Telkom Surabaya"/>
    <n v="6"/>
    <s v="PKM KOMPETITIF INTERNAL"/>
    <s v="Internal"/>
    <s v="ID"/>
    <x v="0"/>
  </r>
  <r>
    <s v="DIGITALISASI USAHA MIKRO, KECIL, DAN MENENGAH (UMKM) DI KAMPUNG CINCAU, SURABAYA"/>
    <s v="pkm reguler"/>
    <n v="2023"/>
    <n v="2023"/>
    <n v="6"/>
    <s v="PEMBERDAYAAN DESA/WILAYAH BINAAN"/>
    <m/>
    <n v="6000000"/>
    <s v="Institut Teknologi Telkom Surabaya"/>
    <n v="6"/>
    <s v="PKM KOMPETITIF INTERNAL"/>
    <s v="Internal"/>
    <s v="ID"/>
    <x v="0"/>
  </r>
  <r>
    <s v="PENGEMBANGAN APLIKASI PENGELOLAAN DATA POTENSI DAN SUMBER KESEJAHTERAAN SOSIAL PROVINSI JAWA TIMUR (E-PSKS JATIM)"/>
    <s v="pkm reguler"/>
    <n v="2023"/>
    <n v="2023"/>
    <n v="6"/>
    <s v="INDUSTRI KREATIF DAN PENERAPAN TEKNOLOGI MAJU"/>
    <m/>
    <n v="7000000"/>
    <s v="Institut Teknologi Telkom Surabaya"/>
    <n v="6"/>
    <s v="PKM KOMPETITIF INTERNAL"/>
    <s v="Internal"/>
    <s v="ID"/>
    <x v="0"/>
  </r>
  <r>
    <s v="IMPLEMENTASI APLIKASI ADMINISTRASI DOKUMEN KEPEGAWAIAN DI PT. ANUGRAH LAUT INDONESIA"/>
    <s v="pkm reguler"/>
    <n v="2023"/>
    <n v="2023"/>
    <n v="6"/>
    <s v="INDUSTRI KREATIF DAN PENERAPAN TEKNOLOGI MAJU"/>
    <m/>
    <n v="6074000"/>
    <s v="Institut Teknologi Telkom Surabaya"/>
    <n v="6"/>
    <s v="PKM KOMPETITIF INTERNAL"/>
    <s v="Internal"/>
    <s v="ID"/>
    <x v="0"/>
  </r>
  <r>
    <s v="PELATIHAN DAN SOSIALISASI IMPLEMENTASI HALAL SUPPLY CHAIN MANAGEMENT PADA INDUSTRI PENGOLAHAN MAKANAN"/>
    <s v="pkm reguler"/>
    <n v="2023"/>
    <n v="2023"/>
    <n v="6"/>
    <s v="PEMBERDAYAAN DESA/WILAYAH BINAAN"/>
    <m/>
    <n v="7000000"/>
    <s v="Institut Teknologi Telkom Surabaya"/>
    <n v="3"/>
    <s v="PKM KOMPETITIF INTERNAL"/>
    <s v="Internal"/>
    <s v="ID"/>
    <x v="0"/>
  </r>
  <r>
    <s v="SOSIALISASI DAN PELATIHAN PEMBUATAN DESAIN KEMASAN PRODUK MINUMAN UMKM 'KAMPUNG KRANGGAN GANG V"/>
    <s v="pkm reguler"/>
    <n v="2023"/>
    <n v="2023"/>
    <n v="6"/>
    <s v="PEMBERDAYAAN DESA/WILAYAH BINAAN"/>
    <m/>
    <n v="6500000"/>
    <s v="Institut Teknologi Telkom Surabaya"/>
    <n v="3"/>
    <m/>
    <s v="Internal"/>
    <s v="ID"/>
    <x v="0"/>
  </r>
  <r>
    <s v="PELATIHAN PENINGKATAN KUALITAS DAN EFEKTIVITAS DAKWAH ONLINE BAGI UNIT KEGIATAN KEROHANIAN ISLAM AL HABSYI"/>
    <s v="pkm reguler"/>
    <n v="2023"/>
    <n v="2023"/>
    <n v="6"/>
    <s v="INDUSTRI KREATIF DAN PENERAPAN TEKNOLOGI MAJU"/>
    <m/>
    <n v="6995000"/>
    <s v="Institut Teknologi Telkom Surabaya"/>
    <n v="7"/>
    <m/>
    <s v="Internal"/>
    <s v="ID"/>
    <x v="0"/>
  </r>
  <r>
    <s v="IMPLEMENTASI SMART FISH POND BERBASIS IOT UNTUK BUDIDAYA IKAN LELE DI KELOMPOK TANI ELOK MEKAR SARI"/>
    <s v="pkm reguler"/>
    <n v="2023"/>
    <n v="2023"/>
    <n v="8"/>
    <s v="PEMBERDAYAAN DESA/WILAYAH BINAAN"/>
    <m/>
    <n v="7000000"/>
    <s v="Institut Teknologi Telkom Surabaya"/>
    <n v="3"/>
    <m/>
    <s v="Internal"/>
    <s v="ID"/>
    <x v="0"/>
  </r>
  <r>
    <s v="PELATIHAN PROGRAM RE-BRANDING, BRAND AWARENESS DAN DIGITALISASI MARKETING PADA UMKM PKK KELURAHAN SEDATI GEDE"/>
    <s v="pkm reguler"/>
    <n v="2023"/>
    <n v="2023"/>
    <n v="6"/>
    <s v="PEMBERDAYAAN DESA/WILAYAH BINAAN"/>
    <m/>
    <n v="6961000"/>
    <s v="Institut Teknologi Telkom Surabaya"/>
    <n v="3"/>
    <m/>
    <s v="Internal"/>
    <s v="ID"/>
    <x v="0"/>
  </r>
  <r>
    <s v="PENGEMBANGAN WEB DIREKTORI DIGITAL UKM BINAAN TELKOM WITEL SURABAYA SELATAN"/>
    <s v="pkm reguler"/>
    <n v="2023"/>
    <n v="2023"/>
    <n v="6"/>
    <s v="PEMBERDAYAAN DESA/WILAYAH BINAAN"/>
    <m/>
    <n v="6480000"/>
    <s v="Institut Teknologi Telkom Surabaya"/>
    <n v="6"/>
    <m/>
    <s v="Internal"/>
    <s v="ID"/>
    <x v="0"/>
  </r>
  <r>
    <s v="PEMBUATAN MODUL DAN PELATIHAN RANGKAIAN LISTRIK (SERI-PARALEL) SEBAGAI PENUNJANG MATA PELAJARAN IPA DI SMP AL ISLAH SURABAYA"/>
    <s v="pkm reguler"/>
    <n v="2023"/>
    <n v="2023"/>
    <n v="7"/>
    <s v="PEMBERDAYAAN DESA/WILAYAH BINAAN"/>
    <m/>
    <n v="7000000"/>
    <s v="Institut Teknologi Telkom Surabaya"/>
    <n v="3"/>
    <m/>
    <s v="Internal"/>
    <s v="ID"/>
    <x v="0"/>
  </r>
  <r>
    <s v="RANCANG BANGUN SISTEM INFORMASI TPQ AL-MUBAAROK BERBASIS DESKTOP"/>
    <s v="pkm reguler"/>
    <n v="2023"/>
    <n v="2023"/>
    <n v="6"/>
    <s v="INDUSTRI KREATIF DAN PENERAPAN TEKNOLOGI MAJU"/>
    <m/>
    <n v="6470000"/>
    <s v="Institut Teknologi Telkom Surabaya"/>
    <n v="3"/>
    <m/>
    <s v="Internal"/>
    <s v="ID"/>
    <x v="0"/>
  </r>
  <r>
    <s v="PEMANFAATAN TENAGA SURYA DALAM PEMBUATAN SOLAR CHARGING STATION SEBAGAI PENUNJANG FASILITAS UMUM DI SEKOLAH AL ISLAH SURABAYA"/>
    <s v="pkm reguler"/>
    <n v="2023"/>
    <n v="2023"/>
    <n v="6"/>
    <s v="INDUSTRI KREATIF DAN PENERAPAN TEKNOLOGI MAJU"/>
    <m/>
    <n v="7000000"/>
    <s v="Institut Teknologi Telkom Surabaya"/>
    <n v="7"/>
    <m/>
    <s v="Internal"/>
    <s v="ID"/>
    <x v="0"/>
  </r>
  <r>
    <s v="PENGENALAN DASAR KONSEP INTERNET OF THINGS DAN IMPLEMENTASINYA KEPADA SISWA SMP AL ISLAH SURABAYA"/>
    <s v="pkm reguler"/>
    <n v="2023"/>
    <n v="2023"/>
    <n v="10"/>
    <s v="INDUSTRI KREATIF DAN PENERAPAN TEKNOLOGI MAJU"/>
    <m/>
    <n v="7000000"/>
    <s v="Institut Teknologi Telkom Surabaya"/>
    <n v="3"/>
    <m/>
    <s v="Internal"/>
    <s v="ID"/>
    <x v="0"/>
  </r>
  <r>
    <s v="PELATIHAN OPTIMALISASI SISTEM INFORMASI SEBAGAI MEDIA STRATEGIS DI SEKTOR PETERNAKAN TELUR BEBEK"/>
    <s v="pkm reguler"/>
    <n v="2023"/>
    <n v="2023"/>
    <n v="6"/>
    <s v="INDUSTRI KREATIF DAN PENERAPAN TEKNOLOGI MAJU"/>
    <m/>
    <n v="7000000"/>
    <s v="Institut Teknologi Telkom Surabaya"/>
    <n v="3"/>
    <m/>
    <s v="Internal"/>
    <s v="ID"/>
    <x v="0"/>
  </r>
  <r>
    <s v="EVALUASI DAN PENGEMBANGAN TATA KELOLA TEKNOLOGI INFORMASI PADA LEMBAGA AMIL ZAKAT NASIONAL"/>
    <s v="pkm berbasis penelitian"/>
    <n v="2023"/>
    <n v="2023"/>
    <n v="6"/>
    <s v="INDUSTRI KREATIF DAN PENERAPAN TEKNOLOGI MAJU"/>
    <m/>
    <n v="15500000"/>
    <s v="Institut Teknologi Telkom Surabaya"/>
    <n v="3"/>
    <m/>
    <s v="Internal"/>
    <s v="ID"/>
    <x v="0"/>
  </r>
  <r>
    <s v="ALat Pemanggil IkaN (Electronic Fish Attractor) &quot;ALPIN&quot; Pemanfaatan Teknologi Electronic Fish Attractor berbasis IoT Nirkabel dalam meningkatkan efisiensi Nelayan Kelurahan Kedung Cowet, Kecamatan Bulak, Surabaya, Jawa Timur"/>
    <s v="Hibah Ayo Bikin Nyata (ABN)"/>
    <n v="2023"/>
    <n v="2023"/>
    <n v="3"/>
    <s v="INDUSTRI KREATIF DAN PENERAPAN TEKNOLOGI MAJU"/>
    <m/>
    <n v="25600000"/>
    <s v="Institut Teknologi Telkom Surabaya"/>
    <m/>
    <m/>
    <s v="Eksternal"/>
    <s v="ID"/>
    <x v="0"/>
  </r>
  <r>
    <s v="Implementasi Teknologi dan Sumber Listrik Alternatif untuk Mendukung Smart Kampung Oase Ondomohen"/>
    <s v="Hibah BiMA Pemberdayaan Berbasis Masyarakat"/>
    <n v="2023"/>
    <n v="2023"/>
    <n v="12"/>
    <s v="tematik - Green_x000a_Economy"/>
    <n v="50000000"/>
    <n v="45000000"/>
    <s v="Institut Teknologi Telkom Surabaya"/>
    <s v="-"/>
    <s v="Pemberdayaan Berbasis Masyarakat"/>
    <s v="Eksternal"/>
    <s v="ID"/>
    <x v="2"/>
  </r>
  <r>
    <s v="Penerapan Smart Urban Farming dan Pengelolaan Sampah Organik"/>
    <s v="Hibah BiMA Pemberdayaan Berbasis Masyarakat"/>
    <n v="2023"/>
    <n v="2023"/>
    <n v="12"/>
    <s v="rirn - Teknologi_x000a_Informasi dan_x000a_Komunikasi_x000d_"/>
    <n v="50000000"/>
    <n v="47500000"/>
    <s v="Institut Teknologi Telkom Surabaya"/>
    <s v="-"/>
    <s v="Pemberdayaan Berbasis Masyarakat"/>
    <s v="Eksternal"/>
    <s v="ID"/>
    <x v="4"/>
  </r>
  <r>
    <s v="Pengembangan Website Profiling Qori dan Imam Masjid pada Al-Barra Studio"/>
    <s v="Pengmas Reguler"/>
    <n v="2023"/>
    <n v="2023"/>
    <n v="6"/>
    <s v="INDUSTRI KREATIF DAN PENERAPAN TEKNOLOGI MAJU"/>
    <n v="7000000"/>
    <n v="6775000"/>
    <s v="Institut Teknologi Telkom Surabaya"/>
    <n v="6"/>
    <m/>
    <s v="Internal"/>
    <m/>
    <x v="0"/>
  </r>
  <r>
    <s v="Pengembangan Sistem Informasi Manajemen Perpustakaan SMA Negeri 13 Surabaya (PUSGALAS) Berbasis Web"/>
    <s v="Pengmas Reguler"/>
    <n v="2023"/>
    <n v="2023"/>
    <n v="6"/>
    <s v="INDUSTRI KREATIF DAN PENERAPAN TEKNOLOGI MAJU"/>
    <n v="7000000"/>
    <n v="5325000"/>
    <s v="Institut Teknologi Telkom Surabaya"/>
    <n v="3"/>
    <m/>
    <s v="Internal"/>
    <m/>
    <x v="0"/>
  </r>
  <r>
    <s v="PKM Pembuatan Website pada Forum Komunikasi Astronom Amatir Lintas Jawa Timur (FOKALIS JATIM)"/>
    <s v="Pengmas Reguler"/>
    <n v="2023"/>
    <n v="2023"/>
    <n v="6"/>
    <s v="INDUSTRI KREATIF DAN PENERAPAN TEKNOLOGI MAJU"/>
    <n v="7000000"/>
    <n v="6700000"/>
    <s v="Institut Teknologi Telkom Surabaya"/>
    <n v="3"/>
    <m/>
    <s v="Internal"/>
    <m/>
    <x v="0"/>
  </r>
  <r>
    <s v="Website Pengungkap Berbagai Modus Penipuan Digital Untuk Meningkatkan Kesadaran Masyarakat Surabaya"/>
    <s v="Pengmas Reguler"/>
    <n v="2023"/>
    <n v="2023"/>
    <n v="6"/>
    <s v="INDUSTRI KREATIF DAN PENERAPAN TEKNOLOGI MAJU"/>
    <n v="6405000"/>
    <n v="6702500"/>
    <s v="Institut Teknologi Telkom Surabaya"/>
    <n v="3"/>
    <m/>
    <s v="Internal"/>
    <m/>
    <x v="0"/>
  </r>
  <r>
    <s v="Deseminasi Sistem Stand Alone Hidroponik Berbasis Tenaga Surya dan Pelatihan Penjualan Hasil Hidroponik di Kampung Wisata Edukasi Kampung Songo"/>
    <s v="Pengmas Reguler"/>
    <n v="2023"/>
    <n v="2023"/>
    <n v="6"/>
    <s v="INDUSTRI KREATIF DAN PENERAPAN TEKNOLOGI MAJU"/>
    <n v="7000000"/>
    <n v="7000000"/>
    <s v="Institut Teknologi Telkom Surabaya"/>
    <n v="6"/>
    <m/>
    <s v="Internal"/>
    <m/>
    <x v="0"/>
  </r>
  <r>
    <s v="Peningkatan Awarness Keilmuan Elektro dan Logistik pada Siswa SMA melalui Pelatihan Mikrokontroller dan TIK untuk Menghadapi Persaingan Pada Dunia Industri 4.0"/>
    <s v="Pengmas Reguler"/>
    <n v="2023"/>
    <n v="2023"/>
    <n v="4"/>
    <s v="PEMBERDAYAAN DESA/WILAYAH BINAAN"/>
    <n v="7000000"/>
    <n v="7000000"/>
    <s v="Institut Teknologi Telkom Surabaya"/>
    <n v="3"/>
    <m/>
    <s v="Internal"/>
    <m/>
    <x v="0"/>
  </r>
  <r>
    <s v="Pengembangan Sarana Promosi dan Pemasaran Digital pada Surabaya Desain Center"/>
    <s v="Pengmas Reguler"/>
    <n v="2023"/>
    <n v="2023"/>
    <n v="6"/>
    <s v="INDUSTRI KREATIF DAN PENERAPAN TEKNOLOGI MAJU"/>
    <n v="7000000"/>
    <n v="7000000"/>
    <s v="Institut Teknologi Telkom Surabaya"/>
    <n v="3"/>
    <m/>
    <s v="Internal"/>
    <m/>
    <x v="0"/>
  </r>
  <r>
    <s v="Pengenalan dan Pelatihan Tata Kelola SI/TI pada PT. Hidynamix Mitra Solusindo sebagai upaya Peningkatan Competitive Advantage di Era Transformasi Digital"/>
    <s v="Pengmas Reguler"/>
    <n v="2023"/>
    <n v="2023"/>
    <n v="6"/>
    <s v="INDUSTRI KREATIF DAN PENERAPAN TEKNOLOGI MAJU"/>
    <n v="7000000"/>
    <n v="6895000"/>
    <s v="Institut Teknologi Telkom Surabaya"/>
    <n v="3"/>
    <m/>
    <s v="Internal"/>
    <m/>
    <x v="0"/>
  </r>
  <r>
    <s v="Program Re-Branding sebagai Sarana Penciptaan Brand Awareness pada Produk UMKM PKK Kelurahan Sedati Gede"/>
    <s v="Pengmas Reguler"/>
    <n v="2023"/>
    <n v="2023"/>
    <n v="6"/>
    <s v="PEMBERDAYAAN DESA/WILAYAH BINAAN"/>
    <n v="7000000"/>
    <n v="6992000"/>
    <s v="Institut Teknologi Telkom Surabaya"/>
    <n v="3"/>
    <m/>
    <s v="Internal"/>
    <m/>
    <x v="0"/>
  </r>
  <r>
    <s v="Pelatihan Program Re-Branding, Brand Awareness, dan Digitalisasi Marketing pada Aneka Industri dan Kerajinan Kecil Menengah Surabaya"/>
    <s v="Pengmas Reguler"/>
    <n v="2023"/>
    <n v="2023"/>
    <n v="6"/>
    <s v="PEMBERDAYAAN DESA/WILAYAH BINAAN"/>
    <n v="6961000"/>
    <n v="7000000"/>
    <s v="Institut Teknologi Telkom Surabaya"/>
    <n v="3"/>
    <m/>
    <s v="Internal"/>
    <m/>
    <x v="0"/>
  </r>
  <r>
    <s v="Sosialisasi dan Implementasi Sistem Informasi Kampung Tangguh (SIKAT)"/>
    <s v="Pengmas Berbasis Penelitian"/>
    <n v="2023"/>
    <n v="2023"/>
    <n v="6"/>
    <s v="PEMBERDAYAAN DESA/WILAYAH BINAAN"/>
    <n v="17000000"/>
    <n v="16940000"/>
    <s v="Institut Teknologi Telkom Surabaya"/>
    <n v="5"/>
    <m/>
    <s v="Internal"/>
    <m/>
    <x v="0"/>
  </r>
  <r>
    <s v="Kelas Pengenalan dan Pembuatan Produk Kekinian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Pengenalan Dasar Konsep Internet of Things dan Implementasinya kepada Masyarakat SMA/SMK di Surabaya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Social Media Analysis Training Sebagai Sarana Persiapan Menghadapi Era Digital"/>
    <s v="Pengmas penugasan"/>
    <n v="2023"/>
    <n v="2023"/>
    <n v="6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Mengenal Bahaya Sekitar untuk Bekerja Lebih Produktif"/>
    <s v="Pengmas penugasan"/>
    <n v="2023"/>
    <n v="2023"/>
    <n v="6"/>
    <s v="Mitigasi dan Ketangguhan Bencana"/>
    <n v="7000000"/>
    <n v="7000000"/>
    <s v="Institut Teknologi Telkom Surabaya"/>
    <n v="1"/>
    <s v="PKM PENUGASAN INTERNAL"/>
    <s v="Internal"/>
    <s v="ID"/>
    <x v="0"/>
  </r>
  <r>
    <s v="Program Pelatihan Software MathCAD Untuk Penunjang Pembelajaran"/>
    <s v="Pengmas penugasan"/>
    <n v="2023"/>
    <n v="2023"/>
    <n v="3"/>
    <s v="PEMBERDAYAAN DESA/WILAYAH BINAAN"/>
    <n v="7432000"/>
    <n v="7000000"/>
    <s v="Institut Teknologi Telkom Surabaya"/>
    <n v="4"/>
    <s v="PKM PENUGASAN INTERNAL"/>
    <s v="Internal"/>
    <s v="ID"/>
    <x v="0"/>
  </r>
  <r>
    <s v="Workshop Pemanfaatan Google Workspace dan Excel Basic Analysis Function untuk Pengolahan Data Kuisioner"/>
    <s v="Pengmas penugasan"/>
    <n v="2023"/>
    <n v="2023"/>
    <n v="3"/>
    <s v="INDUSTRI KREATIF DAN PENERAPAN TEKNOLOGI MAJU"/>
    <n v="7000000"/>
    <n v="7000000"/>
    <s v="Institut Teknologi Telkom Surabaya"/>
    <n v="3"/>
    <s v="PKM PENUGASAN INTERNAL"/>
    <s v="Internal"/>
    <s v="ID"/>
    <x v="0"/>
  </r>
  <r>
    <s v="Pembuatan Sistem Penyedia Air dengan Pompa Air Listrik Tenaga Surya Untuk Perumahan di Sentani Papua dalam Rangka Sustainable Development Goals (SDGs)"/>
    <s v="Pengmas Kerjasama"/>
    <n v="2023"/>
    <n v="2023"/>
    <n v="6"/>
    <s v="PEMBERDAYAAN DESA/WILAYAH BINAAN"/>
    <s v=" Rp 372.392.900"/>
    <s v=" Rp 372.392.900"/>
    <s v="Institut Teknologi Telkom Surabaya"/>
    <n v="6"/>
    <s v="PKM KERJASAMA"/>
    <s v="Internal"/>
    <m/>
    <x v="5"/>
  </r>
  <r>
    <s v="Implementasi PLTS di Sekolah Menengah Pertama di Kabupaten Puncak Jaya, Provinsi Papua Tengah"/>
    <s v="Pengmas Kerjasama"/>
    <n v="2023"/>
    <n v="2023"/>
    <n v="9"/>
    <s v="PEMBERDAYAAN DESA/WILAYAH BINAAN"/>
    <n v="30000000"/>
    <n v="30000000"/>
    <s v="Institut Teknologi Telkom Surabaya"/>
    <m/>
    <s v="PKM KERJASAMA"/>
    <s v="Eksternal"/>
    <s v="ID"/>
    <x v="6"/>
  </r>
  <r>
    <s v="Implementasi 3 Unit Charging Station di Kota jayapura, Papua"/>
    <s v="Pengmas Kerjasama"/>
    <n v="2023"/>
    <n v="2023"/>
    <n v="9"/>
    <s v="PEMBERDAYAAN DESA/WILAYAH BINAAN"/>
    <n v="10000000"/>
    <n v="10000000"/>
    <s v="Institut Teknologi Telkom Surabaya"/>
    <m/>
    <s v="PKM KERJASAMA"/>
    <s v="Eksternal"/>
    <s v="ID"/>
    <x v="6"/>
  </r>
  <r>
    <s v="Implementasi PLTS di Sekolah Menengah Atas di Kabupaten Puncak Jaya, Provinsi Papua Tengah"/>
    <s v="Pengmas Kerjasama"/>
    <n v="2023"/>
    <n v="2023"/>
    <n v="9"/>
    <s v="PEMBERDAYAAN DESA/WILAYAH BINAAN"/>
    <n v="30000000"/>
    <n v="30000000"/>
    <s v="Institut Teknologi Telkom Surabaya"/>
    <m/>
    <s v="PKM KERJASAMA"/>
    <s v="Eksternal"/>
    <s v="ID"/>
    <x v="6"/>
  </r>
  <r>
    <s v="Implementasi Charging Station di Kabupaten Yakuhimo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s v="Implementasi 60 Unit PLTS pada RSUD Oksibil, Puncak Jaya, Papua Pegunungan"/>
    <s v="Pengmas Kerjasama"/>
    <n v="2023"/>
    <n v="2023"/>
    <n v="9"/>
    <s v="PEMBERDAYAAN DESA/WILAYAH BINAAN"/>
    <n v="400000000"/>
    <n v="400000000"/>
    <s v="Institut Teknologi Telkom Surabaya"/>
    <m/>
    <s v="PKM KERJASAMA"/>
    <s v="Eksternal"/>
    <s v="ID"/>
    <x v="6"/>
  </r>
  <r>
    <s v="Implementasi 3 Unit Charging Station di Kabupaten Puncak Jaya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s v=" Implementasi 3 Unit Charging Station di Kabupaten Tolikara, Papua Pegunungan"/>
    <s v="Pengmas Kerjasama"/>
    <n v="2023"/>
    <n v="2023"/>
    <n v="9"/>
    <s v="PEMBERDAYAAN DESA/WILAYAH BINAAN"/>
    <n v="46586600"/>
    <n v="46586600"/>
    <s v="Institut Teknologi Telkom Surabaya"/>
    <m/>
    <s v="PKM KERJASAMA"/>
    <s v="Eksternal"/>
    <s v="ID"/>
    <x v="6"/>
  </r>
  <r>
    <m/>
    <m/>
    <m/>
    <m/>
    <m/>
    <m/>
    <m/>
    <m/>
    <m/>
    <m/>
    <m/>
    <m/>
    <m/>
    <x v="1"/>
  </r>
  <r>
    <s v="SEAWIT: SISTEM KENDALI KADAR pH dan SALINITAS BERBASIS IOT UNTUK BUDIDAYA RUMPUT LAUT PADA TAMBAK TANJUNGSARI"/>
    <s v="Innovillage"/>
    <n v="2024"/>
    <n v="2024"/>
    <n v="2"/>
    <s v="PEMBERDAYAAN DESA/WILAYAH BINAAN"/>
    <n v="15960457"/>
    <n v="15960457"/>
    <s v="Telkom University Surabaya"/>
    <n v="4"/>
    <s v="PKM KERJASAMA"/>
    <s v="Eksternal"/>
    <s v="ID"/>
    <x v="0"/>
  </r>
  <r>
    <s v="Perancangan Alat Sterilisasi Untuk Meningkatkan Kualitas Produksi Susu Sapi Di Peternakan Sapi Perah Tasli Milk"/>
    <s v="Innovillage"/>
    <n v="2024"/>
    <n v="2024"/>
    <n v="2"/>
    <s v="PEMBERDAYAAN DESA/WILAYAH BINAAN"/>
    <n v="16082106"/>
    <n v="16082106"/>
    <s v="Telkom University Surabaya"/>
    <n v="4"/>
    <s v="PKM KERJASAMA"/>
    <s v="Eksternal"/>
    <s v="ID"/>
    <x v="0"/>
  </r>
  <r>
    <s v="Perancangan Sistem IoT dan Aplikasi Mobile “Halo Mama” untuk Monitoring Ibu Hamil guna Pencegahan Risiko Melahirkan Bayi Stunting"/>
    <s v="Innovillage"/>
    <n v="2024"/>
    <n v="2024"/>
    <n v="2"/>
    <s v="PEMBERDAYAAN DESA/WILAYAH BINAAN"/>
    <n v="15173788"/>
    <n v="15173788"/>
    <s v="Telkom University Surabaya"/>
    <n v="4"/>
    <s v="PKM KERJASAMA"/>
    <s v="Eksternal"/>
    <s v="ID"/>
    <x v="0"/>
  </r>
  <r>
    <s v="Pembuatan Iot dan Perancangan Website “Connect Pediatrics” Untuk Monitoring Kesehatan Balita pada Posyandu"/>
    <s v="Innovillage"/>
    <n v="2024"/>
    <n v="2024"/>
    <n v="2"/>
    <s v="PEMBERDAYAAN DESA/WILAYAH BINAAN"/>
    <n v="16122656"/>
    <n v="16122656"/>
    <s v="Telkom University Surabaya"/>
    <n v="4"/>
    <s v="PKM KERJASAMA"/>
    <s v="Eksternal"/>
    <s v="ID"/>
    <x v="0"/>
  </r>
  <r>
    <s v="Penerapan Intelligent Organic Waste Transformation (Inorwat) pada Bank Sampah Gerakan Kendali Sampah Untuk Mengolah Sampah Organik Berbasis IoT"/>
    <s v="Innovillage"/>
    <n v="2024"/>
    <n v="2024"/>
    <n v="2"/>
    <s v="PEMBERDAYAAN DESA/WILAYAH BINAAN"/>
    <n v="16187536"/>
    <n v="16187536"/>
    <s v="Telkom University Surabaya"/>
    <n v="4"/>
    <s v="PKM KERJASAMA"/>
    <s v="Eksternal"/>
    <s v="ID"/>
    <x v="0"/>
  </r>
  <r>
    <s v="PENERAPAN IOT BEBAS HAMA BERBASIS GELOMBANG ULTRASONIK - FARMSENTINEL"/>
    <s v="Innovillage"/>
    <n v="2024"/>
    <n v="2024"/>
    <n v="2"/>
    <s v="PEMBERDAYAAN DESA/WILAYAH BINAAN"/>
    <n v="14625553"/>
    <n v="14625553"/>
    <s v="Telkom University Surabaya"/>
    <n v="4"/>
    <s v="PKM KERJASAMA"/>
    <s v="Eksternal"/>
    <s v="ID"/>
    <x v="0"/>
  </r>
  <r>
    <s v="Gamifikasi Peternakan Digital Desa Wonosalam dengan Pendeteksi Nama Hewan Ternak Berbasis Kecerdasan Buatan"/>
    <s v="Innovillage"/>
    <n v="2024"/>
    <n v="2024"/>
    <n v="2"/>
    <s v="PEMBERDAYAAN DESA/WILAYAH BINAAN"/>
    <n v="13077356"/>
    <n v="13077356"/>
    <s v="Telkom University Surabaya"/>
    <n v="4"/>
    <s v="PKM KERJASAMA"/>
    <s v="Eksternal"/>
    <s v="ID"/>
    <x v="0"/>
  </r>
  <r>
    <s v="PEMBUATAN MODUL DAN WORKSHOP TEKNIK FOTO PRODUK  UNTUK OPTIMALISASI KONTEN DIGITAL MARKETING PADA UMKM BINAAN TELKOM CDC"/>
    <s v="TEKNOLOGI TEPAT GUNA (TTG) PERIODE 1"/>
    <n v="2024"/>
    <n v="2024"/>
    <n v="7"/>
    <s v="Sosial Humaniora"/>
    <n v="9954000"/>
    <n v="9954000"/>
    <s v="Telkom University Surabaya"/>
    <n v="5"/>
    <s v="PKM KOMPETITIF INTERNAL"/>
    <s v="Internal"/>
    <s v="ID"/>
    <x v="0"/>
  </r>
  <r>
    <s v="APLIKASI DASHBOARD MONITORING USAHA MIKRO KECIL MENENGAH, LAYANAN, PENGADUAN MASYRAKAT DESA PANJUNAN, KEC.DUDUKSAMPEYAN, KOTA GRESIK"/>
    <s v="TEKNOLOGI TEPAT GUNA (TTG) PERIODE 1"/>
    <n v="2024"/>
    <n v="2024"/>
    <n v="7"/>
    <s v="TIK"/>
    <n v="9973000"/>
    <n v="9973000"/>
    <s v="Telkom University Surabaya"/>
    <n v="6"/>
    <s v="PKM KOMPETITIF INTERNAL"/>
    <s v="Internal"/>
    <s v="ID"/>
    <x v="0"/>
  </r>
  <r>
    <s v="PENGEMBANGAN WEBSITE PENGUNGKAP MODUS PENIPUAN DIGITAL BERBENTUK VISUAL DAN CROWDSOURCING"/>
    <s v="TEKNOLOGI TEPAT GUNA (TTG) PERIODE 1"/>
    <n v="2024"/>
    <n v="2024"/>
    <n v="7"/>
    <s v="TIK"/>
    <n v="9770000"/>
    <n v="9770000"/>
    <s v="Telkom University Surabaya"/>
    <n v="4"/>
    <s v="PKM KOMPETITIF INTERNAL"/>
    <s v="Internal"/>
    <s v="ID"/>
    <x v="0"/>
  </r>
  <r>
    <s v="PEMBUATAN WEBSITE PENGADUAN LAYANAN ADMINISTRASI KEPENDUDUKAN DI DESA PANJUNAN"/>
    <s v="TEKNOLOGI TEPAT GUNA (TTG) PERIODE 1"/>
    <n v="2024"/>
    <n v="2024"/>
    <n v="7"/>
    <s v="TIK"/>
    <n v="9983000"/>
    <n v="9983000"/>
    <s v="Telkom University Surabaya"/>
    <n v="4"/>
    <s v="PKM KOMPETITIF INTERNAL"/>
    <s v="Internal"/>
    <s v="ID"/>
    <x v="0"/>
  </r>
  <r>
    <s v="PELATIHAN APLIKASI KOMPUTER UNTUK MENINGKATKAN BRAND AWARENESS TELKOM UNIVERSITY SURABAYA"/>
    <s v="PENDAMPINGAN/PELATIHAN PERIODE 1"/>
    <n v="2024"/>
    <n v="2024"/>
    <n v="7"/>
    <s v="TIK"/>
    <n v="5000000"/>
    <n v="5000000"/>
    <s v="Telkom University Surabaya"/>
    <n v="1"/>
    <s v="PKM KOMPETITIF INTERNAL"/>
    <s v="Internal"/>
    <s v="ID"/>
    <x v="0"/>
  </r>
  <r>
    <s v="PEMBUATAN INCENATOR SEDERHANA UNTUK PENGOLAHAN SAMPAH WARGA NOVENA MANDIRI, DESA WEDORO"/>
    <s v="TEKNOLOGI TEPAT GUNA (TTG) PERIODE 1"/>
    <n v="2024"/>
    <n v="2024"/>
    <n v="7"/>
    <s v="Kesehatan"/>
    <n v="10000000"/>
    <n v="10000000"/>
    <s v="Telkom University Surabaya"/>
    <n v="6"/>
    <s v="PKM KOMPETITIF INTERNAL"/>
    <s v="Internal"/>
    <s v="ID"/>
    <x v="0"/>
  </r>
  <r>
    <s v="SOSIALISASI PENCEGAHAN STUNTING DALAM PERSPEKTIF TEKNOLOGI PADA ERA INDUSTRI 5.0 V1.00"/>
    <s v="PENDAMPINGAN/PELATIHAN PERIODE 1"/>
    <n v="2024"/>
    <n v="2024"/>
    <n v="7"/>
    <s v="Kesehatan"/>
    <n v="5000000"/>
    <n v="5000000"/>
    <s v="Telkom University Surabaya"/>
    <n v="2"/>
    <s v="PKM KOMPETITIF INTERNAL"/>
    <s v="Internal"/>
    <s v="ID"/>
    <x v="0"/>
  </r>
  <r>
    <s v="PENINGKATAN LITERASI DIGITAL MASYARAKAT KAMPUNG CINCAU MELALUI PENDAMPINGAN/PELATIHAN PENGELOLAAN WEBSITE"/>
    <s v="PENDAMPINGAN/PELATIHAN PERIODE 1"/>
    <n v="2024"/>
    <n v="2024"/>
    <n v="7"/>
    <s v="TIK"/>
    <n v="5000000"/>
    <n v="5000000"/>
    <s v="Telkom University Surabaya"/>
    <n v="4"/>
    <s v="PKM KOMPETITIF INTERNAL"/>
    <s v="Internal"/>
    <s v="ID"/>
    <x v="0"/>
  </r>
  <r>
    <s v="IMPLEMENTASI DAN SOSIALISASI SISTEM INFORMASI MANAJEMEN SEKOLAH PADA SD KEMALA BHAYANGKARI 1 SURABAYA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PENGEMBANGAN LANJUTAN APLIKASI PENGELOLAAN DATA POTENSI DAN SUMBER KESEJAHTERAAN SOSIAL PROVINSI JAWA TIMUR (E-PSKS JATIM)"/>
    <s v="TEKNOLOGI TEPAT GUNA (TTG) PERIODE 1"/>
    <n v="2024"/>
    <n v="2024"/>
    <n v="7"/>
    <s v="TIK"/>
    <n v="10000000"/>
    <n v="10000000"/>
    <s v="Telkom University Surabaya"/>
    <n v="4"/>
    <s v="PKM KOMPETITIF INTERNAL"/>
    <s v="Internal"/>
    <s v="ID"/>
    <x v="0"/>
  </r>
  <r>
    <s v="PERANCANGAN IT BLUEPRINT DESA PANJUNAN SEBAGAI STRATEGI PENGEMBANGAN KONSEP SMART VILLAGE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ANALISIS DAN PENGEMBANGAN KAMPUNG BEBEK DESA KEBONSARI BERBASIS TEKNOLOGI INFORMASI.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SMART IRRIGATION UNTUK OPTIMALISASI PERTANIAN SISTEM GREENHOUSE PADA KELOMPOK PETANI TANI SEJAHTERA DESA TEMUASRI"/>
    <s v="TEKNOLOGI TEPAT GUNA (TTG) PERIODE 1"/>
    <n v="2024"/>
    <n v="2024"/>
    <n v="7"/>
    <s v="Pangan"/>
    <n v="10000000"/>
    <n v="10000000"/>
    <s v="Telkom University Surabaya"/>
    <n v="5"/>
    <s v="PKM KOMPETITIF INTERNAL"/>
    <s v="Internal"/>
    <s v="ID"/>
    <x v="0"/>
  </r>
  <r>
    <s v="OPTIMASI PEMANTAUAN GEJALA MEDIS DAN EARLY WARNING PADA APLIKASI &quot;KESEHATANKU&quot;: SYSTEM HEALTH CARE BAGI PENYANDANG DISABILITAS DARI HIPERTENSI, GLUKOSA, DAN TUBERKULOSIS"/>
    <s v="TEKNOLOGI TEPAT GUNA (TTG) PERIODE 1"/>
    <n v="2024"/>
    <n v="2024"/>
    <n v="7"/>
    <s v="Kesehatan"/>
    <n v="9965000"/>
    <n v="9965000"/>
    <s v="Telkom University Surabaya"/>
    <n v="3"/>
    <s v="PKM KOMPETITIF INTERNAL"/>
    <s v="Internal"/>
    <s v="ID"/>
    <x v="0"/>
  </r>
  <r>
    <s v="SISTEM INFORMASI DATA KEPENDUDUKAN UNTUK OPTIMALISASI PENYELENGGARAAN PELAYANAN DESA DI DESA DALEGAN KECAMATAN PANCENG KABUPATEN GRESIK"/>
    <s v="TEKNOLOGI TEPAT GUNA (TTG) PERIODE 1"/>
    <n v="2024"/>
    <n v="2024"/>
    <n v="7"/>
    <s v="TIK"/>
    <n v="10000000"/>
    <n v="10000000"/>
    <s v="Telkom University Surabaya"/>
    <n v="4"/>
    <s v="PKM KOMPETITIF INTERNAL"/>
    <s v="Internal"/>
    <s v="ID"/>
    <x v="0"/>
  </r>
  <r>
    <s v="DIGITALISASI INFRASTRUKTUR AUDIO DI MASJID AL HIDAYAH UNTUK PENINGKATAN KUALITAS DAKWAH"/>
    <s v="TEKNOLOGI TEPAT GUNA (TTG) PERIODE 1"/>
    <n v="2024"/>
    <n v="2024"/>
    <n v="7"/>
    <s v="TIK"/>
    <n v="9955000"/>
    <n v="9955000"/>
    <s v="Telkom University Surabaya"/>
    <n v="7"/>
    <s v="PKM KOMPETITIF INTERNAL"/>
    <s v="Internal"/>
    <s v="ID"/>
    <x v="0"/>
  </r>
  <r>
    <s v="PELATIHAN KECERDASAN BUATAN BERBASIS TEKS UNTUK PEMBELAJARAN DI SMK TELKOM SIDOARJO"/>
    <s v="PENDAMPINGAN/PELATIHAN PERIODE 1"/>
    <n v="2024"/>
    <n v="2024"/>
    <n v="7"/>
    <s v="TIK"/>
    <n v="5000000"/>
    <n v="5000000"/>
    <s v="Telkom University Surabaya"/>
    <n v="3"/>
    <s v="PKM KOMPETITIF INTERNAL"/>
    <s v="Internal"/>
    <s v="ID"/>
    <x v="0"/>
  </r>
  <r>
    <s v="PODCAST BIMASAKTI UNTUK SOSIALISASI KEBIJAKAN PERINDUSTRIAN DAN PERDAGANGAN PROVINSI JAWA TIMUR"/>
    <s v="TEKNOLOGI TEPAT GUNA (TTG) PERIODE 1"/>
    <n v="2024"/>
    <n v="2024"/>
    <n v="7"/>
    <s v="Sosial Humaniora"/>
    <n v="10000000"/>
    <n v="10000000"/>
    <s v="Telkom University Surabaya"/>
    <n v="6"/>
    <s v="PKM KOMPETITIF INTERNAL"/>
    <s v="Internal"/>
    <s v="ID"/>
    <x v="0"/>
  </r>
  <r>
    <s v="PENDATAAN DAN IMPLEMENTASI E-COMMERCE PADA USAHA MIKRO KECIL MENENGAH DESA PANJUNAN GOES TO SMART VILLAGE"/>
    <s v="TEKNOLOGI TEPAT GUNA (TTG) PERIODE 1"/>
    <n v="2024"/>
    <n v="2024"/>
    <n v="7"/>
    <s v="TIK"/>
    <n v="9920000"/>
    <n v="9920000"/>
    <s v="Telkom University Surabaya"/>
    <n v="3"/>
    <s v="PKM KOMPETITIF INTERNAL"/>
    <s v="Internal"/>
    <s v="ID"/>
    <x v="0"/>
  </r>
  <r>
    <s v="SISTEM INFORMASI BERBASIS WEB SEBAGAI MEDIA EDUKASI DAN PELATIHAN PEMBUATAN MEDIA TANAM PADA CV. NETAFARM INDO LESTARI SIDOARJO"/>
    <s v="TEKNOLOGI TEPAT GUNA (TTG) PERIODE 1"/>
    <n v="2024"/>
    <n v="2024"/>
    <n v="7"/>
    <s v="TIK"/>
    <n v="10000000"/>
    <n v="10000000"/>
    <s v="Telkom University Surabaya"/>
    <n v="3"/>
    <s v="PKM KOMPETITIF INTERNAL"/>
    <s v="Internal"/>
    <s v="ID"/>
    <x v="0"/>
  </r>
  <r>
    <s v="PENYULUHAN PENGELOLAAN SAMPAH RUMAH TANGGA MENUJU LINGKUNGAN BERKELANJUTAN: KOLABORASI PKK NGAGELREJO"/>
    <s v="PENDAMPINGAN/PELATIHAN PERIODE 1"/>
    <n v="2024"/>
    <n v="2024"/>
    <n v="7"/>
    <s v="Kesehatan"/>
    <n v="5000000"/>
    <n v="5000000"/>
    <s v="Telkom University Surabaya"/>
    <n v="1"/>
    <s v="PKM KOMPETITIF INTERNAL"/>
    <s v="Internal"/>
    <s v="ID"/>
    <x v="0"/>
  </r>
  <r>
    <s v="PENGEMBANGAN MODUL VIRTUAL REALITY UNTUK PEMBELAJARAN LEADERSHIP KUKM BERBASIS OBS"/>
    <s v="KOLABORASI DALAM NEGERI"/>
    <n v="2024"/>
    <n v="2024"/>
    <n v="6"/>
    <s v="TIK"/>
    <n v="15000000"/>
    <n v="15000000"/>
    <s v="Telkom University Surabaya"/>
    <n v="3"/>
    <s v="PKM KOMPETITIF INTERNAL"/>
    <s v="Internal"/>
    <s v="ID"/>
    <x v="0"/>
  </r>
  <r>
    <s v="REVOLUSI DIGITAL PENINGKATAN DAYA SAING BISNIS SANTRIDIGIPRENEUR MELALUI EKSPLORASI APLIKASI VIRTUAL REALITY"/>
    <s v="KOLABORASI DALAM NEGERI"/>
    <n v="2024"/>
    <n v="2024"/>
    <n v="6"/>
    <s v="Sosial Humaniora"/>
    <n v="15000000"/>
    <n v="15000000"/>
    <s v="Telkom University Surabaya"/>
    <n v="3"/>
    <s v="PKM KOMPETITIF INTERNAL"/>
    <s v="Internal"/>
    <s v="ID"/>
    <x v="0"/>
  </r>
  <r>
    <s v="PENGEMBANGAN METADATA CATALOG BERBASIS CLOUD UNTUK OPTIMALISASI KNOWLEDGE MANAGEMENT PADA WEBSITE ADIDES"/>
    <s v="KOLABORASI DALAM NEGERI"/>
    <n v="2024"/>
    <n v="2024"/>
    <n v="6"/>
    <s v="TIK"/>
    <n v="15000000"/>
    <n v="15000000"/>
    <s v="Telkom University Surabaya"/>
    <n v="6"/>
    <s v="PKM KOMPETITIF INTERNAL"/>
    <s v="Internal"/>
    <s v="ID"/>
    <x v="0"/>
  </r>
  <r>
    <s v="DASHBOARD MANAJEMEN SIMULASI KEKUATAN GEOPOLITIK/GEOTEKNOLOGI PERTAHANAN INDONESIA DI LAUT NATUNA UTARA"/>
    <s v="KOLABORASI DALAM NEGERI"/>
    <n v="2024"/>
    <n v="2024"/>
    <n v="6"/>
    <s v="Pertahanan"/>
    <n v="15000000"/>
    <n v="15000000"/>
    <s v="Telkom University Surabaya"/>
    <n v="3"/>
    <s v="PKM KOMPETITIF INTERNAL"/>
    <s v="Internal"/>
    <s v="ID"/>
    <x v="0"/>
  </r>
  <r>
    <s v="INTEGRASI TEKNOLOGI IOT DALAM PENGEMBANGAN SISTEM PEMANTAUAN KUALITAS AIR DAN KESEHATAN UDANG UNTUK OPTIMALISASI PERIKANAN. LOKASI : (DUSUN KAJAR), DESA: PANDANREJO, KECAMATAN : BUMIAJI, KABUPATEN MALANG, PROVINSI - JAWA TIMUR)"/>
    <s v="KOLABORASI DALAM NEGERI"/>
    <n v="2024"/>
    <n v="2024"/>
    <n v="6"/>
    <s v="TIK"/>
    <n v="15000000"/>
    <n v="15000000"/>
    <s v="Telkom University Surabaya"/>
    <n v="2"/>
    <s v="PKM KOMPETITIF INTERNAL"/>
    <s v="Internal"/>
    <s v="ID"/>
    <x v="0"/>
  </r>
  <r>
    <s v="Kendaraan modular ramah lingkungan untuk UMKM di kampung oase ondomohen surabaya"/>
    <s v="Hibah BiMA Pemberdayaan Berbasis Masyarakat"/>
    <n v="2024"/>
    <n v="2024"/>
    <m/>
    <m/>
    <n v="42331000"/>
    <n v="42331000"/>
    <s v="Telkom University Surabaya"/>
    <m/>
    <s v="BIMA"/>
    <s v="Pemerintah"/>
    <s v="ID"/>
    <x v="2"/>
  </r>
  <r>
    <s v="Implementasi digital marketing dalam upaya peningkatan penjualan dan pendapatan hasil home industri custom joran pancing nelayan di Indonesia"/>
    <s v="Hibah BiMA Pemberdayaan Berbasis Masyarakat"/>
    <n v="2024"/>
    <n v="2024"/>
    <m/>
    <m/>
    <n v="40250000"/>
    <n v="40250000"/>
    <s v="Telkom University Surabaya"/>
    <m/>
    <s v="BIMA"/>
    <s v="Pemerintah"/>
    <s v="ID"/>
    <x v="2"/>
  </r>
  <r>
    <s v="Pemanfaatan limbah hidroponik untuk produksi pakan ternak menggunakan teknologi tepat guna mesin hybrid &amp; digital marketing di Surabaya"/>
    <s v="Hibah BiMA Pemberdayaan Berbasis Masyarakat"/>
    <n v="2024"/>
    <n v="2024"/>
    <m/>
    <m/>
    <n v="45000000"/>
    <n v="45000000"/>
    <s v="Telkom University Surabaya"/>
    <m/>
    <s v="BIMA"/>
    <s v="Pemerintah"/>
    <s v="ID"/>
    <x v="2"/>
  </r>
  <r>
    <s v="LITERASI SUMBER DAYA MANUSIA BERBASIS TEKNOLOGI INFORMASI SECARA TEPAT GUNA PADA UMKM VETPICUREAN UNTUK MENINGKATKAN PRODUKTIFITAS KARYAWAN"/>
    <s v="PENDAMPINGAN/PELATIHAN PERIODE 2"/>
    <n v="2024"/>
    <n v="2024"/>
    <m/>
    <s v="TIK"/>
    <n v="4920000"/>
    <n v="4920000"/>
    <s v="Telkom University Surabaya"/>
    <n v="2"/>
    <s v="PKM KOMPETITIF INTERNAL"/>
    <s v="Internal"/>
    <s v="ID"/>
    <x v="0"/>
  </r>
  <r>
    <s v="OPTIMALISASI PENGELOLAAN DAN PUBLIKASI DATA STATISTIK KELURAHAN GAYUNGAN MELALUI PELATIHAN DAN PENGEMBANGAN WEBSITE"/>
    <s v="TEKNOLOGI TEPAT GUNA (TTG) PERIODE 2"/>
    <n v="2024"/>
    <n v="2024"/>
    <m/>
    <s v="TIK"/>
    <n v="10000000"/>
    <n v="10000000"/>
    <s v="Telkom University Surabaya"/>
    <n v="4"/>
    <s v="PKM KOMPETITIF INTERNAL"/>
    <s v="Internal"/>
    <s v="ID"/>
    <x v="0"/>
  </r>
  <r>
    <s v="PEMBUATAN SISTEM RAPOR PADA TPQ AL-MUBAAROK SURABAYA"/>
    <s v="TEKNOLOGI TEPAT GUNA (TTG) PERIODE 2"/>
    <n v="2024"/>
    <n v="2024"/>
    <m/>
    <s v="Sosial Humaniora"/>
    <n v="10000000"/>
    <n v="10000000"/>
    <s v="Telkom University Surabaya"/>
    <n v="3"/>
    <s v="PKM KOMPETITIF INTERNAL"/>
    <s v="Internal"/>
    <s v="ID"/>
    <x v="0"/>
  </r>
  <r>
    <s v="DIGITALISASI SISTEM KONSELING BIMBINGAN KONSELING INDIVIDU PADA SMA KHADIJAH SURABAYA"/>
    <s v="TEKNOLOGI TEPAT GUNA (TTG) PERIODE 2"/>
    <n v="2024"/>
    <n v="2024"/>
    <m/>
    <s v="TIK"/>
    <n v="9500000"/>
    <n v="9500000"/>
    <s v="Telkom University Surabaya"/>
    <n v="2"/>
    <s v="PKM KOMPETITIF INTERNAL"/>
    <s v="Internal"/>
    <s v="ID"/>
    <x v="0"/>
  </r>
  <r>
    <s v="PERBAIKAN DAN PENGEMBANGAN ROBOT PELAYAN MEDIS DI RSUD DR. MOHAMAD SOEWANDHIE SURABAYA"/>
    <s v="TEKNOLOGI TEPAT GUNA (TTG) PERIODE 2"/>
    <n v="2024"/>
    <n v="2024"/>
    <m/>
    <s v="Kesehatan"/>
    <n v="9964000"/>
    <n v="9964000"/>
    <s v="Telkom University Surabaya"/>
    <n v="4"/>
    <s v="PKM KOMPETITIF INTERNAL"/>
    <s v="Internal"/>
    <s v="ID"/>
    <x v="0"/>
  </r>
  <r>
    <s v="DIGITALISASI BANK SAMPAH SEBAGAI OPTIMALISASI PENGELOLAAN SAMPAH DAN PENDAYAGUNAAN KELOMPOK TANI DI ELOK MEKAR SARI, SEMOLOWARU"/>
    <s v="TEKNOLOGI TEPAT GUNA (TTG) PERIODE 2"/>
    <n v="2024"/>
    <n v="2024"/>
    <m/>
    <s v="TIK"/>
    <n v="10000000"/>
    <n v="10000000"/>
    <s v="Telkom University Surabaya"/>
    <n v="3"/>
    <s v="PKM KOMPETITIF INTERNAL"/>
    <s v="Internal"/>
    <s v="ID"/>
    <x v="0"/>
  </r>
  <r>
    <m/>
    <m/>
    <m/>
    <m/>
    <m/>
    <m/>
    <m/>
    <m/>
    <m/>
    <m/>
    <m/>
    <s v="Internal"/>
    <m/>
    <x v="1"/>
  </r>
  <r>
    <s v="BUDIDAYA AYAM PETELUR UNTUK KELOMPOK MASYARAKAT DESA SARI ROGO"/>
    <s v="DESA BINAAN"/>
    <n v="2025"/>
    <n v="2025"/>
    <n v="6"/>
    <s v="Pangan"/>
    <n v="20000000"/>
    <n v="20000000"/>
    <s v="Telkom University Surabaya"/>
    <n v="4"/>
    <m/>
    <s v="Internal"/>
    <s v="ID"/>
    <x v="7"/>
  </r>
  <r>
    <s v="PEMBUATAN PUPUK ORGANIK BENTUK GRANULE DARI LIMBAH TERNAK DENGAN MEMANFAATKAN TEKNOLOGI IOT DI DESA SARIROGO"/>
    <s v="DESA BINAAN"/>
    <n v="2025"/>
    <n v="2025"/>
    <n v="6"/>
    <s v="Pangan"/>
    <n v="20000000"/>
    <n v="20000000"/>
    <s v="Telkom University Surabaya"/>
    <n v="4"/>
    <m/>
    <s v="Internal"/>
    <s v="ID"/>
    <x v="7"/>
  </r>
  <r>
    <s v="MONITORING KOLAM IKAN TANAH UNTUK BUDIDAYA IKAN TERNAK"/>
    <s v="DESA BINAAN"/>
    <n v="2025"/>
    <n v="2025"/>
    <n v="6"/>
    <s v="Pangan"/>
    <n v="15000000"/>
    <n v="15000000"/>
    <s v="Telkom University Surabaya"/>
    <n v="4"/>
    <m/>
    <s v="Internal"/>
    <s v="ID"/>
    <x v="7"/>
  </r>
  <r>
    <s v="SISTEM PERTANIAN TUMPANG SARI BUDIDAYA IKAN DENGAN TANAMAN ORKA MERAH DI DESA SARI ROGO, SIDOARJO"/>
    <s v="DESA BINAAN"/>
    <n v="2025"/>
    <n v="2025"/>
    <n v="6"/>
    <s v="Pangan"/>
    <n v="13000000"/>
    <n v="13000000"/>
    <s v="Telkom University Surabaya"/>
    <n v="4"/>
    <m/>
    <s v="Internal"/>
    <s v="ID"/>
    <x v="7"/>
  </r>
  <r>
    <s v="MONITORING AVERAGE DAILY GAIN PETERNAKAN KAMBING OLEH KELOMPOK MASYARAKAT DESA SARI ROGO"/>
    <s v="DESA BINAAN"/>
    <n v="2025"/>
    <n v="2025"/>
    <n v="6"/>
    <s v="Pangan"/>
    <n v="12000000"/>
    <n v="12000000"/>
    <s v="Telkom University Surabaya"/>
    <n v="4"/>
    <m/>
    <s v="Internal"/>
    <s v="ID"/>
    <x v="7"/>
  </r>
  <r>
    <s v="DESIMINASI SISTEM PEMBANGKIT TENAGA SURYA UNTUK GURU DAN SISWA DI LAMONGAN"/>
    <s v="TEKNOLOGI TEPAT GUNA"/>
    <n v="2025"/>
    <n v="2025"/>
    <n v="6"/>
    <s v="Energi"/>
    <n v="10000000"/>
    <n v="10000000"/>
    <s v="Telkom University Surabaya"/>
    <n v="3"/>
    <m/>
    <s v="Internal"/>
    <s v="ID"/>
    <x v="7"/>
  </r>
  <r>
    <s v="PEMBERDAYAAN HASIL USAHA TAMBAK MELALUI PEMASARAN DIGITAL DAN OPTAMALISASI PACKING UNTUK KEMANDIRIAN DISTRIBUSI PRODUK"/>
    <s v="TEKNOLOGI TEPAT GUNA"/>
    <n v="2025"/>
    <n v="2025"/>
    <n v="6"/>
    <m/>
    <n v="10000000"/>
    <n v="10000000"/>
    <m/>
    <m/>
    <m/>
    <s v="Internal"/>
    <m/>
    <x v="7"/>
  </r>
  <r>
    <s v="MANAJEMEN PENGETAHUAN BERBASIS TEKNOLOGI FILTRASI AIR UNTUK MENINGKATKAN HASIL TAMBAK PADA KELOMPOK PETANI IKAN DESA BANTENG PUTIH LAMONGAN"/>
    <s v="TEKNOLOGI TEPAT GUNA"/>
    <n v="2025"/>
    <n v="2025"/>
    <n v="6"/>
    <m/>
    <n v="10000000"/>
    <n v="10000000"/>
    <m/>
    <m/>
    <m/>
    <s v="Internal"/>
    <m/>
    <x v="7"/>
  </r>
  <r>
    <s v="PEMBANGUNAN WEBSITE UMKMCERDAS UNTUK PENINGKATAN EFISIENSI OPERASIONAL UMKM KAMPOENG ILMU SURBAYA"/>
    <s v="TEKNOLOGI TEPAT GUNA"/>
    <n v="2025"/>
    <n v="2025"/>
    <n v="6"/>
    <m/>
    <n v="10000000"/>
    <n v="10000000"/>
    <m/>
    <m/>
    <m/>
    <s v="Internal"/>
    <m/>
    <x v="7"/>
  </r>
  <r>
    <s v="PENGEMBANGAN SISTEM INFORMASI ADMINISTRASI SEBAGAI INOVASI DIGITAL PADA DESA GRABAGAN SIDOARJO"/>
    <s v="TEKNOLOGI TEPAT GUNA"/>
    <n v="2025"/>
    <n v="2025"/>
    <n v="6"/>
    <m/>
    <n v="10000000"/>
    <n v="10000000"/>
    <m/>
    <m/>
    <m/>
    <s v="Internal"/>
    <m/>
    <x v="7"/>
  </r>
  <r>
    <s v="SMART TANI: SISTEM IRIGASI TETES OTOMATIS BERBASIS IOT UNTUK BUDIDAYA MELON DI GREENHOUSE JAMBANGAN"/>
    <s v="TEKNOLOGI TEPAT GUNA"/>
    <n v="2025"/>
    <n v="2025"/>
    <n v="6"/>
    <m/>
    <n v="10000000"/>
    <n v="10000000"/>
    <m/>
    <m/>
    <m/>
    <s v="Internal"/>
    <m/>
    <x v="7"/>
  </r>
  <r>
    <s v="PEMBERDAYAAN UMKM CV. ALFA SURYA MELALUI PEMANFAATAN KENDARAAN LISTRIK RODA DUA DALAM DISTRIBUSI BARANG YANG EFISIEN"/>
    <s v="TEKNOLOGI TEPAT GUNA"/>
    <n v="2025"/>
    <n v="2025"/>
    <n v="6"/>
    <m/>
    <n v="10000000"/>
    <n v="10000000"/>
    <m/>
    <m/>
    <m/>
    <s v="Internal"/>
    <m/>
    <x v="7"/>
  </r>
  <r>
    <s v="PENDAMPINGAN PERINTISAN KOPERASI MULTI PIHAK BERBASIS KELOMPOK MASYARAKAT DI DESA BANTENGPUTIH"/>
    <s v="TEKNOLOGI TEPAT GUNA"/>
    <n v="2025"/>
    <n v="2025"/>
    <n v="6"/>
    <m/>
    <n v="10000000"/>
    <n v="10000000"/>
    <m/>
    <m/>
    <m/>
    <s v="Internal"/>
    <m/>
    <x v="7"/>
  </r>
  <r>
    <s v="INTEGRASI BUSINESS INTELLIGENCE UNTUK PENGELOLAAN DATA DAN KONTEN DI WEBSITE ADIDES"/>
    <s v="TEKNOLOGI TEPAT GUNA"/>
    <n v="2025"/>
    <n v="2025"/>
    <n v="6"/>
    <m/>
    <n v="10000000"/>
    <n v="10000000"/>
    <m/>
    <m/>
    <m/>
    <s v="Internal"/>
    <m/>
    <x v="7"/>
  </r>
  <r>
    <s v="WHITE-SWINDLER-V3: PENGEMBANGAN WEB UNTUK MENGUNGKAP MODUS PENIPUAN DIGITAL BERBASIS MEDIA SOSIAL DENGAN TEORI INFLUENCE MAXIMIZATION."/>
    <s v="TEKNOLOGI TEPAT GUNA"/>
    <n v="2025"/>
    <n v="2025"/>
    <n v="6"/>
    <m/>
    <n v="10000000"/>
    <n v="10000000"/>
    <m/>
    <m/>
    <m/>
    <s v="Internal"/>
    <m/>
    <x v="7"/>
  </r>
  <r>
    <s v="PENERAPAN TEKNOLOGI TEPAT GUNA: INOVASI ALAT RUANG MENYUSUI PORTABEL UNTUK MENDUKUNG KENYAMANAN IBU MENYUSUI DI RUANG PUBLIK"/>
    <s v="TEKNOLOGI TEPAT GUNA"/>
    <n v="2025"/>
    <n v="2025"/>
    <n v="6"/>
    <m/>
    <n v="10000000"/>
    <n v="10000000"/>
    <m/>
    <m/>
    <m/>
    <s v="Internal"/>
    <m/>
    <x v="7"/>
  </r>
  <r>
    <s v="PENERAPAN STRATEGI BRANDING BERBASIS AI UNTUK DIGITALISASI UMKM"/>
    <s v="TEKNOLOGI TEPAT GUNA"/>
    <n v="2025"/>
    <n v="2025"/>
    <n v="6"/>
    <m/>
    <n v="10000000"/>
    <n v="10000000"/>
    <m/>
    <m/>
    <m/>
    <s v="Internal"/>
    <m/>
    <x v="7"/>
  </r>
  <r>
    <s v="PEMBUATAN ALAT PRODUKSI PUPUK DARI ENCENG GONDOK "/>
    <s v="TEKNOLOGI TEPAT GUNA"/>
    <n v="2025"/>
    <n v="2025"/>
    <n v="6"/>
    <m/>
    <n v="10000000"/>
    <n v="10000000"/>
    <m/>
    <m/>
    <m/>
    <s v="Internal"/>
    <m/>
    <x v="7"/>
  </r>
  <r>
    <s v="INDUKSI TEKNOLOGI DASHBOARD UNTUK MONITORING LAYANAN AKADEMIK SEKOLAH DI SMP HANG TUAH 4 SURABAYA"/>
    <s v="TEKNOLOGI TEPAT GUNA"/>
    <n v="2025"/>
    <n v="2025"/>
    <n v="6"/>
    <m/>
    <n v="10000000"/>
    <n v="10000000"/>
    <m/>
    <m/>
    <m/>
    <s v="Internal"/>
    <m/>
    <x v="7"/>
  </r>
  <r>
    <s v="PENERAPAN PICOBOT UNTUK FISIOTERAPI BERJALAN PASIEN PASCA STROKE."/>
    <s v="TEKNOLOGI TEPAT GUNA"/>
    <n v="2025"/>
    <n v="2025"/>
    <n v="6"/>
    <m/>
    <n v="10000000"/>
    <n v="10000000"/>
    <m/>
    <m/>
    <m/>
    <s v="Internal"/>
    <m/>
    <x v="7"/>
  </r>
  <r>
    <s v="PENGEMBANGAN APLIKASI BIMBINGAN KONSELING MURID SMA NEGERI 1 KAMAL"/>
    <s v="TEKNOLOGI TEPAT GUNA"/>
    <n v="2025"/>
    <n v="2025"/>
    <n v="6"/>
    <m/>
    <n v="10000000"/>
    <n v="10000000"/>
    <m/>
    <m/>
    <m/>
    <s v="Internal"/>
    <m/>
    <x v="7"/>
  </r>
  <r>
    <s v="PENGEMBANGAN SISTEM ABSENSI MENGGUNAKAN FINGERPRINT PADA SMP AL FALAH ASSALAM"/>
    <s v="TEKNOLOGI TEPAT GUNA"/>
    <n v="2025"/>
    <n v="2025"/>
    <n v="6"/>
    <m/>
    <n v="10000000"/>
    <n v="10000000"/>
    <m/>
    <m/>
    <m/>
    <s v="Internal"/>
    <m/>
    <x v="7"/>
  </r>
  <r>
    <s v="SISTEM IRIGASI TETES OTOMATIS BERBASIS IOT UNTUK TANAMAN BUDIDAYA  DESA SARI ROGO"/>
    <s v="TEKNOLOGI TEPAT GUNA"/>
    <n v="2025"/>
    <n v="2025"/>
    <n v="6"/>
    <m/>
    <n v="9795000"/>
    <n v="9795000"/>
    <m/>
    <m/>
    <m/>
    <s v="Internal"/>
    <m/>
    <x v="7"/>
  </r>
  <r>
    <s v="IMPLEMENTASI SISTEM PERPUSTAKAAN DIGITAL BERBASIS WEBSITE UNTUK MENINGKATKAN EFISIENSI DAN KUALITAS LAYANAN PERPUSTAKAAN DI SMP AL-FALAH ASSALAM"/>
    <s v="TEKNOLOGI TEPAT GUNA"/>
    <n v="2025"/>
    <n v="2025"/>
    <n v="6"/>
    <m/>
    <n v="8810000"/>
    <n v="8810000"/>
    <m/>
    <m/>
    <m/>
    <s v="Internal"/>
    <m/>
    <x v="7"/>
  </r>
  <r>
    <s v="IMPLEMENTASI LINGKUNGAN KERJA YANG NYAMAN MELALUI KAMPANYE DIGITAL HIDUP SEHAT"/>
    <s v="PENDAMPINGAN/PELATIHAN"/>
    <n v="2025"/>
    <n v="2025"/>
    <n v="6"/>
    <s v="Kesehatan"/>
    <n v="4990000"/>
    <n v="4990000"/>
    <s v="Telkom University Surabaya"/>
    <n v="2"/>
    <m/>
    <s v="Internal"/>
    <s v="ID"/>
    <x v="7"/>
  </r>
  <r>
    <s v="PELATIHAN DESIGN WEBSITE DAN PENGENALAN PERANGKAT IOT"/>
    <s v="PENDAMPINGAN/PELATIHAN"/>
    <n v="2025"/>
    <n v="2025"/>
    <n v="6"/>
    <s v="TIK"/>
    <n v="4950000"/>
    <n v="4950000"/>
    <s v="Telkom University Surabaya"/>
    <n v="2"/>
    <m/>
    <s v="Internal"/>
    <s v="ID"/>
    <x v="7"/>
  </r>
  <r>
    <s v="PENINGKATAN LITERASI DATA SISWA SMP MELALUI PELATIHAN VISUALISASI DATA INTERAKTIF DENGAN LOOKER STUDIO"/>
    <s v="PENDAMPINGAN/PELATIHAN"/>
    <n v="2025"/>
    <n v="2025"/>
    <n v="6"/>
    <s v="TIK"/>
    <n v="2480000"/>
    <n v="2480000"/>
    <s v="Telkom University Surabaya"/>
    <n v="3"/>
    <m/>
    <s v="Internal"/>
    <s v="ID"/>
    <x v="7"/>
  </r>
  <r>
    <s v="Pengembangan Hasil Produk Usaha Tambak dan Manajemen Bisnis Koperasi Multi Pihak Di Desa Bantengputih Kabupaten Lamongan Melalui Program Pemberdayaan Masyarakat oleh Mahasiswa"/>
    <s v="Program Pemberdayaan Masyarakat Mahasiswa (PMM)"/>
    <n v="2025"/>
    <n v="2025"/>
    <n v="6"/>
    <m/>
    <n v="52400000"/>
    <n v="52400000"/>
    <m/>
    <m/>
    <m/>
    <s v="Eksternal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7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V3:CW12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9">
        <item x="3"/>
        <item x="0"/>
        <item x="2"/>
        <item x="4"/>
        <item x="6"/>
        <item x="5"/>
        <item x="7"/>
        <item x="1"/>
        <item t="default"/>
      </items>
    </pivotField>
  </pivotFields>
  <rowFields count="1">
    <field x="1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umber Dana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2000000}" name="Table212" displayName="Table212" ref="A2:AV780" totalsRowShown="0" headerRowDxfId="501" dataDxfId="499" headerRowBorderDxfId="500" tableBorderDxfId="498" totalsRowBorderDxfId="497">
  <autoFilter ref="A2:AV780" xr:uid="{00000000-0009-0000-0100-00000B000000}">
    <filterColumn colId="2">
      <customFilters>
        <customFilter operator="notEqual" val=" "/>
      </customFilters>
    </filterColumn>
  </autoFilter>
  <sortState xmlns:xlrd2="http://schemas.microsoft.com/office/spreadsheetml/2017/richdata2" ref="A3:AV513">
    <sortCondition ref="H2:H513"/>
  </sortState>
  <tableColumns count="48">
    <tableColumn id="1" xr3:uid="{00000000-0010-0000-0200-000001000000}" name="Judul Publikasi" dataDxfId="496"/>
    <tableColumn id="2" xr3:uid="{00000000-0010-0000-0200-000002000000}" name="Nama Jurnal" dataDxfId="495"/>
    <tableColumn id="48" xr3:uid="{00000000-0010-0000-0200-000030000000}" name="Implementasi" dataDxfId="494"/>
    <tableColumn id="3" xr3:uid="{00000000-0010-0000-0200-000003000000}" name="Akreditasi/ Index Jurnal" dataDxfId="493"/>
    <tableColumn id="4" xr3:uid="{00000000-0010-0000-0200-000004000000}" name="Lembaga Pengindeks" dataDxfId="492"/>
    <tableColumn id="5" xr3:uid="{00000000-0010-0000-0200-000005000000}" name="Tahun Submit" dataDxfId="491"/>
    <tableColumn id="6" xr3:uid="{00000000-0010-0000-0200-000006000000}" name="Tahun Accepted" dataDxfId="490"/>
    <tableColumn id="7" xr3:uid="{00000000-0010-0000-0200-000007000000}" name="Tahun Published" dataDxfId="489"/>
    <tableColumn id="8" xr3:uid="{00000000-0010-0000-0200-000008000000}" name="Nama Penulis Koresponding" dataDxfId="488"/>
    <tableColumn id="9" xr3:uid="{00000000-0010-0000-0200-000009000000}" name="Sinta ID" dataDxfId="487"/>
    <tableColumn id="10" xr3:uid="{00000000-0010-0000-0200-00000A000000}" name="NIDN" dataDxfId="486"/>
    <tableColumn id="11" xr3:uid="{00000000-0010-0000-0200-00000B000000}" name="Prodi" dataDxfId="485"/>
    <tableColumn id="12" xr3:uid="{00000000-0010-0000-0200-00000C000000}" name="Afiliasi" dataDxfId="484"/>
    <tableColumn id="13" xr3:uid="{00000000-0010-0000-0200-00000D000000}" name="Nama Penulis (1)" dataDxfId="483"/>
    <tableColumn id="14" xr3:uid="{00000000-0010-0000-0200-00000E000000}" name="Prodi2" dataDxfId="482"/>
    <tableColumn id="15" xr3:uid="{00000000-0010-0000-0200-00000F000000}" name="Afiliasi3" dataDxfId="481"/>
    <tableColumn id="16" xr3:uid="{00000000-0010-0000-0200-000010000000}" name="Sinta ID4" dataDxfId="480"/>
    <tableColumn id="17" xr3:uid="{00000000-0010-0000-0200-000011000000}" name="NIDN5" dataDxfId="479"/>
    <tableColumn id="18" xr3:uid="{00000000-0010-0000-0200-000012000000}" name="Nama Penulis (2)" dataDxfId="478"/>
    <tableColumn id="19" xr3:uid="{00000000-0010-0000-0200-000013000000}" name="Prodi6" dataDxfId="477"/>
    <tableColumn id="20" xr3:uid="{00000000-0010-0000-0200-000014000000}" name="Afiliasi7" dataDxfId="476"/>
    <tableColumn id="21" xr3:uid="{00000000-0010-0000-0200-000015000000}" name="Sinta ID8" dataDxfId="475"/>
    <tableColumn id="22" xr3:uid="{00000000-0010-0000-0200-000016000000}" name="NIDN9" dataDxfId="474"/>
    <tableColumn id="23" xr3:uid="{00000000-0010-0000-0200-000017000000}" name="Nama Penulis (3)" dataDxfId="473"/>
    <tableColumn id="24" xr3:uid="{00000000-0010-0000-0200-000018000000}" name="Prodi10" dataDxfId="472"/>
    <tableColumn id="25" xr3:uid="{00000000-0010-0000-0200-000019000000}" name="Afiliasi11" dataDxfId="471"/>
    <tableColumn id="26" xr3:uid="{00000000-0010-0000-0200-00001A000000}" name="Sinta ID12" dataDxfId="470"/>
    <tableColumn id="27" xr3:uid="{00000000-0010-0000-0200-00001B000000}" name="NIDN13" dataDxfId="469"/>
    <tableColumn id="28" xr3:uid="{00000000-0010-0000-0200-00001C000000}" name="Nama Penulis (4)" dataDxfId="468"/>
    <tableColumn id="29" xr3:uid="{00000000-0010-0000-0200-00001D000000}" name="Prodi14" dataDxfId="467"/>
    <tableColumn id="30" xr3:uid="{00000000-0010-0000-0200-00001E000000}" name="Afiliasi15" dataDxfId="466"/>
    <tableColumn id="31" xr3:uid="{00000000-0010-0000-0200-00001F000000}" name="Sinta ID16" dataDxfId="465"/>
    <tableColumn id="32" xr3:uid="{00000000-0010-0000-0200-000020000000}" name="NIDN17" dataDxfId="464"/>
    <tableColumn id="33" xr3:uid="{00000000-0010-0000-0200-000021000000}" name="Nama Penulis (5)" dataDxfId="463"/>
    <tableColumn id="34" xr3:uid="{00000000-0010-0000-0200-000022000000}" name="Prodi18" dataDxfId="462"/>
    <tableColumn id="35" xr3:uid="{00000000-0010-0000-0200-000023000000}" name="Afiliasi19" dataDxfId="461"/>
    <tableColumn id="36" xr3:uid="{00000000-0010-0000-0200-000024000000}" name="Sinta ID20" dataDxfId="460"/>
    <tableColumn id="37" xr3:uid="{00000000-0010-0000-0200-000025000000}" name="NIDN21" dataDxfId="459"/>
    <tableColumn id="38" xr3:uid="{00000000-0010-0000-0200-000026000000}" name="Nama Penulis (6)" dataDxfId="458"/>
    <tableColumn id="39" xr3:uid="{00000000-0010-0000-0200-000027000000}" name="Prodi22" dataDxfId="457"/>
    <tableColumn id="40" xr3:uid="{00000000-0010-0000-0200-000028000000}" name="Afiliasi23" dataDxfId="456"/>
    <tableColumn id="41" xr3:uid="{00000000-0010-0000-0200-000029000000}" name="Sinta ID24" dataDxfId="455"/>
    <tableColumn id="42" xr3:uid="{00000000-0010-0000-0200-00002A000000}" name="NIDN25" dataDxfId="454"/>
    <tableColumn id="43" xr3:uid="{00000000-0010-0000-0200-00002B000000}" name="Nama Penulis Lain" dataDxfId="453"/>
    <tableColumn id="44" xr3:uid="{00000000-0010-0000-0200-00002C000000}" name="Prodi26" dataDxfId="452"/>
    <tableColumn id="45" xr3:uid="{00000000-0010-0000-0200-00002D000000}" name="Afiliasi27" dataDxfId="451"/>
    <tableColumn id="46" xr3:uid="{00000000-0010-0000-0200-00002E000000}" name="Sinta ID28" dataDxfId="450"/>
    <tableColumn id="47" xr3:uid="{00000000-0010-0000-0200-00002F000000}" name="NIDN29" dataDxfId="44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32" displayName="Table32" ref="A1:CI313" totalsRowShown="0" headerRowDxfId="448" dataDxfId="447" totalsRowDxfId="445" tableBorderDxfId="446">
  <autoFilter ref="A1:CI313" xr:uid="{00000000-0009-0000-0100-000001000000}"/>
  <tableColumns count="87">
    <tableColumn id="1" xr3:uid="{00000000-0010-0000-0500-000001000000}" name="No" dataDxfId="444" totalsRowDxfId="443"/>
    <tableColumn id="2" xr3:uid="{00000000-0010-0000-0500-000002000000}" name="No. SK" dataDxfId="442" totalsRowDxfId="441" dataCellStyle="Hyperlink"/>
    <tableColumn id="3" xr3:uid="{00000000-0010-0000-0500-000003000000}" name="No. Kontrak" dataDxfId="440" totalsRowDxfId="439" dataCellStyle="Hyperlink"/>
    <tableColumn id="4" xr3:uid="{00000000-0010-0000-0500-000004000000}" name="Judul Penelitian" dataDxfId="438" totalsRowDxfId="437"/>
    <tableColumn id="5" xr3:uid="{00000000-0010-0000-0500-000005000000}" name="Nama Skema" dataDxfId="436" totalsRowDxfId="435"/>
    <tableColumn id="6" xr3:uid="{00000000-0010-0000-0500-000006000000}" name="Tahun Usulan" dataDxfId="434" totalsRowDxfId="433"/>
    <tableColumn id="7" xr3:uid="{00000000-0010-0000-0500-000007000000}" name="Tahun Pelaksanaan Kegiatan" dataDxfId="432" totalsRowDxfId="431"/>
    <tableColumn id="8" xr3:uid="{00000000-0010-0000-0500-000008000000}" name="Lama Kegiatan (bulan)" dataDxfId="430" totalsRowDxfId="429"/>
    <tableColumn id="9" xr3:uid="{00000000-0010-0000-0500-000009000000}" name="Bidang Fokus" dataDxfId="428" totalsRowDxfId="427"/>
    <tableColumn id="10" xr3:uid="{00000000-0010-0000-0500-00000A000000}" name="Dana Disetujui" dataDxfId="426" totalsRowDxfId="425"/>
    <tableColumn id="11" xr3:uid="{00000000-0010-0000-0500-00000B000000}" name="Nama Institusi Penerima Dana" dataDxfId="424" totalsRowDxfId="423"/>
    <tableColumn id="12" xr3:uid="{00000000-0010-0000-0500-00000C000000}" name="Target TKT" dataDxfId="422" totalsRowDxfId="421"/>
    <tableColumn id="13" xr3:uid="{00000000-0010-0000-0500-00000D000000}" name="Nama Program Hibah" dataDxfId="420" totalsRowDxfId="419"/>
    <tableColumn id="14" xr3:uid="{00000000-0010-0000-0500-00000E000000}" name="Kategori Sumber Dana" dataDxfId="418" totalsRowDxfId="417"/>
    <tableColumn id="15" xr3:uid="{00000000-0010-0000-0500-00000F000000}" name="Negara Sumber Dana" dataDxfId="416" totalsRowDxfId="415"/>
    <tableColumn id="16" xr3:uid="{00000000-0010-0000-0500-000010000000}" name="Sumber Dana" dataDxfId="414" totalsRowDxfId="413"/>
    <tableColumn id="17" xr3:uid="{00000000-0010-0000-0500-000011000000}" name="Sinta ID Ketua" dataDxfId="412" totalsRowDxfId="411"/>
    <tableColumn id="18" xr3:uid="{00000000-0010-0000-0500-000012000000}" name="Nama Ketua" dataDxfId="410" totalsRowDxfId="409"/>
    <tableColumn id="19" xr3:uid="{00000000-0010-0000-0500-000013000000}" name="NIDN Ketua" dataDxfId="408" totalsRowDxfId="407"/>
    <tableColumn id="20" xr3:uid="{00000000-0010-0000-0500-000014000000}" name="DANA KETUA" dataDxfId="406" totalsRowDxfId="405"/>
    <tableColumn id="21" xr3:uid="{00000000-0010-0000-0500-000015000000}" name="Prodi Ketua" dataDxfId="404" totalsRowDxfId="403"/>
    <tableColumn id="81" xr3:uid="{00000000-0010-0000-0500-000051000000}" name="Prodi Ketua (2)" dataDxfId="402" totalsRowDxfId="401"/>
    <tableColumn id="85" xr3:uid="{00000000-0010-0000-0500-000055000000}" name="Prodi Ketua (3)" dataDxfId="400" totalsRowDxfId="399"/>
    <tableColumn id="22" xr3:uid="{00000000-0010-0000-0500-000016000000}" name="Fakultas Ketua" dataDxfId="398" totalsRowDxfId="397"/>
    <tableColumn id="23" xr3:uid="{00000000-0010-0000-0500-000017000000}" name="Institusi Ketua" dataDxfId="396" totalsRowDxfId="395"/>
    <tableColumn id="24" xr3:uid="{00000000-0010-0000-0500-000018000000}" name="Sinta ID Institusi Ketua" dataDxfId="394" totalsRowDxfId="393"/>
    <tableColumn id="25" xr3:uid="{00000000-0010-0000-0500-000019000000}" name="Kode PT Ketua" dataDxfId="392" totalsRowDxfId="391"/>
    <tableColumn id="26" xr3:uid="{00000000-0010-0000-0500-00001A000000}" name="Sinta ID Member1" dataDxfId="390" totalsRowDxfId="389"/>
    <tableColumn id="27" xr3:uid="{00000000-0010-0000-0500-00001B000000}" name="NIDN Member1" dataDxfId="388" totalsRowDxfId="387"/>
    <tableColumn id="28" xr3:uid="{00000000-0010-0000-0500-00001C000000}" name="Nama Anggota 1" dataDxfId="386" totalsRowDxfId="385"/>
    <tableColumn id="29" xr3:uid="{00000000-0010-0000-0500-00001D000000}" name="Dana Anggota 1" dataDxfId="384" totalsRowDxfId="383"/>
    <tableColumn id="30" xr3:uid="{00000000-0010-0000-0500-00001E000000}" name="Prodi Member 1" dataDxfId="382" totalsRowDxfId="381"/>
    <tableColumn id="60" xr3:uid="{00000000-0010-0000-0500-00003C000000}" name="Prodi Member 1 (2)" dataDxfId="380" totalsRowDxfId="379"/>
    <tableColumn id="86" xr3:uid="{00000000-0010-0000-0500-000056000000}" name="Prodi Anggota 1 (3)" dataDxfId="378" totalsRowDxfId="377"/>
    <tableColumn id="31" xr3:uid="{00000000-0010-0000-0500-00001F000000}" name="Fakultas" dataDxfId="376" totalsRowDxfId="375"/>
    <tableColumn id="32" xr3:uid="{00000000-0010-0000-0500-000020000000}" name="PT" dataDxfId="374" totalsRowDxfId="373"/>
    <tableColumn id="33" xr3:uid="{00000000-0010-0000-0500-000021000000}" name="Sinta ID Member2" dataDxfId="372" totalsRowDxfId="371"/>
    <tableColumn id="34" xr3:uid="{00000000-0010-0000-0500-000022000000}" name="NIDN Member2" dataDxfId="370" totalsRowDxfId="369"/>
    <tableColumn id="35" xr3:uid="{00000000-0010-0000-0500-000023000000}" name="Nama Anggota 2" dataDxfId="368" totalsRowDxfId="367"/>
    <tableColumn id="36" xr3:uid="{00000000-0010-0000-0500-000024000000}" name="Dana Anggota 2" dataDxfId="366" totalsRowDxfId="365"/>
    <tableColumn id="37" xr3:uid="{00000000-0010-0000-0500-000025000000}" name="Prodi Anggota 2" dataDxfId="364" totalsRowDxfId="363"/>
    <tableColumn id="82" xr3:uid="{00000000-0010-0000-0500-000052000000}" name="Prodi Anggota  2 (2)" dataDxfId="362" totalsRowDxfId="361"/>
    <tableColumn id="87" xr3:uid="{00000000-0010-0000-0500-000057000000}" name="Prodi Anggota 2 (3)" dataDxfId="360" totalsRowDxfId="359"/>
    <tableColumn id="38" xr3:uid="{00000000-0010-0000-0500-000026000000}" name="Fakultas3" dataDxfId="358" totalsRowDxfId="357"/>
    <tableColumn id="39" xr3:uid="{00000000-0010-0000-0500-000027000000}" name="PT4" dataDxfId="356" totalsRowDxfId="355"/>
    <tableColumn id="40" xr3:uid="{00000000-0010-0000-0500-000028000000}" name="Sinta ID Member3" dataDxfId="354" totalsRowDxfId="353"/>
    <tableColumn id="41" xr3:uid="{00000000-0010-0000-0500-000029000000}" name="NIDN Member3" dataDxfId="352" totalsRowDxfId="351"/>
    <tableColumn id="42" xr3:uid="{00000000-0010-0000-0500-00002A000000}" name="Nama Anggota 3" dataDxfId="350" totalsRowDxfId="349"/>
    <tableColumn id="43" xr3:uid="{00000000-0010-0000-0500-00002B000000}" name="Dana Anggota 3" dataDxfId="348" totalsRowDxfId="347"/>
    <tableColumn id="44" xr3:uid="{00000000-0010-0000-0500-00002C000000}" name="Prodi Anggota 3" dataDxfId="346" totalsRowDxfId="345"/>
    <tableColumn id="84" xr3:uid="{00000000-0010-0000-0500-000054000000}" name="Prodi Anggota 3 (2)" dataDxfId="344" totalsRowDxfId="343"/>
    <tableColumn id="45" xr3:uid="{00000000-0010-0000-0500-00002D000000}" name="Fakultas Anggota 3" dataDxfId="342" totalsRowDxfId="341"/>
    <tableColumn id="46" xr3:uid="{00000000-0010-0000-0500-00002E000000}" name="PT Anggota 3" dataDxfId="340" totalsRowDxfId="339"/>
    <tableColumn id="47" xr3:uid="{00000000-0010-0000-0500-00002F000000}" name="Sinta ID Member4" dataDxfId="338" totalsRowDxfId="337"/>
    <tableColumn id="48" xr3:uid="{00000000-0010-0000-0500-000030000000}" name="NIDN Member4" dataDxfId="336" totalsRowDxfId="335"/>
    <tableColumn id="49" xr3:uid="{00000000-0010-0000-0500-000031000000}" name="Nama Member4" dataDxfId="334" totalsRowDxfId="333"/>
    <tableColumn id="50" xr3:uid="{00000000-0010-0000-0500-000032000000}" name="Dana Anggota 4" dataDxfId="332" totalsRowDxfId="331"/>
    <tableColumn id="51" xr3:uid="{00000000-0010-0000-0500-000033000000}" name="Prodi Anggota 4" dataDxfId="330" totalsRowDxfId="329"/>
    <tableColumn id="83" xr3:uid="{00000000-0010-0000-0500-000053000000}" name="Prodi Anggota 4 (2)" dataDxfId="328" totalsRowDxfId="327"/>
    <tableColumn id="52" xr3:uid="{00000000-0010-0000-0500-000034000000}" name="Fakultas Anggota 4" dataDxfId="326" totalsRowDxfId="325"/>
    <tableColumn id="53" xr3:uid="{00000000-0010-0000-0500-000035000000}" name="PT Anggota 4" dataDxfId="324" totalsRowDxfId="323"/>
    <tableColumn id="54" xr3:uid="{00000000-0010-0000-0500-000036000000}" name="Sinta ID Member5" dataDxfId="322" totalsRowDxfId="321"/>
    <tableColumn id="55" xr3:uid="{00000000-0010-0000-0500-000037000000}" name="NIDN Member5" dataDxfId="320" totalsRowDxfId="319"/>
    <tableColumn id="56" xr3:uid="{00000000-0010-0000-0500-000038000000}" name="Nama Member5" dataDxfId="318" totalsRowDxfId="317"/>
    <tableColumn id="57" xr3:uid="{00000000-0010-0000-0500-000039000000}" name="Prodi Anggota 5" dataDxfId="316" totalsRowDxfId="315"/>
    <tableColumn id="58" xr3:uid="{00000000-0010-0000-0500-00003A000000}" name="Fakultas Anggota 5" dataDxfId="314" totalsRowDxfId="313"/>
    <tableColumn id="59" xr3:uid="{00000000-0010-0000-0500-00003B000000}" name="Dana Anggota 5" dataDxfId="312" totalsRowDxfId="311"/>
    <tableColumn id="80" xr3:uid="{00000000-0010-0000-0500-000050000000}" name="SDG" dataDxfId="310" totalsRowDxfId="309"/>
    <tableColumn id="61" xr3:uid="{00000000-0010-0000-0500-00003D000000}" name="Proposal" dataDxfId="308" totalsRowDxfId="307" dataCellStyle="Hyperlink"/>
    <tableColumn id="62" xr3:uid="{00000000-0010-0000-0500-00003E000000}" name="Laporan Akhir" dataDxfId="306" totalsRowDxfId="305"/>
    <tableColumn id="63" xr3:uid="{00000000-0010-0000-0500-00003F000000}" name="Nama Mh" dataDxfId="304" totalsRowDxfId="303"/>
    <tableColumn id="64" xr3:uid="{00000000-0010-0000-0500-000040000000}" name="Prodi, Fak, PT Mhs1" dataDxfId="302" totalsRowDxfId="301"/>
    <tableColumn id="65" xr3:uid="{00000000-0010-0000-0500-000041000000}" name="Nama Mhs2" dataDxfId="300" totalsRowDxfId="299"/>
    <tableColumn id="66" xr3:uid="{00000000-0010-0000-0500-000042000000}" name="Prodi, Fak, PT Mhs2" dataDxfId="298" totalsRowDxfId="297"/>
    <tableColumn id="67" xr3:uid="{00000000-0010-0000-0500-000043000000}" name="Nama Mhs3" dataDxfId="296" totalsRowDxfId="295"/>
    <tableColumn id="68" xr3:uid="{00000000-0010-0000-0500-000044000000}" name="Prodi, Fak, PT Mhs3" dataDxfId="294" totalsRowDxfId="293"/>
    <tableColumn id="69" xr3:uid="{00000000-0010-0000-0500-000045000000}" name="Nama Mhs4" dataDxfId="292" totalsRowDxfId="291"/>
    <tableColumn id="70" xr3:uid="{00000000-0010-0000-0500-000046000000}" name="Prodi Mhs4" dataDxfId="290" totalsRowDxfId="289"/>
    <tableColumn id="71" xr3:uid="{00000000-0010-0000-0500-000047000000}" name="Nama Mhs5" dataDxfId="288" totalsRowDxfId="287"/>
    <tableColumn id="72" xr3:uid="{00000000-0010-0000-0500-000048000000}" name="Prodi Mhs5" dataDxfId="286" totalsRowDxfId="285"/>
    <tableColumn id="73" xr3:uid="{00000000-0010-0000-0500-000049000000}" name="Nama Mhs6" dataDxfId="284" totalsRowDxfId="283"/>
    <tableColumn id="74" xr3:uid="{00000000-0010-0000-0500-00004A000000}" name="Prodi Mhs6" dataDxfId="282" totalsRowDxfId="281"/>
    <tableColumn id="75" xr3:uid="{00000000-0010-0000-0500-00004B000000}" name="Nama Mhs7" dataDxfId="280" totalsRowDxfId="279"/>
    <tableColumn id="76" xr3:uid="{00000000-0010-0000-0500-00004C000000}" name="Prodi Mhs7" dataDxfId="278" totalsRowDxfId="277"/>
    <tableColumn id="77" xr3:uid="{00000000-0010-0000-0500-00004D000000}" name="Luaran Wajib" dataDxfId="276" totalsRowDxfId="275"/>
    <tableColumn id="78" xr3:uid="{00000000-0010-0000-0500-00004E000000}" name="Capaian Luaran Wajib" dataDxfId="274" totalsRowDxfId="273"/>
    <tableColumn id="79" xr3:uid="{00000000-0010-0000-0500-00004F000000}" name="Luaran Tambahan" dataDxfId="272" totalsRowDxfId="2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616" displayName="Table616" ref="A1:CO206" totalsRowShown="0" headerRowDxfId="270" dataDxfId="269" tableBorderDxfId="268">
  <autoFilter ref="A1:CO206" xr:uid="{00000000-0009-0000-0100-00000F000000}"/>
  <sortState xmlns:xlrd2="http://schemas.microsoft.com/office/spreadsheetml/2017/richdata2" ref="A2:CO206">
    <sortCondition descending="1" ref="K1:K206"/>
  </sortState>
  <tableColumns count="93">
    <tableColumn id="1" xr3:uid="{00000000-0010-0000-0800-000001000000}" name="No" dataDxfId="267"/>
    <tableColumn id="2" xr3:uid="{00000000-0010-0000-0800-000002000000}" name="No. SK" dataDxfId="266" dataCellStyle="Hyperlink"/>
    <tableColumn id="3" xr3:uid="{00000000-0010-0000-0800-000003000000}" name="No. Kontrak" dataDxfId="265"/>
    <tableColumn id="4" xr3:uid="{00000000-0010-0000-0800-000004000000}" name="Judul Penelitian" dataDxfId="264"/>
    <tableColumn id="5" xr3:uid="{00000000-0010-0000-0800-000005000000}" name="Nama Skema" dataDxfId="263"/>
    <tableColumn id="6" xr3:uid="{00000000-0010-0000-0800-000006000000}" name="Tahun Usulan" dataDxfId="262"/>
    <tableColumn id="7" xr3:uid="{00000000-0010-0000-0800-000007000000}" name="Tahun Pelaksanaan Kegiatan" dataDxfId="261"/>
    <tableColumn id="8" xr3:uid="{00000000-0010-0000-0800-000008000000}" name="Lama Kegiatan (bulan)" dataDxfId="260"/>
    <tableColumn id="9" xr3:uid="{00000000-0010-0000-0800-000009000000}" name="Bidang Fokus" dataDxfId="259"/>
    <tableColumn id="10" xr3:uid="{00000000-0010-0000-0800-00000A000000}" name="Dana yang Diusulkan" dataDxfId="258"/>
    <tableColumn id="11" xr3:uid="{00000000-0010-0000-0800-00000B000000}" name="Dana Disetujui" dataDxfId="257"/>
    <tableColumn id="12" xr3:uid="{00000000-0010-0000-0800-00000C000000}" name="Nama Institusi Penerima Dana" dataDxfId="256"/>
    <tableColumn id="13" xr3:uid="{00000000-0010-0000-0800-00000D000000}" name="Target TKT" dataDxfId="255"/>
    <tableColumn id="14" xr3:uid="{00000000-0010-0000-0800-00000E000000}" name="Nama Program Hibah" dataDxfId="254"/>
    <tableColumn id="15" xr3:uid="{00000000-0010-0000-0800-00000F000000}" name="Kategori Sumber Dana" dataDxfId="253"/>
    <tableColumn id="16" xr3:uid="{00000000-0010-0000-0800-000010000000}" name="Negara Sumber Dana" dataDxfId="252"/>
    <tableColumn id="17" xr3:uid="{00000000-0010-0000-0800-000011000000}" name="Sumber Dana" dataDxfId="251"/>
    <tableColumn id="18" xr3:uid="{00000000-0010-0000-0800-000012000000}" name="Sinta ID Ketua" dataDxfId="250"/>
    <tableColumn id="19" xr3:uid="{00000000-0010-0000-0800-000013000000}" name="Nama Ketua" dataDxfId="249"/>
    <tableColumn id="20" xr3:uid="{00000000-0010-0000-0800-000014000000}" name="NIDN Ketua" dataDxfId="248"/>
    <tableColumn id="21" xr3:uid="{00000000-0010-0000-0800-000015000000}" name="DANA KETUA" dataDxfId="247"/>
    <tableColumn id="22" xr3:uid="{00000000-0010-0000-0800-000016000000}" name="Prodi" dataDxfId="246"/>
    <tableColumn id="23" xr3:uid="{00000000-0010-0000-0800-000017000000}" name="Fakultas" dataDxfId="245"/>
    <tableColumn id="24" xr3:uid="{00000000-0010-0000-0800-000018000000}" name="PT" dataDxfId="244"/>
    <tableColumn id="25" xr3:uid="{00000000-0010-0000-0800-000019000000}" name="Sinta ID PT" dataDxfId="243"/>
    <tableColumn id="26" xr3:uid="{00000000-0010-0000-0800-00001A000000}" name="Kode PT PDDikti" dataDxfId="242"/>
    <tableColumn id="27" xr3:uid="{00000000-0010-0000-0800-00001B000000}" name="Sinta ID Member1" dataDxfId="241"/>
    <tableColumn id="28" xr3:uid="{00000000-0010-0000-0800-00001C000000}" name="NIDN Member1" dataDxfId="240"/>
    <tableColumn id="29" xr3:uid="{00000000-0010-0000-0800-00001D000000}" name="Nama Member1" dataDxfId="239"/>
    <tableColumn id="30" xr3:uid="{00000000-0010-0000-0800-00001E000000}" name="DANA MEMBER 1" dataDxfId="238"/>
    <tableColumn id="31" xr3:uid="{00000000-0010-0000-0800-00001F000000}" name="Prodi2" dataDxfId="237"/>
    <tableColumn id="32" xr3:uid="{00000000-0010-0000-0800-000020000000}" name="Fakultas3" dataDxfId="236"/>
    <tableColumn id="33" xr3:uid="{00000000-0010-0000-0800-000021000000}" name="PT4" dataDxfId="235"/>
    <tableColumn id="34" xr3:uid="{00000000-0010-0000-0800-000022000000}" name="Sinta ID Member2" dataDxfId="234"/>
    <tableColumn id="35" xr3:uid="{00000000-0010-0000-0800-000023000000}" name="NIDN Member2" dataDxfId="233"/>
    <tableColumn id="36" xr3:uid="{00000000-0010-0000-0800-000024000000}" name="Nama Member2" dataDxfId="232"/>
    <tableColumn id="37" xr3:uid="{00000000-0010-0000-0800-000025000000}" name="DANA MEMBER 2" dataDxfId="231"/>
    <tableColumn id="38" xr3:uid="{00000000-0010-0000-0800-000026000000}" name="Prodi5" dataDxfId="230"/>
    <tableColumn id="39" xr3:uid="{00000000-0010-0000-0800-000027000000}" name="Fakultas6" dataDxfId="229"/>
    <tableColumn id="40" xr3:uid="{00000000-0010-0000-0800-000028000000}" name="PT7" dataDxfId="228"/>
    <tableColumn id="41" xr3:uid="{00000000-0010-0000-0800-000029000000}" name="Sinta ID Member3" dataDxfId="227"/>
    <tableColumn id="42" xr3:uid="{00000000-0010-0000-0800-00002A000000}" name="NIDN Member3" dataDxfId="226"/>
    <tableColumn id="43" xr3:uid="{00000000-0010-0000-0800-00002B000000}" name="Nama Member3" dataDxfId="225"/>
    <tableColumn id="44" xr3:uid="{00000000-0010-0000-0800-00002C000000}" name="DANA MEMBER 3" dataDxfId="224"/>
    <tableColumn id="45" xr3:uid="{00000000-0010-0000-0800-00002D000000}" name="Prodi8" dataDxfId="223"/>
    <tableColumn id="46" xr3:uid="{00000000-0010-0000-0800-00002E000000}" name="Fakultas9" dataDxfId="222"/>
    <tableColumn id="47" xr3:uid="{00000000-0010-0000-0800-00002F000000}" name="PT10" dataDxfId="221"/>
    <tableColumn id="48" xr3:uid="{00000000-0010-0000-0800-000030000000}" name="Sinta ID Member4" dataDxfId="220"/>
    <tableColumn id="49" xr3:uid="{00000000-0010-0000-0800-000031000000}" name="NIDN Member4" dataDxfId="219"/>
    <tableColumn id="50" xr3:uid="{00000000-0010-0000-0800-000032000000}" name="Nama Member4" dataDxfId="218"/>
    <tableColumn id="51" xr3:uid="{00000000-0010-0000-0800-000033000000}" name="DANA MEMBER 4" dataDxfId="217"/>
    <tableColumn id="52" xr3:uid="{00000000-0010-0000-0800-000034000000}" name="Prodi11" dataDxfId="216"/>
    <tableColumn id="53" xr3:uid="{00000000-0010-0000-0800-000035000000}" name="Fakultas12" dataDxfId="215"/>
    <tableColumn id="54" xr3:uid="{00000000-0010-0000-0800-000036000000}" name="PT13" dataDxfId="214"/>
    <tableColumn id="55" xr3:uid="{00000000-0010-0000-0800-000037000000}" name="Sinta ID Member5" dataDxfId="213"/>
    <tableColumn id="56" xr3:uid="{00000000-0010-0000-0800-000038000000}" name="NIDN Member5" dataDxfId="212"/>
    <tableColumn id="57" xr3:uid="{00000000-0010-0000-0800-000039000000}" name="Nama Member5" dataDxfId="211"/>
    <tableColumn id="58" xr3:uid="{00000000-0010-0000-0800-00003A000000}" name="DANA MEMBER 5" dataDxfId="210"/>
    <tableColumn id="59" xr3:uid="{00000000-0010-0000-0800-00003B000000}" name="Prodi14" dataDxfId="209"/>
    <tableColumn id="60" xr3:uid="{00000000-0010-0000-0800-00003C000000}" name="Fakultas15" dataDxfId="208"/>
    <tableColumn id="61" xr3:uid="{00000000-0010-0000-0800-00003D000000}" name="PT16" dataDxfId="207"/>
    <tableColumn id="62" xr3:uid="{00000000-0010-0000-0800-00003E000000}" name="Sinta ID Member6" dataDxfId="206"/>
    <tableColumn id="63" xr3:uid="{00000000-0010-0000-0800-00003F000000}" name="NIDN Member6" dataDxfId="205"/>
    <tableColumn id="64" xr3:uid="{00000000-0010-0000-0800-000040000000}" name="Nama Member6" dataDxfId="204"/>
    <tableColumn id="65" xr3:uid="{00000000-0010-0000-0800-000041000000}" name="DANA MEMBER 6" dataDxfId="203"/>
    <tableColumn id="66" xr3:uid="{00000000-0010-0000-0800-000042000000}" name="Prodi17" dataDxfId="202"/>
    <tableColumn id="67" xr3:uid="{00000000-0010-0000-0800-000043000000}" name="Fakultas18" dataDxfId="201"/>
    <tableColumn id="68" xr3:uid="{00000000-0010-0000-0800-000044000000}" name="PT19" dataDxfId="200"/>
    <tableColumn id="93" xr3:uid="{00000000-0010-0000-0800-00005D000000}" name="SDG" dataDxfId="199"/>
    <tableColumn id="69" xr3:uid="{00000000-0010-0000-0800-000045000000}" name="Proposal" dataDxfId="198" dataCellStyle="Hyperlink"/>
    <tableColumn id="70" xr3:uid="{00000000-0010-0000-0800-000046000000}" name="Laporan Akhir" dataDxfId="197"/>
    <tableColumn id="71" xr3:uid="{00000000-0010-0000-0800-000047000000}" name="Nama Mhs1" dataDxfId="196"/>
    <tableColumn id="72" xr3:uid="{00000000-0010-0000-0800-000048000000}" name="Prodi, Fak, PT Mhs1" dataDxfId="195"/>
    <tableColumn id="73" xr3:uid="{00000000-0010-0000-0800-000049000000}" name="Nama Mhs2" dataDxfId="194"/>
    <tableColumn id="74" xr3:uid="{00000000-0010-0000-0800-00004A000000}" name="Prodi, Fak, PT Mhs2" dataDxfId="193"/>
    <tableColumn id="75" xr3:uid="{00000000-0010-0000-0800-00004B000000}" name="Nama Mhs3" dataDxfId="192"/>
    <tableColumn id="76" xr3:uid="{00000000-0010-0000-0800-00004C000000}" name="Prodi, Fak, PT Mhs3" dataDxfId="191"/>
    <tableColumn id="77" xr3:uid="{00000000-0010-0000-0800-00004D000000}" name="Nama Mhs4" dataDxfId="190"/>
    <tableColumn id="78" xr3:uid="{00000000-0010-0000-0800-00004E000000}" name="Prodi Mhs4" dataDxfId="189"/>
    <tableColumn id="79" xr3:uid="{00000000-0010-0000-0800-00004F000000}" name="Nama Mhs5" dataDxfId="188"/>
    <tableColumn id="80" xr3:uid="{00000000-0010-0000-0800-000050000000}" name="Prodi Mhs5" dataDxfId="187"/>
    <tableColumn id="81" xr3:uid="{00000000-0010-0000-0800-000051000000}" name="Nama Mhs6" dataDxfId="186"/>
    <tableColumn id="82" xr3:uid="{00000000-0010-0000-0800-000052000000}" name="Prodi Mhs6" dataDxfId="185"/>
    <tableColumn id="83" xr3:uid="{00000000-0010-0000-0800-000053000000}" name="Nama Mhs7" dataDxfId="184"/>
    <tableColumn id="84" xr3:uid="{00000000-0010-0000-0800-000054000000}" name="Prodi Mhs7" dataDxfId="183"/>
    <tableColumn id="85" xr3:uid="{00000000-0010-0000-0800-000055000000}" name="Nama Mhs8" dataDxfId="182"/>
    <tableColumn id="86" xr3:uid="{00000000-0010-0000-0800-000056000000}" name="Prodi Mhs8" dataDxfId="181"/>
    <tableColumn id="87" xr3:uid="{00000000-0010-0000-0800-000057000000}" name="Publikasi Ilmiah" dataDxfId="180"/>
    <tableColumn id="88" xr3:uid="{00000000-0010-0000-0800-000058000000}" name="Media Massa" dataDxfId="179"/>
    <tableColumn id="89" xr3:uid="{00000000-0010-0000-0800-000059000000}" name="Produk / Jasa" dataDxfId="178"/>
    <tableColumn id="90" xr3:uid="{00000000-0010-0000-0800-00005A000000}" name="Capaian Publikasi Ilmiah" dataDxfId="177"/>
    <tableColumn id="91" xr3:uid="{00000000-0010-0000-0800-00005B000000}" name="Capaian Luaran Wajib" dataDxfId="176"/>
    <tableColumn id="92" xr3:uid="{00000000-0010-0000-0800-00005C000000}" name="Luaran Tambahan" dataDxfId="17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9000000}" name="Table615" displayName="Table615" ref="A1:CX206" totalsRowShown="0" headerRowDxfId="174" dataDxfId="173" tableBorderDxfId="172">
  <autoFilter ref="A1:CX206" xr:uid="{00000000-0009-0000-0100-00000E000000}"/>
  <sortState xmlns:xlrd2="http://schemas.microsoft.com/office/spreadsheetml/2017/richdata2" ref="A2:CX206">
    <sortCondition descending="1" ref="L1:L206"/>
  </sortState>
  <tableColumns count="102">
    <tableColumn id="1" xr3:uid="{00000000-0010-0000-0900-000001000000}" name="No" dataDxfId="171"/>
    <tableColumn id="2" xr3:uid="{00000000-0010-0000-0900-000002000000}" name="No. SK" dataDxfId="170" dataCellStyle="Hyperlink"/>
    <tableColumn id="3" xr3:uid="{00000000-0010-0000-0900-000003000000}" name="No. Kontrak" dataDxfId="169"/>
    <tableColumn id="4" xr3:uid="{00000000-0010-0000-0900-000004000000}" name="Judul Penelitian" dataDxfId="168"/>
    <tableColumn id="5" xr3:uid="{00000000-0010-0000-0900-000005000000}" name="Nama Skema" dataDxfId="167"/>
    <tableColumn id="6" xr3:uid="{00000000-0010-0000-0900-000006000000}" name="Tahun Usulan" dataDxfId="166"/>
    <tableColumn id="7" xr3:uid="{00000000-0010-0000-0900-000007000000}" name="Tahun Pelaksanaan Kegiatan" dataDxfId="165"/>
    <tableColumn id="8" xr3:uid="{00000000-0010-0000-0900-000008000000}" name="Lama Kegiatan (bulan)" dataDxfId="164"/>
    <tableColumn id="9" xr3:uid="{00000000-0010-0000-0900-000009000000}" name="Bidang Fokus" dataDxfId="163"/>
    <tableColumn id="94" xr3:uid="{00000000-0010-0000-0900-00005E000000}" name="Mitra/Masyarakat Sasar" dataDxfId="162"/>
    <tableColumn id="10" xr3:uid="{00000000-0010-0000-0900-00000A000000}" name="Dana yang Diusulkan" dataDxfId="161"/>
    <tableColumn id="11" xr3:uid="{00000000-0010-0000-0900-00000B000000}" name="Dana Disetujui" dataDxfId="160"/>
    <tableColumn id="12" xr3:uid="{00000000-0010-0000-0900-00000C000000}" name="Nama Institusi Penerima Dana" dataDxfId="159"/>
    <tableColumn id="13" xr3:uid="{00000000-0010-0000-0900-00000D000000}" name="Target TKT" dataDxfId="158"/>
    <tableColumn id="14" xr3:uid="{00000000-0010-0000-0900-00000E000000}" name="Nama Program Hibah" dataDxfId="157"/>
    <tableColumn id="15" xr3:uid="{00000000-0010-0000-0900-00000F000000}" name="Kategori Sumber Dana" dataDxfId="156"/>
    <tableColumn id="16" xr3:uid="{00000000-0010-0000-0900-000010000000}" name="Negara Sumber Dana" dataDxfId="155"/>
    <tableColumn id="17" xr3:uid="{00000000-0010-0000-0900-000011000000}" name="Sumber Dana" dataDxfId="154"/>
    <tableColumn id="18" xr3:uid="{00000000-0010-0000-0900-000012000000}" name="Sinta ID Ketua" dataDxfId="153"/>
    <tableColumn id="19" xr3:uid="{00000000-0010-0000-0900-000013000000}" name="Nama Ketua" dataDxfId="152"/>
    <tableColumn id="20" xr3:uid="{00000000-0010-0000-0900-000014000000}" name="NIDN Ketua" dataDxfId="151"/>
    <tableColumn id="21" xr3:uid="{00000000-0010-0000-0900-000015000000}" name="DANA KETUA" dataDxfId="150"/>
    <tableColumn id="22" xr3:uid="{00000000-0010-0000-0900-000016000000}" name="Prodi" dataDxfId="149"/>
    <tableColumn id="96" xr3:uid="{00000000-0010-0000-0900-000060000000}" name="Prodi4" dataDxfId="148"/>
    <tableColumn id="95" xr3:uid="{00000000-0010-0000-0900-00005F000000}" name="Prodi3" dataDxfId="147"/>
    <tableColumn id="23" xr3:uid="{00000000-0010-0000-0900-000017000000}" name="Fakultas" dataDxfId="146"/>
    <tableColumn id="24" xr3:uid="{00000000-0010-0000-0900-000018000000}" name="PT" dataDxfId="145"/>
    <tableColumn id="25" xr3:uid="{00000000-0010-0000-0900-000019000000}" name="Sinta ID PT" dataDxfId="144"/>
    <tableColumn id="26" xr3:uid="{00000000-0010-0000-0900-00001A000000}" name="Kode PT PDDikti" dataDxfId="143"/>
    <tableColumn id="27" xr3:uid="{00000000-0010-0000-0900-00001B000000}" name="Sinta ID Member1" dataDxfId="142"/>
    <tableColumn id="28" xr3:uid="{00000000-0010-0000-0900-00001C000000}" name="NIDN Member1" dataDxfId="141"/>
    <tableColumn id="29" xr3:uid="{00000000-0010-0000-0900-00001D000000}" name="Nama Member1" dataDxfId="140"/>
    <tableColumn id="30" xr3:uid="{00000000-0010-0000-0900-00001E000000}" name="DANA MEMBER 1" dataDxfId="139"/>
    <tableColumn id="31" xr3:uid="{00000000-0010-0000-0900-00001F000000}" name="Prodi2" dataDxfId="138"/>
    <tableColumn id="98" xr3:uid="{00000000-0010-0000-0900-000062000000}" name="Prodi22" dataDxfId="137"/>
    <tableColumn id="101" xr3:uid="{00000000-0010-0000-0900-000065000000}" name="Prodi23" dataDxfId="136"/>
    <tableColumn id="32" xr3:uid="{00000000-0010-0000-0900-000020000000}" name="Fakultas3" dataDxfId="135"/>
    <tableColumn id="33" xr3:uid="{00000000-0010-0000-0900-000021000000}" name="PT4" dataDxfId="134"/>
    <tableColumn id="34" xr3:uid="{00000000-0010-0000-0900-000022000000}" name="Sinta ID Member2" dataDxfId="133"/>
    <tableColumn id="35" xr3:uid="{00000000-0010-0000-0900-000023000000}" name="NIDN Member2" dataDxfId="132"/>
    <tableColumn id="36" xr3:uid="{00000000-0010-0000-0900-000024000000}" name="Nama Member2" dataDxfId="131"/>
    <tableColumn id="37" xr3:uid="{00000000-0010-0000-0900-000025000000}" name="DANA MEMBER 2" dataDxfId="130"/>
    <tableColumn id="38" xr3:uid="{00000000-0010-0000-0900-000026000000}" name="Prodi5" dataDxfId="129"/>
    <tableColumn id="97" xr3:uid="{00000000-0010-0000-0900-000061000000}" name="Prodi6" dataDxfId="128"/>
    <tableColumn id="102" xr3:uid="{00000000-0010-0000-0900-000066000000}" name="Prodi7" dataDxfId="127"/>
    <tableColumn id="39" xr3:uid="{00000000-0010-0000-0900-000027000000}" name="Fakultas6" dataDxfId="126"/>
    <tableColumn id="40" xr3:uid="{00000000-0010-0000-0900-000028000000}" name="PT7" dataDxfId="125"/>
    <tableColumn id="41" xr3:uid="{00000000-0010-0000-0900-000029000000}" name="Sinta ID Member3" dataDxfId="124"/>
    <tableColumn id="42" xr3:uid="{00000000-0010-0000-0900-00002A000000}" name="NIDN Member3" dataDxfId="123"/>
    <tableColumn id="43" xr3:uid="{00000000-0010-0000-0900-00002B000000}" name="Nama Member3" dataDxfId="122"/>
    <tableColumn id="44" xr3:uid="{00000000-0010-0000-0900-00002C000000}" name="DANA MEMBER 3" dataDxfId="121"/>
    <tableColumn id="45" xr3:uid="{00000000-0010-0000-0900-00002D000000}" name="Prodi8" dataDxfId="120"/>
    <tableColumn id="100" xr3:uid="{00000000-0010-0000-0900-000064000000}" name="Prodi9" dataDxfId="119"/>
    <tableColumn id="46" xr3:uid="{00000000-0010-0000-0900-00002E000000}" name="Fakultas9" dataDxfId="118"/>
    <tableColumn id="47" xr3:uid="{00000000-0010-0000-0900-00002F000000}" name="PT10" dataDxfId="117"/>
    <tableColumn id="48" xr3:uid="{00000000-0010-0000-0900-000030000000}" name="Sinta ID Member4" dataDxfId="116"/>
    <tableColumn id="49" xr3:uid="{00000000-0010-0000-0900-000031000000}" name="NIDN Member4" dataDxfId="115"/>
    <tableColumn id="50" xr3:uid="{00000000-0010-0000-0900-000032000000}" name="Nama Member4" dataDxfId="114"/>
    <tableColumn id="51" xr3:uid="{00000000-0010-0000-0900-000033000000}" name="DANA MEMBER 4" dataDxfId="113"/>
    <tableColumn id="52" xr3:uid="{00000000-0010-0000-0900-000034000000}" name="Prodi11" dataDxfId="112"/>
    <tableColumn id="99" xr3:uid="{00000000-0010-0000-0900-000063000000}" name="Prodi12" dataDxfId="111"/>
    <tableColumn id="53" xr3:uid="{00000000-0010-0000-0900-000035000000}" name="Fakultas12" dataDxfId="110"/>
    <tableColumn id="54" xr3:uid="{00000000-0010-0000-0900-000036000000}" name="PT13" dataDxfId="109"/>
    <tableColumn id="55" xr3:uid="{00000000-0010-0000-0900-000037000000}" name="Sinta ID Member5" dataDxfId="108"/>
    <tableColumn id="56" xr3:uid="{00000000-0010-0000-0900-000038000000}" name="NIDN Member5" dataDxfId="107"/>
    <tableColumn id="57" xr3:uid="{00000000-0010-0000-0900-000039000000}" name="Nama Member5" dataDxfId="106"/>
    <tableColumn id="58" xr3:uid="{00000000-0010-0000-0900-00003A000000}" name="DANA MEMBER 5" dataDxfId="105"/>
    <tableColumn id="59" xr3:uid="{00000000-0010-0000-0900-00003B000000}" name="Prodi14" dataDxfId="104"/>
    <tableColumn id="60" xr3:uid="{00000000-0010-0000-0900-00003C000000}" name="Fakultas15" dataDxfId="103"/>
    <tableColumn id="61" xr3:uid="{00000000-0010-0000-0900-00003D000000}" name="PT16" dataDxfId="102"/>
    <tableColumn id="62" xr3:uid="{00000000-0010-0000-0900-00003E000000}" name="Sinta ID Member6" dataDxfId="101"/>
    <tableColumn id="63" xr3:uid="{00000000-0010-0000-0900-00003F000000}" name="NIDN Member6" dataDxfId="100"/>
    <tableColumn id="64" xr3:uid="{00000000-0010-0000-0900-000040000000}" name="Nama Member6" dataDxfId="99"/>
    <tableColumn id="65" xr3:uid="{00000000-0010-0000-0900-000041000000}" name="DANA MEMBER 6" dataDxfId="98"/>
    <tableColumn id="66" xr3:uid="{00000000-0010-0000-0900-000042000000}" name="Prodi17" dataDxfId="97"/>
    <tableColumn id="67" xr3:uid="{00000000-0010-0000-0900-000043000000}" name="Fakultas18" dataDxfId="96"/>
    <tableColumn id="68" xr3:uid="{00000000-0010-0000-0900-000044000000}" name="PT19" dataDxfId="95"/>
    <tableColumn id="93" xr3:uid="{00000000-0010-0000-0900-00005D000000}" name="SDG" dataDxfId="94"/>
    <tableColumn id="69" xr3:uid="{00000000-0010-0000-0900-000045000000}" name="Proposal" dataDxfId="93" dataCellStyle="Hyperlink"/>
    <tableColumn id="70" xr3:uid="{00000000-0010-0000-0900-000046000000}" name="Laporan Akhir" dataDxfId="92"/>
    <tableColumn id="71" xr3:uid="{00000000-0010-0000-0900-000047000000}" name="Nama Mhs1" dataDxfId="91"/>
    <tableColumn id="72" xr3:uid="{00000000-0010-0000-0900-000048000000}" name="Prodi, Fak, PT Mhs1" dataDxfId="90"/>
    <tableColumn id="73" xr3:uid="{00000000-0010-0000-0900-000049000000}" name="Nama Mhs2" dataDxfId="89"/>
    <tableColumn id="74" xr3:uid="{00000000-0010-0000-0900-00004A000000}" name="Prodi, Fak, PT Mhs2" dataDxfId="88"/>
    <tableColumn id="75" xr3:uid="{00000000-0010-0000-0900-00004B000000}" name="Nama Mhs3" dataDxfId="87"/>
    <tableColumn id="76" xr3:uid="{00000000-0010-0000-0900-00004C000000}" name="Prodi, Fak, PT Mhs3" dataDxfId="86"/>
    <tableColumn id="77" xr3:uid="{00000000-0010-0000-0900-00004D000000}" name="Nama Mhs4" dataDxfId="85"/>
    <tableColumn id="78" xr3:uid="{00000000-0010-0000-0900-00004E000000}" name="Prodi Mhs4" dataDxfId="84"/>
    <tableColumn id="79" xr3:uid="{00000000-0010-0000-0900-00004F000000}" name="Nama Mhs5" dataDxfId="83"/>
    <tableColumn id="80" xr3:uid="{00000000-0010-0000-0900-000050000000}" name="Prodi Mhs5" dataDxfId="82"/>
    <tableColumn id="81" xr3:uid="{00000000-0010-0000-0900-000051000000}" name="Nama Mhs6" dataDxfId="81"/>
    <tableColumn id="82" xr3:uid="{00000000-0010-0000-0900-000052000000}" name="Prodi Mhs6" dataDxfId="80"/>
    <tableColumn id="83" xr3:uid="{00000000-0010-0000-0900-000053000000}" name="Nama Mhs7" dataDxfId="79"/>
    <tableColumn id="84" xr3:uid="{00000000-0010-0000-0900-000054000000}" name="Prodi Mhs7" dataDxfId="78"/>
    <tableColumn id="85" xr3:uid="{00000000-0010-0000-0900-000055000000}" name="Nama Mhs8" dataDxfId="77"/>
    <tableColumn id="86" xr3:uid="{00000000-0010-0000-0900-000056000000}" name="Prodi Mhs8" dataDxfId="76"/>
    <tableColumn id="87" xr3:uid="{00000000-0010-0000-0900-000057000000}" name="Publikasi Ilmiah" dataDxfId="75"/>
    <tableColumn id="88" xr3:uid="{00000000-0010-0000-0900-000058000000}" name="Media Massa" dataDxfId="74"/>
    <tableColumn id="89" xr3:uid="{00000000-0010-0000-0900-000059000000}" name="Produk / Jasa" dataDxfId="73"/>
    <tableColumn id="90" xr3:uid="{00000000-0010-0000-0900-00005A000000}" name="Capaian Publikasi Ilmiah" dataDxfId="72"/>
    <tableColumn id="91" xr3:uid="{00000000-0010-0000-0900-00005B000000}" name="Capaian Luaran Wajib" dataDxfId="71"/>
    <tableColumn id="92" xr3:uid="{00000000-0010-0000-0900-00005C000000}" name="Luaran Tambahan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Table6" displayName="Table6" ref="A1:BO206" totalsRowShown="0" headerRowDxfId="69" dataDxfId="68" tableBorderDxfId="67">
  <autoFilter ref="A1:BO206" xr:uid="{00000000-0009-0000-0100-000006000000}"/>
  <sortState xmlns:xlrd2="http://schemas.microsoft.com/office/spreadsheetml/2017/richdata2" ref="A2:BO206">
    <sortCondition descending="1" ref="J1:J206"/>
  </sortState>
  <tableColumns count="67">
    <tableColumn id="2" xr3:uid="{00000000-0010-0000-0700-000002000000}" name="No. SK" dataDxfId="66" dataCellStyle="Hyperlink"/>
    <tableColumn id="3" xr3:uid="{00000000-0010-0000-0700-000003000000}" name="No. Kontrak" dataDxfId="65"/>
    <tableColumn id="4" xr3:uid="{00000000-0010-0000-0700-000004000000}" name="Judul Penelitian" dataDxfId="64"/>
    <tableColumn id="5" xr3:uid="{00000000-0010-0000-0700-000005000000}" name="Nama Skema" dataDxfId="63"/>
    <tableColumn id="6" xr3:uid="{00000000-0010-0000-0700-000006000000}" name="Tahun Usulan" dataDxfId="62"/>
    <tableColumn id="7" xr3:uid="{00000000-0010-0000-0700-000007000000}" name="Tahun Pelaksanaan Kegiatan" dataDxfId="61"/>
    <tableColumn id="8" xr3:uid="{00000000-0010-0000-0700-000008000000}" name="Lama Kegiatan (bulan)" dataDxfId="60"/>
    <tableColumn id="9" xr3:uid="{00000000-0010-0000-0700-000009000000}" name="Bidang Fokus" dataDxfId="59"/>
    <tableColumn id="10" xr3:uid="{00000000-0010-0000-0700-00000A000000}" name="Dana yang Diusulkan" dataDxfId="58"/>
    <tableColumn id="11" xr3:uid="{00000000-0010-0000-0700-00000B000000}" name="Dana Disetujui" dataDxfId="57"/>
    <tableColumn id="13" xr3:uid="{00000000-0010-0000-0700-00000D000000}" name="Target TKT" dataDxfId="56"/>
    <tableColumn id="14" xr3:uid="{00000000-0010-0000-0700-00000E000000}" name="Nama Program Hibah" dataDxfId="55"/>
    <tableColumn id="15" xr3:uid="{00000000-0010-0000-0700-00000F000000}" name="Kategori Sumber Dana" dataDxfId="54"/>
    <tableColumn id="16" xr3:uid="{00000000-0010-0000-0700-000010000000}" name="Negara Sumber Dana" dataDxfId="53"/>
    <tableColumn id="17" xr3:uid="{00000000-0010-0000-0700-000011000000}" name="Sumber Dana" dataDxfId="52"/>
    <tableColumn id="109" xr3:uid="{C449EE21-6591-484C-9A2A-9E77DBEBB1DE}" name="Nama Ketua" dataDxfId="51"/>
    <tableColumn id="21" xr3:uid="{00000000-0010-0000-0700-000015000000}" name="DANA KETUA" dataDxfId="50"/>
    <tableColumn id="24" xr3:uid="{00000000-0010-0000-0700-000018000000}" name="PT" dataDxfId="49"/>
    <tableColumn id="29" xr3:uid="{00000000-0010-0000-0700-00001D000000}" name="Nama Member1" dataDxfId="48"/>
    <tableColumn id="30" xr3:uid="{00000000-0010-0000-0700-00001E000000}" name="DANA MEMBER1" dataDxfId="47"/>
    <tableColumn id="33" xr3:uid="{00000000-0010-0000-0700-000021000000}" name="PT1" dataDxfId="46"/>
    <tableColumn id="36" xr3:uid="{00000000-0010-0000-0700-000024000000}" name="Nama Member2" dataDxfId="45"/>
    <tableColumn id="37" xr3:uid="{00000000-0010-0000-0700-000025000000}" name="DANA MEMBER2" dataDxfId="44"/>
    <tableColumn id="40" xr3:uid="{00000000-0010-0000-0700-000028000000}" name="PT2" dataDxfId="43"/>
    <tableColumn id="43" xr3:uid="{00000000-0010-0000-0700-00002B000000}" name="Nama Member3" dataDxfId="42"/>
    <tableColumn id="44" xr3:uid="{00000000-0010-0000-0700-00002C000000}" name="DANA MEMBER3" dataDxfId="41"/>
    <tableColumn id="47" xr3:uid="{00000000-0010-0000-0700-00002F000000}" name="PT3" dataDxfId="40"/>
    <tableColumn id="50" xr3:uid="{00000000-0010-0000-0700-000032000000}" name="Nama Member4" dataDxfId="39"/>
    <tableColumn id="51" xr3:uid="{00000000-0010-0000-0700-000033000000}" name="DANA MEMBER4" dataDxfId="38"/>
    <tableColumn id="54" xr3:uid="{00000000-0010-0000-0700-000036000000}" name="PT4" dataDxfId="37"/>
    <tableColumn id="57" xr3:uid="{00000000-0010-0000-0700-000039000000}" name="Nama Member5" dataDxfId="36"/>
    <tableColumn id="58" xr3:uid="{00000000-0010-0000-0700-00003A000000}" name="DANA MEMBER5" dataDxfId="35"/>
    <tableColumn id="61" xr3:uid="{00000000-0010-0000-0700-00003D000000}" name="PT5" dataDxfId="34"/>
    <tableColumn id="64" xr3:uid="{00000000-0010-0000-0700-000040000000}" name="Nama Member6" dataDxfId="33"/>
    <tableColumn id="65" xr3:uid="{00000000-0010-0000-0700-000041000000}" name="DANA MEMBER6" dataDxfId="32"/>
    <tableColumn id="115" xr3:uid="{0A14B0A0-7867-442B-9B30-63515247368F}" name="PT6" dataDxfId="31"/>
    <tableColumn id="19" xr3:uid="{1A8D9127-B61A-40D7-BBB3-4C479BB7F2CA}" name="Nama Member7" dataDxfId="30"/>
    <tableColumn id="98" xr3:uid="{63AFEB8A-E457-4DAE-87F1-C9C8031B47F9}" name="DANA MEMBER7" dataDxfId="29"/>
    <tableColumn id="121" xr3:uid="{7A5D8377-A889-4B04-9025-CF30A83D49A5}" name="PT7" dataDxfId="28"/>
    <tableColumn id="116" xr3:uid="{57D0FA3E-5E82-46F7-8270-913D4F463EC9}" name="Nama Member8" dataDxfId="27"/>
    <tableColumn id="117" xr3:uid="{2B476FDB-445F-4B2A-8193-C1F41E516C8B}" name="DANA MEMBER8" dataDxfId="26"/>
    <tableColumn id="122" xr3:uid="{E09CD6AA-EA1D-4AE8-A877-71AC61982CDB}" name="PT8" dataDxfId="25"/>
    <tableColumn id="93" xr3:uid="{00000000-0010-0000-0700-00005D000000}" name="SDG" dataDxfId="24"/>
    <tableColumn id="69" xr3:uid="{00000000-0010-0000-0700-000045000000}" name="Proposal" dataDxfId="23" dataCellStyle="Hyperlink"/>
    <tableColumn id="70" xr3:uid="{00000000-0010-0000-0700-000046000000}" name="Laporan Akhir" dataDxfId="22"/>
    <tableColumn id="71" xr3:uid="{00000000-0010-0000-0700-000047000000}" name="Nama Mhs1" dataDxfId="21"/>
    <tableColumn id="72" xr3:uid="{00000000-0010-0000-0700-000048000000}" name="Prodi Mhs1" dataDxfId="20"/>
    <tableColumn id="73" xr3:uid="{00000000-0010-0000-0700-000049000000}" name="Nama Mhs2" dataDxfId="19"/>
    <tableColumn id="74" xr3:uid="{00000000-0010-0000-0700-00004A000000}" name="Prodi Mhs2" dataDxfId="18"/>
    <tableColumn id="75" xr3:uid="{00000000-0010-0000-0700-00004B000000}" name="Nama Mhs3" dataDxfId="17"/>
    <tableColumn id="76" xr3:uid="{00000000-0010-0000-0700-00004C000000}" name="Prodi Mhs3" dataDxfId="16"/>
    <tableColumn id="77" xr3:uid="{00000000-0010-0000-0700-00004D000000}" name="Nama Mhs4" dataDxfId="15"/>
    <tableColumn id="78" xr3:uid="{00000000-0010-0000-0700-00004E000000}" name="Prodi Mhs4" dataDxfId="14"/>
    <tableColumn id="79" xr3:uid="{00000000-0010-0000-0700-00004F000000}" name="Nama Mhs5" dataDxfId="13"/>
    <tableColumn id="80" xr3:uid="{00000000-0010-0000-0700-000050000000}" name="Prodi Mhs5" dataDxfId="12"/>
    <tableColumn id="81" xr3:uid="{00000000-0010-0000-0700-000051000000}" name="Nama Mhs6" dataDxfId="11"/>
    <tableColumn id="82" xr3:uid="{00000000-0010-0000-0700-000052000000}" name="Prodi Mhs6" dataDxfId="10"/>
    <tableColumn id="83" xr3:uid="{00000000-0010-0000-0700-000053000000}" name="Nama Mhs7" dataDxfId="9"/>
    <tableColumn id="84" xr3:uid="{00000000-0010-0000-0700-000054000000}" name="Prodi Mhs7" dataDxfId="8"/>
    <tableColumn id="85" xr3:uid="{00000000-0010-0000-0700-000055000000}" name="Nama Mhs8" dataDxfId="7"/>
    <tableColumn id="86" xr3:uid="{00000000-0010-0000-0700-000056000000}" name="Prodi Mhs8" dataDxfId="6"/>
    <tableColumn id="87" xr3:uid="{00000000-0010-0000-0700-000057000000}" name="Publikasi Ilmiah" dataDxfId="5"/>
    <tableColumn id="88" xr3:uid="{00000000-0010-0000-0700-000058000000}" name="Media Massa" dataDxfId="4"/>
    <tableColumn id="89" xr3:uid="{00000000-0010-0000-0700-000059000000}" name="Produk / Jasa" dataDxfId="3"/>
    <tableColumn id="90" xr3:uid="{00000000-0010-0000-0700-00005A000000}" name="Capaian Publikasi Ilmiah" dataDxfId="2"/>
    <tableColumn id="91" xr3:uid="{00000000-0010-0000-0700-00005B000000}" name="Capaian Luaran Wajib" dataDxfId="1"/>
    <tableColumn id="92" xr3:uid="{00000000-0010-0000-0700-00005C000000}" name="Luaran Tambah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5" dT="2023-08-15T07:39:50.04" personId="{917724FD-4624-4BC0-BF84-D6E9A63DB5D4}" id="{D9ECAE8F-F6D8-4AFB-BA00-33A43EC4D0D4}">
    <text>RPL</text>
  </threadedComment>
  <threadedComment ref="B113" dT="2023-08-15T07:39:31.74" personId="{917724FD-4624-4BC0-BF84-D6E9A63DB5D4}" id="{4EB0D1BA-8BC2-48EE-A755-2BCDF56ED51F}">
    <text>Teknik industri</text>
  </threadedComment>
  <threadedComment ref="B114" dT="2023-08-15T07:39:38.12" personId="{917724FD-4624-4BC0-BF84-D6E9A63DB5D4}" id="{56E524BE-AF66-40D1-B194-11ABB53B80BB}">
    <text>RPL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holar.google.com/scholar?oi=bibs&amp;cluster=7303817139676722536&amp;btnI=1&amp;hl=en" TargetMode="External"/><Relationship Id="rId13" Type="http://schemas.openxmlformats.org/officeDocument/2006/relationships/hyperlink" Target="https://scholar.google.com/scholar?oi=bibs&amp;cluster=0&amp;btnI=1&amp;hl=en" TargetMode="External"/><Relationship Id="rId18" Type="http://schemas.openxmlformats.org/officeDocument/2006/relationships/hyperlink" Target="https://www.scopus.com/record/display.uri?eid=2-s2.0-85202297829&amp;origin=resultslist" TargetMode="External"/><Relationship Id="rId3" Type="http://schemas.openxmlformats.org/officeDocument/2006/relationships/hyperlink" Target="https://scholar.google.com/scholar?oi=bibs&amp;cluster=0&amp;btnI=1&amp;hl=en" TargetMode="External"/><Relationship Id="rId21" Type="http://schemas.openxmlformats.org/officeDocument/2006/relationships/hyperlink" Target="https://scholar.google.com/scholar?oi=bibs&amp;cluster=0&amp;btnI=1&amp;hl=en" TargetMode="External"/><Relationship Id="rId7" Type="http://schemas.openxmlformats.org/officeDocument/2006/relationships/hyperlink" Target="https://www.scopus.com/record/display.uri?eid=2-s2.0-85178046330&amp;origin=resultslist" TargetMode="External"/><Relationship Id="rId12" Type="http://schemas.openxmlformats.org/officeDocument/2006/relationships/hyperlink" Target="https://www.scopus.com/record/display.uri?eid=2-s2.0-85189306999&amp;origin=resultslist" TargetMode="External"/><Relationship Id="rId17" Type="http://schemas.openxmlformats.org/officeDocument/2006/relationships/hyperlink" Target="https://www.scopus.com/record/display.uri?eid=2-s2.0-85204904759&amp;origin=resultslist" TargetMode="External"/><Relationship Id="rId2" Type="http://schemas.openxmlformats.org/officeDocument/2006/relationships/hyperlink" Target="https://scholar.google.com/scholar?oi=bibs&amp;cluster=617161536720735290&amp;btnI=1&amp;hl=en" TargetMode="External"/><Relationship Id="rId16" Type="http://schemas.openxmlformats.org/officeDocument/2006/relationships/hyperlink" Target="https://scholar.google.com/scholar?oi=bibs&amp;cluster=0&amp;btnI=1&amp;hl=en" TargetMode="External"/><Relationship Id="rId20" Type="http://schemas.openxmlformats.org/officeDocument/2006/relationships/hyperlink" Target="https://scholar.google.com/scholar?oi=bibs&amp;cluster=0&amp;btnI=1&amp;hl=en" TargetMode="External"/><Relationship Id="rId1" Type="http://schemas.openxmlformats.org/officeDocument/2006/relationships/hyperlink" Target="https://sinta.kemdikbud.go.id/authors/profile/6724784/?view=books" TargetMode="External"/><Relationship Id="rId6" Type="http://schemas.openxmlformats.org/officeDocument/2006/relationships/hyperlink" Target="https://scholar.google.com/scholar?oi=bibs&amp;cluster=10444284999407507825&amp;btnI=1&amp;hl=en" TargetMode="External"/><Relationship Id="rId11" Type="http://schemas.openxmlformats.org/officeDocument/2006/relationships/hyperlink" Target="https://www.scopus.com/record/display.uri?eid=2-s2.0-85149053697&amp;origin=resultslist" TargetMode="External"/><Relationship Id="rId24" Type="http://schemas.openxmlformats.org/officeDocument/2006/relationships/table" Target="../tables/table1.xml"/><Relationship Id="rId5" Type="http://schemas.openxmlformats.org/officeDocument/2006/relationships/hyperlink" Target="https://scholar.google.com/scholar?oi=bibs&amp;cluster=14664676398032604455&amp;btnI=1&amp;hl=en" TargetMode="External"/><Relationship Id="rId15" Type="http://schemas.openxmlformats.org/officeDocument/2006/relationships/hyperlink" Target="https://scholar.google.com/scholar?oi=bibs&amp;cluster=0&amp;btnI=1&amp;hl=e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scholar.google.com/scholar?oi=bibs&amp;cluster=14146137180314713622&amp;btnI=1&amp;hl=en" TargetMode="External"/><Relationship Id="rId19" Type="http://schemas.openxmlformats.org/officeDocument/2006/relationships/hyperlink" Target="https://scholar.google.com/scholar?oi=bibs&amp;cluster=0&amp;btnI=1&amp;hl=en" TargetMode="External"/><Relationship Id="rId4" Type="http://schemas.openxmlformats.org/officeDocument/2006/relationships/hyperlink" Target="https://scholar.google.com/scholar?oi=bibs&amp;cluster=0&amp;btnI=1&amp;hl=en" TargetMode="External"/><Relationship Id="rId9" Type="http://schemas.openxmlformats.org/officeDocument/2006/relationships/hyperlink" Target="https://scholar.google.com/scholar?oi=bibs&amp;cluster=0&amp;btnI=1&amp;hl=en" TargetMode="External"/><Relationship Id="rId14" Type="http://schemas.openxmlformats.org/officeDocument/2006/relationships/hyperlink" Target="https://www.scopus.com/record/display.uri?eid=2-s2.0-85186496673&amp;origin=resultslist" TargetMode="External"/><Relationship Id="rId22" Type="http://schemas.openxmlformats.org/officeDocument/2006/relationships/hyperlink" Target="https://scholar.google.com/scholar?oi=bibs&amp;cluster=0&amp;btnI=1&amp;hl=e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U7vfn8PGDDVrHwWf9jygjzJDvHMMhDL/view" TargetMode="External"/><Relationship Id="rId671" Type="http://schemas.openxmlformats.org/officeDocument/2006/relationships/hyperlink" Target="https://cdn.ittelkom-sby.ac.id/research/z16014324091b2d8e59f5f6ef0c85e4205c479fa948.pdf" TargetMode="External"/><Relationship Id="rId769" Type="http://schemas.openxmlformats.org/officeDocument/2006/relationships/hyperlink" Target="https://iplatinum.telkomuniversity.ac.id/backoffice/selection/proposal/document/550" TargetMode="External"/><Relationship Id="rId21" Type="http://schemas.openxmlformats.org/officeDocument/2006/relationships/hyperlink" Target="https://drive.google.com/file/d/1ebxYiGHYh4H9kAB0UkeZz3DylZ5Tyii8/view?usp=drive_link" TargetMode="External"/><Relationship Id="rId324" Type="http://schemas.openxmlformats.org/officeDocument/2006/relationships/hyperlink" Target="https://cdn.ittelkom-sby.ac.id/research/z1638518752c2a07b61d2d286f411479e28dce68df5.pdf" TargetMode="External"/><Relationship Id="rId531" Type="http://schemas.openxmlformats.org/officeDocument/2006/relationships/hyperlink" Target="http://cdndata.telkomuniversity.ac.id/research/z1710945463f331b792405e14f424040fcccf8776bb.pdf" TargetMode="External"/><Relationship Id="rId629" Type="http://schemas.openxmlformats.org/officeDocument/2006/relationships/hyperlink" Target="https://cdn.ittelkom-sby.ac.id/research/z16013522113f97143ecfd6e8ae544a5b2c43a652ae.pdf" TargetMode="External"/><Relationship Id="rId170" Type="http://schemas.openxmlformats.org/officeDocument/2006/relationships/hyperlink" Target="https://cdn.ittelkom-sby.ac.id/research/z1663206524c1ed9e7e7df5bc031938b63d692f2fff.pdf" TargetMode="External"/><Relationship Id="rId268" Type="http://schemas.openxmlformats.org/officeDocument/2006/relationships/hyperlink" Target="https://cdn.ittelkom-sby.ac.id/research/z1615564364d6a69327e092b985988ed53d5a98045c.pdf" TargetMode="External"/><Relationship Id="rId475" Type="http://schemas.openxmlformats.org/officeDocument/2006/relationships/hyperlink" Target="https://cdn.ittelkom-sby.ac.id/research/z17016731468e7beefeb8b97a0b786f421a95217e4f.pdf" TargetMode="External"/><Relationship Id="rId682" Type="http://schemas.openxmlformats.org/officeDocument/2006/relationships/hyperlink" Target="http://cdndata.telkomuniversity.ac.id/research/z1726627495465cf26b5f532f1b7008d5f5d4f6358d.pdf" TargetMode="External"/><Relationship Id="rId32" Type="http://schemas.openxmlformats.org/officeDocument/2006/relationships/hyperlink" Target="https://drive.google.com/file/d/1R-Nd-DAFnTHTB-oqTijLjvbFVcTvCkY9/view?usp=drive_link" TargetMode="External"/><Relationship Id="rId128" Type="http://schemas.openxmlformats.org/officeDocument/2006/relationships/hyperlink" Target="https://cdn.ittelkom-sby.ac.id/research/z1654826769585c4dc485efb7729f5ff171155471b0.pdf" TargetMode="External"/><Relationship Id="rId335" Type="http://schemas.openxmlformats.org/officeDocument/2006/relationships/hyperlink" Target="https://cdn.ittelkom-sby.ac.id/research/z1633505936cb10a0c1115f85b629a1a0337903bb93.pdf" TargetMode="External"/><Relationship Id="rId542" Type="http://schemas.openxmlformats.org/officeDocument/2006/relationships/hyperlink" Target="http://cdndata.telkomuniversity.ac.id/research/z17109243528422b1bf0a038d87ed081925ef4cc05e.pdf" TargetMode="External"/><Relationship Id="rId181" Type="http://schemas.openxmlformats.org/officeDocument/2006/relationships/hyperlink" Target="https://cdn.ittelkom-sby.ac.id/research/z16334976742255eedfb9982117508f884c1bce06b9.pdf" TargetMode="External"/><Relationship Id="rId402" Type="http://schemas.openxmlformats.org/officeDocument/2006/relationships/hyperlink" Target="../../../../../:b:/r/personal/lppm_ittelkom-sby_ac_id/Documents/2023/Hibah%20Eksternal/BIMA/Proposal/Modifikasi%20Algoritma%20Extended%20Kalman%20Filter%20EKF%20untuk%20Prediksi%20Penyebaran%20Penyakit%20Menular%20Covid19%20di%20Indonesia%20(1).pdf?csf=1&amp;web=1&amp;e=KBc5YN" TargetMode="External"/><Relationship Id="rId279" Type="http://schemas.openxmlformats.org/officeDocument/2006/relationships/hyperlink" Target="https://cdn.ittelkom-sby.ac.id/research/z16155449353e970ab59048b1b3ce1f0a5eeccf306d.pdf" TargetMode="External"/><Relationship Id="rId486" Type="http://schemas.openxmlformats.org/officeDocument/2006/relationships/hyperlink" Target="http://cdndata.telkomuniversity.ac.id/research/z17119408765025aec79736852fb873ad83af547bbf.pdf" TargetMode="External"/><Relationship Id="rId693" Type="http://schemas.openxmlformats.org/officeDocument/2006/relationships/hyperlink" Target="../../../../../../:b:/g/personal/lppmsby_telkomuniversity_ac_id/EX4BUkVkqt9LhrkQ0UEsSvYB7okkz9aXkPabNMEp1ju0kQ?e=29hjkX" TargetMode="External"/><Relationship Id="rId707" Type="http://schemas.openxmlformats.org/officeDocument/2006/relationships/hyperlink" Target="https://cdndata.telkomuniversity.ac.id/research/z17303655734995a559cf9e029139f7e8c4fcc2383e.pdf" TargetMode="External"/><Relationship Id="rId43" Type="http://schemas.openxmlformats.org/officeDocument/2006/relationships/hyperlink" Target="https://drive.google.com/file/d/1SYT6axc7xaeW-Xneu0ARl3-ZTDdL55Qj/view?usp=drive_link" TargetMode="External"/><Relationship Id="rId139" Type="http://schemas.openxmlformats.org/officeDocument/2006/relationships/hyperlink" Target="https://cdn.ittelkom-sby.ac.id/research/z16923589972661c81a06c59720c03f149ebe4a0aed.pdf" TargetMode="External"/><Relationship Id="rId346" Type="http://schemas.openxmlformats.org/officeDocument/2006/relationships/hyperlink" Target="https://cdn.ittelkom-sby.ac.id/research/z16825787812eaaf0dfd6ebfaba692dddf3ffc34582.pdf" TargetMode="External"/><Relationship Id="rId553" Type="http://schemas.openxmlformats.org/officeDocument/2006/relationships/hyperlink" Target="http://cdndata.telkomuniversity.ac.id/research/z171094928647b8432ad5cf6e6d02414b2f1205f13f.pdf" TargetMode="External"/><Relationship Id="rId760" Type="http://schemas.openxmlformats.org/officeDocument/2006/relationships/hyperlink" Target="https://iplatinum.telkomuniversity.ac.id/backoffice/selection/proposal/document/360" TargetMode="External"/><Relationship Id="rId192" Type="http://schemas.openxmlformats.org/officeDocument/2006/relationships/hyperlink" Target="https://cdn.ittelkom-sby.ac.id/research/z162806795139a34d8890cc47c5b190079c52de44c0.pdf" TargetMode="External"/><Relationship Id="rId206" Type="http://schemas.openxmlformats.org/officeDocument/2006/relationships/hyperlink" Target="https://cdn.ittelkom-sby.ac.id/research/z1628058566d8710ac4abcbb2f30162bfde1a72374c.pdf" TargetMode="External"/><Relationship Id="rId413" Type="http://schemas.openxmlformats.org/officeDocument/2006/relationships/hyperlink" Target="https://cdn.ittelkom-sby.ac.id/research/z1698628538b487cd46f9e1115957a633a320c2d8e7.pdf" TargetMode="External"/><Relationship Id="rId497" Type="http://schemas.openxmlformats.org/officeDocument/2006/relationships/hyperlink" Target="http://cdndata.telkomuniversity.ac.id/research/z171194126104a0b494625d0267f4a16da090e7eee9.pdf" TargetMode="External"/><Relationship Id="rId620" Type="http://schemas.openxmlformats.org/officeDocument/2006/relationships/hyperlink" Target="https://cdn.ittelkom-sby.ac.id/research/z162772595908728e58475751a6fe252c43948a8e58.pdf" TargetMode="External"/><Relationship Id="rId718" Type="http://schemas.openxmlformats.org/officeDocument/2006/relationships/hyperlink" Target="https://cdndata.telkomuniversity.ac.id/research/z1731676540fe9941ab2af466b631fa71e4b096e6aa.pdf" TargetMode="External"/><Relationship Id="rId357" Type="http://schemas.openxmlformats.org/officeDocument/2006/relationships/hyperlink" Target="https://cdn.ittelkom-sby.ac.id/research/z1643252759e953b752e33b601de5e8cc371bc2a318.pdf" TargetMode="External"/><Relationship Id="rId54" Type="http://schemas.openxmlformats.org/officeDocument/2006/relationships/hyperlink" Target="https://cdn.ittelkom-sby.ac.id/research/z16933834143f73d0e2cbc1df56d9ac3c6db0329a3f.pdf" TargetMode="External"/><Relationship Id="rId217" Type="http://schemas.openxmlformats.org/officeDocument/2006/relationships/hyperlink" Target="https://cdn.ittelkom-sby.ac.id/research/z160143583256009528b8dd807fd388a1d70b1812de.pdf" TargetMode="External"/><Relationship Id="rId564" Type="http://schemas.openxmlformats.org/officeDocument/2006/relationships/hyperlink" Target="../../../../../:b:/g/personal/lppm_ittelkom-sby_ac_id/EahPewzWc61Kh3feMCgxn2oBA_p2NuM8w58fRzzNegJA-A?e=feyRoZ" TargetMode="External"/><Relationship Id="rId771" Type="http://schemas.openxmlformats.org/officeDocument/2006/relationships/hyperlink" Target="https://iplatinum.telkomuniversity.ac.id/backoffice/selection/proposal/document/587" TargetMode="External"/><Relationship Id="rId424" Type="http://schemas.openxmlformats.org/officeDocument/2006/relationships/hyperlink" Target="https://cdn.ittelkom-sby.ac.id/research/z1698633271fd3579754cb497db04100079afd8e33d.pdf" TargetMode="External"/><Relationship Id="rId631" Type="http://schemas.openxmlformats.org/officeDocument/2006/relationships/hyperlink" Target="https://cdn.ittelkom-sby.ac.id/research/z160135224622fb790528461b0eccb515ec5ec3432b.pdf" TargetMode="External"/><Relationship Id="rId729" Type="http://schemas.openxmlformats.org/officeDocument/2006/relationships/hyperlink" Target="https://cdndata.telkomuniversity.ac.id/research/z1740994372974a948536d30f4ac63efe0b441f84b0.pdf" TargetMode="External"/><Relationship Id="rId270" Type="http://schemas.openxmlformats.org/officeDocument/2006/relationships/hyperlink" Target="https://cdn.ittelkom-sby.ac.id/research/z16372054801b47429f8847130214df5ac45825dbd9.pdf" TargetMode="External"/><Relationship Id="rId65" Type="http://schemas.openxmlformats.org/officeDocument/2006/relationships/hyperlink" Target="https://cdn.ittelkom-sby.ac.id/research/z16933645590f67da0d619f03efeb6ba7ea9113a101.pdf" TargetMode="External"/><Relationship Id="rId130" Type="http://schemas.openxmlformats.org/officeDocument/2006/relationships/hyperlink" Target="https://cdn.ittelkom-sby.ac.id/research/z16550897614910c35c85714e3728c7cd39f4610ade.pdf" TargetMode="External"/><Relationship Id="rId368" Type="http://schemas.openxmlformats.org/officeDocument/2006/relationships/hyperlink" Target="https://cdn.ittelkom-sby.ac.id/research/z168256806806190ae89b93260424e4e352595e9fd0.pdf" TargetMode="External"/><Relationship Id="rId575" Type="http://schemas.openxmlformats.org/officeDocument/2006/relationships/hyperlink" Target="../../../../../:b:/g/personal/lppm_ittelkom-sby_ac_id/EahPewzWc61Kh3feMCgxn2oBA_p2NuM8w58fRzzNegJA-A?e=feyRoZ" TargetMode="External"/><Relationship Id="rId782" Type="http://schemas.openxmlformats.org/officeDocument/2006/relationships/hyperlink" Target="../../../../../../:b:/g/personal/ppm_telkomuniversity_ac_id/Ee_2R8q6EUVOp7eHedckX4sBjfWn9cJptpWjyS_6zT29kg?e=4o9cOs" TargetMode="External"/><Relationship Id="rId228" Type="http://schemas.openxmlformats.org/officeDocument/2006/relationships/hyperlink" Target="https://cdn.ittelkom-sby.ac.id/research/z1610765118ea9c52523c1da2b6fb096f1f0f72225e.pdf" TargetMode="External"/><Relationship Id="rId435" Type="http://schemas.openxmlformats.org/officeDocument/2006/relationships/hyperlink" Target="https://cdn.ittelkom-sby.ac.id/research/z1597808981d5c1acd4264db836ae07a0823066221e.pdf" TargetMode="External"/><Relationship Id="rId642" Type="http://schemas.openxmlformats.org/officeDocument/2006/relationships/hyperlink" Target="https://cdn.ittelkom-sby.ac.id/research/z16277271981a8bf9d1cb2041d1844ba2a75a91f67e.pdf" TargetMode="External"/><Relationship Id="rId281" Type="http://schemas.openxmlformats.org/officeDocument/2006/relationships/hyperlink" Target="https://cdn.ittelkom-sby.ac.id/research/z1618535472f3a9863156fbaddc4b93f3b07ea375ce.pdf" TargetMode="External"/><Relationship Id="rId502" Type="http://schemas.openxmlformats.org/officeDocument/2006/relationships/hyperlink" Target="http://cdndata.telkomuniversity.ac.id/research/z17119406587d38c0226179168a5a730bf04746dfae.pdf" TargetMode="External"/><Relationship Id="rId76" Type="http://schemas.openxmlformats.org/officeDocument/2006/relationships/hyperlink" Target="https://cdn.ittelkom-sby.ac.id/research/z1675398550854533088e02c985209f8c8e9eb26c11.pdf" TargetMode="External"/><Relationship Id="rId141" Type="http://schemas.openxmlformats.org/officeDocument/2006/relationships/hyperlink" Target="https://cdn.ittelkom-sby.ac.id/research/z16756476299ac43ee4dc920852aa0f4015227adb57.pdf" TargetMode="External"/><Relationship Id="rId379" Type="http://schemas.openxmlformats.org/officeDocument/2006/relationships/hyperlink" Target="https://cdn.ittelkom-sby.ac.id/research/z164981226377f35a5ee2e07d7f09d90ebf6cd3af07.pdf" TargetMode="External"/><Relationship Id="rId586" Type="http://schemas.openxmlformats.org/officeDocument/2006/relationships/hyperlink" Target="../../../../../:b:/g/personal/lppm_ittelkom-sby_ac_id/EahPewzWc61Kh3feMCgxn2oBA_p2NuM8w58fRzzNegJA-A?e=feyRoZ" TargetMode="External"/><Relationship Id="rId793" Type="http://schemas.openxmlformats.org/officeDocument/2006/relationships/hyperlink" Target="../../../../../../:b:/g/personal/ppm_telkomuniversity_ac_id/EYYOq3siF7RJqDN8qOa_tasB1Xx5tOGegNDlpYhnqGmWUA?e=b9tioN" TargetMode="External"/><Relationship Id="rId807" Type="http://schemas.openxmlformats.org/officeDocument/2006/relationships/hyperlink" Target="../../../../../../:b:/g/personal/ppm_telkomuniversity_ac_id/ER2cEhaR1bZPj3Uj3_ct-KYBG594bd6bX5Wo2RN3xEwm4g?e=yPjCPt" TargetMode="External"/><Relationship Id="rId7" Type="http://schemas.openxmlformats.org/officeDocument/2006/relationships/hyperlink" Target="https://drive.google.com/file/d/1i0fHqaZwXIrQE46RP6NOroYCrbpvZyJo/view?usp=drive_link" TargetMode="External"/><Relationship Id="rId239" Type="http://schemas.openxmlformats.org/officeDocument/2006/relationships/hyperlink" Target="https://cdn.ittelkom-sby.ac.id/research/z1615537468f0da6778347458cae9f750f2a955f51a.pdf" TargetMode="External"/><Relationship Id="rId446" Type="http://schemas.openxmlformats.org/officeDocument/2006/relationships/hyperlink" Target="https://cdn.ittelkom-sby.ac.id/research/z1597802298d3d8a90a894b5b2585a9e9a2b86c4407.pdf" TargetMode="External"/><Relationship Id="rId653" Type="http://schemas.openxmlformats.org/officeDocument/2006/relationships/hyperlink" Target="https://cdn.ittelkom-sby.ac.id/research/z16013618232792553cd90db26d452fe76fa8933371.pdf" TargetMode="External"/><Relationship Id="rId292" Type="http://schemas.openxmlformats.org/officeDocument/2006/relationships/hyperlink" Target="https://cdn.ittelkom-sby.ac.id/research/z16324733113537f3f9fb8e0a55a0e03cb4de3882dc.pdf" TargetMode="External"/><Relationship Id="rId306" Type="http://schemas.openxmlformats.org/officeDocument/2006/relationships/hyperlink" Target="https://cdn.ittelkom-sby.ac.id/research/z161666231864b8875d31f7c13a5e457dde3bb16cc7.pdf" TargetMode="External"/><Relationship Id="rId87" Type="http://schemas.openxmlformats.org/officeDocument/2006/relationships/hyperlink" Target="https://drive.google.com/file/d/1-nBJ81w25lg2Xh4WqbLR26Y0UXjNNEXx/view?usp=sharing" TargetMode="External"/><Relationship Id="rId513" Type="http://schemas.openxmlformats.org/officeDocument/2006/relationships/hyperlink" Target="http://cdndata.telkomuniversity.ac.id/research/z1711520690726ff33c971f2812f73af7eba9d73284.pdf" TargetMode="External"/><Relationship Id="rId597" Type="http://schemas.openxmlformats.org/officeDocument/2006/relationships/hyperlink" Target="../../../../../:b:/g/personal/lppm_ittelkom-sby_ac_id/EZ28ePEfQlhKlr5Tt-TUnJMBfKXudhhZE1hA40nh3nbwgQ?e=zpYSIh" TargetMode="External"/><Relationship Id="rId720" Type="http://schemas.openxmlformats.org/officeDocument/2006/relationships/hyperlink" Target="https://cdndata.telkomuniversity.ac.id/research/z173410749630937a51ba4751d358bc8ca553fe74bc.pdf" TargetMode="External"/><Relationship Id="rId152" Type="http://schemas.openxmlformats.org/officeDocument/2006/relationships/hyperlink" Target="https://cdn.ittelkom-sby.ac.id/research/z1701674963d968dad4bee0b36f1f120659bc5dc1ec.pdf" TargetMode="External"/><Relationship Id="rId457" Type="http://schemas.openxmlformats.org/officeDocument/2006/relationships/hyperlink" Target="../../../../../:b:/g/personal/lppm_ittelkom-sby_ac_id/Eer80qRA_nhDlybvd05aVTUBKDLsABoa_fsu_I6NEFs1eQ?e=2sDfV8" TargetMode="External"/><Relationship Id="rId664" Type="http://schemas.openxmlformats.org/officeDocument/2006/relationships/hyperlink" Target="https://cdn.ittelkom-sby.ac.id/research/z16277267227932322a4f4ffb4a44fc06202e1a16e8.pdf" TargetMode="External"/><Relationship Id="rId14" Type="http://schemas.openxmlformats.org/officeDocument/2006/relationships/hyperlink" Target="https://drive.google.com/file/d/1i0fHqaZwXIrQE46RP6NOroYCrbpvZyJo/view?usp=drive_link" TargetMode="External"/><Relationship Id="rId317" Type="http://schemas.openxmlformats.org/officeDocument/2006/relationships/hyperlink" Target="https://cdn.ittelkom-sby.ac.id/research/z1626389917977c580c4e22da99405a5c26ef3a6677.pdf" TargetMode="External"/><Relationship Id="rId524" Type="http://schemas.openxmlformats.org/officeDocument/2006/relationships/hyperlink" Target="https://cdn.ittelkom-sby.ac.id/research/z1710299326a8aef2adf6c13b44cbafa51bbfb8b777.pdf" TargetMode="External"/><Relationship Id="rId731" Type="http://schemas.openxmlformats.org/officeDocument/2006/relationships/hyperlink" Target="https://cdndata.telkomuniversity.ac.id/research/z17411921184b76e206b53933b0101662ed23ec779a.pdf" TargetMode="External"/><Relationship Id="rId98" Type="http://schemas.openxmlformats.org/officeDocument/2006/relationships/hyperlink" Target="https://drive.google.com/file/d/1HYK4-qp4C1KQcETx5xeNSnTFoNxHyGOe/view?usp=sharing" TargetMode="External"/><Relationship Id="rId163" Type="http://schemas.openxmlformats.org/officeDocument/2006/relationships/hyperlink" Target="https://cdn.ittelkom-sby.ac.id/research/z16975329247cbf51e6a69993ce9a29aa293d12587a.pdf" TargetMode="External"/><Relationship Id="rId370" Type="http://schemas.openxmlformats.org/officeDocument/2006/relationships/hyperlink" Target="https://cdn.ittelkom-sby.ac.id/research/z168256739491b61a65c9462b52f18a523c5941d0e5.pdf" TargetMode="External"/><Relationship Id="rId230" Type="http://schemas.openxmlformats.org/officeDocument/2006/relationships/hyperlink" Target="https://cdn.ittelkom-sby.ac.id/research/z161076508542d63ca7afea9a7168d79d4046b8c0d3.pdf" TargetMode="External"/><Relationship Id="rId468" Type="http://schemas.openxmlformats.org/officeDocument/2006/relationships/hyperlink" Target="../../../../../:b:/g/personal/lppm_ittelkom-sby_ac_id/EeP81RQrFSRFkL3ZnjB-mvABBZGXGnxULHh6WyOouZsTgA?e=0Kl8W2" TargetMode="External"/><Relationship Id="rId675" Type="http://schemas.openxmlformats.org/officeDocument/2006/relationships/hyperlink" Target="https://cdn.ittelkom-sby.ac.id/research/z1601432766e265297a88d13a24d6326c003a5556b1.pdf" TargetMode="External"/><Relationship Id="rId25" Type="http://schemas.openxmlformats.org/officeDocument/2006/relationships/hyperlink" Target="https://drive.google.com/file/d/1ebxYiGHYh4H9kAB0UkeZz3DylZ5Tyii8/view?usp=drive_link" TargetMode="External"/><Relationship Id="rId328" Type="http://schemas.openxmlformats.org/officeDocument/2006/relationships/hyperlink" Target="https://cdn.ittelkom-sby.ac.id/research/z163851966217ade4cadb485adff98dc18dd2fe0b46.pdf" TargetMode="External"/><Relationship Id="rId535" Type="http://schemas.openxmlformats.org/officeDocument/2006/relationships/hyperlink" Target="http://cdndata.telkomuniversity.ac.id/research/z1710944248893d5562f2b5ded2eb53bae54093b2ca.pdf" TargetMode="External"/><Relationship Id="rId742" Type="http://schemas.openxmlformats.org/officeDocument/2006/relationships/hyperlink" Target="https://iplatinum.telkomuniversity.ac.id/backoffice/selection/proposal/document/72" TargetMode="External"/><Relationship Id="rId174" Type="http://schemas.openxmlformats.org/officeDocument/2006/relationships/hyperlink" Target="https://cdn.ittelkom-sby.ac.id/research/z1633506088e09b7f7a2de37f1ceee08b9cc32ebfd5.pdf" TargetMode="External"/><Relationship Id="rId381" Type="http://schemas.openxmlformats.org/officeDocument/2006/relationships/hyperlink" Target="https://cdn.ittelkom-sby.ac.id/research/z164974629335b3235e6a2a740d87ffab287be9db23.pdf" TargetMode="External"/><Relationship Id="rId602" Type="http://schemas.openxmlformats.org/officeDocument/2006/relationships/hyperlink" Target="http://cdndata.telkomuniversity.ac.id/research/z17177284027cbc13579380f839bfa93a178ff6889c.pdf" TargetMode="External"/><Relationship Id="rId241" Type="http://schemas.openxmlformats.org/officeDocument/2006/relationships/hyperlink" Target="https://cdn.ittelkom-sby.ac.id/research/z1615551928b49e5007d6102d2c5d38777fedcfd551.pdf" TargetMode="External"/><Relationship Id="rId479" Type="http://schemas.openxmlformats.org/officeDocument/2006/relationships/hyperlink" Target="https://cdn.ittelkom-sby.ac.id/research/z1700547947e5a62bfe8c873de76a616c362a1ec5f7.pdf" TargetMode="External"/><Relationship Id="rId686" Type="http://schemas.openxmlformats.org/officeDocument/2006/relationships/hyperlink" Target="../../../../../../:b:/g/personal/lppmsby_telkomuniversity_ac_id/EQDTWTuR4bZKqFHvcrMdfE8BMRxUd1WzoPOh9_EJUeuStg?e=PzWTV7" TargetMode="External"/><Relationship Id="rId36" Type="http://schemas.openxmlformats.org/officeDocument/2006/relationships/hyperlink" Target="https://drive.google.com/file/d/1SYT6axc7xaeW-Xneu0ARl3-ZTDdL55Qj/view?usp=drive_link" TargetMode="External"/><Relationship Id="rId339" Type="http://schemas.openxmlformats.org/officeDocument/2006/relationships/hyperlink" Target="https://cdn.ittelkom-sby.ac.id/research/z16683964660d6246584ac0b3057c457f1007335cb2.pdf" TargetMode="External"/><Relationship Id="rId546" Type="http://schemas.openxmlformats.org/officeDocument/2006/relationships/hyperlink" Target="http://cdndata.telkomuniversity.ac.id/research/z1710942142c67619b5a029f2ab196a92a87fe346f5.pdf" TargetMode="External"/><Relationship Id="rId753" Type="http://schemas.openxmlformats.org/officeDocument/2006/relationships/hyperlink" Target="https://iplatinum.telkomuniversity.ac.id/backoffice/selection/proposal/document/269" TargetMode="External"/><Relationship Id="rId101" Type="http://schemas.openxmlformats.org/officeDocument/2006/relationships/hyperlink" Target="https://drive.google.com/file/d/1Nyc-YGLM03CU6UGtzEuW87wDBWlpmsG9/view?usp=sharing" TargetMode="External"/><Relationship Id="rId185" Type="http://schemas.openxmlformats.org/officeDocument/2006/relationships/hyperlink" Target="https://cdn.ittelkom-sby.ac.id/research/z1633571542b9f8bcfdf40b3f85d9c5a5f1d8330b26.pdf" TargetMode="External"/><Relationship Id="rId406" Type="http://schemas.openxmlformats.org/officeDocument/2006/relationships/hyperlink" Target="../../../../../:b:/r/personal/lppm_ittelkom-sby_ac_id/Documents/2023/Hibah%20Eksternal/BIMA/Proposal/Peramalan%20Curah%20Hujan%20Satu%20Langkah%20dan%20Multi%20Langkah%20dengan%20Pendekatan%20Intermiten%20menggunakan%20Ensemble%20Hybrid%20Exponential%20Smoothing%20Neural%20Network%20(1).pdf?csf=1&amp;web=1&amp;e=1PYt1Z" TargetMode="External"/><Relationship Id="rId392" Type="http://schemas.openxmlformats.org/officeDocument/2006/relationships/hyperlink" Target="https://cdn.ittelkom-sby.ac.id/research/z1682990845020932cc7754ee2fee308d6849cf7a54.pdf" TargetMode="External"/><Relationship Id="rId613" Type="http://schemas.openxmlformats.org/officeDocument/2006/relationships/hyperlink" Target="../../../../../:b:/g/personal/lppmsby_telkomuniversity_ac_id/EREV0Djtb_NItiaaBsoC3B4B4ShokC7ucq-exZOrj_LNTA?e=lA3KwM" TargetMode="External"/><Relationship Id="rId697" Type="http://schemas.openxmlformats.org/officeDocument/2006/relationships/hyperlink" Target="https://cdndata.telkomuniversity.ac.id/research/z1730970334e39748b5421f29079edd2e2045b983e5.pdf" TargetMode="External"/><Relationship Id="rId252" Type="http://schemas.openxmlformats.org/officeDocument/2006/relationships/hyperlink" Target="https://cdn.ittelkom-sby.ac.id/research/z163733856952d3f0b2fd8359b3914ff18d75ddcc6c.pdf" TargetMode="External"/><Relationship Id="rId47" Type="http://schemas.openxmlformats.org/officeDocument/2006/relationships/hyperlink" Target="https://drive.google.com/file/d/1SYT6axc7xaeW-Xneu0ARl3-ZTDdL55Qj/view?usp=drive_link" TargetMode="External"/><Relationship Id="rId112" Type="http://schemas.openxmlformats.org/officeDocument/2006/relationships/hyperlink" Target="https://drive.google.com/file/d/1rNsDqWuFjZDxn2RDLQh-awZPoD3RFjoS/view?usp=sharing" TargetMode="External"/><Relationship Id="rId557" Type="http://schemas.openxmlformats.org/officeDocument/2006/relationships/hyperlink" Target="http://cdndata.telkomuniversity.ac.id/research/z1710948591bd6d6f0ba160d5ad98256ca2f4ed2ed2.pdf" TargetMode="External"/><Relationship Id="rId764" Type="http://schemas.openxmlformats.org/officeDocument/2006/relationships/hyperlink" Target="https://iplatinum.telkomuniversity.ac.id/backoffice/selection/proposal/document/416" TargetMode="External"/><Relationship Id="rId196" Type="http://schemas.openxmlformats.org/officeDocument/2006/relationships/hyperlink" Target="https://cdn.ittelkom-sby.ac.id/research/z16280617297924184c5720eeafd7cfe3c7b62454da.pdf" TargetMode="External"/><Relationship Id="rId417" Type="http://schemas.openxmlformats.org/officeDocument/2006/relationships/hyperlink" Target="https://cdn.ittelkom-sby.ac.id/research/z169716564636591533014dfa562505196ce5c27dcb.pdf" TargetMode="External"/><Relationship Id="rId624" Type="http://schemas.openxmlformats.org/officeDocument/2006/relationships/hyperlink" Target="https://cdn.ittelkom-sby.ac.id/research/z160135272518c8ec2e2aed633bb67637894510b096.pdf" TargetMode="External"/><Relationship Id="rId263" Type="http://schemas.openxmlformats.org/officeDocument/2006/relationships/hyperlink" Target="https://cdn.ittelkom-sby.ac.id/research/z163729602287d5c9a15a8f5383a5bb98673c04c819.pdf" TargetMode="External"/><Relationship Id="rId470" Type="http://schemas.openxmlformats.org/officeDocument/2006/relationships/hyperlink" Target="../../../../../:b:/g/personal/lppm_ittelkom-sby_ac_id/EbgkzkyuFKhCqXZ0vvI_1mYBpQ2mDeNdYWpUYzV5Nha6ew?e=7dnPgG" TargetMode="External"/><Relationship Id="rId58" Type="http://schemas.openxmlformats.org/officeDocument/2006/relationships/hyperlink" Target="https://cdn.ittelkom-sby.ac.id/research/z16933663485df09f37e7d683bec2dd885c10318742.pdf" TargetMode="External"/><Relationship Id="rId123" Type="http://schemas.openxmlformats.org/officeDocument/2006/relationships/hyperlink" Target="https://drive.google.com/file/d/1kJCvuEStUfPzMgDHNoI6WY7Hkw9k4pPw/view?usp=sharing" TargetMode="External"/><Relationship Id="rId330" Type="http://schemas.openxmlformats.org/officeDocument/2006/relationships/hyperlink" Target="https://cdn.ittelkom-sby.ac.id/research/z16385178232d8b0f6e1dca1a0fcda6b630b1c65647.pdf" TargetMode="External"/><Relationship Id="rId568" Type="http://schemas.openxmlformats.org/officeDocument/2006/relationships/hyperlink" Target="../../../../../:b:/g/personal/lppm_ittelkom-sby_ac_id/EahPewzWc61Kh3feMCgxn2oBA_p2NuM8w58fRzzNegJA-A?e=feyRoZ" TargetMode="External"/><Relationship Id="rId775" Type="http://schemas.openxmlformats.org/officeDocument/2006/relationships/hyperlink" Target="https://iplatinum.telkomuniversity.ac.id/backoffice/selection/proposal/document/675" TargetMode="External"/><Relationship Id="rId428" Type="http://schemas.openxmlformats.org/officeDocument/2006/relationships/hyperlink" Target="https://docs.google.com/document/d/1MTRXVFcswhPVOgnUZOFDpI_TWspY3LJ1/edit?usp=drive_link&amp;ouid=113387123707045224599&amp;rtpof=true&amp;sd=true" TargetMode="External"/><Relationship Id="rId635" Type="http://schemas.openxmlformats.org/officeDocument/2006/relationships/hyperlink" Target="https://cdn.ittelkom-sby.ac.id/research/z1601352591071f66492eb87e412066419ee8ca7206.pdf" TargetMode="External"/><Relationship Id="rId274" Type="http://schemas.openxmlformats.org/officeDocument/2006/relationships/hyperlink" Target="https://cdn.ittelkom-sby.ac.id/research/z1635913360b8885671b49ac79dcf0e93f8e173c120.pdf" TargetMode="External"/><Relationship Id="rId481" Type="http://schemas.openxmlformats.org/officeDocument/2006/relationships/hyperlink" Target="https://cdn.ittelkom-sby.ac.id/research/z17022681275000e270ef03a536ebec8576db4c69c9.pdf" TargetMode="External"/><Relationship Id="rId702" Type="http://schemas.openxmlformats.org/officeDocument/2006/relationships/hyperlink" Target="https://cdndata.telkomuniversity.ac.id/research/z1731027322e89e5e43ea1519bb270f04c9f13aaec3.pdf" TargetMode="External"/><Relationship Id="rId69" Type="http://schemas.openxmlformats.org/officeDocument/2006/relationships/hyperlink" Target="https://cdn.ittelkom-sby.ac.id/research/z1691033022549457d93750e0d21c3f8697a43261fd.pdf" TargetMode="External"/><Relationship Id="rId134" Type="http://schemas.openxmlformats.org/officeDocument/2006/relationships/hyperlink" Target="https://cdn.ittelkom-sby.ac.id/research/z16548290512897ad882bb5192f7760fcdb5b6a0f9e.pdf" TargetMode="External"/><Relationship Id="rId579" Type="http://schemas.openxmlformats.org/officeDocument/2006/relationships/hyperlink" Target="../../../../../:b:/g/personal/lppm_ittelkom-sby_ac_id/EahPewzWc61Kh3feMCgxn2oBA_p2NuM8w58fRzzNegJA-A?e=feyRoZ" TargetMode="External"/><Relationship Id="rId786" Type="http://schemas.openxmlformats.org/officeDocument/2006/relationships/hyperlink" Target="../../../../../../:b:/g/personal/ppm_telkomuniversity_ac_id/EeSshLsAPtdOv9PXYgMtU9IBs6cVs-hMDO2H7zpweseLjg?e=HXzivd" TargetMode="External"/><Relationship Id="rId341" Type="http://schemas.openxmlformats.org/officeDocument/2006/relationships/hyperlink" Target="https://cdn.ittelkom-sby.ac.id/research/z166475448899c82d394f601540711eb358fc1e43e4.pdf" TargetMode="External"/><Relationship Id="rId439" Type="http://schemas.openxmlformats.org/officeDocument/2006/relationships/hyperlink" Target="https://cdn.ittelkom-sby.ac.id/research/z161076399499ea61c58c9d1f897a15f69e1785c444.pdf" TargetMode="External"/><Relationship Id="rId646" Type="http://schemas.openxmlformats.org/officeDocument/2006/relationships/hyperlink" Target="https://cdn.ittelkom-sby.ac.id/research/z16013594873b625a5bc96f2c661bbf6bc9e1e879ff.pdf" TargetMode="External"/><Relationship Id="rId201" Type="http://schemas.openxmlformats.org/officeDocument/2006/relationships/hyperlink" Target="https://cdn.ittelkom-sby.ac.id/research/z162806236277f65b816d57ce4bf49972f34ad44c70.pdf" TargetMode="External"/><Relationship Id="rId285" Type="http://schemas.openxmlformats.org/officeDocument/2006/relationships/hyperlink" Target="https://cdn.ittelkom-sby.ac.id/research/z16347920167cb3f85c71ce72f51dacf48c084fbef0.pdf" TargetMode="External"/><Relationship Id="rId506" Type="http://schemas.openxmlformats.org/officeDocument/2006/relationships/hyperlink" Target="http://cdndata.telkomuniversity.ac.id/research/z1711940740fd0fe1ca3ac8b61fe229c0c3b6c9dfbc.pdf" TargetMode="External"/><Relationship Id="rId492" Type="http://schemas.openxmlformats.org/officeDocument/2006/relationships/hyperlink" Target="http://cdndata.telkomuniversity.ac.id/research/z1711941209f9e5dff525674030d2e1fdf6775e9bc3.pdf" TargetMode="External"/><Relationship Id="rId713" Type="http://schemas.openxmlformats.org/officeDocument/2006/relationships/hyperlink" Target="https://cdndata.telkomuniversity.ac.id/research/z17340931466e3275b31d86810b05d2f303352e07a7.pdf" TargetMode="External"/><Relationship Id="rId797" Type="http://schemas.openxmlformats.org/officeDocument/2006/relationships/hyperlink" Target="../../../../../../:b:/g/personal/ppm_telkomuniversity_ac_id/EeD6-xu57aJFlL-vPwmkeFMBXQHNC0zF9bQw_hzWLDWBog?e=0TVrjB" TargetMode="External"/><Relationship Id="rId145" Type="http://schemas.openxmlformats.org/officeDocument/2006/relationships/hyperlink" Target="https://cdn.ittelkom-sby.ac.id/research/z16885495015b259a027de37507f940d146feeddc37.pdf" TargetMode="External"/><Relationship Id="rId352" Type="http://schemas.openxmlformats.org/officeDocument/2006/relationships/hyperlink" Target="https://cdn.ittelkom-sby.ac.id/research/z1683613051b043cec6e980ad8c4cf612e0ca1f3811.pdf" TargetMode="External"/><Relationship Id="rId212" Type="http://schemas.openxmlformats.org/officeDocument/2006/relationships/hyperlink" Target="https://cdn.ittelkom-sby.ac.id/research/z16279705904cdc072c581525a78e1061c6b1dff690.pdf" TargetMode="External"/><Relationship Id="rId657" Type="http://schemas.openxmlformats.org/officeDocument/2006/relationships/hyperlink" Target="https://cdn.ittelkom-sby.ac.id/research/z1627714452fc626374bd9adf72e15f8101b61d7a5f.pdf" TargetMode="External"/><Relationship Id="rId296" Type="http://schemas.openxmlformats.org/officeDocument/2006/relationships/hyperlink" Target="https://cdn.ittelkom-sby.ac.id/research/z16341743822e2dbdcd62aa3ba26b2926685f5242b3.pdf" TargetMode="External"/><Relationship Id="rId517" Type="http://schemas.openxmlformats.org/officeDocument/2006/relationships/hyperlink" Target="https://cdn.ittelkom-sby.ac.id/research/z17133182038511466b5bce7ad45e2a80f7979624b4.pdf" TargetMode="External"/><Relationship Id="rId724" Type="http://schemas.openxmlformats.org/officeDocument/2006/relationships/hyperlink" Target="http://cdndata.telkomuniversity.ac.id/research/z1731047577d927383fa5e959d8ed1f2b13445761e4.pdf" TargetMode="External"/><Relationship Id="rId60" Type="http://schemas.openxmlformats.org/officeDocument/2006/relationships/hyperlink" Target="https://cdn.ittelkom-sby.ac.id/research/z16933637188d7900a61f18028aab839f62182d1a49.pdf" TargetMode="External"/><Relationship Id="rId156" Type="http://schemas.openxmlformats.org/officeDocument/2006/relationships/hyperlink" Target="https://cdn.ittelkom-sby.ac.id/research/z16933842262f1d3683ffef3620858079427993e019.pdf" TargetMode="External"/><Relationship Id="rId363" Type="http://schemas.openxmlformats.org/officeDocument/2006/relationships/hyperlink" Target="https://cdn.ittelkom-sby.ac.id/research/z1643279263d93000740b498899811083f9a8ccb61d.pdf" TargetMode="External"/><Relationship Id="rId570" Type="http://schemas.openxmlformats.org/officeDocument/2006/relationships/hyperlink" Target="../../../../../:b:/g/personal/lppm_ittelkom-sby_ac_id/EahPewzWc61Kh3feMCgxn2oBA_p2NuM8w58fRzzNegJA-A?e=feyRoZ" TargetMode="External"/><Relationship Id="rId223" Type="http://schemas.openxmlformats.org/officeDocument/2006/relationships/hyperlink" Target="https://cdn.ittelkom-sby.ac.id/research/z1610765161eaaa7abf923866534e01d36decda4c22.pdf" TargetMode="External"/><Relationship Id="rId430" Type="http://schemas.openxmlformats.org/officeDocument/2006/relationships/hyperlink" Target="https://cdn.ittelkom-sby.ac.id/research/z15978005625caa65be4238c08489489b737a95279d.pdf" TargetMode="External"/><Relationship Id="rId668" Type="http://schemas.openxmlformats.org/officeDocument/2006/relationships/hyperlink" Target="https://cdn.ittelkom-sby.ac.id/research/z16013627451936381d4068e20b6e730572c04aca93.pdf" TargetMode="External"/><Relationship Id="rId18" Type="http://schemas.openxmlformats.org/officeDocument/2006/relationships/hyperlink" Target="https://drive.google.com/file/d/1ebxYiGHYh4H9kAB0UkeZz3DylZ5Tyii8/view?usp=drive_link" TargetMode="External"/><Relationship Id="rId528" Type="http://schemas.openxmlformats.org/officeDocument/2006/relationships/hyperlink" Target="http://cdndata.telkomuniversity.ac.id/research/z1708055900abff7ccaf488946d03f41a476b2ba25b.pdf" TargetMode="External"/><Relationship Id="rId735" Type="http://schemas.openxmlformats.org/officeDocument/2006/relationships/hyperlink" Target="https://cdndata.telkomuniversity.ac.id/research/z17204105460a6c5a83ad1c6d55dbd69722e5e981b3.pdf" TargetMode="External"/><Relationship Id="rId167" Type="http://schemas.openxmlformats.org/officeDocument/2006/relationships/hyperlink" Target="https://cdn.ittelkom-sby.ac.id/research/z16632068348c051143d6db992e09537ae2ca6aadea.pdf" TargetMode="External"/><Relationship Id="rId374" Type="http://schemas.openxmlformats.org/officeDocument/2006/relationships/hyperlink" Target="https://cdn.ittelkom-sby.ac.id/research/z1669955864801b34c44c75197ab5bb173b5b24343c.pdf" TargetMode="External"/><Relationship Id="rId581" Type="http://schemas.openxmlformats.org/officeDocument/2006/relationships/hyperlink" Target="../../../../../:b:/g/personal/lppm_ittelkom-sby_ac_id/EahPewzWc61Kh3feMCgxn2oBA_p2NuM8w58fRzzNegJA-A?e=feyRoZ" TargetMode="External"/><Relationship Id="rId71" Type="http://schemas.openxmlformats.org/officeDocument/2006/relationships/hyperlink" Target="https://cdn.ittelkom-sby.ac.id/research/z1675650585a30b25a0af0e41a4d6d7ed4822f31cb7.pdf" TargetMode="External"/><Relationship Id="rId234" Type="http://schemas.openxmlformats.org/officeDocument/2006/relationships/hyperlink" Target="https://cdn.ittelkom-sby.ac.id/research/z1637313062ec4ea54990baa224c0abd9fbb57c2141.pdf" TargetMode="External"/><Relationship Id="rId679" Type="http://schemas.openxmlformats.org/officeDocument/2006/relationships/hyperlink" Target="http://cdndata.telkomuniversity.ac.id/research/z1726627501ba5c6c37323d8002f095983e206cb3b3.pdf" TargetMode="External"/><Relationship Id="rId802" Type="http://schemas.openxmlformats.org/officeDocument/2006/relationships/hyperlink" Target="../../../../../../:b:/g/personal/ppm_telkomuniversity_ac_id/Ef7SH0qpIFpLipMS4p9UBRkBzkYJImxSk4i9YdJJjKmrQw?e=6kdY4j" TargetMode="External"/><Relationship Id="rId2" Type="http://schemas.openxmlformats.org/officeDocument/2006/relationships/hyperlink" Target="https://drive.google.com/file/d/1qB_P3hl7ZqmYG0IfmF2VEYLJyt5lmdXZ/view?usp=drive_link" TargetMode="External"/><Relationship Id="rId29" Type="http://schemas.openxmlformats.org/officeDocument/2006/relationships/hyperlink" Target="https://drive.google.com/file/d/1ZxYDu1vLhPC2vpPRIp6oOchXFeI86IiO/view?usp=drive_link" TargetMode="External"/><Relationship Id="rId441" Type="http://schemas.openxmlformats.org/officeDocument/2006/relationships/hyperlink" Target="https://cdn.ittelkom-sby.ac.id/research/z16107623252777c21090e06ccc52a007a8f839c1d8.pdf" TargetMode="External"/><Relationship Id="rId539" Type="http://schemas.openxmlformats.org/officeDocument/2006/relationships/hyperlink" Target="http://cdndata.telkomuniversity.ac.id/research/z1710920557a1515bf5022f72605805357550d46192.pdf" TargetMode="External"/><Relationship Id="rId746" Type="http://schemas.openxmlformats.org/officeDocument/2006/relationships/hyperlink" Target="https://iplatinum.telkomuniversity.ac.id/backoffice/selection/proposal/document/115" TargetMode="External"/><Relationship Id="rId178" Type="http://schemas.openxmlformats.org/officeDocument/2006/relationships/hyperlink" Target="https://cdn.ittelkom-sby.ac.id/research/z162813948197d4d49ba9d3073f48604a86c003a3d4.pdf" TargetMode="External"/><Relationship Id="rId301" Type="http://schemas.openxmlformats.org/officeDocument/2006/relationships/hyperlink" Target="https://cdn.ittelkom-sby.ac.id/research/z1633759470fb1d78f438a171e8d36cf62f1aef1d20.pdf" TargetMode="External"/><Relationship Id="rId82" Type="http://schemas.openxmlformats.org/officeDocument/2006/relationships/hyperlink" Target="https://cdn.ittelkom-sby.ac.id/research/z1675648284d21ae39e8839e602da41df6f5941d186.pdf" TargetMode="External"/><Relationship Id="rId385" Type="http://schemas.openxmlformats.org/officeDocument/2006/relationships/hyperlink" Target="https://cdn.ittelkom-sby.ac.id/research/z16825789911de74ba4b09a2094014ff3f0a1a6f808.pdf" TargetMode="External"/><Relationship Id="rId592" Type="http://schemas.openxmlformats.org/officeDocument/2006/relationships/hyperlink" Target="../../../../../:b:/g/personal/lppm_ittelkom-sby_ac_id/ETr56jffCEtFrp6VVgXN_TkBZ64i9BiV2p-V1El612Nf9g?e=0nzgIE" TargetMode="External"/><Relationship Id="rId606" Type="http://schemas.openxmlformats.org/officeDocument/2006/relationships/hyperlink" Target="http://cdndata.telkomuniversity.ac.id/research/z17235132384477dc50f5fdd8d822119be49a2bbaae.pdf" TargetMode="External"/><Relationship Id="rId813" Type="http://schemas.openxmlformats.org/officeDocument/2006/relationships/vmlDrawing" Target="../drawings/vmlDrawing1.vml"/><Relationship Id="rId245" Type="http://schemas.openxmlformats.org/officeDocument/2006/relationships/hyperlink" Target="https://cdn.ittelkom-sby.ac.id/research/z16155354717aa06189004601d8e659e63271e4681d.pdf" TargetMode="External"/><Relationship Id="rId452" Type="http://schemas.openxmlformats.org/officeDocument/2006/relationships/hyperlink" Target="https://cdn.ittelkom-sby.ac.id/research/z15978019209e030698ece4092ac9717357932c0bad.pdf" TargetMode="External"/><Relationship Id="rId105" Type="http://schemas.openxmlformats.org/officeDocument/2006/relationships/hyperlink" Target="https://drive.google.com/file/d/1lbkVbMHsaIbvmgVKzlVe7W7xPuD_jWyy/view?usp=sharing" TargetMode="External"/><Relationship Id="rId312" Type="http://schemas.openxmlformats.org/officeDocument/2006/relationships/hyperlink" Target="https://cdn.ittelkom-sby.ac.id/research/z1626075335eeb247d6dc26f3433b4fe341122ffaa9.pdf" TargetMode="External"/><Relationship Id="rId757" Type="http://schemas.openxmlformats.org/officeDocument/2006/relationships/hyperlink" Target="https://iplatinum.telkomuniversity.ac.id/backoffice/selection/proposal/document/310" TargetMode="External"/><Relationship Id="rId93" Type="http://schemas.openxmlformats.org/officeDocument/2006/relationships/hyperlink" Target="https://drive.google.com/file/d/1vVzlFGpPwXbOaufauXOMsyEh5kfAtDRW/view?usp=sharing" TargetMode="External"/><Relationship Id="rId189" Type="http://schemas.openxmlformats.org/officeDocument/2006/relationships/hyperlink" Target="https://cdn.ittelkom-sby.ac.id/research/z16280678717b6c1dfbc1f5447079cf462d73d86c85.pdf" TargetMode="External"/><Relationship Id="rId396" Type="http://schemas.openxmlformats.org/officeDocument/2006/relationships/hyperlink" Target="https://cdn.ittelkom-sby.ac.id/research/z1688713938d19d81c6ed53cfca62b69da35ed83464.pdf" TargetMode="External"/><Relationship Id="rId617" Type="http://schemas.openxmlformats.org/officeDocument/2006/relationships/hyperlink" Target="https://cdn.ittelkom-sby.ac.id/research/z1633580853428de8d8ebfdcd0b4ff62d4b94f0a85f.pdf" TargetMode="External"/><Relationship Id="rId256" Type="http://schemas.openxmlformats.org/officeDocument/2006/relationships/hyperlink" Target="https://cdn.ittelkom-sby.ac.id/research/z1615521129e0ee23d7afe79669d16b3cc6f64455f3.pdf" TargetMode="External"/><Relationship Id="rId463" Type="http://schemas.openxmlformats.org/officeDocument/2006/relationships/hyperlink" Target="../../../../../:b:/g/personal/lppm_ittelkom-sby_ac_id/EeN3o1W5frFDm6e6DQGCVwkBDsM6I7SzgPbIFSwVnrLPJA?e=Kh5BvK" TargetMode="External"/><Relationship Id="rId670" Type="http://schemas.openxmlformats.org/officeDocument/2006/relationships/hyperlink" Target="https://cdn.ittelkom-sby.ac.id/research/z160137095566d0f5ade68418ab2b492b36335a830b.pdf" TargetMode="External"/><Relationship Id="rId116" Type="http://schemas.openxmlformats.org/officeDocument/2006/relationships/hyperlink" Target="https://drive.google.com/file/d/1QzezQLS3iWaYx0KE8y1pPHVeBqyGzR7i/view?usp=sharing" TargetMode="External"/><Relationship Id="rId323" Type="http://schemas.openxmlformats.org/officeDocument/2006/relationships/hyperlink" Target="https://cdn.ittelkom-sby.ac.id/research/z16264221323f54420ffc8185a5e91d355697e6eec6.pdf" TargetMode="External"/><Relationship Id="rId530" Type="http://schemas.openxmlformats.org/officeDocument/2006/relationships/hyperlink" Target="http://cdndata.telkomuniversity.ac.id/research/z1710927887e314af42efef2a9ae8614f903a44af57.pdf" TargetMode="External"/><Relationship Id="rId768" Type="http://schemas.openxmlformats.org/officeDocument/2006/relationships/hyperlink" Target="https://iplatinum.telkomuniversity.ac.id/backoffice/selection/proposal/document/538" TargetMode="External"/><Relationship Id="rId20" Type="http://schemas.openxmlformats.org/officeDocument/2006/relationships/hyperlink" Target="https://drive.google.com/file/d/1ebxYiGHYh4H9kAB0UkeZz3DylZ5Tyii8/view?usp=drive_link" TargetMode="External"/><Relationship Id="rId628" Type="http://schemas.openxmlformats.org/officeDocument/2006/relationships/hyperlink" Target="https://cdn.ittelkom-sby.ac.id/research/z160135261681fa81dc4dbcc4290672ac5a153ae35c.pdf" TargetMode="External"/><Relationship Id="rId267" Type="http://schemas.openxmlformats.org/officeDocument/2006/relationships/hyperlink" Target="https://cdn.ittelkom-sby.ac.id/research/z1637139834b1df162b69e9d9ab0d6be4c9003b90f5.pdf" TargetMode="External"/><Relationship Id="rId474" Type="http://schemas.openxmlformats.org/officeDocument/2006/relationships/hyperlink" Target="https://cdn.ittelkom-sby.ac.id/research/z1700887181675327ae31b9ad670e4db2f2edfe832a.pdf" TargetMode="External"/><Relationship Id="rId127" Type="http://schemas.openxmlformats.org/officeDocument/2006/relationships/hyperlink" Target="https://cdn.ittelkom-sby.ac.id/research/z1654826145031df168c6a2090dfdc17a4440255788.pdf" TargetMode="External"/><Relationship Id="rId681" Type="http://schemas.openxmlformats.org/officeDocument/2006/relationships/hyperlink" Target="http://cdndata.telkomuniversity.ac.id/research/z17266274793518f954de3e4bab181cf054132055b2.pdf" TargetMode="External"/><Relationship Id="rId779" Type="http://schemas.openxmlformats.org/officeDocument/2006/relationships/hyperlink" Target="../../../../../../:b:/g/personal/ppm_telkomuniversity_ac_id/EZb_J6ypqGFOqU1j1T3-ungBDpuW6OzFhzDzCPh0lNkdsA?e=WkdcgA" TargetMode="External"/><Relationship Id="rId31" Type="http://schemas.openxmlformats.org/officeDocument/2006/relationships/hyperlink" Target="https://drive.google.com/file/d/1R-Nd-DAFnTHTB-oqTijLjvbFVcTvCkY9/view?usp=drive_link" TargetMode="External"/><Relationship Id="rId334" Type="http://schemas.openxmlformats.org/officeDocument/2006/relationships/hyperlink" Target="https://cdn.ittelkom-sby.ac.id/research/z1638524601e1797c175322ba37bbb77c00ed323416.pdf" TargetMode="External"/><Relationship Id="rId541" Type="http://schemas.openxmlformats.org/officeDocument/2006/relationships/hyperlink" Target="http://cdndata.telkomuniversity.ac.id/research/z17109109275a76fecf4d6e641e18db5728e63e0766.pdf" TargetMode="External"/><Relationship Id="rId639" Type="http://schemas.openxmlformats.org/officeDocument/2006/relationships/hyperlink" Target="https://cdn.ittelkom-sby.ac.id/research/z1601352988088109edec53ed1bbb2d8070491e03a4.pdf" TargetMode="External"/><Relationship Id="rId180" Type="http://schemas.openxmlformats.org/officeDocument/2006/relationships/hyperlink" Target="https://cdn.ittelkom-sby.ac.id/research/z16334975919cc817e7d1dd273d7455bf492424932e.pdf" TargetMode="External"/><Relationship Id="rId278" Type="http://schemas.openxmlformats.org/officeDocument/2006/relationships/hyperlink" Target="https://cdn.ittelkom-sby.ac.id/research/z1639107188d816cc4f784d4e038f07206e690327de.pdf" TargetMode="External"/><Relationship Id="rId401" Type="http://schemas.openxmlformats.org/officeDocument/2006/relationships/hyperlink" Target="../../../../../:b:/r/personal/lppm_ittelkom-sby_ac_id/Documents/2023/Hibah%20Eksternal/BIMA/Proposal/Implementation%20of%20Deep%20Learning%20and%20Dashboarding%20for%20sentiment%20analysis%20in%20Small%20and%20%20Medium%20Enterprises%20SMEs%20on%20Indonesian%20social%20media%20(1).pdf?csf=1&amp;web=1&amp;e=5q3D06" TargetMode="External"/><Relationship Id="rId485" Type="http://schemas.openxmlformats.org/officeDocument/2006/relationships/hyperlink" Target="http://cdndata.telkomuniversity.ac.id/research/z1711940841380ffaf267e6330b7cfc12678e773993.pdf" TargetMode="External"/><Relationship Id="rId692" Type="http://schemas.openxmlformats.org/officeDocument/2006/relationships/hyperlink" Target="../../../../../../:b:/g/personal/lppmsby_telkomuniversity_ac_id/ERjNr00GPptNkxxW5FwKNxcBK7t_8wzwWpN05NRsoGP52g?e=wc24m1" TargetMode="External"/><Relationship Id="rId706" Type="http://schemas.openxmlformats.org/officeDocument/2006/relationships/hyperlink" Target="https://cdndata.telkomuniversity.ac.id/research/z1736854765978dba6bd94301b2dbb58d6ca5997c36.pdf" TargetMode="External"/><Relationship Id="rId42" Type="http://schemas.openxmlformats.org/officeDocument/2006/relationships/hyperlink" Target="https://drive.google.com/file/d/1SYT6axc7xaeW-Xneu0ARl3-ZTDdL55Qj/view?usp=drive_link" TargetMode="External"/><Relationship Id="rId138" Type="http://schemas.openxmlformats.org/officeDocument/2006/relationships/hyperlink" Target="https://cdn.ittelkom-sby.ac.id/research/z16881304892d9da6312e7178a4d066243192a9009b.pdf" TargetMode="External"/><Relationship Id="rId345" Type="http://schemas.openxmlformats.org/officeDocument/2006/relationships/hyperlink" Target="https://cdn.ittelkom-sby.ac.id/research/z1643273599a2a9272f3b5c184854025902c4df79c2.pdf" TargetMode="External"/><Relationship Id="rId552" Type="http://schemas.openxmlformats.org/officeDocument/2006/relationships/hyperlink" Target="http://cdndata.telkomuniversity.ac.id/research/z1710939166d58453ddaadc08c8569a7596bd3044a6.pdf" TargetMode="External"/><Relationship Id="rId191" Type="http://schemas.openxmlformats.org/officeDocument/2006/relationships/hyperlink" Target="https://cdn.ittelkom-sby.ac.id/research/z162806398131e10ce1dda03bd1f2d769df7c67871f.pdf" TargetMode="External"/><Relationship Id="rId205" Type="http://schemas.openxmlformats.org/officeDocument/2006/relationships/hyperlink" Target="https://cdn.ittelkom-sby.ac.id/research/z1628053102ed16d27ba3f81594bc761fa85963938a.pdf" TargetMode="External"/><Relationship Id="rId412" Type="http://schemas.openxmlformats.org/officeDocument/2006/relationships/hyperlink" Target="https://cdn.ittelkom-sby.ac.id/research/z1698642646ed657dbc96ba70ce17b970a5e9501fd1.pdf" TargetMode="External"/><Relationship Id="rId289" Type="http://schemas.openxmlformats.org/officeDocument/2006/relationships/hyperlink" Target="https://cdn.ittelkom-sby.ac.id/research/z163730891731c983278cd7b3565aea738586a3eb38.pdf" TargetMode="External"/><Relationship Id="rId496" Type="http://schemas.openxmlformats.org/officeDocument/2006/relationships/hyperlink" Target="http://cdndata.telkomuniversity.ac.id/research/z1711941250237aab04a64e128a6b235a7f249fc350.pdf" TargetMode="External"/><Relationship Id="rId717" Type="http://schemas.openxmlformats.org/officeDocument/2006/relationships/hyperlink" Target="https://cdndata.telkomuniversity.ac.id/research/z17342825166b1786ef602c66c03a46d74f4040ba3e.pdf" TargetMode="External"/><Relationship Id="rId53" Type="http://schemas.openxmlformats.org/officeDocument/2006/relationships/hyperlink" Target="https://cdn.ittelkom-sby.ac.id/research/z16933667031ec95e6905c8b937e6e39251709ca904.pdf" TargetMode="External"/><Relationship Id="rId149" Type="http://schemas.openxmlformats.org/officeDocument/2006/relationships/hyperlink" Target="https://cdn.ittelkom-sby.ac.id/research/z1688106453047179c7451fa629b209a4fb08dce606.pdf" TargetMode="External"/><Relationship Id="rId356" Type="http://schemas.openxmlformats.org/officeDocument/2006/relationships/hyperlink" Target="https://cdn.ittelkom-sby.ac.id/research/z1668648287b3eeb53ed2ea47f43deee9cb3e47c1d9.pdf" TargetMode="External"/><Relationship Id="rId563" Type="http://schemas.openxmlformats.org/officeDocument/2006/relationships/hyperlink" Target="../../../../../:b:/g/personal/lppm_ittelkom-sby_ac_id/EahPewzWc61Kh3feMCgxn2oBA_p2NuM8w58fRzzNegJA-A?e=feyRoZ" TargetMode="External"/><Relationship Id="rId770" Type="http://schemas.openxmlformats.org/officeDocument/2006/relationships/hyperlink" Target="https://iplatinum.telkomuniversity.ac.id/backoffice/selection/proposal/document/557" TargetMode="External"/><Relationship Id="rId216" Type="http://schemas.openxmlformats.org/officeDocument/2006/relationships/hyperlink" Target="https://cdn.ittelkom-sby.ac.id/research/z16279704460dc4b0b75617e0b34d69d2cc86d4e550.pdf" TargetMode="External"/><Relationship Id="rId423" Type="http://schemas.openxmlformats.org/officeDocument/2006/relationships/hyperlink" Target="https://cdn.ittelkom-sby.ac.id/research/z16987230724a771fa68429d9bba7f44b19c215b70f.pdf" TargetMode="External"/><Relationship Id="rId630" Type="http://schemas.openxmlformats.org/officeDocument/2006/relationships/hyperlink" Target="https://cdn.ittelkom-sby.ac.id/research/z160135216915cc2b85eae6bf9b0f12e2cb3e60de44.pdf" TargetMode="External"/><Relationship Id="rId728" Type="http://schemas.openxmlformats.org/officeDocument/2006/relationships/hyperlink" Target="https://cdndata.telkomuniversity.ac.id/research/z1741014300b75b59a4c9deee6150063acbbc502e8b.pdf" TargetMode="External"/><Relationship Id="rId64" Type="http://schemas.openxmlformats.org/officeDocument/2006/relationships/hyperlink" Target="https://cdn.ittelkom-sby.ac.id/research/z1693383314d854af7acf4dbf0404110ae05244af82.pdf" TargetMode="External"/><Relationship Id="rId367" Type="http://schemas.openxmlformats.org/officeDocument/2006/relationships/hyperlink" Target="https://cdn.ittelkom-sby.ac.id/research/z1649037834c76867e19a3f8aa0ebebab2fdcf49a67.pdf" TargetMode="External"/><Relationship Id="rId574" Type="http://schemas.openxmlformats.org/officeDocument/2006/relationships/hyperlink" Target="../../../../../:b:/g/personal/lppm_ittelkom-sby_ac_id/EahPewzWc61Kh3feMCgxn2oBA_p2NuM8w58fRzzNegJA-A?e=feyRoZ" TargetMode="External"/><Relationship Id="rId227" Type="http://schemas.openxmlformats.org/officeDocument/2006/relationships/hyperlink" Target="Sterilisasi%20Udara%20pada%20AC%20Untuk%20Menghadapi%20Kondisi%20New%20Normal" TargetMode="External"/><Relationship Id="rId781" Type="http://schemas.openxmlformats.org/officeDocument/2006/relationships/hyperlink" Target="../../../../../../:b:/g/personal/ppm_telkomuniversity_ac_id/ET-gkeV5NPZKs2AMpiyT2BkBu9HN6TgQdvQluCJJbHip9g?e=rJQJ6C" TargetMode="External"/><Relationship Id="rId434" Type="http://schemas.openxmlformats.org/officeDocument/2006/relationships/hyperlink" Target="https://cdn.ittelkom-sby.ac.id/research/z1597805463d310481ecd44b893ef2b8389e00f2374.pdf" TargetMode="External"/><Relationship Id="rId641" Type="http://schemas.openxmlformats.org/officeDocument/2006/relationships/hyperlink" Target="https://cdn.ittelkom-sby.ac.id/research/z1601358856d9587ec3bad5ed28e65c6e0a8169ce57.pdf" TargetMode="External"/><Relationship Id="rId739" Type="http://schemas.openxmlformats.org/officeDocument/2006/relationships/hyperlink" Target="https://cdndata.telkomuniversity.ac.id/research/z1721121613dcc49898a3d03ea02bc878ce399915d0.pdf" TargetMode="External"/><Relationship Id="rId280" Type="http://schemas.openxmlformats.org/officeDocument/2006/relationships/hyperlink" Target="https://cdn.ittelkom-sby.ac.id/research/z1633072622ef24ef21c2fc8b3b32afd5f9bc6fd284.pdf" TargetMode="External"/><Relationship Id="rId501" Type="http://schemas.openxmlformats.org/officeDocument/2006/relationships/hyperlink" Target="http://cdndata.telkomuniversity.ac.id/research/z171194130436be0831a5999715ac0b27d258024e40.pdf" TargetMode="External"/><Relationship Id="rId75" Type="http://schemas.openxmlformats.org/officeDocument/2006/relationships/hyperlink" Target="https://cdn.ittelkom-sby.ac.id/research/z1675398913fafc583470ea0c7a717f95cf87d24455.pdf" TargetMode="External"/><Relationship Id="rId140" Type="http://schemas.openxmlformats.org/officeDocument/2006/relationships/hyperlink" Target="https://cdn.ittelkom-sby.ac.id/research/z16921624684763289e0c5a8b8b896eca4c61e7ca55.pdf" TargetMode="External"/><Relationship Id="rId378" Type="http://schemas.openxmlformats.org/officeDocument/2006/relationships/hyperlink" Target="https://cdn.ittelkom-sby.ac.id/research/z16468949684ff3e6f0894992cb6c0194243eddef3c.pdf" TargetMode="External"/><Relationship Id="rId585" Type="http://schemas.openxmlformats.org/officeDocument/2006/relationships/hyperlink" Target="../../../../../:b:/g/personal/lppm_ittelkom-sby_ac_id/EahPewzWc61Kh3feMCgxn2oBA_p2NuM8w58fRzzNegJA-A?e=feyRoZ" TargetMode="External"/><Relationship Id="rId792" Type="http://schemas.openxmlformats.org/officeDocument/2006/relationships/hyperlink" Target="../../../../../../:b:/g/personal/ppm_telkomuniversity_ac_id/EShtTJrn4RlNukjVJ-gd4lIBgqUPArVS4sj8Vfn3v-YdGQ?e=M73LOv" TargetMode="External"/><Relationship Id="rId806" Type="http://schemas.openxmlformats.org/officeDocument/2006/relationships/hyperlink" Target="../../../../../../:b:/g/personal/ppm_telkomuniversity_ac_id/EYfycupsi-pHsgO9Xc3HH5gBCn2Ja5mApfOnERoWlzNhGw?e=NyveGA" TargetMode="External"/><Relationship Id="rId6" Type="http://schemas.openxmlformats.org/officeDocument/2006/relationships/hyperlink" Target="https://drive.google.com/file/d/1i0fHqaZwXIrQE46RP6NOroYCrbpvZyJo/view?usp=drive_link" TargetMode="External"/><Relationship Id="rId238" Type="http://schemas.openxmlformats.org/officeDocument/2006/relationships/hyperlink" Target="https://cdn.ittelkom-sby.ac.id/research/z163731469097a272f2bc3456c8c9937267a020220b.pdf" TargetMode="External"/><Relationship Id="rId445" Type="http://schemas.openxmlformats.org/officeDocument/2006/relationships/hyperlink" Target="https://cdn.ittelkom-sby.ac.id/research/z161076358230374e47bb3bea02c619a7147a6a0c5a.pdf" TargetMode="External"/><Relationship Id="rId487" Type="http://schemas.openxmlformats.org/officeDocument/2006/relationships/hyperlink" Target="http://cdndata.telkomuniversity.ac.id/research/z17119411582f309de5c7f9e8fa8ab500ea86cc980d.pdf" TargetMode="External"/><Relationship Id="rId610" Type="http://schemas.openxmlformats.org/officeDocument/2006/relationships/hyperlink" Target="http://cdndata.telkomuniversity.ac.id/research/z1723514337250d823342c947bc151eabb0e8b0efc2.pdf" TargetMode="External"/><Relationship Id="rId652" Type="http://schemas.openxmlformats.org/officeDocument/2006/relationships/hyperlink" Target="https://cdn.ittelkom-sby.ac.id/research/z1601361623eb65b28f141d47c3772d0afff678d27a.pdf" TargetMode="External"/><Relationship Id="rId694" Type="http://schemas.openxmlformats.org/officeDocument/2006/relationships/hyperlink" Target="http://cdndata.telkomuniversity.ac.id/research/z17079822832a9ae9468799f847a9ec525d4262ac43.pdf" TargetMode="External"/><Relationship Id="rId708" Type="http://schemas.openxmlformats.org/officeDocument/2006/relationships/hyperlink" Target="https://cdndata.telkomuniversity.ac.id/research/z173103785517e4cb84bc2ec2a6f08fd27a1befca73.pdf" TargetMode="External"/><Relationship Id="rId291" Type="http://schemas.openxmlformats.org/officeDocument/2006/relationships/hyperlink" Target="https://cdn.ittelkom-sby.ac.id/research/z1662543123617c674eeb72eeefefb55d989cb8fcba.pdf" TargetMode="External"/><Relationship Id="rId305" Type="http://schemas.openxmlformats.org/officeDocument/2006/relationships/hyperlink" Target="https://cdn.ittelkom-sby.ac.id/research/z1634026378a84d1d18f0ca6c83f69f98bc65efec88.pdf" TargetMode="External"/><Relationship Id="rId347" Type="http://schemas.openxmlformats.org/officeDocument/2006/relationships/hyperlink" Target="https://cdn.ittelkom-sby.ac.id/research/z16431707056068792d4bfd44e59f266b174be7fc06.pdf" TargetMode="External"/><Relationship Id="rId512" Type="http://schemas.openxmlformats.org/officeDocument/2006/relationships/hyperlink" Target="http://cdndata.telkomuniversity.ac.id/research/z1711520751117eba70411b880b7ad8bcd9d5295d90.pdf" TargetMode="External"/><Relationship Id="rId44" Type="http://schemas.openxmlformats.org/officeDocument/2006/relationships/hyperlink" Target="https://drive.google.com/file/d/1SYT6axc7xaeW-Xneu0ARl3-ZTDdL55Qj/view?usp=drive_link" TargetMode="External"/><Relationship Id="rId86" Type="http://schemas.openxmlformats.org/officeDocument/2006/relationships/hyperlink" Target="https://drive.google.com/file/d/1-nBJ81w25lg2Xh4WqbLR26Y0UXjNNEXx/view?usp=sharing" TargetMode="External"/><Relationship Id="rId151" Type="http://schemas.openxmlformats.org/officeDocument/2006/relationships/hyperlink" Target="https://cdn.ittelkom-sby.ac.id/research/z1693363173ff2a700c6cd3a7647cf9a5338879dfeb.pdf" TargetMode="External"/><Relationship Id="rId389" Type="http://schemas.openxmlformats.org/officeDocument/2006/relationships/hyperlink" Target="https://cdn.ittelkom-sby.ac.id/research/z16432797581193bd59042a03790f8dae64085a0885.pdf" TargetMode="External"/><Relationship Id="rId554" Type="http://schemas.openxmlformats.org/officeDocument/2006/relationships/hyperlink" Target="http://cdndata.telkomuniversity.ac.id/research/z17109496190d394a541f0ce893779c0fdd12da68eb.pdf" TargetMode="External"/><Relationship Id="rId596" Type="http://schemas.openxmlformats.org/officeDocument/2006/relationships/hyperlink" Target="../../../../../:b:/g/personal/lppm_ittelkom-sby_ac_id/EZ28ePEfQlhKlr5Tt-TUnJMBfKXudhhZE1hA40nh3nbwgQ?e=zpYSIh" TargetMode="External"/><Relationship Id="rId761" Type="http://schemas.openxmlformats.org/officeDocument/2006/relationships/hyperlink" Target="https://iplatinum.telkomuniversity.ac.id/backoffice/selection/proposal/document/363" TargetMode="External"/><Relationship Id="rId193" Type="http://schemas.openxmlformats.org/officeDocument/2006/relationships/hyperlink" Target="https://cdn.ittelkom-sby.ac.id/research/z1628067609a5596bcabe7db10b44a312b6b98d3180.pdf" TargetMode="External"/><Relationship Id="rId207" Type="http://schemas.openxmlformats.org/officeDocument/2006/relationships/hyperlink" Target="https://cdn.ittelkom-sby.ac.id/research/z1627970309a6d3fa3ebd50f90239eeb6ca9728c930.pdf" TargetMode="External"/><Relationship Id="rId249" Type="http://schemas.openxmlformats.org/officeDocument/2006/relationships/hyperlink" Target="https://cdn.ittelkom-sby.ac.id/research/z1615716529447b5b726691585086bdd0449fc059ca.pdf" TargetMode="External"/><Relationship Id="rId414" Type="http://schemas.openxmlformats.org/officeDocument/2006/relationships/hyperlink" Target="https://cdn.ittelkom-sby.ac.id/research/z1698765478455d325762d45b7c8b1c0b044d063c0a.pdf" TargetMode="External"/><Relationship Id="rId456" Type="http://schemas.openxmlformats.org/officeDocument/2006/relationships/hyperlink" Target="../../../../../:b:/g/personal/lppm_ittelkom-sby_ac_id/EUekOEbPdmpHi_v9yDJe5UEBxFWQDeSpkjlB4yAocliZEw?e=3Cmkfg" TargetMode="External"/><Relationship Id="rId498" Type="http://schemas.openxmlformats.org/officeDocument/2006/relationships/hyperlink" Target="http://cdndata.telkomuniversity.ac.id/research/z17119412771f85226c3cdb44307e171ae1aba31618.pdf" TargetMode="External"/><Relationship Id="rId621" Type="http://schemas.openxmlformats.org/officeDocument/2006/relationships/hyperlink" Target="https://cdn.ittelkom-sby.ac.id/research/z1627711389c22c3a1177929482f31a7dbdb89f643d.pdf" TargetMode="External"/><Relationship Id="rId663" Type="http://schemas.openxmlformats.org/officeDocument/2006/relationships/hyperlink" Target="https://cdn.ittelkom-sby.ac.id/research/z1627712043df89f79356c6e0c699e366f834afce06.pdf" TargetMode="External"/><Relationship Id="rId13" Type="http://schemas.openxmlformats.org/officeDocument/2006/relationships/hyperlink" Target="https://drive.google.com/file/d/1i0fHqaZwXIrQE46RP6NOroYCrbpvZyJo/view?usp=drive_link" TargetMode="External"/><Relationship Id="rId109" Type="http://schemas.openxmlformats.org/officeDocument/2006/relationships/hyperlink" Target="https://drive.google.com/file/d/1gk811YZm6fOdybpmnqj0MlzADzICmTXR/view?usp=sharing" TargetMode="External"/><Relationship Id="rId260" Type="http://schemas.openxmlformats.org/officeDocument/2006/relationships/hyperlink" Target="https://cdn.ittelkom-sby.ac.id/research/z1614571572526d08b20fc63ba154a1c4764e72bc37.pdf" TargetMode="External"/><Relationship Id="rId316" Type="http://schemas.openxmlformats.org/officeDocument/2006/relationships/hyperlink" Target="https://cdn.ittelkom-sby.ac.id/research/z16385064354a1a5d16a8af9c333ec73daa1fee53a1.pdf" TargetMode="External"/><Relationship Id="rId523" Type="http://schemas.openxmlformats.org/officeDocument/2006/relationships/hyperlink" Target="https://cdn.ittelkom-sby.ac.id/research/z1710293570bda1fa685ea833e53992d7f310a41baf.pdf" TargetMode="External"/><Relationship Id="rId719" Type="http://schemas.openxmlformats.org/officeDocument/2006/relationships/hyperlink" Target="https://cdndata.telkomuniversity.ac.id/research/z1731061850e53dcecc4fc8d6a5dc3ce03035bdedac.pdf" TargetMode="External"/><Relationship Id="rId55" Type="http://schemas.openxmlformats.org/officeDocument/2006/relationships/hyperlink" Target="https://cdn.ittelkom-sby.ac.id/research/z1694056586605c9cb3dd133d66d9c59565dae028bb.pdf" TargetMode="External"/><Relationship Id="rId97" Type="http://schemas.openxmlformats.org/officeDocument/2006/relationships/hyperlink" Target="https://drive.google.com/file/d/1HYK4-qp4C1KQcETx5xeNSnTFoNxHyGOe/view?usp=sharing" TargetMode="External"/><Relationship Id="rId120" Type="http://schemas.openxmlformats.org/officeDocument/2006/relationships/hyperlink" Target="https://drive.google.com/file/d/17gxPj4R6BnM5xfQh21tMdxcmjXvieG-0/view?usp=sharing" TargetMode="External"/><Relationship Id="rId358" Type="http://schemas.openxmlformats.org/officeDocument/2006/relationships/hyperlink" Target="https://cdn.ittelkom-sby.ac.id/research/z168256686094e3d4d975152f22251da3fd28e8fbac.pdf" TargetMode="External"/><Relationship Id="rId565" Type="http://schemas.openxmlformats.org/officeDocument/2006/relationships/hyperlink" Target="../../../../../:b:/g/personal/lppm_ittelkom-sby_ac_id/EahPewzWc61Kh3feMCgxn2oBA_p2NuM8w58fRzzNegJA-A?e=feyRoZ" TargetMode="External"/><Relationship Id="rId730" Type="http://schemas.openxmlformats.org/officeDocument/2006/relationships/hyperlink" Target="https://cdndata.telkomuniversity.ac.id/research/z174099540700ff1f04a359bd10867dc6e8bdea35ea.pdf" TargetMode="External"/><Relationship Id="rId772" Type="http://schemas.openxmlformats.org/officeDocument/2006/relationships/hyperlink" Target="https://iplatinum.telkomuniversity.ac.id/backoffice/selection/proposal/document/579" TargetMode="External"/><Relationship Id="rId162" Type="http://schemas.openxmlformats.org/officeDocument/2006/relationships/hyperlink" Target="https://cdn.ittelkom-sby.ac.id/research/z1693366114180cabf21fdd07784fb840f260860525.pdf" TargetMode="External"/><Relationship Id="rId218" Type="http://schemas.openxmlformats.org/officeDocument/2006/relationships/hyperlink" Target="https://cdn.ittelkom-sby.ac.id/research/z1601434695092d49acfab066454952d3f728ff0206.pdf" TargetMode="External"/><Relationship Id="rId425" Type="http://schemas.openxmlformats.org/officeDocument/2006/relationships/hyperlink" Target="../../../../../:b:/r/personal/lppm_ittelkom-sby_ac_id/Documents/2023/Hibah%20Eksternal/Prototipe/Smart%20Tani%5B1%5D.pdf?csf=1&amp;web=1&amp;e=bXWJSB" TargetMode="External"/><Relationship Id="rId467" Type="http://schemas.openxmlformats.org/officeDocument/2006/relationships/hyperlink" Target="https://cdn.ittelkom-sby.ac.id/research/z17005478928c67700e8f178858d94460f4a7f88f0e.pdf" TargetMode="External"/><Relationship Id="rId632" Type="http://schemas.openxmlformats.org/officeDocument/2006/relationships/hyperlink" Target="https://cdn.ittelkom-sby.ac.id/research/z1601352377e4c26a01351e53092941dfc2b7981f62.pdf" TargetMode="External"/><Relationship Id="rId271" Type="http://schemas.openxmlformats.org/officeDocument/2006/relationships/hyperlink" Target="https://cdn.ittelkom-sby.ac.id/research/z1615367298a4c851b68d404aa7b4302e0b6f6b2f97.pdf" TargetMode="External"/><Relationship Id="rId674" Type="http://schemas.openxmlformats.org/officeDocument/2006/relationships/hyperlink" Target="https://cdn.ittelkom-sby.ac.id/research/z1601432674440eb52e6223c89d093bd3b7fe1c37af.pdf" TargetMode="External"/><Relationship Id="rId24" Type="http://schemas.openxmlformats.org/officeDocument/2006/relationships/hyperlink" Target="https://drive.google.com/file/d/1ebxYiGHYh4H9kAB0UkeZz3DylZ5Tyii8/view?usp=drive_link" TargetMode="External"/><Relationship Id="rId66" Type="http://schemas.openxmlformats.org/officeDocument/2006/relationships/hyperlink" Target="https://cdn.ittelkom-sby.ac.id/research/z16940504197889ced6bbf9ccb7e7ed1062a0039207.pdf" TargetMode="External"/><Relationship Id="rId131" Type="http://schemas.openxmlformats.org/officeDocument/2006/relationships/hyperlink" Target="https://cdn.ittelkom-sby.ac.id/research/z16632076490fd3825c5583ed75ab9fe5c03fb28b48.pdf" TargetMode="External"/><Relationship Id="rId327" Type="http://schemas.openxmlformats.org/officeDocument/2006/relationships/hyperlink" Target="https://cdn.ittelkom-sby.ac.id/research/z1626852086ca66e89f02bc45b0b07d82b10217ae66.pdf" TargetMode="External"/><Relationship Id="rId369" Type="http://schemas.openxmlformats.org/officeDocument/2006/relationships/hyperlink" Target="https://cdn.ittelkom-sby.ac.id/research/z1663206227fbfa56198cdddaea7a2f279e89953797.pdf" TargetMode="External"/><Relationship Id="rId534" Type="http://schemas.openxmlformats.org/officeDocument/2006/relationships/hyperlink" Target="http://cdndata.telkomuniversity.ac.id/research/z1710947965cdb380bbe69465287e30118e9dcc7a8a.pdf" TargetMode="External"/><Relationship Id="rId576" Type="http://schemas.openxmlformats.org/officeDocument/2006/relationships/hyperlink" Target="../../../../../:b:/g/personal/lppm_ittelkom-sby_ac_id/EahPewzWc61Kh3feMCgxn2oBA_p2NuM8w58fRzzNegJA-A?e=feyRoZ" TargetMode="External"/><Relationship Id="rId741" Type="http://schemas.openxmlformats.org/officeDocument/2006/relationships/hyperlink" Target="https://iplatinum.telkomuniversity.ac.id/backoffice/selection/proposal/document/47" TargetMode="External"/><Relationship Id="rId783" Type="http://schemas.openxmlformats.org/officeDocument/2006/relationships/hyperlink" Target="../../../../../../:b:/g/personal/ppm_telkomuniversity_ac_id/EeKDVBP30FlAtkLoejBtKPgBMUYVNWOu5lOLWcmqvhmDhQ?e=VzeF8b" TargetMode="External"/><Relationship Id="rId173" Type="http://schemas.openxmlformats.org/officeDocument/2006/relationships/hyperlink" Target="https://cdn.ittelkom-sby.ac.id/research/z1633505936cb10a0c1115f85b629a1a0337903bb93.pdf" TargetMode="External"/><Relationship Id="rId229" Type="http://schemas.openxmlformats.org/officeDocument/2006/relationships/hyperlink" Target="https://cdn.ittelkom-sby.ac.id/research/z16014349194704f32e5533e95433d7be07bfc462e3.pdf" TargetMode="External"/><Relationship Id="rId380" Type="http://schemas.openxmlformats.org/officeDocument/2006/relationships/hyperlink" Target="https://cdn.ittelkom-sby.ac.id/research/z1670893432f18944aed4394ba1e89a9c855f4510f2.pdf" TargetMode="External"/><Relationship Id="rId436" Type="http://schemas.openxmlformats.org/officeDocument/2006/relationships/hyperlink" Target="https://cdn.ittelkom-sby.ac.id/research/z1597816042c76f2623f380f5063f5a4fe1f89502ea.pdf" TargetMode="External"/><Relationship Id="rId601" Type="http://schemas.openxmlformats.org/officeDocument/2006/relationships/hyperlink" Target="http://cdndata.telkomuniversity.ac.id/research/z1717732551b2f64c5775db75c0f0887c95285b2821.pdf" TargetMode="External"/><Relationship Id="rId643" Type="http://schemas.openxmlformats.org/officeDocument/2006/relationships/hyperlink" Target="https://cdn.ittelkom-sby.ac.id/research/z16013589774a73855c0b23b8059b5873d32cbf5fa1.pdf" TargetMode="External"/><Relationship Id="rId240" Type="http://schemas.openxmlformats.org/officeDocument/2006/relationships/hyperlink" Target="https://cdn.ittelkom-sby.ac.id/research/z1637338098409820885a8a00092d88f0251611a70c.pdf" TargetMode="External"/><Relationship Id="rId478" Type="http://schemas.openxmlformats.org/officeDocument/2006/relationships/hyperlink" Target="https://cdn.ittelkom-sby.ac.id/research/z17016742889bfa7452b59bdb3e65cdcf3bb30c690c.pdf" TargetMode="External"/><Relationship Id="rId685" Type="http://schemas.openxmlformats.org/officeDocument/2006/relationships/hyperlink" Target="../../../../../:b:/g/personal/lppmsby_telkomuniversity_ac_id/ERxA4ZxdGOBPkl4kUjkW7JEB7-BhGUqzZHrgjkvDILWdRw?e=9L4kSm" TargetMode="External"/><Relationship Id="rId35" Type="http://schemas.openxmlformats.org/officeDocument/2006/relationships/hyperlink" Target="https://drive.google.com/file/d/1Ed7bh1uv5p2eq-Kqq2WZ68_zhsVoQRcB/view?usp=drive_link" TargetMode="External"/><Relationship Id="rId77" Type="http://schemas.openxmlformats.org/officeDocument/2006/relationships/hyperlink" Target="https://cdn.ittelkom-sby.ac.id/research/z1675407478f8ad3733a700f7411b717ac27a6e1c18.pdf" TargetMode="External"/><Relationship Id="rId100" Type="http://schemas.openxmlformats.org/officeDocument/2006/relationships/hyperlink" Target="https://drive.google.com/file/d/1kN9AUR8ZI25qOnbsGspj-qQ8ez2J_CMr/view?usp=sharing" TargetMode="External"/><Relationship Id="rId282" Type="http://schemas.openxmlformats.org/officeDocument/2006/relationships/hyperlink" Target="https://cdn.ittelkom-sby.ac.id/research/z162695880634004a182fb426c16ae6b2426f4bb477.pdf" TargetMode="External"/><Relationship Id="rId338" Type="http://schemas.openxmlformats.org/officeDocument/2006/relationships/hyperlink" Target="https://cdn.ittelkom-sby.ac.id/research/z16439445840c370f89573d5b78669ad5df0e3a8d30.pdf" TargetMode="External"/><Relationship Id="rId503" Type="http://schemas.openxmlformats.org/officeDocument/2006/relationships/hyperlink" Target="http://cdndata.telkomuniversity.ac.id/research/z1711940671dac6666c453c1663f0f80e0e31185ae2.pdf" TargetMode="External"/><Relationship Id="rId545" Type="http://schemas.openxmlformats.org/officeDocument/2006/relationships/hyperlink" Target="http://cdndata.telkomuniversity.ac.id/research/z1710915319cde098fb517657a5faeff27f844093d9.pdf" TargetMode="External"/><Relationship Id="rId587" Type="http://schemas.openxmlformats.org/officeDocument/2006/relationships/hyperlink" Target="../../../../../:b:/g/personal/lppm_ittelkom-sby_ac_id/EahPewzWc61Kh3feMCgxn2oBA_p2NuM8w58fRzzNegJA-A?e=feyRoZ" TargetMode="External"/><Relationship Id="rId710" Type="http://schemas.openxmlformats.org/officeDocument/2006/relationships/hyperlink" Target="https://cdndata.telkomuniversity.ac.id/research/z17310721964d5777fb3c79792df716bf1618c7115a.pdf" TargetMode="External"/><Relationship Id="rId752" Type="http://schemas.openxmlformats.org/officeDocument/2006/relationships/hyperlink" Target="https://iplatinum.telkomuniversity.ac.id/backoffice/selection/proposal/document/230" TargetMode="External"/><Relationship Id="rId808" Type="http://schemas.openxmlformats.org/officeDocument/2006/relationships/hyperlink" Target="../../../../../../:b:/g/personal/ppm_telkomuniversity_ac_id/Eeljz77wIYRAhpaRk0AcdtYBGodXeCv8o0XLfNwsj3-4gg?e=81nffX" TargetMode="External"/><Relationship Id="rId8" Type="http://schemas.openxmlformats.org/officeDocument/2006/relationships/hyperlink" Target="https://drive.google.com/file/d/1i0fHqaZwXIrQE46RP6NOroYCrbpvZyJo/view?usp=drive_link" TargetMode="External"/><Relationship Id="rId142" Type="http://schemas.openxmlformats.org/officeDocument/2006/relationships/hyperlink" Target="https://cdn.ittelkom-sby.ac.id/research/z1675647766e097bd8c39813983d671b4495188bf6a.pdf" TargetMode="External"/><Relationship Id="rId184" Type="http://schemas.openxmlformats.org/officeDocument/2006/relationships/hyperlink" Target="https://cdn.ittelkom-sby.ac.id/research/z16335710834df6ffa6c9d474f8439c96768deba1a3.pdf" TargetMode="External"/><Relationship Id="rId391" Type="http://schemas.openxmlformats.org/officeDocument/2006/relationships/hyperlink" Target="https://cdn.ittelkom-sby.ac.id/research/z1649813673b04bd398ec247409b1e0121c295ebf9d.pdf" TargetMode="External"/><Relationship Id="rId405" Type="http://schemas.openxmlformats.org/officeDocument/2006/relationships/hyperlink" Target="../../../../../:b:/r/personal/lppm_ittelkom-sby_ac_id/Documents/2023/Hibah%20Eksternal/BIMA/Proposal/PENGENALAN%20EKSPRESI%20WAJAH%20MAHASISWA%20UNTUK%20MENDETEKSI%20SUASANA%20BELAJAR%20DI%20KELAS%20MENGGUNAKAN%20DEEP%20LEARNING%20(1).pdf?csf=1&amp;web=1&amp;e=pD0XKc" TargetMode="External"/><Relationship Id="rId447" Type="http://schemas.openxmlformats.org/officeDocument/2006/relationships/hyperlink" Target="https://cdn.ittelkom-sby.ac.id/research/z161076365873b2ddf53245fe207f121b0d27568ce5.pdf" TargetMode="External"/><Relationship Id="rId612" Type="http://schemas.openxmlformats.org/officeDocument/2006/relationships/hyperlink" Target="https://cdndata.telkomuniversity.ac.id/research/z17235146760bce680ce6d2f3733e9b7ab0c6f5f681.pdf" TargetMode="External"/><Relationship Id="rId794" Type="http://schemas.openxmlformats.org/officeDocument/2006/relationships/hyperlink" Target="../../../../../../:b:/g/personal/ppm_telkomuniversity_ac_id/EfpQNj1ZuT1Isuom2rOsgeoBepEKKjmFmr7vTGJMaUPZTA?e=eIbGwq" TargetMode="External"/><Relationship Id="rId251" Type="http://schemas.openxmlformats.org/officeDocument/2006/relationships/hyperlink" Target="https://cdn.ittelkom-sby.ac.id/research/z16155450989f06e3b4ca74787a5780b56b9526c906.pdf" TargetMode="External"/><Relationship Id="rId489" Type="http://schemas.openxmlformats.org/officeDocument/2006/relationships/hyperlink" Target="http://cdndata.telkomuniversity.ac.id/research/z17119411774fd1b6fe121083bd9e66a6399949ca56.pdf" TargetMode="External"/><Relationship Id="rId654" Type="http://schemas.openxmlformats.org/officeDocument/2006/relationships/hyperlink" Target="https://cdn.ittelkom-sby.ac.id/research/z16277265706f3e0284c5a542e63cb15e321d6ab290.pdf" TargetMode="External"/><Relationship Id="rId696" Type="http://schemas.openxmlformats.org/officeDocument/2006/relationships/hyperlink" Target="https://cdndata.telkomuniversity.ac.id/research/z1731638428f1e0613c189e8266e30fe7bbe2c905f9.pdf" TargetMode="External"/><Relationship Id="rId46" Type="http://schemas.openxmlformats.org/officeDocument/2006/relationships/hyperlink" Target="https://drive.google.com/file/d/1SYT6axc7xaeW-Xneu0ARl3-ZTDdL55Qj/view?usp=drive_link" TargetMode="External"/><Relationship Id="rId293" Type="http://schemas.openxmlformats.org/officeDocument/2006/relationships/hyperlink" Target="https://cdn.ittelkom-sby.ac.id/research/z1616147239f172aee698b0e65f0ee93eb8f42b35a4.pdf" TargetMode="External"/><Relationship Id="rId307" Type="http://schemas.openxmlformats.org/officeDocument/2006/relationships/hyperlink" Target="https://cdn.ittelkom-sby.ac.id/research/z1633747966648da99d77aa73da763112d571cb33dd.pdf" TargetMode="External"/><Relationship Id="rId349" Type="http://schemas.openxmlformats.org/officeDocument/2006/relationships/hyperlink" Target="https://cdn.ittelkom-sby.ac.id/research/z16432985844af15cfb9c42f139bf9039e8d598354b.pdf" TargetMode="External"/><Relationship Id="rId514" Type="http://schemas.openxmlformats.org/officeDocument/2006/relationships/hyperlink" Target="http://cdndata.telkomuniversity.ac.id/research/z17115204410f6061b019d962667fccf6b0befaa333.pdf" TargetMode="External"/><Relationship Id="rId556" Type="http://schemas.openxmlformats.org/officeDocument/2006/relationships/hyperlink" Target="http://cdndata.telkomuniversity.ac.id/research/z1710985069358017c2bfa669a222fecf3815c371c1.docx" TargetMode="External"/><Relationship Id="rId721" Type="http://schemas.openxmlformats.org/officeDocument/2006/relationships/hyperlink" Target="https://cdndata.telkomuniversity.ac.id/research/z17309684952865cb1fc0e6089d849741ed6f3e21d9.pdf" TargetMode="External"/><Relationship Id="rId763" Type="http://schemas.openxmlformats.org/officeDocument/2006/relationships/hyperlink" Target="https://iplatinum.telkomuniversity.ac.id/backoffice/selection/proposal/document/399" TargetMode="External"/><Relationship Id="rId88" Type="http://schemas.openxmlformats.org/officeDocument/2006/relationships/hyperlink" Target="https://drive.google.com/file/d/1dUl3uegcNTSWUyahIWcMsRCY0oxu1c-c/view?usp=sharing" TargetMode="External"/><Relationship Id="rId111" Type="http://schemas.openxmlformats.org/officeDocument/2006/relationships/hyperlink" Target="https://drive.google.com/file/d/1rNsDqWuFjZDxn2RDLQh-awZPoD3RFjoS/view?usp=sharing" TargetMode="External"/><Relationship Id="rId153" Type="http://schemas.openxmlformats.org/officeDocument/2006/relationships/hyperlink" Target="https://cdn.ittelkom-sby.ac.id/research/z169336475979d8817fc30b2f660f0aaf6a1f3be739.pdf" TargetMode="External"/><Relationship Id="rId195" Type="http://schemas.openxmlformats.org/officeDocument/2006/relationships/hyperlink" Target="https://cdn.ittelkom-sby.ac.id/research/z16280647943db6808cf98998457ccb70d49a38a3d0.pdf" TargetMode="External"/><Relationship Id="rId209" Type="http://schemas.openxmlformats.org/officeDocument/2006/relationships/hyperlink" Target="https://cdn.ittelkom-sby.ac.id/research/z1627970207251137c5f5a9c6fcbc1f570a15cb563d.pdf" TargetMode="External"/><Relationship Id="rId360" Type="http://schemas.openxmlformats.org/officeDocument/2006/relationships/hyperlink" Target="https://cdn.ittelkom-sby.ac.id/research/z1682566945fcfd76c04d3599c743741f34c63a6d32.pdf" TargetMode="External"/><Relationship Id="rId416" Type="http://schemas.openxmlformats.org/officeDocument/2006/relationships/hyperlink" Target="https://cdn.ittelkom-sby.ac.id/research/z169840380085f6d46546a6efcaacae718c54490f86.pdf" TargetMode="External"/><Relationship Id="rId598" Type="http://schemas.openxmlformats.org/officeDocument/2006/relationships/hyperlink" Target="https://drive.google.com/file/d/1DRn59qZAHopcHjd6sqmC7doaMhviVk33/view" TargetMode="External"/><Relationship Id="rId220" Type="http://schemas.openxmlformats.org/officeDocument/2006/relationships/hyperlink" Target="https://cdn.ittelkom-sby.ac.id/research/z16014360150c6ffc973933eff6b080dd37d9bf4749.pdf" TargetMode="External"/><Relationship Id="rId458" Type="http://schemas.openxmlformats.org/officeDocument/2006/relationships/hyperlink" Target="https://cdn.ittelkom-sby.ac.id/research/z1700560963413525157ce97fb655e413496e0c6e40.pdf" TargetMode="External"/><Relationship Id="rId623" Type="http://schemas.openxmlformats.org/officeDocument/2006/relationships/hyperlink" Target="https://cdn.ittelkom-sby.ac.id/research/z160135261681fa81dc4dbcc4290672ac5a153ae35c.pdf" TargetMode="External"/><Relationship Id="rId665" Type="http://schemas.openxmlformats.org/officeDocument/2006/relationships/hyperlink" Target="https://cdn.ittelkom-sby.ac.id/research/z16107633519f4c5f684482bda47c0a6bc02f3d73b6.pdf" TargetMode="External"/><Relationship Id="rId15" Type="http://schemas.openxmlformats.org/officeDocument/2006/relationships/hyperlink" Target="https://drive.google.com/file/d/1i0fHqaZwXIrQE46RP6NOroYCrbpvZyJo/view?usp=drive_link" TargetMode="External"/><Relationship Id="rId57" Type="http://schemas.openxmlformats.org/officeDocument/2006/relationships/hyperlink" Target="https://cdn.ittelkom-sby.ac.id/research/z169336683934e7913583b2cee142d11719568cfeb7.pdf" TargetMode="External"/><Relationship Id="rId262" Type="http://schemas.openxmlformats.org/officeDocument/2006/relationships/hyperlink" Target="https://cdn.ittelkom-sby.ac.id/research/z1615517057d0cb4693a3201a1fd1adae36a04df828.pdf" TargetMode="External"/><Relationship Id="rId318" Type="http://schemas.openxmlformats.org/officeDocument/2006/relationships/hyperlink" Target="https://cdn.ittelkom-sby.ac.id/research/z16385412011c8d63784c114c6f0055e3962c732af4.pdf" TargetMode="External"/><Relationship Id="rId525" Type="http://schemas.openxmlformats.org/officeDocument/2006/relationships/hyperlink" Target="https://cdn.ittelkom-sby.ac.id/research/z17097272379a323407788f679e97aad51921dac636.pdf" TargetMode="External"/><Relationship Id="rId567" Type="http://schemas.openxmlformats.org/officeDocument/2006/relationships/hyperlink" Target="../../../../../:b:/g/personal/lppm_ittelkom-sby_ac_id/EahPewzWc61Kh3feMCgxn2oBA_p2NuM8w58fRzzNegJA-A?e=feyRoZ" TargetMode="External"/><Relationship Id="rId732" Type="http://schemas.openxmlformats.org/officeDocument/2006/relationships/hyperlink" Target="https://cdndata.telkomuniversity.ac.id/research/z1741241543109712bbdc9ccb789a3d6f4e63c28524.pdf" TargetMode="External"/><Relationship Id="rId99" Type="http://schemas.openxmlformats.org/officeDocument/2006/relationships/hyperlink" Target="https://drive.google.com/file/d/1kN9AUR8ZI25qOnbsGspj-qQ8ez2J_CMr/view?usp=sharing" TargetMode="External"/><Relationship Id="rId122" Type="http://schemas.openxmlformats.org/officeDocument/2006/relationships/hyperlink" Target="https://drive.google.com/file/d/1wkzz3gTrNNJ5Mc08Hcfsf1hBERtViuqN/view?usp=sharing" TargetMode="External"/><Relationship Id="rId164" Type="http://schemas.openxmlformats.org/officeDocument/2006/relationships/hyperlink" Target="https://cdn.ittelkom-sby.ac.id/research/z16484661292e96d17047e90bf15518f5cd02274e3a.pdf" TargetMode="External"/><Relationship Id="rId371" Type="http://schemas.openxmlformats.org/officeDocument/2006/relationships/hyperlink" Target="https://cdn.ittelkom-sby.ac.id/research/z1646965170905390624681d6d5e4ce49c0a51e5b1b.pdf" TargetMode="External"/><Relationship Id="rId774" Type="http://schemas.openxmlformats.org/officeDocument/2006/relationships/hyperlink" Target="https://iplatinum.telkomuniversity.ac.id/backoffice/selection/proposal/document/666" TargetMode="External"/><Relationship Id="rId427" Type="http://schemas.openxmlformats.org/officeDocument/2006/relationships/hyperlink" Target="https://drive.google.com/file/d/1qtuSUpN4j6nQfnG760vjpRZq14Hwy3gZ/view?usp=drive_link" TargetMode="External"/><Relationship Id="rId469" Type="http://schemas.openxmlformats.org/officeDocument/2006/relationships/hyperlink" Target="../../../../../:b:/g/personal/lppm_ittelkom-sby_ac_id/EVytRgs70Q5PqPX-Iw8mPboBvoq08CAOQx6dUklfHXS9Bw?e=YLmvBV" TargetMode="External"/><Relationship Id="rId634" Type="http://schemas.openxmlformats.org/officeDocument/2006/relationships/hyperlink" Target="https://cdn.ittelkom-sby.ac.id/research/z1601352482a21c2e61a1f8565a1811e87d2719fd08.pdf" TargetMode="External"/><Relationship Id="rId676" Type="http://schemas.openxmlformats.org/officeDocument/2006/relationships/hyperlink" Target="https://cdn.ittelkom-sby.ac.id/research/z1601432816395bc85bda5597f06b5b37bec8d854e3.pdf" TargetMode="External"/><Relationship Id="rId26" Type="http://schemas.openxmlformats.org/officeDocument/2006/relationships/hyperlink" Target="https://drive.google.com/file/d/1ebxYiGHYh4H9kAB0UkeZz3DylZ5Tyii8/view?usp=drive_link" TargetMode="External"/><Relationship Id="rId231" Type="http://schemas.openxmlformats.org/officeDocument/2006/relationships/hyperlink" Target="https://cdn.ittelkom-sby.ac.id/research/z161535800454d37d38339885489c1ccfa84c8a124d.pdf" TargetMode="External"/><Relationship Id="rId273" Type="http://schemas.openxmlformats.org/officeDocument/2006/relationships/hyperlink" Target="https://cdn.ittelkom-sby.ac.id/research/z1638523178de1977f51b8d3496c660242c1ded210d.pdf" TargetMode="External"/><Relationship Id="rId329" Type="http://schemas.openxmlformats.org/officeDocument/2006/relationships/hyperlink" Target="https://cdn.ittelkom-sby.ac.id/research/z1627005614685f7fb26e7b25884a6cd516e5c65c4c.pdf" TargetMode="External"/><Relationship Id="rId480" Type="http://schemas.openxmlformats.org/officeDocument/2006/relationships/hyperlink" Target="https://cdn.ittelkom-sby.ac.id/research/z1702973956e6b95b8259320b543080582f9038dd1e.pdf" TargetMode="External"/><Relationship Id="rId536" Type="http://schemas.openxmlformats.org/officeDocument/2006/relationships/hyperlink" Target="http://cdndata.telkomuniversity.ac.id/research/z1710928502e6d47dc85ccc4ae534a7408a33539e69.pdf" TargetMode="External"/><Relationship Id="rId701" Type="http://schemas.openxmlformats.org/officeDocument/2006/relationships/hyperlink" Target="https://cdndata.telkomuniversity.ac.id/research/z173410749630937a51ba4751d358bc8ca553fe74bc.pdf" TargetMode="External"/><Relationship Id="rId68" Type="http://schemas.openxmlformats.org/officeDocument/2006/relationships/hyperlink" Target="https://cdn.ittelkom-sby.ac.id/research/z16933643141fbe09b50d79c64ec1cba811e544a58d.pdf" TargetMode="External"/><Relationship Id="rId133" Type="http://schemas.openxmlformats.org/officeDocument/2006/relationships/hyperlink" Target="https://cdn.ittelkom-sby.ac.id/research/z1654829961845a643ed74a22d79857ce0601865686.pdf" TargetMode="External"/><Relationship Id="rId175" Type="http://schemas.openxmlformats.org/officeDocument/2006/relationships/hyperlink" Target="https://cdn.ittelkom-sby.ac.id/research/z16335061875abea64f46d38c95a36cad960ee0465b.pdf" TargetMode="External"/><Relationship Id="rId340" Type="http://schemas.openxmlformats.org/officeDocument/2006/relationships/hyperlink" Target="https://cdn.ittelkom-sby.ac.id/research/z164327565016c5c104725e525f6fbef70e1fd6e952.pdf" TargetMode="External"/><Relationship Id="rId578" Type="http://schemas.openxmlformats.org/officeDocument/2006/relationships/hyperlink" Target="../../../../../:b:/g/personal/lppm_ittelkom-sby_ac_id/EahPewzWc61Kh3feMCgxn2oBA_p2NuM8w58fRzzNegJA-A?e=feyRoZ" TargetMode="External"/><Relationship Id="rId743" Type="http://schemas.openxmlformats.org/officeDocument/2006/relationships/hyperlink" Target="https://iplatinum.telkomuniversity.ac.id/backoffice/selection/proposal/document/73" TargetMode="External"/><Relationship Id="rId785" Type="http://schemas.openxmlformats.org/officeDocument/2006/relationships/hyperlink" Target="../../../../../../:b:/g/personal/ppm_telkomuniversity_ac_id/EfOC2QuMo8NCuXtBEJTqrzEBv-IUbxEIp0DdiaAN03nYXA?e=DrkRap" TargetMode="External"/><Relationship Id="rId200" Type="http://schemas.openxmlformats.org/officeDocument/2006/relationships/hyperlink" Target="https://cdn.ittelkom-sby.ac.id/research/z1628062579ae931b5479e03fea7fc01e2ef4dfd453.pdf" TargetMode="External"/><Relationship Id="rId382" Type="http://schemas.openxmlformats.org/officeDocument/2006/relationships/hyperlink" Target="https://cdn.ittelkom-sby.ac.id/research/z16439498775bd1b227273f22a22d4d3bacbfe6ada6.pdf" TargetMode="External"/><Relationship Id="rId438" Type="http://schemas.openxmlformats.org/officeDocument/2006/relationships/hyperlink" Target="https://cdn.ittelkom-sby.ac.id/research/z15978167393d4349f56ab2ea9371344ada366f91f7.pdf" TargetMode="External"/><Relationship Id="rId603" Type="http://schemas.openxmlformats.org/officeDocument/2006/relationships/hyperlink" Target="http://cdndata.telkomuniversity.ac.id/research/z1718005725e3e5ce7e2b17c058aacbd7bea7a5bc84.pdf" TargetMode="External"/><Relationship Id="rId645" Type="http://schemas.openxmlformats.org/officeDocument/2006/relationships/hyperlink" Target="https://cdn.ittelkom-sby.ac.id/research/z1627715667a4f370919d7cc3503a06d42ad64a6c16.pdf" TargetMode="External"/><Relationship Id="rId687" Type="http://schemas.openxmlformats.org/officeDocument/2006/relationships/hyperlink" Target="../../../../../../:b:/g/personal/lppmsby_telkomuniversity_ac_id/ETPxNx26MBZDn4VUFvPfTMwBBjdA-NqbJ22RY3Q3bJU5Fw?e=lcrdIz" TargetMode="External"/><Relationship Id="rId810" Type="http://schemas.openxmlformats.org/officeDocument/2006/relationships/hyperlink" Target="../../../../../../:b:/g/personal/ppm_telkomuniversity_ac_id/EXCbI8v2Ls1Ei21lYhi0NB0B-LMljJN2OBgNEooDDDMxbQ?e=qIyjPj" TargetMode="External"/><Relationship Id="rId242" Type="http://schemas.openxmlformats.org/officeDocument/2006/relationships/hyperlink" Target="https://cdn.ittelkom-sby.ac.id/research/z16373256556d4b2e6169162b0b202a1cd8c41dcdcc.pdf" TargetMode="External"/><Relationship Id="rId284" Type="http://schemas.openxmlformats.org/officeDocument/2006/relationships/hyperlink" Target="https://cdn.ittelkom-sby.ac.id/research/z16155416900a0ab934212744c9891fa731bc4c64cd.pdf" TargetMode="External"/><Relationship Id="rId491" Type="http://schemas.openxmlformats.org/officeDocument/2006/relationships/hyperlink" Target="http://cdndata.telkomuniversity.ac.id/research/z1711941197cb47f86a4204f0c902f35c509748c5a5.pdf" TargetMode="External"/><Relationship Id="rId505" Type="http://schemas.openxmlformats.org/officeDocument/2006/relationships/hyperlink" Target="http://cdndata.telkomuniversity.ac.id/research/z1711940700a34215fe877714737b4cd03f6705f9ff.pdf" TargetMode="External"/><Relationship Id="rId712" Type="http://schemas.openxmlformats.org/officeDocument/2006/relationships/hyperlink" Target="https://cdndata.telkomuniversity.ac.id/research/z17310589316b3d1ee36312e5e3eba74b8b8ad29b4b.pdf" TargetMode="External"/><Relationship Id="rId37" Type="http://schemas.openxmlformats.org/officeDocument/2006/relationships/hyperlink" Target="https://drive.google.com/file/d/1SYT6axc7xaeW-Xneu0ARl3-ZTDdL55Qj/view?usp=drive_link" TargetMode="External"/><Relationship Id="rId79" Type="http://schemas.openxmlformats.org/officeDocument/2006/relationships/hyperlink" Target="https://cdn.ittelkom-sby.ac.id/research/z16850681131cffcef9d756d115ec61dd81d2900bc7.pdf" TargetMode="External"/><Relationship Id="rId102" Type="http://schemas.openxmlformats.org/officeDocument/2006/relationships/hyperlink" Target="https://drive.google.com/file/d/1eWHdlvsmIetgh5nZpX1Q0auvNEAVgdAq/view?usp=sharing" TargetMode="External"/><Relationship Id="rId144" Type="http://schemas.openxmlformats.org/officeDocument/2006/relationships/hyperlink" Target="https://cdn.ittelkom-sby.ac.id/research/z16756476947a3f1a0dd30b679ab6bad7a4cc2707e9.pdf" TargetMode="External"/><Relationship Id="rId547" Type="http://schemas.openxmlformats.org/officeDocument/2006/relationships/hyperlink" Target="http://cdndata.telkomuniversity.ac.id/research/z1710911502659e86d6c0ed6dd23cd7fe0e99520990.pdf" TargetMode="External"/><Relationship Id="rId589" Type="http://schemas.openxmlformats.org/officeDocument/2006/relationships/hyperlink" Target="../../../../../:b:/g/personal/lppm_ittelkom-sby_ac_id/EahPewzWc61Kh3feMCgxn2oBA_p2NuM8w58fRzzNegJA-A?e=feyRoZ" TargetMode="External"/><Relationship Id="rId754" Type="http://schemas.openxmlformats.org/officeDocument/2006/relationships/hyperlink" Target="https://iplatinum.telkomuniversity.ac.id/backoffice/selection/proposal/document/287" TargetMode="External"/><Relationship Id="rId796" Type="http://schemas.openxmlformats.org/officeDocument/2006/relationships/hyperlink" Target="../../../../../../:b:/g/personal/ppm_telkomuniversity_ac_id/ES-6jlq98KFEtH84OVZm0fEBNV8H-EtxW2v9_Di6vM5bUQ?e=3FRC89" TargetMode="External"/><Relationship Id="rId90" Type="http://schemas.openxmlformats.org/officeDocument/2006/relationships/hyperlink" Target="https://drive.google.com/file/d/1-nBJ81w25lg2Xh4WqbLR26Y0UXjNNEXx/view?usp=sharing" TargetMode="External"/><Relationship Id="rId186" Type="http://schemas.openxmlformats.org/officeDocument/2006/relationships/hyperlink" Target="https://cdn.ittelkom-sby.ac.id/research/z162807662455b92fda325949f305d66ea0f3fc2812.pdf" TargetMode="External"/><Relationship Id="rId351" Type="http://schemas.openxmlformats.org/officeDocument/2006/relationships/hyperlink" Target="https://cdn.ittelkom-sby.ac.id/research/z1643853466032232aa95aeffe8dda9e1e7910c4110.pdf" TargetMode="External"/><Relationship Id="rId393" Type="http://schemas.openxmlformats.org/officeDocument/2006/relationships/hyperlink" Target="https://cdn.ittelkom-sby.ac.id/research/z169336709610ea601d56ffdae45d4e616372e9ec67.pdf" TargetMode="External"/><Relationship Id="rId407" Type="http://schemas.openxmlformats.org/officeDocument/2006/relationships/hyperlink" Target="../../../../../:b:/r/personal/lppm_ittelkom-sby_ac_id/Documents/2023/Hibah%20Eksternal/BIMA/Proposal/Rancang%20bangun%20reliable%20flood%20early%20warning%20system%20RFEWS%20untuk%20Kota%20Surabaya%20menggunakan%20optimized%20artificial%20intelligence%20model%20(1).pdf?csf=1&amp;web=1&amp;e=TU27B5" TargetMode="External"/><Relationship Id="rId449" Type="http://schemas.openxmlformats.org/officeDocument/2006/relationships/hyperlink" Target="https://cdn.ittelkom-sby.ac.id/research/z1610763738c2734d84b71da3813a1575d66e0d8e14.pdf" TargetMode="External"/><Relationship Id="rId614" Type="http://schemas.openxmlformats.org/officeDocument/2006/relationships/hyperlink" Target="../../../../../:b:/g/personal/lppmsby_telkomuniversity_ac_id/EREV0Djtb_NItiaaBsoC3B4B4ShokC7ucq-exZOrj_LNTA?e=lA3KwM" TargetMode="External"/><Relationship Id="rId656" Type="http://schemas.openxmlformats.org/officeDocument/2006/relationships/hyperlink" Target="https://cdn.ittelkom-sby.ac.id/research/z1601362086975baaa41638d4b649eae8386449ad5a.pdf" TargetMode="External"/><Relationship Id="rId211" Type="http://schemas.openxmlformats.org/officeDocument/2006/relationships/hyperlink" Target="https://cdn.ittelkom-sby.ac.id/research/z1627970399552382dfdb7c5a5c16572d24dcd3a301.pdf" TargetMode="External"/><Relationship Id="rId253" Type="http://schemas.openxmlformats.org/officeDocument/2006/relationships/hyperlink" Target="https://cdn.ittelkom-sby.ac.id/research/z1637306871bd792dac02a68e66a32ce988347e52f6.pdf" TargetMode="External"/><Relationship Id="rId295" Type="http://schemas.openxmlformats.org/officeDocument/2006/relationships/hyperlink" Target="https://cdn.ittelkom-sby.ac.id/research/z1633710558563b5208d0280c3d0b3ead7a17a25246.pdf" TargetMode="External"/><Relationship Id="rId309" Type="http://schemas.openxmlformats.org/officeDocument/2006/relationships/hyperlink" Target="https://cdn.ittelkom-sby.ac.id/research/z16155592590281bc86904fe2da6d816a26f60c1c38.pdf" TargetMode="External"/><Relationship Id="rId460" Type="http://schemas.openxmlformats.org/officeDocument/2006/relationships/hyperlink" Target="../../../../../:b:/g/personal/lppm_ittelkom-sby_ac_id/EbqJVk08DrJEie8ra56uf4QBGCC60mFx_p6c4jodFwZSXA?e=Itlwrx" TargetMode="External"/><Relationship Id="rId516" Type="http://schemas.openxmlformats.org/officeDocument/2006/relationships/hyperlink" Target="https://cdn.ittelkom-sby.ac.id/research/z1713314403313637a66308986a42bfc3e697801779.pdf" TargetMode="External"/><Relationship Id="rId698" Type="http://schemas.openxmlformats.org/officeDocument/2006/relationships/hyperlink" Target="https://cdndata.telkomuniversity.ac.id/research/z17369301446a1dd161c2810d9283e8490fd90352a1.pdf" TargetMode="External"/><Relationship Id="rId48" Type="http://schemas.openxmlformats.org/officeDocument/2006/relationships/hyperlink" Target="https://drive.google.com/file/d/1SYT6axc7xaeW-Xneu0ARl3-ZTDdL55Qj/view?usp=drive_link" TargetMode="External"/><Relationship Id="rId113" Type="http://schemas.openxmlformats.org/officeDocument/2006/relationships/hyperlink" Target="https://drive.google.com/file/d/1XM7vIoHUL9a6CbsslKxO9hvcGqTCubZ4/view?usp=sharing" TargetMode="External"/><Relationship Id="rId320" Type="http://schemas.openxmlformats.org/officeDocument/2006/relationships/hyperlink" Target="https://cdn.ittelkom-sby.ac.id/research/z1638376748affa80e0c858a9d58956b936bbc79268.pdf" TargetMode="External"/><Relationship Id="rId558" Type="http://schemas.openxmlformats.org/officeDocument/2006/relationships/hyperlink" Target="http://cdndata.telkomuniversity.ac.id/research/z17109244430fa7ccfe652090e3941f0ed426af57af.pdf" TargetMode="External"/><Relationship Id="rId723" Type="http://schemas.openxmlformats.org/officeDocument/2006/relationships/hyperlink" Target="https://cdndata.telkomuniversity.ac.id/research/z1731769546ade8755c8c121699bab10346e6d955e9.pdf" TargetMode="External"/><Relationship Id="rId765" Type="http://schemas.openxmlformats.org/officeDocument/2006/relationships/hyperlink" Target="https://iplatinum.telkomuniversity.ac.id/backoffice/selection/proposal/document/468" TargetMode="External"/><Relationship Id="rId155" Type="http://schemas.openxmlformats.org/officeDocument/2006/relationships/hyperlink" Target="https://cdn.ittelkom-sby.ac.id/research/z1693365098a9d05704e472f54c190cd5666e634804.pdf" TargetMode="External"/><Relationship Id="rId197" Type="http://schemas.openxmlformats.org/officeDocument/2006/relationships/hyperlink" Target="https://cdn.ittelkom-sby.ac.id/research/z1628062746cfa3e123d67e15af0886aebf448d8693.pdf" TargetMode="External"/><Relationship Id="rId362" Type="http://schemas.openxmlformats.org/officeDocument/2006/relationships/hyperlink" Target="https://cdn.ittelkom-sby.ac.id/research/z166509412030c514102daf5231a675884f26f4fa53.pdf" TargetMode="External"/><Relationship Id="rId418" Type="http://schemas.openxmlformats.org/officeDocument/2006/relationships/hyperlink" Target="https://cdn.ittelkom-sby.ac.id/research/z16983229306475c1e73537f98a2bd5de8889fb49e4.pdf" TargetMode="External"/><Relationship Id="rId625" Type="http://schemas.openxmlformats.org/officeDocument/2006/relationships/hyperlink" Target="https://cdn.ittelkom-sby.ac.id/research/z160135261681fa81dc4dbcc4290672ac5a153ae35c.pdf" TargetMode="External"/><Relationship Id="rId222" Type="http://schemas.openxmlformats.org/officeDocument/2006/relationships/hyperlink" Target="https://cdn.ittelkom-sby.ac.id/research/z16014349675c2ca569d300683cea9720acdc8287d2.pdf" TargetMode="External"/><Relationship Id="rId264" Type="http://schemas.openxmlformats.org/officeDocument/2006/relationships/hyperlink" Target="https://cdn.ittelkom-sby.ac.id/research/z16155382711fdec6321b65bf6b6f9fb6173950ef5d.pdf" TargetMode="External"/><Relationship Id="rId471" Type="http://schemas.openxmlformats.org/officeDocument/2006/relationships/hyperlink" Target="../../../../../:b:/g/personal/lppm_ittelkom-sby_ac_id/EU_G6bvU-pZLmFD89xcz3-wBPWIBOeGQRMBM4jbd2ZUdNw?e=LtzFRz" TargetMode="External"/><Relationship Id="rId667" Type="http://schemas.openxmlformats.org/officeDocument/2006/relationships/hyperlink" Target="https://cdn.ittelkom-sby.ac.id/research/z1601362619e704061ebd098c38afd2b37099186e61.pdf" TargetMode="External"/><Relationship Id="rId17" Type="http://schemas.openxmlformats.org/officeDocument/2006/relationships/hyperlink" Target="https://drive.google.com/file/d/1ebxYiGHYh4H9kAB0UkeZz3DylZ5Tyii8/view?usp=drive_link" TargetMode="External"/><Relationship Id="rId59" Type="http://schemas.openxmlformats.org/officeDocument/2006/relationships/hyperlink" Target="https://cdn.ittelkom-sby.ac.id/research/z1693384495f8c692df79786269287af5fcc2b0bcc1.pdf" TargetMode="External"/><Relationship Id="rId124" Type="http://schemas.openxmlformats.org/officeDocument/2006/relationships/hyperlink" Target="https://cdn.ittelkom-sby.ac.id/research/z1654826879878cd79d0f3d1d9afc5fc75c6ec1d4a5.pdf" TargetMode="External"/><Relationship Id="rId527" Type="http://schemas.openxmlformats.org/officeDocument/2006/relationships/hyperlink" Target="https://cdn.ittelkom-sby.ac.id/research/z1709717856b29d2bd1896e766c3feab357989ba596.pdf" TargetMode="External"/><Relationship Id="rId569" Type="http://schemas.openxmlformats.org/officeDocument/2006/relationships/hyperlink" Target="../../../../../:b:/g/personal/lppm_ittelkom-sby_ac_id/EahPewzWc61Kh3feMCgxn2oBA_p2NuM8w58fRzzNegJA-A?e=feyRoZ" TargetMode="External"/><Relationship Id="rId734" Type="http://schemas.openxmlformats.org/officeDocument/2006/relationships/hyperlink" Target="https://cdndata.telkomuniversity.ac.id/research/z1721033717e796856e27bcf691d4f03304e8fa45c9.pdf" TargetMode="External"/><Relationship Id="rId776" Type="http://schemas.openxmlformats.org/officeDocument/2006/relationships/hyperlink" Target="https://iplatinum.telkomuniversity.ac.id/backoffice/selection/proposal/document/685" TargetMode="External"/><Relationship Id="rId70" Type="http://schemas.openxmlformats.org/officeDocument/2006/relationships/hyperlink" Target="https://cdn.ittelkom-sby.ac.id/research/z16974474722854e5c47c50ee61e1091dc2bcc97545.pdf" TargetMode="External"/><Relationship Id="rId166" Type="http://schemas.openxmlformats.org/officeDocument/2006/relationships/hyperlink" Target="https://cdn.ittelkom-sby.ac.id/research/z1663209264c08d93d598cd5bd4c21c6fbf03313798.pdf" TargetMode="External"/><Relationship Id="rId331" Type="http://schemas.openxmlformats.org/officeDocument/2006/relationships/hyperlink" Target="https://cdn.ittelkom-sby.ac.id/research/z1626421912b76befe451c68dbb82d8267a837616b8.pdf" TargetMode="External"/><Relationship Id="rId373" Type="http://schemas.openxmlformats.org/officeDocument/2006/relationships/hyperlink" Target="https://cdn.ittelkom-sby.ac.id/research/z1646979939ce3413fa580a40fd7551f462216bde79.pdf" TargetMode="External"/><Relationship Id="rId429" Type="http://schemas.openxmlformats.org/officeDocument/2006/relationships/hyperlink" Target="https://docs.google.com/document/d/13HFA4CK9wG52DqzCdjgoGoERtDL-QGrC/edit?usp=drive_link&amp;ouid=113387123707045224599&amp;rtpof=true&amp;sd=true" TargetMode="External"/><Relationship Id="rId580" Type="http://schemas.openxmlformats.org/officeDocument/2006/relationships/hyperlink" Target="../../../../../:b:/g/personal/lppm_ittelkom-sby_ac_id/EahPewzWc61Kh3feMCgxn2oBA_p2NuM8w58fRzzNegJA-A?e=feyRoZ" TargetMode="External"/><Relationship Id="rId636" Type="http://schemas.openxmlformats.org/officeDocument/2006/relationships/hyperlink" Target="https://cdn.ittelkom-sby.ac.id/research/z1601352456aa00eb217b01865bf80802d94737ecec.pdf" TargetMode="External"/><Relationship Id="rId801" Type="http://schemas.openxmlformats.org/officeDocument/2006/relationships/hyperlink" Target="../../../../../../:b:/g/personal/ppm_telkomuniversity_ac_id/EdX_9hx7u7BGq0e_OU6tdakB0QBQw8vk5Sz2EtzW-Po8KQ?e=UMUPj4" TargetMode="External"/><Relationship Id="rId1" Type="http://schemas.openxmlformats.org/officeDocument/2006/relationships/hyperlink" Target="https://drive.google.com/file/d/1cG41FvB4F3s0nJSliSm_dRv9j3rQCH-U/view?usp=drive_link" TargetMode="External"/><Relationship Id="rId233" Type="http://schemas.openxmlformats.org/officeDocument/2006/relationships/hyperlink" Target="https://cdn.ittelkom-sby.ac.id/research/z1615274204b4602174f3d567295c5c698c018b6d67.pdf" TargetMode="External"/><Relationship Id="rId440" Type="http://schemas.openxmlformats.org/officeDocument/2006/relationships/hyperlink" Target="https://cdn.ittelkom-sby.ac.id/research/z1597739312a072117c37b198fbad487007507b9cb5.pdf" TargetMode="External"/><Relationship Id="rId678" Type="http://schemas.openxmlformats.org/officeDocument/2006/relationships/hyperlink" Target="http://cdndata.telkomuniversity.ac.id/research/z1726627489b760515c6294e235bfb99e27bdd76322.pdf" TargetMode="External"/><Relationship Id="rId28" Type="http://schemas.openxmlformats.org/officeDocument/2006/relationships/hyperlink" Target="https://drive.google.com/file/d/1Cj0oLN2ZcoOSZ9b8cCaCqE8SUJkHJ4Qq/view?usp=drive_link" TargetMode="External"/><Relationship Id="rId275" Type="http://schemas.openxmlformats.org/officeDocument/2006/relationships/hyperlink" Target="https://cdn.ittelkom-sby.ac.id/research/z1637316084b203d18f13b57c069026a969a62b70d3.pdf" TargetMode="External"/><Relationship Id="rId300" Type="http://schemas.openxmlformats.org/officeDocument/2006/relationships/hyperlink" Target="https://cdn.ittelkom-sby.ac.id/research/z16166745436783fde6f5447df4d8fb050a9f1c1a2d.pdf" TargetMode="External"/><Relationship Id="rId482" Type="http://schemas.openxmlformats.org/officeDocument/2006/relationships/hyperlink" Target="https://cdn.ittelkom-sby.ac.id/research/z1703833473abc223923a4935b209be1ec932b0f7d4.pdf" TargetMode="External"/><Relationship Id="rId538" Type="http://schemas.openxmlformats.org/officeDocument/2006/relationships/hyperlink" Target="http://cdndata.telkomuniversity.ac.id/research/z17108267889a5815d37c0e61c6a12f59d5a77b86d5.pdf" TargetMode="External"/><Relationship Id="rId703" Type="http://schemas.openxmlformats.org/officeDocument/2006/relationships/hyperlink" Target="https://cdndata.telkomuniversity.ac.id/research/z17368259906bba3ac42572fa09330b181de35936bf.pdf" TargetMode="External"/><Relationship Id="rId745" Type="http://schemas.openxmlformats.org/officeDocument/2006/relationships/hyperlink" Target="https://iplatinum.telkomuniversity.ac.id/backoffice/selection/proposal/document/89" TargetMode="External"/><Relationship Id="rId81" Type="http://schemas.openxmlformats.org/officeDocument/2006/relationships/hyperlink" Target="https://cdn.ittelkom-sby.ac.id/research/z1675407310a390b20b5aaa2208d2892f345c9d5f1b.pdf" TargetMode="External"/><Relationship Id="rId135" Type="http://schemas.openxmlformats.org/officeDocument/2006/relationships/hyperlink" Target="https://cdn.ittelkom-sby.ac.id/research/z1654829722d7b9cc26d2de8b4b13926154d47a8372.pdf" TargetMode="External"/><Relationship Id="rId177" Type="http://schemas.openxmlformats.org/officeDocument/2006/relationships/hyperlink" Target="https://cdn.ittelkom-sby.ac.id/research/z16280641942dfb6cc845d420e3c816c92c694fad60.pdf" TargetMode="External"/><Relationship Id="rId342" Type="http://schemas.openxmlformats.org/officeDocument/2006/relationships/hyperlink" Target="https://cdn.ittelkom-sby.ac.id/research/z164330241242049a947ab6c0f285c1d15f1035ebf8.pdf" TargetMode="External"/><Relationship Id="rId384" Type="http://schemas.openxmlformats.org/officeDocument/2006/relationships/hyperlink" Target="https://cdn.ittelkom-sby.ac.id/research/z16484661292e96d17047e90bf15518f5cd02274e3a.pdf" TargetMode="External"/><Relationship Id="rId591" Type="http://schemas.openxmlformats.org/officeDocument/2006/relationships/hyperlink" Target="../../../../../:b:/g/personal/lppm_ittelkom-sby_ac_id/ETr56jffCEtFrp6VVgXN_TkBZ64i9BiV2p-V1El612Nf9g?e=0nzgIE" TargetMode="External"/><Relationship Id="rId605" Type="http://schemas.openxmlformats.org/officeDocument/2006/relationships/hyperlink" Target="http://cdndata.telkomuniversity.ac.id/research/z1723513152c176a39e55d2baa5c07268797d733721.pdf" TargetMode="External"/><Relationship Id="rId787" Type="http://schemas.openxmlformats.org/officeDocument/2006/relationships/hyperlink" Target="../../../../../../:b:/g/personal/ppm_telkomuniversity_ac_id/EUqFrHgYrGBApOxftmT2c_kBugxuROnNzGgGqXsbII76qg?e=86JvHp" TargetMode="External"/><Relationship Id="rId812" Type="http://schemas.openxmlformats.org/officeDocument/2006/relationships/printerSettings" Target="../printerSettings/printerSettings2.bin"/><Relationship Id="rId202" Type="http://schemas.openxmlformats.org/officeDocument/2006/relationships/hyperlink" Target="https://cdn.ittelkom-sby.ac.id/research/z162806135802b5163f72e4e48db1ed6492ad44dfbf.pdf" TargetMode="External"/><Relationship Id="rId244" Type="http://schemas.openxmlformats.org/officeDocument/2006/relationships/hyperlink" Target="https://cdn.ittelkom-sby.ac.id/research/z16373096604d50cb51579e5b66d21bced3b9ee6300.pdf" TargetMode="External"/><Relationship Id="rId647" Type="http://schemas.openxmlformats.org/officeDocument/2006/relationships/hyperlink" Target="https://cdn.ittelkom-sby.ac.id/research/z1601359604ffe00667a96321e26196896b793da91e.pdf" TargetMode="External"/><Relationship Id="rId689" Type="http://schemas.openxmlformats.org/officeDocument/2006/relationships/hyperlink" Target="../../../../../../:b:/g/personal/lppmsby_telkomuniversity_ac_id/EQDTWTuR4bZKqFHvcrMdfE8BMRxUd1WzoPOh9_EJUeuStg?e=PzWTV7" TargetMode="External"/><Relationship Id="rId39" Type="http://schemas.openxmlformats.org/officeDocument/2006/relationships/hyperlink" Target="https://drive.google.com/file/d/1SYT6axc7xaeW-Xneu0ARl3-ZTDdL55Qj/view?usp=drive_link" TargetMode="External"/><Relationship Id="rId286" Type="http://schemas.openxmlformats.org/officeDocument/2006/relationships/hyperlink" Target="https://cdn.ittelkom-sby.ac.id/research/z1615541832001ce00e0b1ff4b4709cb8c754729ebe.pdf" TargetMode="External"/><Relationship Id="rId451" Type="http://schemas.openxmlformats.org/officeDocument/2006/relationships/hyperlink" Target="https://cdn.ittelkom-sby.ac.id/research/z16107640965b7babfc32e7ff86b41eb65e7718e412.pdf" TargetMode="External"/><Relationship Id="rId493" Type="http://schemas.openxmlformats.org/officeDocument/2006/relationships/hyperlink" Target="http://cdndata.telkomuniversity.ac.id/research/z1711941213806652e0f31e84a7760108794e2904fb.pdf" TargetMode="External"/><Relationship Id="rId507" Type="http://schemas.openxmlformats.org/officeDocument/2006/relationships/hyperlink" Target="http://cdndata.telkomuniversity.ac.id/research/z1711521064e3164b3651e8ec186061d1bf119375cb.pdf" TargetMode="External"/><Relationship Id="rId549" Type="http://schemas.openxmlformats.org/officeDocument/2006/relationships/hyperlink" Target="http://cdndata.telkomuniversity.ac.id/research/z1710919033846a2884e756eab7d2a9e67578ba6cc5.pdf" TargetMode="External"/><Relationship Id="rId714" Type="http://schemas.openxmlformats.org/officeDocument/2006/relationships/hyperlink" Target="https://cdndata.telkomuniversity.ac.id/research/z1731046109c629fc16e5527e935d0d7ecca9cff0f4.pdf" TargetMode="External"/><Relationship Id="rId756" Type="http://schemas.openxmlformats.org/officeDocument/2006/relationships/hyperlink" Target="https://iplatinum.telkomuniversity.ac.id/backoffice/selection/proposal/document/309" TargetMode="External"/><Relationship Id="rId50" Type="http://schemas.openxmlformats.org/officeDocument/2006/relationships/hyperlink" Target="https://cdn.ittelkom-sby.ac.id/research/z1693363316c91091b9568181deb0fa8d05a39450ad.pdf" TargetMode="External"/><Relationship Id="rId104" Type="http://schemas.openxmlformats.org/officeDocument/2006/relationships/hyperlink" Target="https://drive.google.com/file/d/1lbkVbMHsaIbvmgVKzlVe7W7xPuD_jWyy/view?usp=sharing" TargetMode="External"/><Relationship Id="rId146" Type="http://schemas.openxmlformats.org/officeDocument/2006/relationships/hyperlink" Target="https://cdn.ittelkom-sby.ac.id/research/z1688717476af747db65af1f08d5eab67d00961c8f5.pdf" TargetMode="External"/><Relationship Id="rId188" Type="http://schemas.openxmlformats.org/officeDocument/2006/relationships/hyperlink" Target="https://cdn.ittelkom-sby.ac.id/research/z1628065067ba9cffd24167ab2e566286a2b4009f60.pdf" TargetMode="External"/><Relationship Id="rId311" Type="http://schemas.openxmlformats.org/officeDocument/2006/relationships/hyperlink" Target="https://cdn.ittelkom-sby.ac.id/research/z161623066835758f36778dd1309efcc65466ad9e70.pdf" TargetMode="External"/><Relationship Id="rId353" Type="http://schemas.openxmlformats.org/officeDocument/2006/relationships/hyperlink" Target="https://cdn.ittelkom-sby.ac.id/research/z1643357328a86faec18a1a2f2b4241b244775e6a96.pdf" TargetMode="External"/><Relationship Id="rId395" Type="http://schemas.openxmlformats.org/officeDocument/2006/relationships/hyperlink" Target="https://cdn.ittelkom-sby.ac.id/research/z1688563850312a71fb73477fce3f6e4b5b3b96990f.pdf" TargetMode="External"/><Relationship Id="rId409" Type="http://schemas.openxmlformats.org/officeDocument/2006/relationships/hyperlink" Target="../../../../../:b:/r/personal/lppm_ittelkom-sby_ac_id/Documents/2023/Hibah%20Eksternal/KEDAIREKA/Proposal/Proposal%20Lengkap%20Gun%20Shot%20FSA%20revAkhir%20SIGNED.pdf.pdf?csf=1&amp;web=1&amp;e=p1DFFX" TargetMode="External"/><Relationship Id="rId560" Type="http://schemas.openxmlformats.org/officeDocument/2006/relationships/hyperlink" Target="http://cdndata.telkomuniversity.ac.id/research/z17107369035a063876d60a152e20f8f1112ce58d39.pdf" TargetMode="External"/><Relationship Id="rId798" Type="http://schemas.openxmlformats.org/officeDocument/2006/relationships/hyperlink" Target="../../../../../../:b:/g/personal/ppm_telkomuniversity_ac_id/Eevfl64F_8BAiUN7utO61KMBbXr2rJGzy2nH3gEE4Dd_gg?e=0uu9Ii" TargetMode="External"/><Relationship Id="rId92" Type="http://schemas.openxmlformats.org/officeDocument/2006/relationships/hyperlink" Target="https://drive.google.com/file/d/1vVzlFGpPwXbOaufauXOMsyEh5kfAtDRW/view?usp=sharing" TargetMode="External"/><Relationship Id="rId213" Type="http://schemas.openxmlformats.org/officeDocument/2006/relationships/hyperlink" Target="https://cdn.ittelkom-sby.ac.id/research/z162797012367d4de1fed6196cab7af0ac64038cc02.pdf" TargetMode="External"/><Relationship Id="rId420" Type="http://schemas.openxmlformats.org/officeDocument/2006/relationships/hyperlink" Target="https://cdn.ittelkom-sby.ac.id/research/z169840115610ca1b2d9f0d8ec792035dea7884bf58.pdf" TargetMode="External"/><Relationship Id="rId616" Type="http://schemas.openxmlformats.org/officeDocument/2006/relationships/hyperlink" Target="../../../../../:b:/g/personal/lppmsby_telkomuniversity_ac_id/EaM347nD1R5NubujBfBkmuABqx4GLaLRrUjNCbcK6Ea81A" TargetMode="External"/><Relationship Id="rId658" Type="http://schemas.openxmlformats.org/officeDocument/2006/relationships/hyperlink" Target="https://cdn.ittelkom-sby.ac.id/research/z1601362407dbf727fa74c50c54a63eb668c66eaa08.pdf" TargetMode="External"/><Relationship Id="rId255" Type="http://schemas.openxmlformats.org/officeDocument/2006/relationships/hyperlink" Target="https://cdn.ittelkom-sby.ac.id/research/z163728905318acacd061321725bb8e4b1747a73a48.pdf" TargetMode="External"/><Relationship Id="rId297" Type="http://schemas.openxmlformats.org/officeDocument/2006/relationships/hyperlink" Target="https://cdn.ittelkom-sby.ac.id/research/z163868866788247f4cacc412f4aa663fbb3305c4d4.pdf" TargetMode="External"/><Relationship Id="rId462" Type="http://schemas.openxmlformats.org/officeDocument/2006/relationships/hyperlink" Target="../../../../../:b:/g/personal/lppm_ittelkom-sby_ac_id/Ee60-hrVvztMmStSlYRuWVoBozYUEqZw2Hb2SDKFwd74YA?e=XBy6Nh" TargetMode="External"/><Relationship Id="rId518" Type="http://schemas.openxmlformats.org/officeDocument/2006/relationships/hyperlink" Target="https://cdn.ittelkom-sby.ac.id/research/z17103028269897cf04e3743c70b749d48bd3d659b0.pdf" TargetMode="External"/><Relationship Id="rId725" Type="http://schemas.openxmlformats.org/officeDocument/2006/relationships/hyperlink" Target="https://cdndata.telkomuniversity.ac.id/research/z17309689122cc83b36c5c1943fcf677c6685b4ef16.pdf" TargetMode="External"/><Relationship Id="rId115" Type="http://schemas.openxmlformats.org/officeDocument/2006/relationships/hyperlink" Target="https://drive.google.com/file/d/1QzezQLS3iWaYx0KE8y1pPHVeBqyGzR7i/view?usp=sharing" TargetMode="External"/><Relationship Id="rId157" Type="http://schemas.openxmlformats.org/officeDocument/2006/relationships/hyperlink" Target="https://cdn.ittelkom-sby.ac.id/research/z16933652473bdb70c31e9eae9fd2928e9c85e4c8d2.pdf" TargetMode="External"/><Relationship Id="rId322" Type="http://schemas.openxmlformats.org/officeDocument/2006/relationships/hyperlink" Target="https://cdn.ittelkom-sby.ac.id/research/z1638549349b37d44b96384157e8503a1265aceabe1.pdf" TargetMode="External"/><Relationship Id="rId364" Type="http://schemas.openxmlformats.org/officeDocument/2006/relationships/hyperlink" Target="https://cdn.ittelkom-sby.ac.id/research/z16645547344feeaa314607a4622ae0b62051c90ddd.pdf" TargetMode="External"/><Relationship Id="rId767" Type="http://schemas.openxmlformats.org/officeDocument/2006/relationships/hyperlink" Target="https://iplatinum.telkomuniversity.ac.id/backoffice/selection/proposal/document/533" TargetMode="External"/><Relationship Id="rId61" Type="http://schemas.openxmlformats.org/officeDocument/2006/relationships/hyperlink" Target="https://cdn.ittelkom-sby.ac.id/research/z1693385198b3ceb83842a5bdc5dc6c50df34e6adea.pdf" TargetMode="External"/><Relationship Id="rId199" Type="http://schemas.openxmlformats.org/officeDocument/2006/relationships/hyperlink" Target="https://cdn.ittelkom-sby.ac.id/research/z162806017442a60100aab1f53739596ad35368d622.pdf" TargetMode="External"/><Relationship Id="rId571" Type="http://schemas.openxmlformats.org/officeDocument/2006/relationships/hyperlink" Target="../../../../../:b:/g/personal/lppm_ittelkom-sby_ac_id/EahPewzWc61Kh3feMCgxn2oBA_p2NuM8w58fRzzNegJA-A?e=feyRoZ" TargetMode="External"/><Relationship Id="rId627" Type="http://schemas.openxmlformats.org/officeDocument/2006/relationships/hyperlink" Target="https://cdn.ittelkom-sby.ac.id/research/z160135261681fa81dc4dbcc4290672ac5a153ae35c.pdf" TargetMode="External"/><Relationship Id="rId669" Type="http://schemas.openxmlformats.org/officeDocument/2006/relationships/hyperlink" Target="https://cdn.ittelkom-sby.ac.id/research/z16013630985b9bf48c5e3be4fed12e3941cc1b9a4b.pdf" TargetMode="External"/><Relationship Id="rId19" Type="http://schemas.openxmlformats.org/officeDocument/2006/relationships/hyperlink" Target="https://drive.google.com/file/d/1ebxYiGHYh4H9kAB0UkeZz3DylZ5Tyii8/view?usp=drive_link" TargetMode="External"/><Relationship Id="rId224" Type="http://schemas.openxmlformats.org/officeDocument/2006/relationships/hyperlink" Target="https://cdn.ittelkom-sby.ac.id/research/z16014350619d4f9742951f70032ea13d9b67b3678c.pdf" TargetMode="External"/><Relationship Id="rId266" Type="http://schemas.openxmlformats.org/officeDocument/2006/relationships/hyperlink" Target="https://cdn.ittelkom-sby.ac.id/research/z1615369045e33bead07c7bbc4844caa35a781d377d.pdf" TargetMode="External"/><Relationship Id="rId431" Type="http://schemas.openxmlformats.org/officeDocument/2006/relationships/hyperlink" Target="https://cdn.ittelkom-sby.ac.id/research/z1610763469cb260b8e845ee0986c205c66b21c1af8.pdf" TargetMode="External"/><Relationship Id="rId473" Type="http://schemas.openxmlformats.org/officeDocument/2006/relationships/hyperlink" Target="https://cdn.ittelkom-sby.ac.id/research/z1701143566d3e5347d293e27e00455d7d2552fe5b1.pdf" TargetMode="External"/><Relationship Id="rId529" Type="http://schemas.openxmlformats.org/officeDocument/2006/relationships/hyperlink" Target="http://cdndata.telkomuniversity.ac.id/research/z17144465480772cbbe100b9f5ee440c5c49f10406b.pdf" TargetMode="External"/><Relationship Id="rId680" Type="http://schemas.openxmlformats.org/officeDocument/2006/relationships/hyperlink" Target="http://cdndata.telkomuniversity.ac.id/research/z172662751786dda83c3ee4f623ffff8781d094361e.pdf" TargetMode="External"/><Relationship Id="rId736" Type="http://schemas.openxmlformats.org/officeDocument/2006/relationships/hyperlink" Target="https://cdndata.telkomuniversity.ac.id/research/z17234292864dfa928f85355bfc299487630c449a62.pdf" TargetMode="External"/><Relationship Id="rId30" Type="http://schemas.openxmlformats.org/officeDocument/2006/relationships/hyperlink" Target="https://drive.google.com/file/d/1Wkexgu7NVzCIJnr_5BGGt1xLT7cYtmCZ/view?usp=drive_link" TargetMode="External"/><Relationship Id="rId126" Type="http://schemas.openxmlformats.org/officeDocument/2006/relationships/hyperlink" Target="https://cdn.ittelkom-sby.ac.id/research/z16550901411c6a3a5a8661bb8cdb3816b894ce4f5b.pdf" TargetMode="External"/><Relationship Id="rId168" Type="http://schemas.openxmlformats.org/officeDocument/2006/relationships/hyperlink" Target="https://cdn.ittelkom-sby.ac.id/research/z16632063040c2e1526f806eadf94c1b2347b5c47c8.pdf" TargetMode="External"/><Relationship Id="rId333" Type="http://schemas.openxmlformats.org/officeDocument/2006/relationships/hyperlink" Target="https://cdn.ittelkom-sby.ac.id/research/z1626419998365a47ce99eb908291acf1f05ca46f9a.pdf" TargetMode="External"/><Relationship Id="rId540" Type="http://schemas.openxmlformats.org/officeDocument/2006/relationships/hyperlink" Target="http://cdndata.telkomuniversity.ac.id/research/z1710949263fa6a05a2b2cf73b687f11fb85e7ec523.pdf" TargetMode="External"/><Relationship Id="rId778" Type="http://schemas.openxmlformats.org/officeDocument/2006/relationships/hyperlink" Target="https://iplatinum.telkomuniversity.ac.id/backoffice/selection/proposal/document/485" TargetMode="External"/><Relationship Id="rId72" Type="http://schemas.openxmlformats.org/officeDocument/2006/relationships/hyperlink" Target="https://cdn.ittelkom-sby.ac.id/research/z1675650870a7797310e844f83dcac10bce171b3732.pdf" TargetMode="External"/><Relationship Id="rId375" Type="http://schemas.openxmlformats.org/officeDocument/2006/relationships/hyperlink" Target="https://cdn.ittelkom-sby.ac.id/research/z16624330215ce2c4177b04db0e0ba26e7962e1765e.pdf" TargetMode="External"/><Relationship Id="rId582" Type="http://schemas.openxmlformats.org/officeDocument/2006/relationships/hyperlink" Target="../../../../../:b:/g/personal/lppm_ittelkom-sby_ac_id/EahPewzWc61Kh3feMCgxn2oBA_p2NuM8w58fRzzNegJA-A?e=feyRoZ" TargetMode="External"/><Relationship Id="rId638" Type="http://schemas.openxmlformats.org/officeDocument/2006/relationships/hyperlink" Target="https://cdn.ittelkom-sby.ac.id/research/z1601352766c283da25f0f21d7a20cce1b1c3f6cbdd.pdf" TargetMode="External"/><Relationship Id="rId803" Type="http://schemas.openxmlformats.org/officeDocument/2006/relationships/hyperlink" Target="../../../../../../:b:/g/personal/ppm_telkomuniversity_ac_id/EX37q7CQzJFDgS8iAxfrgvoBDCWkXMfhmTk3dpah04DvYw?e=EQ8KoV" TargetMode="External"/><Relationship Id="rId3" Type="http://schemas.openxmlformats.org/officeDocument/2006/relationships/hyperlink" Target="https://drive.google.com/file/d/1DkMQJsHnWiwU1VV-PYwjTENO2uVyj5VM/view?usp=drive_link" TargetMode="External"/><Relationship Id="rId235" Type="http://schemas.openxmlformats.org/officeDocument/2006/relationships/hyperlink" Target="https://cdn.ittelkom-sby.ac.id/research/z1615514823f59d54a6330376013d996e1bfff03b5f.pdf" TargetMode="External"/><Relationship Id="rId277" Type="http://schemas.openxmlformats.org/officeDocument/2006/relationships/hyperlink" Target="https://cdn.ittelkom-sby.ac.id/research/z1617854862c00e01f0a36097b0d4b19ee93c39c713.pdf" TargetMode="External"/><Relationship Id="rId400" Type="http://schemas.openxmlformats.org/officeDocument/2006/relationships/hyperlink" Target="../../../../../:b:/r/personal/lppm_ittelkom-sby_ac_id/Documents/2023/Hibah%20Eksternal/BIMA/Proposal/Hybrid%20Molecular%20Fingerprint%20untuk%20Pencarian%20Obat%20Herbal%20Penyakit%20Meningitis%20dengan%20Metode%20Supervised%20Learning%20(1).pdf?csf=1&amp;web=1&amp;e=7BA1wS" TargetMode="External"/><Relationship Id="rId442" Type="http://schemas.openxmlformats.org/officeDocument/2006/relationships/hyperlink" Target="https://cdn.ittelkom-sby.ac.id/research/z1597799457dacac1753ea357200088affd436f96d8.pdf" TargetMode="External"/><Relationship Id="rId484" Type="http://schemas.openxmlformats.org/officeDocument/2006/relationships/hyperlink" Target="http://cdndata.telkomuniversity.ac.id/research/z1711941369cac18d523f29fd732490e07a22507c21.pdf" TargetMode="External"/><Relationship Id="rId705" Type="http://schemas.openxmlformats.org/officeDocument/2006/relationships/hyperlink" Target="https://cdndata.telkomuniversity.ac.id/research/z1731021246bec1644dde5b55d3a93ae6fa5c70dcb3.pdf" TargetMode="External"/><Relationship Id="rId137" Type="http://schemas.openxmlformats.org/officeDocument/2006/relationships/hyperlink" Target="https://cdn.ittelkom-sby.ac.id/research/z1692345355a22a1eb7af52c03e443852a62f444653.pdf" TargetMode="External"/><Relationship Id="rId302" Type="http://schemas.openxmlformats.org/officeDocument/2006/relationships/hyperlink" Target="https://cdn.ittelkom-sby.ac.id/research/z1632979702fce4d3c1804b10ce5ae7081234934f03.pdf" TargetMode="External"/><Relationship Id="rId344" Type="http://schemas.openxmlformats.org/officeDocument/2006/relationships/hyperlink" Target="https://cdn.ittelkom-sby.ac.id/research/z166468889500a5f6de2f8a1f005e0d3b0967e19a1d.pdf" TargetMode="External"/><Relationship Id="rId691" Type="http://schemas.openxmlformats.org/officeDocument/2006/relationships/hyperlink" Target="../../../../../../:b:/g/personal/lppmsby_telkomuniversity_ac_id/ETPxNx26MBZDn4VUFvPfTMwBBjdA-NqbJ22RY3Q3bJU5Fw?e=lcrdIz" TargetMode="External"/><Relationship Id="rId747" Type="http://schemas.openxmlformats.org/officeDocument/2006/relationships/hyperlink" Target="https://iplatinum.telkomuniversity.ac.id/backoffice/selection/proposal/document/121" TargetMode="External"/><Relationship Id="rId789" Type="http://schemas.openxmlformats.org/officeDocument/2006/relationships/hyperlink" Target="../../../../../../:b:/g/personal/ppm_telkomuniversity_ac_id/EQI5knPt19pJubgyNHCmWkABTyNj6Vd_l2Uv9CWIlynonQ?e=QJaLi6" TargetMode="External"/><Relationship Id="rId41" Type="http://schemas.openxmlformats.org/officeDocument/2006/relationships/hyperlink" Target="https://drive.google.com/file/d/1SYT6axc7xaeW-Xneu0ARl3-ZTDdL55Qj/view?usp=drive_link" TargetMode="External"/><Relationship Id="rId83" Type="http://schemas.openxmlformats.org/officeDocument/2006/relationships/hyperlink" Target="https://cdn.ittelkom-sby.ac.id/research/z16753983123bba7578ad95f654b982e5e36386d603.pdf" TargetMode="External"/><Relationship Id="rId179" Type="http://schemas.openxmlformats.org/officeDocument/2006/relationships/hyperlink" Target="https://cdn.ittelkom-sby.ac.id/research/z16281395851ab1871ad3a8bfeb27c1ed6edd600680.pdf" TargetMode="External"/><Relationship Id="rId386" Type="http://schemas.openxmlformats.org/officeDocument/2006/relationships/hyperlink" Target="https://cdn.ittelkom-sby.ac.id/research/z16646767688e163272ea6d9b090308db1ef3a0d01b.pdf" TargetMode="External"/><Relationship Id="rId551" Type="http://schemas.openxmlformats.org/officeDocument/2006/relationships/hyperlink" Target="http://cdndata.telkomuniversity.ac.id/research/z1710940669c42c887b094af7381fcca752e1c0aa17.pdf" TargetMode="External"/><Relationship Id="rId593" Type="http://schemas.openxmlformats.org/officeDocument/2006/relationships/hyperlink" Target="../../../../../:b:/g/personal/lppm_ittelkom-sby_ac_id/ETr56jffCEtFrp6VVgXN_TkBZ64i9BiV2p-V1El612Nf9g?e=0nzgIE" TargetMode="External"/><Relationship Id="rId607" Type="http://schemas.openxmlformats.org/officeDocument/2006/relationships/hyperlink" Target="http://cdndata.telkomuniversity.ac.id/research/z1718073410c358a55b3388d9e89af79ae1cf6b5c84.pdf" TargetMode="External"/><Relationship Id="rId649" Type="http://schemas.openxmlformats.org/officeDocument/2006/relationships/hyperlink" Target="https://cdn.ittelkom-sby.ac.id/research/z1601359697bcf9cdc4edbe6d06acb91bf6eae2e3dd.pdf" TargetMode="External"/><Relationship Id="rId814" Type="http://schemas.openxmlformats.org/officeDocument/2006/relationships/table" Target="../tables/table2.xml"/><Relationship Id="rId190" Type="http://schemas.openxmlformats.org/officeDocument/2006/relationships/hyperlink" Target="https://cdn.ittelkom-sby.ac.id/research/z1628065664b9040960ad46f2d0196fcd5f544ced7f.pdf" TargetMode="External"/><Relationship Id="rId204" Type="http://schemas.openxmlformats.org/officeDocument/2006/relationships/hyperlink" Target="https://cdn.ittelkom-sby.ac.id/research/z1628059077d00903db1c22f57e2660154fa79b428c.pdf" TargetMode="External"/><Relationship Id="rId246" Type="http://schemas.openxmlformats.org/officeDocument/2006/relationships/hyperlink" Target="https://cdn.ittelkom-sby.ac.id/research/z163733830029ac80b95845528ec062057025484d6b.pdf" TargetMode="External"/><Relationship Id="rId288" Type="http://schemas.openxmlformats.org/officeDocument/2006/relationships/hyperlink" Target="https://cdn.ittelkom-sby.ac.id/research/z16146504524bbdd28213cd9e927d8c173fcfc6831d.pdf" TargetMode="External"/><Relationship Id="rId411" Type="http://schemas.openxmlformats.org/officeDocument/2006/relationships/hyperlink" Target="https://cdn.ittelkom-sby.ac.id/research/z169841142793fca63575f6e473bf5985a8ea2ee04c.pdf" TargetMode="External"/><Relationship Id="rId453" Type="http://schemas.openxmlformats.org/officeDocument/2006/relationships/hyperlink" Target="https://cdn.ittelkom-sby.ac.id/research/z161076352546f28902cddec8e492c7ee74a6d191df.pdf" TargetMode="External"/><Relationship Id="rId509" Type="http://schemas.openxmlformats.org/officeDocument/2006/relationships/hyperlink" Target="http://cdndata.telkomuniversity.ac.id/research/z17119407846a8cbf99388e324ec919da81eaea0284.pdf" TargetMode="External"/><Relationship Id="rId660" Type="http://schemas.openxmlformats.org/officeDocument/2006/relationships/hyperlink" Target="https://cdn.ittelkom-sby.ac.id/research/z1627715263a8a8e96ee680b158f624ad7755b49af6.pdf" TargetMode="External"/><Relationship Id="rId106" Type="http://schemas.openxmlformats.org/officeDocument/2006/relationships/hyperlink" Target="https://drive.google.com/file/d/1HYK4-qp4C1KQcETx5xeNSnTFoNxHyGOe/view?usp=sharing" TargetMode="External"/><Relationship Id="rId313" Type="http://schemas.openxmlformats.org/officeDocument/2006/relationships/hyperlink" Target="https://cdn.ittelkom-sby.ac.id/research/z162633016038afde03bc5d41353cdb00c1b93949a9.pdf" TargetMode="External"/><Relationship Id="rId495" Type="http://schemas.openxmlformats.org/officeDocument/2006/relationships/hyperlink" Target="http://cdndata.telkomuniversity.ac.id/research/z1711941240ade6df11746ed9d0073be25460d4db4a.pdf" TargetMode="External"/><Relationship Id="rId716" Type="http://schemas.openxmlformats.org/officeDocument/2006/relationships/hyperlink" Target="https://cdndata.telkomuniversity.ac.id/research/z17316739403ad447800d6ec4249e87a3aa06169c14.pdf" TargetMode="External"/><Relationship Id="rId758" Type="http://schemas.openxmlformats.org/officeDocument/2006/relationships/hyperlink" Target="https://iplatinum.telkomuniversity.ac.id/backoffice/selection/proposal/document/321" TargetMode="External"/><Relationship Id="rId10" Type="http://schemas.openxmlformats.org/officeDocument/2006/relationships/hyperlink" Target="https://drive.google.com/file/d/1i0fHqaZwXIrQE46RP6NOroYCrbpvZyJo/view?usp=drive_link" TargetMode="External"/><Relationship Id="rId52" Type="http://schemas.openxmlformats.org/officeDocument/2006/relationships/hyperlink" Target="https://cdn.ittelkom-sby.ac.id/research/z16933665244c39c82c8b9cc69d03385794292970a1.pdf" TargetMode="External"/><Relationship Id="rId94" Type="http://schemas.openxmlformats.org/officeDocument/2006/relationships/hyperlink" Target="https://drive.google.com/file/d/1oJz2KaW4_fFfQoqxosWy-6aOj9nsTMn1/view?usp=sharing" TargetMode="External"/><Relationship Id="rId148" Type="http://schemas.openxmlformats.org/officeDocument/2006/relationships/hyperlink" Target="https://cdn.ittelkom-sby.ac.id/research/z16919849602d122db4f1f94a9d523e6d134d394e2d.pdf" TargetMode="External"/><Relationship Id="rId355" Type="http://schemas.openxmlformats.org/officeDocument/2006/relationships/hyperlink" Target="https://cdn.ittelkom-sby.ac.id/research/z1643771033cfdedfb41e126bc043f26c610a934103.pdf" TargetMode="External"/><Relationship Id="rId397" Type="http://schemas.openxmlformats.org/officeDocument/2006/relationships/hyperlink" Target="https://cdn.ittelkom-sby.ac.id/research/z1692360116f1c3798d922c168bc920da59fbe59226.pdf" TargetMode="External"/><Relationship Id="rId520" Type="http://schemas.openxmlformats.org/officeDocument/2006/relationships/hyperlink" Target="https://cdn.ittelkom-sby.ac.id/research/z171333463593e4ac150a16020b83b32e05ea1b4722.pdf" TargetMode="External"/><Relationship Id="rId562" Type="http://schemas.openxmlformats.org/officeDocument/2006/relationships/hyperlink" Target="../../../../../:b:/g/personal/lppm_ittelkom-sby_ac_id/EahPewzWc61Kh3feMCgxn2oBA_p2NuM8w58fRzzNegJA-A?e=feyRoZ" TargetMode="External"/><Relationship Id="rId618" Type="http://schemas.openxmlformats.org/officeDocument/2006/relationships/hyperlink" Target="https://cdn.ittelkom-sby.ac.id/research/z1627726388b653e05e6fd17f09fca90f4f080f39f4.pdf" TargetMode="External"/><Relationship Id="rId215" Type="http://schemas.openxmlformats.org/officeDocument/2006/relationships/hyperlink" Target="https://cdn.ittelkom-sby.ac.id/research/z1627970547c0bbd209dbaf745fd8701a714ca442fa.pdf" TargetMode="External"/><Relationship Id="rId257" Type="http://schemas.openxmlformats.org/officeDocument/2006/relationships/hyperlink" Target="https://cdn.ittelkom-sby.ac.id/research/z16375438399f03acede7998ba9faa9e743740913a9.pdf" TargetMode="External"/><Relationship Id="rId422" Type="http://schemas.openxmlformats.org/officeDocument/2006/relationships/hyperlink" Target="https://cdn.ittelkom-sby.ac.id/research/z1698413787dc038a94cb6286dbc4d40eba62fe8963.pdf" TargetMode="External"/><Relationship Id="rId464" Type="http://schemas.openxmlformats.org/officeDocument/2006/relationships/hyperlink" Target="../../../../../:b:/g/personal/lppm_ittelkom-sby_ac_id/EWQ7Y6F7PV1Ok3UaMuADh0AB4jCG4Wm4uAUzZ4p9QRYUkw?e=46Xd1E" TargetMode="External"/><Relationship Id="rId299" Type="http://schemas.openxmlformats.org/officeDocument/2006/relationships/hyperlink" Target="https://cdn.ittelkom-sby.ac.id/research/z1634199384bfb260ad80ba5e34396f94f9fa93f987.pdf" TargetMode="External"/><Relationship Id="rId727" Type="http://schemas.openxmlformats.org/officeDocument/2006/relationships/hyperlink" Target="https://cdndata.telkomuniversity.ac.id/research/z1736935817814d28431f040a7f83352ab0294dcbce.pdf" TargetMode="External"/><Relationship Id="rId63" Type="http://schemas.openxmlformats.org/officeDocument/2006/relationships/hyperlink" Target="https://cdn.ittelkom-sby.ac.id/research/z169336405530f1ddfc11f7b0302fe351319c3c6ad6.pdf" TargetMode="External"/><Relationship Id="rId159" Type="http://schemas.openxmlformats.org/officeDocument/2006/relationships/hyperlink" Target="https://cdn.ittelkom-sby.ac.id/research/z1693365436f314f75748c46c6f77bb0cd00221120d.pdf" TargetMode="External"/><Relationship Id="rId366" Type="http://schemas.openxmlformats.org/officeDocument/2006/relationships/hyperlink" Target="https://cdn.ittelkom-sby.ac.id/research/z1669277698dbfe1c5b8c2bfe6799b8d4d9e7e4131d.pdf" TargetMode="External"/><Relationship Id="rId573" Type="http://schemas.openxmlformats.org/officeDocument/2006/relationships/hyperlink" Target="../../../../../:b:/g/personal/lppm_ittelkom-sby_ac_id/EahPewzWc61Kh3feMCgxn2oBA_p2NuM8w58fRzzNegJA-A?e=feyRoZ" TargetMode="External"/><Relationship Id="rId780" Type="http://schemas.openxmlformats.org/officeDocument/2006/relationships/hyperlink" Target="../../../../../../:b:/g/personal/ppm_telkomuniversity_ac_id/EbTaJ_6ECuhOmDIFOG0Z0w8BmCr8SdAdZ2lnS2SotDViaA?e=HkljRM" TargetMode="External"/><Relationship Id="rId226" Type="http://schemas.openxmlformats.org/officeDocument/2006/relationships/hyperlink" Target="https://cdn.ittelkom-sby.ac.id/research/z16107650193c8fa45762ab73bf8fc170d24ca433e0.pdf" TargetMode="External"/><Relationship Id="rId433" Type="http://schemas.openxmlformats.org/officeDocument/2006/relationships/hyperlink" Target="https://cdn.ittelkom-sby.ac.id/research/z1610764221aada3ecff46b139c0db011f69cd47781.pdf" TargetMode="External"/><Relationship Id="rId640" Type="http://schemas.openxmlformats.org/officeDocument/2006/relationships/hyperlink" Target="https://cdn.ittelkom-sby.ac.id/research/z162772795301fbd5deca9d894a73883f4697e53502.pdf" TargetMode="External"/><Relationship Id="rId738" Type="http://schemas.openxmlformats.org/officeDocument/2006/relationships/hyperlink" Target="https://cdndata.telkomuniversity.ac.id/research/z172128902048b9c615758bd812f0d57bf3ba5a9495.pdf" TargetMode="External"/><Relationship Id="rId74" Type="http://schemas.openxmlformats.org/officeDocument/2006/relationships/hyperlink" Target="https://cdn.ittelkom-sby.ac.id/research/z16753916540e4245be9f272ffd7745f1bfa4a95768.pdf" TargetMode="External"/><Relationship Id="rId377" Type="http://schemas.openxmlformats.org/officeDocument/2006/relationships/hyperlink" Target="https://cdn.ittelkom-sby.ac.id/research/z168258143181acc864e16dd068a7e75164202054da.pdf" TargetMode="External"/><Relationship Id="rId500" Type="http://schemas.openxmlformats.org/officeDocument/2006/relationships/hyperlink" Target="http://cdndata.telkomuniversity.ac.id/research/z1711941292f64041163f7cdbc28af12695aa37c12c.pdf" TargetMode="External"/><Relationship Id="rId584" Type="http://schemas.openxmlformats.org/officeDocument/2006/relationships/hyperlink" Target="../../../../../:b:/g/personal/lppm_ittelkom-sby_ac_id/EahPewzWc61Kh3feMCgxn2oBA_p2NuM8w58fRzzNegJA-A?e=feyRoZ" TargetMode="External"/><Relationship Id="rId805" Type="http://schemas.openxmlformats.org/officeDocument/2006/relationships/hyperlink" Target="../../../../../../:b:/g/personal/ppm_telkomuniversity_ac_id/EbkXYV8fZDpPuhsKv8Y7CWIBUYfacVgPtn0Afex6qmtCGw?e=rXvrT5" TargetMode="External"/><Relationship Id="rId5" Type="http://schemas.openxmlformats.org/officeDocument/2006/relationships/hyperlink" Target="https://drive.google.com/file/d/1i0fHqaZwXIrQE46RP6NOroYCrbpvZyJo/view?usp=drive_link" TargetMode="External"/><Relationship Id="rId237" Type="http://schemas.openxmlformats.org/officeDocument/2006/relationships/hyperlink" Target="https://cdn.ittelkom-sby.ac.id/research/z1615531459f4daacaddb0db2d1afc499572a6b053d.pdf" TargetMode="External"/><Relationship Id="rId791" Type="http://schemas.openxmlformats.org/officeDocument/2006/relationships/hyperlink" Target="../../../../../../:b:/g/personal/ppm_telkomuniversity_ac_id/EcZLkI0j-dRHiIlXYto5bhABGGEOie8ORIhKD3eeyzeoQg?e=7ZZ2q2" TargetMode="External"/><Relationship Id="rId444" Type="http://schemas.openxmlformats.org/officeDocument/2006/relationships/hyperlink" Target="https://cdn.ittelkom-sby.ac.id/research/z1597802128adfa2bdfc104086be42e6e59c39fef46.pdf" TargetMode="External"/><Relationship Id="rId651" Type="http://schemas.openxmlformats.org/officeDocument/2006/relationships/hyperlink" Target="https://cdn.ittelkom-sby.ac.id/research/z16277138696bb03dc979e4693c454d78bb24942d7c.pdf" TargetMode="External"/><Relationship Id="rId749" Type="http://schemas.openxmlformats.org/officeDocument/2006/relationships/hyperlink" Target="https://iplatinum.telkomuniversity.ac.id/backoffice/selection/proposal/document/186" TargetMode="External"/><Relationship Id="rId290" Type="http://schemas.openxmlformats.org/officeDocument/2006/relationships/hyperlink" Target="https://cdn.ittelkom-sby.ac.id/research/z1632968075a0c9020990c02b1547387d78708d3e1b.pdf" TargetMode="External"/><Relationship Id="rId304" Type="http://schemas.openxmlformats.org/officeDocument/2006/relationships/hyperlink" Target="https://cdn.ittelkom-sby.ac.id/research/z1616729538f5452aae10a4c8c40deac2a2fb516fc7.pdf" TargetMode="External"/><Relationship Id="rId388" Type="http://schemas.openxmlformats.org/officeDocument/2006/relationships/hyperlink" Target="https://cdn.ittelkom-sby.ac.id/research/z1663213834225981aa631143f51fbaf6b21fb698b7.pdf" TargetMode="External"/><Relationship Id="rId511" Type="http://schemas.openxmlformats.org/officeDocument/2006/relationships/hyperlink" Target="http://cdndata.telkomuniversity.ac.id/research/z17115206200f6839e3389c23d8b145340010bac0af.pdf" TargetMode="External"/><Relationship Id="rId609" Type="http://schemas.openxmlformats.org/officeDocument/2006/relationships/hyperlink" Target="http://cdndata.telkomuniversity.ac.id/research/z17179881974aeaf81b1e95783e843af40aec4d6dd2.pdf" TargetMode="External"/><Relationship Id="rId85" Type="http://schemas.openxmlformats.org/officeDocument/2006/relationships/hyperlink" Target="https://drive.google.com/file/d/1oJz2KaW4_fFfQoqxosWy-6aOj9nsTMn1/view?usp=sharing" TargetMode="External"/><Relationship Id="rId150" Type="http://schemas.openxmlformats.org/officeDocument/2006/relationships/hyperlink" Target="https://cdn.ittelkom-sby.ac.id/research/z169344055044feb53aca28158cb8c9e90abf688b15.pdf" TargetMode="External"/><Relationship Id="rId595" Type="http://schemas.openxmlformats.org/officeDocument/2006/relationships/hyperlink" Target="../../../../../:b:/g/personal/lppmsby_telkomuniversity_ac_id/EfUuMnqtKEdKmcXnBmaa1zABeggWEAYLZY7nZ-U7vsIqRw?e=0FPlHb" TargetMode="External"/><Relationship Id="rId248" Type="http://schemas.openxmlformats.org/officeDocument/2006/relationships/hyperlink" Target="https://cdn.ittelkom-sby.ac.id/research/z16375496187b8b5a7476757e5cdd903634aeff67a3.pdf" TargetMode="External"/><Relationship Id="rId455" Type="http://schemas.openxmlformats.org/officeDocument/2006/relationships/hyperlink" Target="../../../../../:b:/g/personal/lppm_ittelkom-sby_ac_id/EcJ66Xw9c_pDiOxjT_nP1ZcBvtsrga23vzzoegKfCXt6nQ?e=ukKinx" TargetMode="External"/><Relationship Id="rId662" Type="http://schemas.openxmlformats.org/officeDocument/2006/relationships/hyperlink" Target="https://cdn.ittelkom-sby.ac.id/research/z162771513070ac663749783ce64f369d127f5cfa9e.pdf" TargetMode="External"/><Relationship Id="rId12" Type="http://schemas.openxmlformats.org/officeDocument/2006/relationships/hyperlink" Target="https://drive.google.com/file/d/1i0fHqaZwXIrQE46RP6NOroYCrbpvZyJo/view?usp=drive_link" TargetMode="External"/><Relationship Id="rId108" Type="http://schemas.openxmlformats.org/officeDocument/2006/relationships/hyperlink" Target="https://drive.google.com/file/d/1HYK4-qp4C1KQcETx5xeNSnTFoNxHyGOe/view?usp=sharing" TargetMode="External"/><Relationship Id="rId315" Type="http://schemas.openxmlformats.org/officeDocument/2006/relationships/hyperlink" Target="https://cdn.ittelkom-sby.ac.id/research/z162633608057f1e39a10c128bdf3bc45b36cf06666.pdf" TargetMode="External"/><Relationship Id="rId522" Type="http://schemas.openxmlformats.org/officeDocument/2006/relationships/hyperlink" Target="https://cdn.ittelkom-sby.ac.id/research/z170971289322e82eb57c07186828f6c50ef9cbd3b8.pdf" TargetMode="External"/><Relationship Id="rId96" Type="http://schemas.openxmlformats.org/officeDocument/2006/relationships/hyperlink" Target="https://drive.google.com/file/d/1Fmp-C-oWEFpLzCO1nVxhC9e25BzYykfh/view?usp=sharing" TargetMode="External"/><Relationship Id="rId161" Type="http://schemas.openxmlformats.org/officeDocument/2006/relationships/hyperlink" Target="https://cdn.ittelkom-sby.ac.id/research/z1693384170edb13f223134c84a0cb2bbcfea5a535b.pdf" TargetMode="External"/><Relationship Id="rId399" Type="http://schemas.openxmlformats.org/officeDocument/2006/relationships/hyperlink" Target="../../../../../:b:/r/personal/lppm_ittelkom-sby_ac_id/Documents/2023/Hibah%20Eksternal/BIMA/Proposal/Digitalisasi%20Desa%20Tambak%20Kalisogo%20Untuk%20Meningkatkan%20Kualitas%20Layanan%20usaha%20mikro%20kecil%20menengah%20dan%20Pariwisata%20(1).pdf?csf=1&amp;web=1&amp;e=uVnXMi" TargetMode="External"/><Relationship Id="rId259" Type="http://schemas.openxmlformats.org/officeDocument/2006/relationships/hyperlink" Target="https://cdn.ittelkom-sby.ac.id/research/z163733573351cb453e501cfcb3c8c1ac430e2a2499.pdf" TargetMode="External"/><Relationship Id="rId466" Type="http://schemas.openxmlformats.org/officeDocument/2006/relationships/hyperlink" Target="../../../../../:b:/r/personal/lppm_ittelkom-sby_ac_id/Documents/2023/Hibah%20Eksternal/BIMA/Kontrak%20Turunan/Scan%20Kontrak%20Turunan%20PDP%20-%20Darlin.pdf?csf=1&amp;web=1&amp;e=NZP7aD" TargetMode="External"/><Relationship Id="rId673" Type="http://schemas.openxmlformats.org/officeDocument/2006/relationships/hyperlink" Target="https://cdn.ittelkom-sby.ac.id/research/z160143261528932daaaf43c6703e215f647b459a10.pdf" TargetMode="External"/><Relationship Id="rId23" Type="http://schemas.openxmlformats.org/officeDocument/2006/relationships/hyperlink" Target="https://drive.google.com/file/d/1ebxYiGHYh4H9kAB0UkeZz3DylZ5Tyii8/view?usp=drive_link" TargetMode="External"/><Relationship Id="rId119" Type="http://schemas.openxmlformats.org/officeDocument/2006/relationships/hyperlink" Target="https://drive.google.com/file/d/1I6LSWdHusLBHCUZrgIiTXWgS3NOeA24k/view?usp=sharing" TargetMode="External"/><Relationship Id="rId326" Type="http://schemas.openxmlformats.org/officeDocument/2006/relationships/hyperlink" Target="https://cdn.ittelkom-sby.ac.id/research/z16385461653c969b6ebeaa60dc6da27b9090e65e9b.pdf" TargetMode="External"/><Relationship Id="rId533" Type="http://schemas.openxmlformats.org/officeDocument/2006/relationships/hyperlink" Target="http://cdndata.telkomuniversity.ac.id/research/z17109194096b90fe6677ee57634c27741acc07cb84.pdf" TargetMode="External"/><Relationship Id="rId740" Type="http://schemas.openxmlformats.org/officeDocument/2006/relationships/hyperlink" Target="https://cdndata.telkomuniversity.ac.id/research/z17413369118276d45d97866bc13113f61e2455b93e.pdf" TargetMode="External"/><Relationship Id="rId172" Type="http://schemas.openxmlformats.org/officeDocument/2006/relationships/hyperlink" Target="https://cdn.ittelkom-sby.ac.id/research/z16548296375b85c53e9dfb8e12493a41fdab47b09c.pdf" TargetMode="External"/><Relationship Id="rId477" Type="http://schemas.openxmlformats.org/officeDocument/2006/relationships/hyperlink" Target="https://cdn.ittelkom-sby.ac.id/research/z17001246513ae363b1f10f9ae9c1e9c6d56c961473.pdf" TargetMode="External"/><Relationship Id="rId600" Type="http://schemas.openxmlformats.org/officeDocument/2006/relationships/hyperlink" Target="../../../../../:b:/g/personal/lppmsby_telkomuniversity_ac_id/EeUGMDXxTC9Dhx72eAtpwWgBpG-04VwysbAwAll5Znl5iQ?e=d7KMo8" TargetMode="External"/><Relationship Id="rId684" Type="http://schemas.openxmlformats.org/officeDocument/2006/relationships/hyperlink" Target="http://cdndata.telkomuniversity.ac.id/research/z1726627510eef32c651d015893d00ed36393a42401.pdf" TargetMode="External"/><Relationship Id="rId337" Type="http://schemas.openxmlformats.org/officeDocument/2006/relationships/hyperlink" Target="https://cdn.ittelkom-sby.ac.id/research/z1627042379f1745084500f0195e77ed6eb90720998.pdf" TargetMode="External"/><Relationship Id="rId34" Type="http://schemas.openxmlformats.org/officeDocument/2006/relationships/hyperlink" Target="https://drive.google.com/file/d/1Ed7bh1uv5p2eq-Kqq2WZ68_zhsVoQRcB/view?usp=drive_link" TargetMode="External"/><Relationship Id="rId544" Type="http://schemas.openxmlformats.org/officeDocument/2006/relationships/hyperlink" Target="http://cdndata.telkomuniversity.ac.id/research/z171094130949d7c160039b8b958267b8ff9a3d6b25.pdf" TargetMode="External"/><Relationship Id="rId751" Type="http://schemas.openxmlformats.org/officeDocument/2006/relationships/hyperlink" Target="https://iplatinum.telkomuniversity.ac.id/backoffice/selection/proposal/document/212" TargetMode="External"/><Relationship Id="rId183" Type="http://schemas.openxmlformats.org/officeDocument/2006/relationships/hyperlink" Target="https://cdn.ittelkom-sby.ac.id/research/z1633577935d832c680dbdf3e998d219ee709f4cb1c.pdf" TargetMode="External"/><Relationship Id="rId390" Type="http://schemas.openxmlformats.org/officeDocument/2006/relationships/hyperlink" Target="https://cdn.ittelkom-sby.ac.id/research/z1643357824da4539cb1e5383cac32d32b072c1c584.pdf" TargetMode="External"/><Relationship Id="rId404" Type="http://schemas.openxmlformats.org/officeDocument/2006/relationships/hyperlink" Target="../../../../../:b:/r/personal/lppm_ittelkom-sby_ac_id/Documents/2023/Hibah%20Eksternal/BIMA/Proposal/Pengembangan%20sistem%20analisis%20klasterisasi%20keluhan%20warga%20untuk%20membantu%20meningkatkan%20kepuasan%20masyarakat%20terhadap%20layanan%20Pemerintah%20Kota%20Surabaya%20dengan%20data%20stream%20mining%20(1).pdf?csf=1&amp;web=1&amp;e=syclSy" TargetMode="External"/><Relationship Id="rId611" Type="http://schemas.openxmlformats.org/officeDocument/2006/relationships/hyperlink" Target="https://cdndata.telkomuniversity.ac.id/research/z17235143961ae55e212a538c48aca193c1beb11711.pdf" TargetMode="External"/><Relationship Id="rId250" Type="http://schemas.openxmlformats.org/officeDocument/2006/relationships/hyperlink" Target="https://cdn.ittelkom-sby.ac.id/research/z1637567267fe4a23f4d3301fe76b5353fd602724d1.pdf" TargetMode="External"/><Relationship Id="rId488" Type="http://schemas.openxmlformats.org/officeDocument/2006/relationships/hyperlink" Target="http://cdndata.telkomuniversity.ac.id/research/z1711941169bacc30635df923b83ccdb152e4d3f787.pdf" TargetMode="External"/><Relationship Id="rId695" Type="http://schemas.openxmlformats.org/officeDocument/2006/relationships/hyperlink" Target="https://cdndata.telkomuniversity.ac.id/research/z173407900147f0d38e3afffea20a979c6e2fa4bf23.pdf" TargetMode="External"/><Relationship Id="rId709" Type="http://schemas.openxmlformats.org/officeDocument/2006/relationships/hyperlink" Target="https://cdndata.telkomuniversity.ac.id/research/z1730365565b8bfbf973e5190b740da657d58ece546.pdf" TargetMode="External"/><Relationship Id="rId45" Type="http://schemas.openxmlformats.org/officeDocument/2006/relationships/hyperlink" Target="https://drive.google.com/file/d/1SYT6axc7xaeW-Xneu0ARl3-ZTDdL55Qj/view?usp=drive_link" TargetMode="External"/><Relationship Id="rId110" Type="http://schemas.openxmlformats.org/officeDocument/2006/relationships/hyperlink" Target="https://drive.google.com/file/d/1gk811YZm6fOdybpmnqj0MlzADzICmTXR/view?usp=sharing" TargetMode="External"/><Relationship Id="rId348" Type="http://schemas.openxmlformats.org/officeDocument/2006/relationships/hyperlink" Target="https://cdn.ittelkom-sby.ac.id/research/z16825785956d658926034413c2d9c2518600ffa2e9.pdf" TargetMode="External"/><Relationship Id="rId555" Type="http://schemas.openxmlformats.org/officeDocument/2006/relationships/hyperlink" Target="http://cdndata.telkomuniversity.ac.id/research/z1710930785e601da064ad91f1955b0f11ad8bac18c.pdf" TargetMode="External"/><Relationship Id="rId762" Type="http://schemas.openxmlformats.org/officeDocument/2006/relationships/hyperlink" Target="https://iplatinum.telkomuniversity.ac.id/backoffice/selection/proposal/document/394" TargetMode="External"/><Relationship Id="rId194" Type="http://schemas.openxmlformats.org/officeDocument/2006/relationships/hyperlink" Target="https://cdn.ittelkom-sby.ac.id/research/z1628064560d8240ce8813ba0e42348c9908a8cc61a.pdf" TargetMode="External"/><Relationship Id="rId208" Type="http://schemas.openxmlformats.org/officeDocument/2006/relationships/hyperlink" Target="https://cdn.ittelkom-sby.ac.id/research/z1627970259cec76f2c7d2b68cfcd288a236acc1aae.pdf" TargetMode="External"/><Relationship Id="rId415" Type="http://schemas.openxmlformats.org/officeDocument/2006/relationships/hyperlink" Target="https://cdn.ittelkom-sby.ac.id/research/z16984215599d3d55d98280abf5b35a5ba8ed67f0cf.pdf" TargetMode="External"/><Relationship Id="rId622" Type="http://schemas.openxmlformats.org/officeDocument/2006/relationships/hyperlink" Target="https://cdn.ittelkom-sby.ac.id/research/z1627711802c3f2514e09cdfb409b1cad21d3c1a5c4.pdf" TargetMode="External"/><Relationship Id="rId261" Type="http://schemas.openxmlformats.org/officeDocument/2006/relationships/hyperlink" Target="https://cdn.ittelkom-sby.ac.id/research/z1637305302be6ac0592fbaeada8aa7f63a5d25a3e5.pdf" TargetMode="External"/><Relationship Id="rId499" Type="http://schemas.openxmlformats.org/officeDocument/2006/relationships/hyperlink" Target="http://cdndata.telkomuniversity.ac.id/research/z17119412865e6c490134b50441fa2ec8191ac1ec42.pdf" TargetMode="External"/><Relationship Id="rId56" Type="http://schemas.openxmlformats.org/officeDocument/2006/relationships/hyperlink" Target="https://cdn.ittelkom-sby.ac.id/research/z1693383555bc90d35778e6d0f09d75cc1bb4e2c010.pdf" TargetMode="External"/><Relationship Id="rId359" Type="http://schemas.openxmlformats.org/officeDocument/2006/relationships/hyperlink" Target="https://cdn.ittelkom-sby.ac.id/research/z1643770768546dbae14fc8fb314582687119ba20cf.pdf" TargetMode="External"/><Relationship Id="rId566" Type="http://schemas.openxmlformats.org/officeDocument/2006/relationships/hyperlink" Target="../../../../../:b:/g/personal/lppm_ittelkom-sby_ac_id/EahPewzWc61Kh3feMCgxn2oBA_p2NuM8w58fRzzNegJA-A?e=feyRoZ" TargetMode="External"/><Relationship Id="rId773" Type="http://schemas.openxmlformats.org/officeDocument/2006/relationships/hyperlink" Target="https://iplatinum.telkomuniversity.ac.id/backoffice/selection/proposal/document/627" TargetMode="External"/><Relationship Id="rId121" Type="http://schemas.openxmlformats.org/officeDocument/2006/relationships/hyperlink" Target="https://drive.google.com/file/d/17gxPj4R6BnM5xfQh21tMdxcmjXvieG-0/view?usp=sharing" TargetMode="External"/><Relationship Id="rId219" Type="http://schemas.openxmlformats.org/officeDocument/2006/relationships/hyperlink" Target="https://cdn.ittelkom-sby.ac.id/research/z1601434846ae1dea35a5610c80f46b39874517d11f.pdf" TargetMode="External"/><Relationship Id="rId426" Type="http://schemas.openxmlformats.org/officeDocument/2006/relationships/hyperlink" Target="https://drive.google.com/file/d/1-NubIcNtFXI_Ly7wmHrq60OapqGg5C4e/view?usp=drive_link" TargetMode="External"/><Relationship Id="rId633" Type="http://schemas.openxmlformats.org/officeDocument/2006/relationships/hyperlink" Target="https://cdn.ittelkom-sby.ac.id/research/z1601352411f9583dcb05f602c164c8f8f22846205e.pdf" TargetMode="External"/><Relationship Id="rId67" Type="http://schemas.openxmlformats.org/officeDocument/2006/relationships/hyperlink" Target="https://cdn.ittelkom-sby.ac.id/research/z1693364303e32d997af15854fc4d4e3e5d9491dbd3.pdf" TargetMode="External"/><Relationship Id="rId272" Type="http://schemas.openxmlformats.org/officeDocument/2006/relationships/hyperlink" Target="https://cdn.ittelkom-sby.ac.id/research/z163732444869c730ef0d2837b04b37354b4833a89c.pdf" TargetMode="External"/><Relationship Id="rId577" Type="http://schemas.openxmlformats.org/officeDocument/2006/relationships/hyperlink" Target="../../../../../:b:/g/personal/lppm_ittelkom-sby_ac_id/EahPewzWc61Kh3feMCgxn2oBA_p2NuM8w58fRzzNegJA-A?e=feyRoZ" TargetMode="External"/><Relationship Id="rId700" Type="http://schemas.openxmlformats.org/officeDocument/2006/relationships/hyperlink" Target="https://cdndata.telkomuniversity.ac.id/research/z17316900862f1d0b3994b1935cfd3bcdd0a96525d0.pdf" TargetMode="External"/><Relationship Id="rId132" Type="http://schemas.openxmlformats.org/officeDocument/2006/relationships/hyperlink" Target="https://cdn.ittelkom-sby.ac.id/research/z16548297959f02cb5c58c0d3db91d59613440ba27a.pdf" TargetMode="External"/><Relationship Id="rId784" Type="http://schemas.openxmlformats.org/officeDocument/2006/relationships/hyperlink" Target="../../../../../../:b:/g/personal/ppm_telkomuniversity_ac_id/EWBmFOtjTqBMq9eeStyYk00BR9h0sa1SIDROcPWew-3eiQ?e=ouhcS6" TargetMode="External"/><Relationship Id="rId437" Type="http://schemas.openxmlformats.org/officeDocument/2006/relationships/hyperlink" Target="https://cdn.ittelkom-sby.ac.id/research/z16107645675a636908fa558f11698fe3f5cc729ae1.pdf" TargetMode="External"/><Relationship Id="rId644" Type="http://schemas.openxmlformats.org/officeDocument/2006/relationships/hyperlink" Target="https://cdn.ittelkom-sby.ac.id/research/z160135919114b14250c02602d366a8804544ab2f14.pdf" TargetMode="External"/><Relationship Id="rId283" Type="http://schemas.openxmlformats.org/officeDocument/2006/relationships/hyperlink" Target="https://cdn.ittelkom-sby.ac.id/research/z164214084500c3a3f8d10c50e69391698956772679.pdf" TargetMode="External"/><Relationship Id="rId490" Type="http://schemas.openxmlformats.org/officeDocument/2006/relationships/hyperlink" Target="http://cdndata.telkomuniversity.ac.id/research/z1711941188f2c8fe6704d537305e948189153176ba.pdf" TargetMode="External"/><Relationship Id="rId504" Type="http://schemas.openxmlformats.org/officeDocument/2006/relationships/hyperlink" Target="http://cdndata.telkomuniversity.ac.id/research/z1711940682736766e231df172a2f47dc41fb1a96ea.pdf" TargetMode="External"/><Relationship Id="rId711" Type="http://schemas.openxmlformats.org/officeDocument/2006/relationships/hyperlink" Target="https://cdndata.telkomuniversity.ac.id/research/z173097342750f58bb9783fd19bc2ecff136f9f7134.pdf" TargetMode="External"/><Relationship Id="rId78" Type="http://schemas.openxmlformats.org/officeDocument/2006/relationships/hyperlink" Target="https://cdn.ittelkom-sby.ac.id/research/z16756480817d1a3e8822ada3516086eafe07c25bea.pdf" TargetMode="External"/><Relationship Id="rId143" Type="http://schemas.openxmlformats.org/officeDocument/2006/relationships/hyperlink" Target="https://cdn.ittelkom-sby.ac.id/research/z1675646848f2db1c7d771d5cc27acebca68cdb5f5a.pdf" TargetMode="External"/><Relationship Id="rId350" Type="http://schemas.openxmlformats.org/officeDocument/2006/relationships/hyperlink" Target="https://cdn.ittelkom-sby.ac.id/research/z16825791232b2df60a3bd99f1ebf3dfee38bc308e5.pdf" TargetMode="External"/><Relationship Id="rId588" Type="http://schemas.openxmlformats.org/officeDocument/2006/relationships/hyperlink" Target="../../../../../:b:/g/personal/lppm_ittelkom-sby_ac_id/EahPewzWc61Kh3feMCgxn2oBA_p2NuM8w58fRzzNegJA-A?e=feyRoZ" TargetMode="External"/><Relationship Id="rId795" Type="http://schemas.openxmlformats.org/officeDocument/2006/relationships/hyperlink" Target="../../../../../../:b:/g/personal/ppm_telkomuniversity_ac_id/EUx5mzDSkipCinCQ_ZJKFQUBVZ8KAUuRotKm77kCPQ88fA?e=Y2biJO" TargetMode="External"/><Relationship Id="rId809" Type="http://schemas.openxmlformats.org/officeDocument/2006/relationships/hyperlink" Target="../../../../../../:b:/g/personal/ppm_telkomuniversity_ac_id/Efzp3Vex_1ZAiwW31-SNkA4BBksdCzDaKhih0_S-P8IYSA?e=1idlNj" TargetMode="External"/><Relationship Id="rId9" Type="http://schemas.openxmlformats.org/officeDocument/2006/relationships/hyperlink" Target="https://drive.google.com/file/d/1i0fHqaZwXIrQE46RP6NOroYCrbpvZyJo/view?usp=drive_link" TargetMode="External"/><Relationship Id="rId210" Type="http://schemas.openxmlformats.org/officeDocument/2006/relationships/hyperlink" Target="https://cdn.ittelkom-sby.ac.id/research/z162797049954e60d9b099d1f445023e915a2022e28.pdf" TargetMode="External"/><Relationship Id="rId448" Type="http://schemas.openxmlformats.org/officeDocument/2006/relationships/hyperlink" Target="https://cdn.ittelkom-sby.ac.id/research/z15978024676980d6cd3ed1e45a58580db55454612a.pdf" TargetMode="External"/><Relationship Id="rId655" Type="http://schemas.openxmlformats.org/officeDocument/2006/relationships/hyperlink" Target="https://cdn.ittelkom-sby.ac.id/research/z1601361970645546c8cd2b74641741e5cb4fed9017.pdf" TargetMode="External"/><Relationship Id="rId294" Type="http://schemas.openxmlformats.org/officeDocument/2006/relationships/hyperlink" Target="https://cdn.ittelkom-sby.ac.id/research/z161616349317fb361189f657360189647e6ff949a1.pdf" TargetMode="External"/><Relationship Id="rId308" Type="http://schemas.openxmlformats.org/officeDocument/2006/relationships/hyperlink" Target="https://cdn.ittelkom-sby.ac.id/research/z1615502701e56305f9878eb5cc6ecdf752ac135515.pdf" TargetMode="External"/><Relationship Id="rId515" Type="http://schemas.openxmlformats.org/officeDocument/2006/relationships/hyperlink" Target="http://cdndata.telkomuniversity.ac.id/research/z17115200263c3dbb1eaf2786554a7c31a0d109455d.pdf" TargetMode="External"/><Relationship Id="rId722" Type="http://schemas.openxmlformats.org/officeDocument/2006/relationships/hyperlink" Target="https://cdndata.telkomuniversity.ac.id/research/z1730368622206ab28c8528567c8f4615717633f2ab.pdf" TargetMode="External"/><Relationship Id="rId89" Type="http://schemas.openxmlformats.org/officeDocument/2006/relationships/hyperlink" Target="https://drive.google.com/file/d/1dUl3uegcNTSWUyahIWcMsRCY0oxu1c-c/view?usp=sharing" TargetMode="External"/><Relationship Id="rId154" Type="http://schemas.openxmlformats.org/officeDocument/2006/relationships/hyperlink" Target="https://cdn.ittelkom-sby.ac.id/research/z1693363940385c1f9c8fa37fa712d71a9b4ff26f2e.pdf" TargetMode="External"/><Relationship Id="rId361" Type="http://schemas.openxmlformats.org/officeDocument/2006/relationships/hyperlink" Target="https://cdn.ittelkom-sby.ac.id/research/z16437862584fbaa5dfa04cebbc9e69d7933c693fe1.pdf" TargetMode="External"/><Relationship Id="rId599" Type="http://schemas.openxmlformats.org/officeDocument/2006/relationships/hyperlink" Target="../../../../../:b:/g/personal/lppmsby_telkomuniversity_ac_id/EYw8SshZQcpDsibALZkxkZEB0Xj12g0WD2SpPdPv7JF2Mw?e=SK8gv7" TargetMode="External"/><Relationship Id="rId459" Type="http://schemas.openxmlformats.org/officeDocument/2006/relationships/hyperlink" Target="../../../../../:b:/g/personal/lppm_ittelkom-sby_ac_id/EY3OcPPiJtlEuGv6F7rXNxEBI5kkOpdBSd-o5sReXxfFoQ?e=wg2YwQ" TargetMode="External"/><Relationship Id="rId666" Type="http://schemas.openxmlformats.org/officeDocument/2006/relationships/hyperlink" Target="https://cdn.ittelkom-sby.ac.id/research/z1597797286533e77447f8f24f34d60724b7490520e.pdf" TargetMode="External"/><Relationship Id="rId16" Type="http://schemas.openxmlformats.org/officeDocument/2006/relationships/hyperlink" Target="https://drive.google.com/file/d/1ZQwbcvuHTBqhFPRvwaAG63vJFzo49Rqw/view?usp=drive_link" TargetMode="External"/><Relationship Id="rId221" Type="http://schemas.openxmlformats.org/officeDocument/2006/relationships/hyperlink" Target="https://cdn.ittelkom-sby.ac.id/research/z1610765836d1a15cbe0e322a5d6deed6db870a2c3c.pdf" TargetMode="External"/><Relationship Id="rId319" Type="http://schemas.openxmlformats.org/officeDocument/2006/relationships/hyperlink" Target="https://cdn.ittelkom-sby.ac.id/research/z162640879104bad41486558470c625fc35e61ebb86.pdf" TargetMode="External"/><Relationship Id="rId526" Type="http://schemas.openxmlformats.org/officeDocument/2006/relationships/hyperlink" Target="https://cdn.ittelkom-sby.ac.id/research/z170978156889c02b78ee09771496b74ab3c736c69d.pdf" TargetMode="External"/><Relationship Id="rId733" Type="http://schemas.openxmlformats.org/officeDocument/2006/relationships/hyperlink" Target="https://cdndata.telkomuniversity.ac.id/research/z1721028882b63b05ba0b9143c1a304eca67c8b4c00.pdf" TargetMode="External"/><Relationship Id="rId165" Type="http://schemas.openxmlformats.org/officeDocument/2006/relationships/hyperlink" Target="https://cdn.ittelkom-sby.ac.id/research/z166320675955d66ca6ccddb096344d4e3994de72a3.pdf" TargetMode="External"/><Relationship Id="rId372" Type="http://schemas.openxmlformats.org/officeDocument/2006/relationships/hyperlink" Target="https://cdn.ittelkom-sby.ac.id/research/z1682568004473e22a9c525de2f4372f94acec19d7d.pdf" TargetMode="External"/><Relationship Id="rId677" Type="http://schemas.openxmlformats.org/officeDocument/2006/relationships/hyperlink" Target="../../../../../:b:/g/personal/lppmsby_telkomuniversity_ac_id/Eecktax1NS1GkZcxdNbSALUBjNiVP4Wqh4y4-XR_EJ0AOw?e=4l3gJP" TargetMode="External"/><Relationship Id="rId800" Type="http://schemas.openxmlformats.org/officeDocument/2006/relationships/hyperlink" Target="../../../../../../:b:/g/personal/ppm_telkomuniversity_ac_id/EY4cOCZy2EFKke28NDyqKdABhTI3qedsfxA9iZ3h-4Ni_g?e=VoWEhr" TargetMode="External"/><Relationship Id="rId232" Type="http://schemas.openxmlformats.org/officeDocument/2006/relationships/hyperlink" Target="https://cdn.ittelkom-sby.ac.id/research/z163607793227c7c89bd400bedb1d2a5e6a3f546ac0.pdf" TargetMode="External"/><Relationship Id="rId27" Type="http://schemas.openxmlformats.org/officeDocument/2006/relationships/hyperlink" Target="https://drive.google.com/file/d/1Cj0oLN2ZcoOSZ9b8cCaCqE8SUJkHJ4Qq/view?usp=drive_link" TargetMode="External"/><Relationship Id="rId537" Type="http://schemas.openxmlformats.org/officeDocument/2006/relationships/hyperlink" Target="http://cdndata.telkomuniversity.ac.id/research/z171094300472c27ecdfcc50cd9d31c8928ddf0a6fe.pdf" TargetMode="External"/><Relationship Id="rId744" Type="http://schemas.openxmlformats.org/officeDocument/2006/relationships/hyperlink" Target="https://iplatinum.telkomuniversity.ac.id/backoffice/selection/proposal/document/88" TargetMode="External"/><Relationship Id="rId80" Type="http://schemas.openxmlformats.org/officeDocument/2006/relationships/hyperlink" Target="https://cdn.ittelkom-sby.ac.id/research/z167573858860c20ec05613bae4b6317a7cf8620138.pdf" TargetMode="External"/><Relationship Id="rId176" Type="http://schemas.openxmlformats.org/officeDocument/2006/relationships/hyperlink" Target="https://cdn.ittelkom-sby.ac.id/research/z1628065345d128b721c0d048222221aefabc3a064e.pdf" TargetMode="External"/><Relationship Id="rId383" Type="http://schemas.openxmlformats.org/officeDocument/2006/relationships/hyperlink" Target="https://cdn.ittelkom-sby.ac.id/research/z1682582653120cb0803d35e6f95815a66980bb0599.pdf" TargetMode="External"/><Relationship Id="rId590" Type="http://schemas.openxmlformats.org/officeDocument/2006/relationships/hyperlink" Target="../../../../../:b:/g/personal/lppm_ittelkom-sby_ac_id/EahPewzWc61Kh3feMCgxn2oBA_p2NuM8w58fRzzNegJA-A?e=feyRoZ" TargetMode="External"/><Relationship Id="rId604" Type="http://schemas.openxmlformats.org/officeDocument/2006/relationships/hyperlink" Target="http://cdndata.telkomuniversity.ac.id/research/z172351303927cae4c8e96cc105247470f6bff579f2.pdf" TargetMode="External"/><Relationship Id="rId811" Type="http://schemas.openxmlformats.org/officeDocument/2006/relationships/hyperlink" Target="../../../../../../:b:/g/personal/ppm_telkomuniversity_ac_id/Efp-HQRjNEFKg8avqYeNEnABeNt6Bca42gHNKgHRS1c9lA?e=QW70Vy" TargetMode="External"/><Relationship Id="rId243" Type="http://schemas.openxmlformats.org/officeDocument/2006/relationships/hyperlink" Target="https://cdn.ittelkom-sby.ac.id/research/z1615552409295b5367fc86a7ec55fec7929e3d7828.pdf" TargetMode="External"/><Relationship Id="rId450" Type="http://schemas.openxmlformats.org/officeDocument/2006/relationships/hyperlink" Target="https://cdn.ittelkom-sby.ac.id/research/z15978026547eefa3ff73df08db388cec2d69c0a161.pdf" TargetMode="External"/><Relationship Id="rId688" Type="http://schemas.openxmlformats.org/officeDocument/2006/relationships/hyperlink" Target="../../../../../../:b:/g/personal/lppmsby_telkomuniversity_ac_id/EQDTWTuR4bZKqFHvcrMdfE8BMRxUd1WzoPOh9_EJUeuStg?e=PzWTV7" TargetMode="External"/><Relationship Id="rId38" Type="http://schemas.openxmlformats.org/officeDocument/2006/relationships/hyperlink" Target="https://drive.google.com/file/d/1SYT6axc7xaeW-Xneu0ARl3-ZTDdL55Qj/view?usp=drive_link" TargetMode="External"/><Relationship Id="rId103" Type="http://schemas.openxmlformats.org/officeDocument/2006/relationships/hyperlink" Target="https://drive.google.com/file/d/1Xwj0Qbokjy4hyYufVMVN6XoIk0nUrC8X/view?usp=sharing" TargetMode="External"/><Relationship Id="rId310" Type="http://schemas.openxmlformats.org/officeDocument/2006/relationships/hyperlink" Target="https://cdn.ittelkom-sby.ac.id/research/z1616161349de7dfe7967d7edd6b9958e5f448e57ff.pdf" TargetMode="External"/><Relationship Id="rId548" Type="http://schemas.openxmlformats.org/officeDocument/2006/relationships/hyperlink" Target="http://cdndata.telkomuniversity.ac.id/research/z1710917141bb25fc5ac2fc57d4595a296e3f425b61.pdf" TargetMode="External"/><Relationship Id="rId755" Type="http://schemas.openxmlformats.org/officeDocument/2006/relationships/hyperlink" Target="https://iplatinum.telkomuniversity.ac.id/backoffice/selection/proposal/document/296" TargetMode="External"/><Relationship Id="rId91" Type="http://schemas.openxmlformats.org/officeDocument/2006/relationships/hyperlink" Target="https://drive.google.com/file/d/1-nBJ81w25lg2Xh4WqbLR26Y0UXjNNEXx/view?usp=sharing" TargetMode="External"/><Relationship Id="rId187" Type="http://schemas.openxmlformats.org/officeDocument/2006/relationships/hyperlink" Target="https://cdn.ittelkom-sby.ac.id/research/z162807486528b65af68775ab1079346ba11b832085.pdf" TargetMode="External"/><Relationship Id="rId394" Type="http://schemas.openxmlformats.org/officeDocument/2006/relationships/hyperlink" Target="https://cdn.ittelkom-sby.ac.id/research/z1678092023ee9b175e390bf4ba3de7737ae2abefb4.pdf" TargetMode="External"/><Relationship Id="rId408" Type="http://schemas.openxmlformats.org/officeDocument/2006/relationships/hyperlink" Target="../../../../../:b:/r/personal/lppm_ittelkom-sby_ac_id/Documents/2023/Hibah%20Eksternal/KEDAIREKA/Proposal/proposalKedai_finale1.pdf_20230613091512.pdf.pdf?csf=1&amp;web=1&amp;e=IhuZ8P" TargetMode="External"/><Relationship Id="rId615" Type="http://schemas.openxmlformats.org/officeDocument/2006/relationships/hyperlink" Target="../../../../../:b:/g/personal/lppmsby_telkomuniversity_ac_id/EaM347nD1R5NubujBfBkmuABqx4GLaLRrUjNCbcK6Ea81A" TargetMode="External"/><Relationship Id="rId254" Type="http://schemas.openxmlformats.org/officeDocument/2006/relationships/hyperlink" Target="https://cdn.ittelkom-sby.ac.id/research/z16152657935eed1d8ca6f7249978b2913fe7113dfc.pdf" TargetMode="External"/><Relationship Id="rId699" Type="http://schemas.openxmlformats.org/officeDocument/2006/relationships/hyperlink" Target="https://cdndata.telkomuniversity.ac.id/research/z173103018381c0be08eddcab803ff611e4da54b31c.pdf" TargetMode="External"/><Relationship Id="rId49" Type="http://schemas.openxmlformats.org/officeDocument/2006/relationships/hyperlink" Target="https://drive.google.com/file/d/1SYT6axc7xaeW-Xneu0ARl3-ZTDdL55Qj/view?usp=drive_link" TargetMode="External"/><Relationship Id="rId114" Type="http://schemas.openxmlformats.org/officeDocument/2006/relationships/hyperlink" Target="https://drive.google.com/file/d/1XM7vIoHUL9a6CbsslKxO9hvcGqTCubZ4/view?usp=sharing" TargetMode="External"/><Relationship Id="rId461" Type="http://schemas.openxmlformats.org/officeDocument/2006/relationships/hyperlink" Target="../../../../../:b:/g/personal/lppm_ittelkom-sby_ac_id/EWnbVPeOT0VOp4BcDey3IGcBoXlEedl1PM_-wKzXolGFdg?e=dB8UFx" TargetMode="External"/><Relationship Id="rId559" Type="http://schemas.openxmlformats.org/officeDocument/2006/relationships/hyperlink" Target="http://cdndata.telkomuniversity.ac.id/research/z17109162402ff0b92b7e1bdc8574d4cef52e8ca761.pdf" TargetMode="External"/><Relationship Id="rId766" Type="http://schemas.openxmlformats.org/officeDocument/2006/relationships/hyperlink" Target="https://iplatinum.telkomuniversity.ac.id/backoffice/selection/proposal/document/469" TargetMode="External"/><Relationship Id="rId198" Type="http://schemas.openxmlformats.org/officeDocument/2006/relationships/hyperlink" Target="https://cdn.ittelkom-sby.ac.id/research/z1628059922065a793b97b1808efbcb4d3ea9ac2149.pdf" TargetMode="External"/><Relationship Id="rId321" Type="http://schemas.openxmlformats.org/officeDocument/2006/relationships/hyperlink" Target="https://cdn.ittelkom-sby.ac.id/research/z1626670239fb8c3c21866151f3259ff421efb4d002.pdf" TargetMode="External"/><Relationship Id="rId419" Type="http://schemas.openxmlformats.org/officeDocument/2006/relationships/hyperlink" Target="https://cdn.ittelkom-sby.ac.id/research/z16989746390abd955e490cbdf94909a76bd42ea179.pdf" TargetMode="External"/><Relationship Id="rId626" Type="http://schemas.openxmlformats.org/officeDocument/2006/relationships/hyperlink" Target="https://cdn.ittelkom-sby.ac.id/research/z160135261681fa81dc4dbcc4290672ac5a153ae35c.pdf" TargetMode="External"/><Relationship Id="rId265" Type="http://schemas.openxmlformats.org/officeDocument/2006/relationships/hyperlink" Target="https://cdn.ittelkom-sby.ac.id/research/z1637574863f4a604c98fa5c2903c1aca89f02f804e.pdf" TargetMode="External"/><Relationship Id="rId472" Type="http://schemas.openxmlformats.org/officeDocument/2006/relationships/hyperlink" Target="../../../../../:b:/g/personal/lppm_ittelkom-sby_ac_id/EQh4nwhOpl1Jm12i4C0rAE4BhzrTBKnDJuEZ29WSTeXbBQ?e=OeoZ7o" TargetMode="External"/><Relationship Id="rId125" Type="http://schemas.openxmlformats.org/officeDocument/2006/relationships/hyperlink" Target="https://cdn.ittelkom-sby.ac.id/research/z16548270794a5e47f6c16c2b2052e1957ec1f92ccf.pdf" TargetMode="External"/><Relationship Id="rId332" Type="http://schemas.openxmlformats.org/officeDocument/2006/relationships/hyperlink" Target="https://cdn.ittelkom-sby.ac.id/research/z1638499511cb51a30710308f47c020fbf558495624.pdf" TargetMode="External"/><Relationship Id="rId777" Type="http://schemas.openxmlformats.org/officeDocument/2006/relationships/hyperlink" Target="https://iplatinum.telkomuniversity.ac.id/backoffice/selection/proposal/document/719" TargetMode="External"/><Relationship Id="rId637" Type="http://schemas.openxmlformats.org/officeDocument/2006/relationships/hyperlink" Target="https://cdn.ittelkom-sby.ac.id/research/z1627727758fdc59709bb33d8e809f22df0fcdd38fc.pdf" TargetMode="External"/><Relationship Id="rId276" Type="http://schemas.openxmlformats.org/officeDocument/2006/relationships/hyperlink" Target="https://cdn.ittelkom-sby.ac.id/research/z16385294877e4d4c55d2d24cf8c25e6a5c182c1271.pdf" TargetMode="External"/><Relationship Id="rId483" Type="http://schemas.openxmlformats.org/officeDocument/2006/relationships/hyperlink" Target="http://cdndata.telkomuniversity.ac.id/research/z1711940753859c689042c2c08f7d4468526b734edd.pdf" TargetMode="External"/><Relationship Id="rId690" Type="http://schemas.openxmlformats.org/officeDocument/2006/relationships/hyperlink" Target="../../../../../../:b:/g/personal/lppmsby_telkomuniversity_ac_id/EQDTWTuR4bZKqFHvcrMdfE8BMRxUd1WzoPOh9_EJUeuStg?e=PzWTV7" TargetMode="External"/><Relationship Id="rId704" Type="http://schemas.openxmlformats.org/officeDocument/2006/relationships/hyperlink" Target="https://cdndata.telkomuniversity.ac.id/research/z1731472451c4831585d429785a4daa683c86c36259.pdf" TargetMode="External"/><Relationship Id="rId40" Type="http://schemas.openxmlformats.org/officeDocument/2006/relationships/hyperlink" Target="https://drive.google.com/file/d/1SYT6axc7xaeW-Xneu0ARl3-ZTDdL55Qj/view?usp=drive_link" TargetMode="External"/><Relationship Id="rId136" Type="http://schemas.openxmlformats.org/officeDocument/2006/relationships/hyperlink" Target="https://cdn.ittelkom-sby.ac.id/research/z1692341507f9e65a7bd3f5b43f3755ce63f1f0a032.pdf" TargetMode="External"/><Relationship Id="rId343" Type="http://schemas.openxmlformats.org/officeDocument/2006/relationships/hyperlink" Target="https://cdn.ittelkom-sby.ac.id/research/z16428538927fd661aaa3069fb87670c0518adb4e89.pdf" TargetMode="External"/><Relationship Id="rId550" Type="http://schemas.openxmlformats.org/officeDocument/2006/relationships/hyperlink" Target="http://cdndata.telkomuniversity.ac.id/research/z1710946112e2a76584a0b700ce5cc97cc2a7bf0eec.pdf" TargetMode="External"/><Relationship Id="rId788" Type="http://schemas.openxmlformats.org/officeDocument/2006/relationships/hyperlink" Target="../../../../../../:b:/g/personal/ppm_telkomuniversity_ac_id/EddauEfY3stJuPsLWFDVdKwBHrSUBcC5nZHXLyDgBwLFwA?e=c999fn" TargetMode="External"/><Relationship Id="rId203" Type="http://schemas.openxmlformats.org/officeDocument/2006/relationships/hyperlink" Target="https://cdn.ittelkom-sby.ac.id/research/z16280594119833aa9b7e7e58eb1886924bd1315384.pdf" TargetMode="External"/><Relationship Id="rId648" Type="http://schemas.openxmlformats.org/officeDocument/2006/relationships/hyperlink" Target="https://cdn.ittelkom-sby.ac.id/research/z1627714186d1a30ab169c22e6339dcb4f06439f317.pdf" TargetMode="External"/><Relationship Id="rId287" Type="http://schemas.openxmlformats.org/officeDocument/2006/relationships/hyperlink" Target="https://cdn.ittelkom-sby.ac.id/research/z1634260907a4734e2424c588ebe9d4298b3e27d197.pdf" TargetMode="External"/><Relationship Id="rId410" Type="http://schemas.openxmlformats.org/officeDocument/2006/relationships/hyperlink" Target="https://cdn.ittelkom-sby.ac.id/research/z1699281609a34e111e86f25531e62eac6266067f0f.pdf" TargetMode="External"/><Relationship Id="rId494" Type="http://schemas.openxmlformats.org/officeDocument/2006/relationships/hyperlink" Target="http://cdndata.telkomuniversity.ac.id/research/z17119412322f69339ad746baef40392a3726b47350.pdf" TargetMode="External"/><Relationship Id="rId508" Type="http://schemas.openxmlformats.org/officeDocument/2006/relationships/hyperlink" Target="http://cdndata.telkomuniversity.ac.id/research/z17119407714e9ccda577e8d3935dee826177030def.pdf" TargetMode="External"/><Relationship Id="rId715" Type="http://schemas.openxmlformats.org/officeDocument/2006/relationships/hyperlink" Target="https://cdndata.telkomuniversity.ac.id/research/z17310794354541f87099279af5f82088deb091db03.pdf" TargetMode="External"/><Relationship Id="rId147" Type="http://schemas.openxmlformats.org/officeDocument/2006/relationships/hyperlink" Target="https://cdn.ittelkom-sby.ac.id/research/z1688368845e79d1db84edc815c391f6e2f484be4f7.pdf" TargetMode="External"/><Relationship Id="rId354" Type="http://schemas.openxmlformats.org/officeDocument/2006/relationships/hyperlink" Target="https://cdn.ittelkom-sby.ac.id/research/z1682567718326136f91c2c73e1501cce8fa0494058.pdf" TargetMode="External"/><Relationship Id="rId799" Type="http://schemas.openxmlformats.org/officeDocument/2006/relationships/hyperlink" Target="../../../../../../:b:/g/personal/ppm_telkomuniversity_ac_id/EUpiNlq31yxPnUX1NB1Bvc4Bhb4Yur-O6h3m1ebOuXsL0g?e=94wqES" TargetMode="External"/><Relationship Id="rId51" Type="http://schemas.openxmlformats.org/officeDocument/2006/relationships/hyperlink" Target="https://cdn.ittelkom-sby.ac.id/research/z1693383379e2ab72909094ab6b64e70f2a84874305.pdf" TargetMode="External"/><Relationship Id="rId561" Type="http://schemas.openxmlformats.org/officeDocument/2006/relationships/hyperlink" Target="http://cdndata.telkomuniversity.ac.id/research/z1708081103c413185fbdf641c75cd0dd133b9f690a.pdf" TargetMode="External"/><Relationship Id="rId659" Type="http://schemas.openxmlformats.org/officeDocument/2006/relationships/hyperlink" Target="https://cdn.ittelkom-sby.ac.id/research/z160136246798d26dcf2f76a6708284b94be9dcb9cf.pdf" TargetMode="External"/><Relationship Id="rId214" Type="http://schemas.openxmlformats.org/officeDocument/2006/relationships/hyperlink" Target="https://cdn.ittelkom-sby.ac.id/research/z16279700150d680f3b1a7f0960ddf6b2edac4f91f6.pdf" TargetMode="External"/><Relationship Id="rId298" Type="http://schemas.openxmlformats.org/officeDocument/2006/relationships/hyperlink" Target="https://cdn.ittelkom-sby.ac.id/research/z161675931495c75a48ec5bb3bef12cfc23281f29e2.pdf" TargetMode="External"/><Relationship Id="rId421" Type="http://schemas.openxmlformats.org/officeDocument/2006/relationships/hyperlink" Target="https://cdn.ittelkom-sby.ac.id/research/z1698412623f55f9be888d91319ebe4523faf1a5b15.pdf" TargetMode="External"/><Relationship Id="rId519" Type="http://schemas.openxmlformats.org/officeDocument/2006/relationships/hyperlink" Target="https://cdn.ittelkom-sby.ac.id/research/z1709722376c137869c9696da372bf6289f0e50f419.pdf" TargetMode="External"/><Relationship Id="rId158" Type="http://schemas.openxmlformats.org/officeDocument/2006/relationships/hyperlink" Target="https://cdn.ittelkom-sby.ac.id/research/z169336488712a0d6e2c8be11bfec3b1d4eac6d3c51.pdf" TargetMode="External"/><Relationship Id="rId726" Type="http://schemas.openxmlformats.org/officeDocument/2006/relationships/hyperlink" Target="https://cdndata.telkomuniversity.ac.id/research/z1736968473a26e08c2ce4cbbf1855ca315010eb678.pdf" TargetMode="External"/><Relationship Id="rId62" Type="http://schemas.openxmlformats.org/officeDocument/2006/relationships/hyperlink" Target="https://cdn.ittelkom-sby.ac.id/research/z16933830713aba85a02a786bd36b36d9a71def2500.pdf" TargetMode="External"/><Relationship Id="rId365" Type="http://schemas.openxmlformats.org/officeDocument/2006/relationships/hyperlink" Target="https://cdn.ittelkom-sby.ac.id/research/z1646995765df4c301f64f4f232179717677c37acd8.pdf" TargetMode="External"/><Relationship Id="rId572" Type="http://schemas.openxmlformats.org/officeDocument/2006/relationships/hyperlink" Target="../../../../../:b:/g/personal/lppm_ittelkom-sby_ac_id/EahPewzWc61Kh3feMCgxn2oBA_p2NuM8w58fRzzNegJA-A?e=feyRoZ" TargetMode="External"/><Relationship Id="rId225" Type="http://schemas.openxmlformats.org/officeDocument/2006/relationships/hyperlink" Target="https://cdn.ittelkom-sby.ac.id/research/z160143488005b943eeb25e60deea0d52d502da812f.pdf" TargetMode="External"/><Relationship Id="rId432" Type="http://schemas.openxmlformats.org/officeDocument/2006/relationships/hyperlink" Target="https://cdn.ittelkom-sby.ac.id/research/z1597804042223700718cb4eeea78b26e9ad074f9b4.pdf" TargetMode="External"/><Relationship Id="rId737" Type="http://schemas.openxmlformats.org/officeDocument/2006/relationships/hyperlink" Target="https://cdndata.telkomuniversity.ac.id/research/z1720754779ed6e8e22b0baa50ee720f6d1cb26321a.pdf" TargetMode="External"/><Relationship Id="rId73" Type="http://schemas.openxmlformats.org/officeDocument/2006/relationships/hyperlink" Target="https://cdn.ittelkom-sby.ac.id/research/z16756508091ac726caa45353a408375ee03fd34e32.pdf" TargetMode="External"/><Relationship Id="rId169" Type="http://schemas.openxmlformats.org/officeDocument/2006/relationships/hyperlink" Target="https://cdn.ittelkom-sby.ac.id/research/z1663206596fa7f4213c03b9d17b5e405501acb9339.pdf" TargetMode="External"/><Relationship Id="rId376" Type="http://schemas.openxmlformats.org/officeDocument/2006/relationships/hyperlink" Target="https://cdn.ittelkom-sby.ac.id/research/z16825681322c52fa84ae72fac66eebda489d375f31.pdf" TargetMode="External"/><Relationship Id="rId583" Type="http://schemas.openxmlformats.org/officeDocument/2006/relationships/hyperlink" Target="../../../../../:b:/g/personal/lppm_ittelkom-sby_ac_id/EahPewzWc61Kh3feMCgxn2oBA_p2NuM8w58fRzzNegJA-A?e=feyRoZ" TargetMode="External"/><Relationship Id="rId790" Type="http://schemas.openxmlformats.org/officeDocument/2006/relationships/hyperlink" Target="../../../../../../:b:/g/personal/ppm_telkomuniversity_ac_id/Efy8_xgSU_dBjm0PJfWdyE4BjIP0bZqDB2veiqg6n-5rOg?e=mjI38T" TargetMode="External"/><Relationship Id="rId804" Type="http://schemas.openxmlformats.org/officeDocument/2006/relationships/hyperlink" Target="../../../../../../:b:/g/personal/ppm_telkomuniversity_ac_id/EQLwwfHxjnJHqziMPvOGhN4BpTDRL_X3tT2rQ5dnrf8hSw?e=IPjcvq" TargetMode="External"/><Relationship Id="rId4" Type="http://schemas.openxmlformats.org/officeDocument/2006/relationships/hyperlink" Target="https://drive.google.com/file/d/1RUtfUBoXI7TtcFg20IMu4aIPZTNHeQuT/view?usp=drive_link" TargetMode="External"/><Relationship Id="rId236" Type="http://schemas.openxmlformats.org/officeDocument/2006/relationships/hyperlink" Target="https://cdn.ittelkom-sby.ac.id/research/z1637719797328be308a1f5b419185f75cf05ff3f93.pdf" TargetMode="External"/><Relationship Id="rId443" Type="http://schemas.openxmlformats.org/officeDocument/2006/relationships/hyperlink" Target="https://cdn.ittelkom-sby.ac.id/research/z161076340728aeebc2586ff696e129bffd48bca4a2.pdf" TargetMode="External"/><Relationship Id="rId650" Type="http://schemas.openxmlformats.org/officeDocument/2006/relationships/hyperlink" Target="https://cdn.ittelkom-sby.ac.id/research/z1601359841747fa20d6d72a26bb5874cac505bb528.pdf" TargetMode="External"/><Relationship Id="rId303" Type="http://schemas.openxmlformats.org/officeDocument/2006/relationships/hyperlink" Target="https://cdn.ittelkom-sby.ac.id/research/z16329828745571a8a17f8d872c5a341d9c5bfa4a58.pdf" TargetMode="External"/><Relationship Id="rId748" Type="http://schemas.openxmlformats.org/officeDocument/2006/relationships/hyperlink" Target="https://iplatinum.telkomuniversity.ac.id/backoffice/selection/proposal/document/148" TargetMode="External"/><Relationship Id="rId84" Type="http://schemas.openxmlformats.org/officeDocument/2006/relationships/hyperlink" Target="https://drive.google.com/file/d/1oJz2KaW4_fFfQoqxosWy-6aOj9nsTMn1/view?usp=sharing" TargetMode="External"/><Relationship Id="rId387" Type="http://schemas.openxmlformats.org/officeDocument/2006/relationships/hyperlink" Target="https://cdn.ittelkom-sby.ac.id/research/z16632134760e4c2da5378add6febdb1c8022be1a8c.pdf" TargetMode="External"/><Relationship Id="rId510" Type="http://schemas.openxmlformats.org/officeDocument/2006/relationships/hyperlink" Target="http://cdndata.telkomuniversity.ac.id/research/z1711935616df78d04eead801e40c8b5b7fe32a4fa1.pdf" TargetMode="External"/><Relationship Id="rId594" Type="http://schemas.openxmlformats.org/officeDocument/2006/relationships/hyperlink" Target="../../../../../:b:/g/personal/lppmsby_telkomuniversity_ac_id/ETDhZWI1gXlNpo08-BhqXYsBviGzA35nWoSGH3DBEAiILA?e=ipmZnL" TargetMode="External"/><Relationship Id="rId608" Type="http://schemas.openxmlformats.org/officeDocument/2006/relationships/hyperlink" Target="http://cdndata.telkomuniversity.ac.id/research/z1718073359b0029a1c08aedc37a610fab7877f5870.pdf" TargetMode="External"/><Relationship Id="rId815" Type="http://schemas.openxmlformats.org/officeDocument/2006/relationships/comments" Target="../comments1.xml"/><Relationship Id="rId247" Type="http://schemas.openxmlformats.org/officeDocument/2006/relationships/hyperlink" Target="https://cdn.ittelkom-sby.ac.id/research/z161553394420bc40f8083aebd445945a5365d03d9c.pdf" TargetMode="External"/><Relationship Id="rId107" Type="http://schemas.openxmlformats.org/officeDocument/2006/relationships/hyperlink" Target="https://drive.google.com/file/d/1HYK4-qp4C1KQcETx5xeNSnTFoNxHyGOe/view?usp=sharing" TargetMode="External"/><Relationship Id="rId454" Type="http://schemas.openxmlformats.org/officeDocument/2006/relationships/hyperlink" Target="https://docs.google.com/document/d/1MTRXVFcswhPVOgnUZOFDpI_TWspY3LJ1/edit?usp=drive_link&amp;ouid=113387123707045224599&amp;rtpof=true&amp;sd=true" TargetMode="External"/><Relationship Id="rId661" Type="http://schemas.openxmlformats.org/officeDocument/2006/relationships/hyperlink" Target="https://cdn.ittelkom-sby.ac.id/research/z162771615955856d635de4c6cbecd21033b20fb009.pdf" TargetMode="External"/><Relationship Id="rId759" Type="http://schemas.openxmlformats.org/officeDocument/2006/relationships/hyperlink" Target="https://iplatinum.telkomuniversity.ac.id/backoffice/selection/proposal/document/331" TargetMode="External"/><Relationship Id="rId11" Type="http://schemas.openxmlformats.org/officeDocument/2006/relationships/hyperlink" Target="https://drive.google.com/file/d/1i0fHqaZwXIrQE46RP6NOroYCrbpvZyJo/view?usp=drive_link" TargetMode="External"/><Relationship Id="rId314" Type="http://schemas.openxmlformats.org/officeDocument/2006/relationships/hyperlink" Target="https://cdn.ittelkom-sby.ac.id/research/z1638524734a7cf4d02df2f8169aea55d1c5512e586.pdf" TargetMode="External"/><Relationship Id="rId398" Type="http://schemas.openxmlformats.org/officeDocument/2006/relationships/hyperlink" Target="../../../../../:b:/r/personal/lppm_ittelkom-sby_ac_id/Documents/2023/Hibah%20Eksternal/BIMA/Proposal/Analisis%20Service%20Quality%20pada%20Transportasi%20Umum%20di%20Indonesia%20dengan%20Metode%20Text%20Mining%20Studi%20Kasus%20pada%20MRT%20Jakarta%20(1).pdf?csf=1&amp;web=1&amp;e=l49BT8" TargetMode="External"/><Relationship Id="rId521" Type="http://schemas.openxmlformats.org/officeDocument/2006/relationships/hyperlink" Target="https://cdn.ittelkom-sby.ac.id/research/z1709717528ca17903d6583a570e9386b2770c4a64a.pdf" TargetMode="External"/><Relationship Id="rId619" Type="http://schemas.openxmlformats.org/officeDocument/2006/relationships/hyperlink" Target="https://cdn.ittelkom-sby.ac.id/research/z1627716598c90447de5ea558a11d5baa33dfd55057.pdf" TargetMode="External"/><Relationship Id="rId95" Type="http://schemas.openxmlformats.org/officeDocument/2006/relationships/hyperlink" Target="https://drive.google.com/file/d/1oJz2KaW4_fFfQoqxosWy-6aOj9nsTMn1/view?usp=sharing" TargetMode="External"/><Relationship Id="rId160" Type="http://schemas.openxmlformats.org/officeDocument/2006/relationships/hyperlink" Target="https://cdn.ittelkom-sby.ac.id/research/z1693384438853fd3350e99228a2c7cb92bd56d9bca.pdf" TargetMode="External"/><Relationship Id="rId258" Type="http://schemas.openxmlformats.org/officeDocument/2006/relationships/hyperlink" Target="https://cdn.ittelkom-sby.ac.id/research/z1615550450a9fee95c171e3166a8d5cf150a209c8b.pdf" TargetMode="External"/><Relationship Id="rId465" Type="http://schemas.openxmlformats.org/officeDocument/2006/relationships/hyperlink" Target="../../../../../:b:/r/personal/lppm_ittelkom-sby_ac_id/Documents/2023/Hibah%20Eksternal/BIMA/Kontrak%20Turunan/Scan%20Kontrak%20Turunan%20PDP%20-%20Wachda.pdf?csf=1&amp;web=1&amp;e=zk6dil" TargetMode="External"/><Relationship Id="rId672" Type="http://schemas.openxmlformats.org/officeDocument/2006/relationships/hyperlink" Target="https://cdn.ittelkom-sby.ac.id/research/z16014324703895d122cb9ad3b8929f3daa7f74e15b.pdf" TargetMode="External"/><Relationship Id="rId22" Type="http://schemas.openxmlformats.org/officeDocument/2006/relationships/hyperlink" Target="https://drive.google.com/file/d/1ebxYiGHYh4H9kAB0UkeZz3DylZ5Tyii8/view?usp=drive_link" TargetMode="External"/><Relationship Id="rId118" Type="http://schemas.openxmlformats.org/officeDocument/2006/relationships/hyperlink" Target="https://drive.google.com/file/d/15U7vfn8PGDDVrHwWf9jygjzJDvHMMhDL/view" TargetMode="External"/><Relationship Id="rId325" Type="http://schemas.openxmlformats.org/officeDocument/2006/relationships/hyperlink" Target="https://cdn.ittelkom-sby.ac.id/research/z1626794138e6a1f6757dee8e115d232d4aa4406189.pdf" TargetMode="External"/><Relationship Id="rId532" Type="http://schemas.openxmlformats.org/officeDocument/2006/relationships/hyperlink" Target="http://cdndata.telkomuniversity.ac.id/research/z1710918527785b2bcd0158c9dd15d7bb3d1eb625a0.pdf" TargetMode="External"/><Relationship Id="rId171" Type="http://schemas.openxmlformats.org/officeDocument/2006/relationships/hyperlink" Target="https://cdn.ittelkom-sby.ac.id/research/z1663206431c641fba3e01c63f75f050956fbc4ff7d.pdf" TargetMode="External"/><Relationship Id="rId269" Type="http://schemas.openxmlformats.org/officeDocument/2006/relationships/hyperlink" Target="https://cdn.ittelkom-sby.ac.id/research/z1615552602c6da5d3d65f185c52db55392ddd21de6.pdf" TargetMode="External"/><Relationship Id="rId476" Type="http://schemas.openxmlformats.org/officeDocument/2006/relationships/hyperlink" Target="https://cdn.ittelkom-sby.ac.id/research/z170167337294da18c64e528309393f1fe09d02bb4d.pdf" TargetMode="External"/><Relationship Id="rId683" Type="http://schemas.openxmlformats.org/officeDocument/2006/relationships/hyperlink" Target="http://cdndata.telkomuniversity.ac.id/research/z1726627474f73d1a061cea9bc89af173191ba97022.pdf" TargetMode="External"/><Relationship Id="rId33" Type="http://schemas.openxmlformats.org/officeDocument/2006/relationships/hyperlink" Target="https://drive.google.com/file/d/1Ed7bh1uv5p2eq-Kqq2WZ68_zhsVoQRcB/view?usp=drive_link" TargetMode="External"/><Relationship Id="rId129" Type="http://schemas.openxmlformats.org/officeDocument/2006/relationships/hyperlink" Target="https://cdn.ittelkom-sby.ac.id/research/z1654826310f4ba94d5328bdd7add99ad2599149b8a.pdf" TargetMode="External"/><Relationship Id="rId336" Type="http://schemas.openxmlformats.org/officeDocument/2006/relationships/hyperlink" Target="https://cdn.ittelkom-sby.ac.id/research/z16385409025a9e7078e10f7f75806cc02a5a3a6ed6.pdf" TargetMode="External"/><Relationship Id="rId543" Type="http://schemas.openxmlformats.org/officeDocument/2006/relationships/hyperlink" Target="http://cdndata.telkomuniversity.ac.id/research/z171090386567ee96a893ec707b0aa16b7d8cd70af6.pdf" TargetMode="External"/><Relationship Id="rId182" Type="http://schemas.openxmlformats.org/officeDocument/2006/relationships/hyperlink" Target="https://cdn.ittelkom-sby.ac.id/research/z1633578284a6e79453c173f1ac161a43edf8e1e593.pdf" TargetMode="External"/><Relationship Id="rId403" Type="http://schemas.openxmlformats.org/officeDocument/2006/relationships/hyperlink" Target="../../../../../:b:/r/personal/lppm_ittelkom-sby_ac_id/Documents/2023/Hibah%20Eksternal/BIMA/Proposal/Pengaruh%20Kualitas%20Laporan%20Keuangan%20%20Career%20Concern%20CEO%20dan%20Gender%20CEO%20terhadap%20Efisiensi%20Investasi%20dengan%20Good%20Governance%20sebagai%20variabel%20Moderasi%20(1).pdf?csf=1&amp;web=1&amp;e=fnTyLs" TargetMode="External"/><Relationship Id="rId750" Type="http://schemas.openxmlformats.org/officeDocument/2006/relationships/hyperlink" Target="https://iplatinum.telkomuniversity.ac.id/backoffice/selection/proposal/document/192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ittelkom-sby.ac.id/research/z1695960304488df12c572b3ddecc9acc256e16932a.pdf" TargetMode="External"/><Relationship Id="rId299" Type="http://schemas.openxmlformats.org/officeDocument/2006/relationships/hyperlink" Target="https://abdimas-ppm.telkomuniversity.ac.id/unduh-pks/2024%2CzO3CiWdABRcykU3K" TargetMode="External"/><Relationship Id="rId21" Type="http://schemas.openxmlformats.org/officeDocument/2006/relationships/hyperlink" Target="https://drive.google.com/file/d/1rv_ZyGNztP8WP8g6MGtVZrcFn1vOqeei/view?usp=sharing" TargetMode="External"/><Relationship Id="rId63" Type="http://schemas.openxmlformats.org/officeDocument/2006/relationships/hyperlink" Target="https://cdn.ittelkom-sby.ac.id/research/z165483230952e0ca19aec4569506f26bcf8cd71b2f.pdf" TargetMode="External"/><Relationship Id="rId159" Type="http://schemas.openxmlformats.org/officeDocument/2006/relationships/hyperlink" Target="https://cdn.ittelkom-sby.ac.id/research/z1682495396474b3732b046148b3646af9826cce57f.pdf" TargetMode="External"/><Relationship Id="rId324" Type="http://schemas.openxmlformats.org/officeDocument/2006/relationships/hyperlink" Target="https://abdimas-ppm.telkomuniversity.ac.id/unduh-pks/2024%2CWe7PpqJrOqoxByqL" TargetMode="External"/><Relationship Id="rId366" Type="http://schemas.openxmlformats.org/officeDocument/2006/relationships/hyperlink" Target="https://abdimas-ppm.telkomuniversity.ac.id/unduh-pks/2024%2CYtABbejfAMLWboE0" TargetMode="External"/><Relationship Id="rId170" Type="http://schemas.openxmlformats.org/officeDocument/2006/relationships/hyperlink" Target="https://cdn.ittelkom-sby.ac.id/research/z164328415724efea534642d5f846e71bbaf3ce8068.pdf" TargetMode="External"/><Relationship Id="rId226" Type="http://schemas.openxmlformats.org/officeDocument/2006/relationships/hyperlink" Target="https://cdn.ittelkom-sby.ac.id/research/z1615545138e60abcbb71388cca2a7cfae87b5944b5.pdf" TargetMode="External"/><Relationship Id="rId268" Type="http://schemas.openxmlformats.org/officeDocument/2006/relationships/hyperlink" Target="../../../../../:b:/g/personal/lppm_ittelkom-sby_ac_id/Eaz9x-oj_4NAnjg66YZLgnMBp347kSfRP9j2_r7fjR7HFA?e=XJfexh" TargetMode="External"/><Relationship Id="rId32" Type="http://schemas.openxmlformats.org/officeDocument/2006/relationships/hyperlink" Target="https://cdn.ittelkom-sby.ac.id/research/z16943974813946e3f095e3a272c1e2e7757945dd4b.pdf" TargetMode="External"/><Relationship Id="rId74" Type="http://schemas.openxmlformats.org/officeDocument/2006/relationships/hyperlink" Target="https://cdn.ittelkom-sby.ac.id/research/z1628053612bb4ce90cb1e751f1fa9006711affdc72.pdf" TargetMode="External"/><Relationship Id="rId128" Type="http://schemas.openxmlformats.org/officeDocument/2006/relationships/hyperlink" Target="https://cdn.ittelkom-sby.ac.id/research/z1675644918eea8a7a14e067b527be1710f97edd7df.pdf" TargetMode="External"/><Relationship Id="rId335" Type="http://schemas.openxmlformats.org/officeDocument/2006/relationships/hyperlink" Target="../../../../../:b:/g/personal/lppm_ittelkom-sby_ac_id/EQBzmKGIvANFu9TIPElr1goBtKFZzQBz6u8pTvEDCnAtxw?e=8yBNec" TargetMode="External"/><Relationship Id="rId377" Type="http://schemas.openxmlformats.org/officeDocument/2006/relationships/hyperlink" Target="https://abdimas-ppm.telkomuniversity.ac.id/unduh-dokumen-fn/2025%2CopVSBFMZW8BZfXQD%2Cinternal%2Cproposal" TargetMode="External"/><Relationship Id="rId5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1" Type="http://schemas.openxmlformats.org/officeDocument/2006/relationships/hyperlink" Target="https://cdn.ittelkom-sby.ac.id/research/z16824843535af0898474412d2730bc1f4d1c122784.pdf" TargetMode="External"/><Relationship Id="rId237" Type="http://schemas.openxmlformats.org/officeDocument/2006/relationships/hyperlink" Target="https://cdn.ittelkom-sby.ac.id/research/z1633700259593f334a58d87812670a19ac251843ee.pdf" TargetMode="External"/><Relationship Id="rId279" Type="http://schemas.openxmlformats.org/officeDocument/2006/relationships/hyperlink" Target="http://cdndata.telkomuniversity.ac.id/research/z17084913435cd17398cebd083da4fde3adde978861.pdf" TargetMode="External"/><Relationship Id="rId43" Type="http://schemas.openxmlformats.org/officeDocument/2006/relationships/hyperlink" Target="https://cdn.ittelkom-sby.ac.id/research/z1693382686cc52baf62d7d6399be63450d6cee03b4.pdf" TargetMode="External"/><Relationship Id="rId139" Type="http://schemas.openxmlformats.org/officeDocument/2006/relationships/hyperlink" Target="https://cdn.ittelkom-sby.ac.id/research/z1668566980932ea3e76f5500f6b51ebb81e01b3766.pdf" TargetMode="External"/><Relationship Id="rId290" Type="http://schemas.openxmlformats.org/officeDocument/2006/relationships/hyperlink" Target="https://abdimas-ppm.telkomuniversity.ac.id/unduh-dokumen-fn/2024%2CN30yLCj7mCNqUWeS%2Cinternal%2Cproposal" TargetMode="External"/><Relationship Id="rId304" Type="http://schemas.openxmlformats.org/officeDocument/2006/relationships/hyperlink" Target="https://abdimas-ppm.telkomuniversity.ac.id/unduh-dokumen-fn/2024%2CxC6PEwffEkz594w8%2Cinternal%2Cproposal" TargetMode="External"/><Relationship Id="rId346" Type="http://schemas.openxmlformats.org/officeDocument/2006/relationships/hyperlink" Target="../../../../../../:b:/g/personal/lppmsby_telkomuniversity_ac_id/ERi0q1bEbe1Ngq9t1KSmQ4UBOqcayh_qD6sclKawED1QAw?e=mJCLf8" TargetMode="External"/><Relationship Id="rId388" Type="http://schemas.openxmlformats.org/officeDocument/2006/relationships/hyperlink" Target="https://abdimas-ppm.telkomuniversity.ac.id/unduh-dokumen-fn/2025%2CDM0kyEKYGQLOhCrs%2Cinternal%2Cproposal" TargetMode="External"/><Relationship Id="rId85" Type="http://schemas.openxmlformats.org/officeDocument/2006/relationships/hyperlink" Target="https://cdn.ittelkom-sby.ac.id/research/z16280546664d89c2d450a8662fb1ee61c1a451ddce.pdf" TargetMode="External"/><Relationship Id="rId150" Type="http://schemas.openxmlformats.org/officeDocument/2006/relationships/hyperlink" Target="https://cdn.ittelkom-sby.ac.id/research/z1655457617efc08ae07597cdc47f456a72a86b38ab.pdf" TargetMode="External"/><Relationship Id="rId192" Type="http://schemas.openxmlformats.org/officeDocument/2006/relationships/hyperlink" Target="https://cdn.ittelkom-sby.ac.id/research/z162643529808119a91f37360e909913027788bc063.pdf" TargetMode="External"/><Relationship Id="rId206" Type="http://schemas.openxmlformats.org/officeDocument/2006/relationships/hyperlink" Target="https://cdn.ittelkom-sby.ac.id/research/z1626354588a5998d524f6d9f36c717f5033bc74fd7.pdf" TargetMode="External"/><Relationship Id="rId248" Type="http://schemas.openxmlformats.org/officeDocument/2006/relationships/hyperlink" Target="https://cdn.ittelkom-sby.ac.id/research/z1598425186699b0147ed710a7d3e656d6dfa2cd91c.pdf" TargetMode="External"/><Relationship Id="rId12" Type="http://schemas.openxmlformats.org/officeDocument/2006/relationships/hyperlink" Target="https://drive.google.com/file/d/1xogy7NNIe_4vm0YtA55G6X96NJOBXuPA/view?usp=sharing" TargetMode="External"/><Relationship Id="rId108" Type="http://schemas.openxmlformats.org/officeDocument/2006/relationships/hyperlink" Target="https://cdn.ittelkom-sby.ac.id/research/z1675650687b988ae6fa6eeeb651e6111a62dad63a1.pdf" TargetMode="External"/><Relationship Id="rId315" Type="http://schemas.openxmlformats.org/officeDocument/2006/relationships/hyperlink" Target="https://abdimas-ppm.telkomuniversity.ac.id/unduh-pks/2024%2Cqy7PMrD88nNngfkn" TargetMode="External"/><Relationship Id="rId357" Type="http://schemas.openxmlformats.org/officeDocument/2006/relationships/hyperlink" Target="https://abdimas-ppm.telkomuniversity.ac.id/unduh-dokumen-fn/2024%2CX7atZcAHbNeCRNgU%2Cinternal%2Cproposal" TargetMode="External"/><Relationship Id="rId54" Type="http://schemas.openxmlformats.org/officeDocument/2006/relationships/hyperlink" Target="https://cdn.ittelkom-sby.ac.id/research/z1654832170d0c25729b5c0a42652957b724d6e01bb.pdf" TargetMode="External"/><Relationship Id="rId96" Type="http://schemas.openxmlformats.org/officeDocument/2006/relationships/hyperlink" Target="https://cdn.ittelkom-sby.ac.id/research/z1692014697947b16082af52c05208a586cde7877f3.pdf" TargetMode="External"/><Relationship Id="rId161" Type="http://schemas.openxmlformats.org/officeDocument/2006/relationships/hyperlink" Target="https://cdn.ittelkom-sby.ac.id/research/z16619138809338a154b31abb697a3f0ced111e0533.pdf" TargetMode="External"/><Relationship Id="rId217" Type="http://schemas.openxmlformats.org/officeDocument/2006/relationships/hyperlink" Target="https://cdn.ittelkom-sby.ac.id/research/z1624418291eafb62a8e7fa70b263f66b0ace4d1d8d.pdf" TargetMode="External"/><Relationship Id="rId399" Type="http://schemas.openxmlformats.org/officeDocument/2006/relationships/vmlDrawing" Target="../drawings/vmlDrawing2.vml"/><Relationship Id="rId259" Type="http://schemas.openxmlformats.org/officeDocument/2006/relationships/hyperlink" Target="../../../../../:b:/g/personal/lppm_ittelkom-sby_ac_id/EfhiDdlst-FClblDuQEXT-EBm3IuL0FOi-HitoiUpUP0HA?e=1isve7" TargetMode="External"/><Relationship Id="rId23" Type="http://schemas.openxmlformats.org/officeDocument/2006/relationships/hyperlink" Target="https://cdn.ittelkom-sby.ac.id/research/z16933603004e1c377d9b8b9511800cf89af758f14d.pdf" TargetMode="External"/><Relationship Id="rId119" Type="http://schemas.openxmlformats.org/officeDocument/2006/relationships/hyperlink" Target="https://cdn.ittelkom-sby.ac.id/research/z169451967143028a8f474c5f416217e9d2572e3cee.pdf" TargetMode="External"/><Relationship Id="rId270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26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65" Type="http://schemas.openxmlformats.org/officeDocument/2006/relationships/hyperlink" Target="https://cdn.ittelkom-sby.ac.id/research/z1663126696dde2e58127bfc8828bb3f8fa5c353430.pdf" TargetMode="External"/><Relationship Id="rId130" Type="http://schemas.openxmlformats.org/officeDocument/2006/relationships/hyperlink" Target="https://cdn.ittelkom-sby.ac.id/research/z16756447282c105d54741563e89220e609e33bdd3f.pdf" TargetMode="External"/><Relationship Id="rId368" Type="http://schemas.openxmlformats.org/officeDocument/2006/relationships/hyperlink" Target="https://abdimas-ppm.telkomuniversity.ac.id/unduh-pks/2024%2CUVJbpIHypdnVtoc6" TargetMode="External"/><Relationship Id="rId172" Type="http://schemas.openxmlformats.org/officeDocument/2006/relationships/hyperlink" Target="https://cdn.ittelkom-sby.ac.id/research/z1643253013557505e7175f83e94bdfbb7186034d43.pdf" TargetMode="External"/><Relationship Id="rId228" Type="http://schemas.openxmlformats.org/officeDocument/2006/relationships/hyperlink" Target="https://cdn.ittelkom-sby.ac.id/research/z16155401822bc2ee9dfbfc0c7c6f605733b67e1baf.pdf" TargetMode="External"/><Relationship Id="rId281" Type="http://schemas.openxmlformats.org/officeDocument/2006/relationships/hyperlink" Target="http://cdndata.telkomuniversity.ac.id/research/z1708098508cd91991370e2f0066b69b024c72f945f.pdf" TargetMode="External"/><Relationship Id="rId337" Type="http://schemas.openxmlformats.org/officeDocument/2006/relationships/hyperlink" Target="https://abdimas-ppm.telkomuniversity.ac.id/unduh-dokumen-fn/2024%2CJlmzABk2E5buT4V7%2Cinternal%2Cproposal" TargetMode="External"/><Relationship Id="rId34" Type="http://schemas.openxmlformats.org/officeDocument/2006/relationships/hyperlink" Target="https://cdn.ittelkom-sby.ac.id/research/z16933615170aae51a209e1861fac6c6874e213ceed.pdf" TargetMode="External"/><Relationship Id="rId76" Type="http://schemas.openxmlformats.org/officeDocument/2006/relationships/hyperlink" Target="https://cdn.ittelkom-sby.ac.id/research/z1628053140f0b3864028344aea3ff33da6fb13d37a.pdf" TargetMode="External"/><Relationship Id="rId141" Type="http://schemas.openxmlformats.org/officeDocument/2006/relationships/hyperlink" Target="https://cdn.ittelkom-sby.ac.id/research/z16698666312c34b0652c309f02ef1bff546bbe6bc1.pdf" TargetMode="External"/><Relationship Id="rId379" Type="http://schemas.openxmlformats.org/officeDocument/2006/relationships/hyperlink" Target="https://abdimas-ppm.telkomuniversity.ac.id/unduh-dokumen-fn/2025%2Ca35mlARCXUPjDBgj%2Cinternal%2Cproposal" TargetMode="External"/><Relationship Id="rId7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83" Type="http://schemas.openxmlformats.org/officeDocument/2006/relationships/hyperlink" Target="https://cdn.ittelkom-sby.ac.id/research/z1682491919c1039e10f1b443b66341ef68223ba2ca.pdf" TargetMode="External"/><Relationship Id="rId239" Type="http://schemas.openxmlformats.org/officeDocument/2006/relationships/hyperlink" Target="https://cdn.ittelkom-sby.ac.id/research/z1634119340b78049b47580e34edff9cb36827410a0.pdf" TargetMode="External"/><Relationship Id="rId390" Type="http://schemas.openxmlformats.org/officeDocument/2006/relationships/hyperlink" Target="https://abdimas-ppm.telkomuniversity.ac.id/unduh-dokumen-fn/2025%2Ce3Z3H78s4QLTmQDW%2Cinternal%2Cproposal" TargetMode="External"/><Relationship Id="rId250" Type="http://schemas.openxmlformats.org/officeDocument/2006/relationships/hyperlink" Target="https://cdn.ittelkom-sby.ac.id/research/z1598426531fd21c478f4cc3b9698bc10c0d310bc11.pdf" TargetMode="External"/><Relationship Id="rId292" Type="http://schemas.openxmlformats.org/officeDocument/2006/relationships/hyperlink" Target="https://abdimas-ppm.telkomuniversity.ac.id/unduh-dokumen-fn/2024%2Cv5Xehq9p96rrhSMU%2Cinternal%2Cproposal" TargetMode="External"/><Relationship Id="rId306" Type="http://schemas.openxmlformats.org/officeDocument/2006/relationships/hyperlink" Target="https://abdimas-ppm.telkomuniversity.ac.id/unduh-dokumen-fn/2024%2CuCiDQ8A7odUVCEt2%2Cinternal%2Cproposal" TargetMode="External"/><Relationship Id="rId45" Type="http://schemas.openxmlformats.org/officeDocument/2006/relationships/hyperlink" Target="https://cdn.ittelkom-sby.ac.id/research/z1693879966e31d78d44782879ef10b274ca7a2097b.pdf" TargetMode="External"/><Relationship Id="rId87" Type="http://schemas.openxmlformats.org/officeDocument/2006/relationships/hyperlink" Target="https://cdn.ittelkom-sby.ac.id/research/z163349921477c75166197a23e8b8cc687da87f6c76.pdf" TargetMode="External"/><Relationship Id="rId110" Type="http://schemas.openxmlformats.org/officeDocument/2006/relationships/hyperlink" Target="https://cdn.ittelkom-sby.ac.id/research/z1675647206129b3d9c5e26b25ed44fcfe361c43cce.pdf" TargetMode="External"/><Relationship Id="rId348" Type="http://schemas.openxmlformats.org/officeDocument/2006/relationships/hyperlink" Target="https://abdimas-ppm.telkomuniversity.ac.id/unduh-pks/2024%2C8rBXflU3B9ZQSGGP" TargetMode="External"/><Relationship Id="rId152" Type="http://schemas.openxmlformats.org/officeDocument/2006/relationships/hyperlink" Target="https://cdn.ittelkom-sby.ac.id/research/z16578553465b178e88a225817cd1e3cb0becfd1c60.pdf" TargetMode="External"/><Relationship Id="rId194" Type="http://schemas.openxmlformats.org/officeDocument/2006/relationships/hyperlink" Target="https://cdn.ittelkom-sby.ac.id/research/z163849726227b9f841846005d8da465ef55a2510b8.pdf" TargetMode="External"/><Relationship Id="rId208" Type="http://schemas.openxmlformats.org/officeDocument/2006/relationships/hyperlink" Target="https://cdn.ittelkom-sby.ac.id/research/z1634272513e178e69e0eed22f739b28cadd731edfa.pdf" TargetMode="External"/><Relationship Id="rId261" Type="http://schemas.openxmlformats.org/officeDocument/2006/relationships/hyperlink" Target="../../../../../:b:/g/personal/lppm_ittelkom-sby_ac_id/EQWig6bztItJnU3pOcyUmJkBgqpW-R6_rIGjnbhaZIlN1Q?e=1il2El" TargetMode="External"/><Relationship Id="rId14" Type="http://schemas.openxmlformats.org/officeDocument/2006/relationships/hyperlink" Target="https://drive.google.com/file/d/17b1Xi3t-8LeWp6X-i8U8Od_yMPjKsqaN/view?usp=sharing" TargetMode="External"/><Relationship Id="rId56" Type="http://schemas.openxmlformats.org/officeDocument/2006/relationships/hyperlink" Target="https://cdn.ittelkom-sby.ac.id/research/z1663125252c41d93887c45e272359da60558a43c69.pdf" TargetMode="External"/><Relationship Id="rId317" Type="http://schemas.openxmlformats.org/officeDocument/2006/relationships/hyperlink" Target="https://abdimas-ppm.telkomuniversity.ac.id/unduh-pks/2024%2CyWQQIrQ8HRVkMMgx" TargetMode="External"/><Relationship Id="rId359" Type="http://schemas.openxmlformats.org/officeDocument/2006/relationships/hyperlink" Target="https://abdimas-ppm.telkomuniversity.ac.id/unduh-dokumen-fn/2024%2CUVJbpIHypdnVtoc6%2Cinternal%2ClapAkhir" TargetMode="External"/><Relationship Id="rId98" Type="http://schemas.openxmlformats.org/officeDocument/2006/relationships/hyperlink" Target="https://cdn.ittelkom-sby.ac.id/research/z169380199105cc88870c5acce3b46931de54369e30.pdf" TargetMode="External"/><Relationship Id="rId121" Type="http://schemas.openxmlformats.org/officeDocument/2006/relationships/hyperlink" Target="https://cdn.ittelkom-sby.ac.id/research/z1694520872527ac157f5839ef2cd84bf1ce5c9c50c.pdf" TargetMode="External"/><Relationship Id="rId163" Type="http://schemas.openxmlformats.org/officeDocument/2006/relationships/hyperlink" Target="https://cdn.ittelkom-sby.ac.id/research/z1682493693aa19e4dc4f8a8b8ff5dba65f30a64e6c.pdf" TargetMode="External"/><Relationship Id="rId219" Type="http://schemas.openxmlformats.org/officeDocument/2006/relationships/hyperlink" Target="https://cdn.ittelkom-sby.ac.id/research/z1632449031ebb440dcdb3a9d246cac0e83a0063a30.pdf" TargetMode="External"/><Relationship Id="rId370" Type="http://schemas.openxmlformats.org/officeDocument/2006/relationships/hyperlink" Target="https://abdimas-ppm.telkomuniversity.ac.id/unduh-pks/2024%2C01R6qDcPWb3EXVHS" TargetMode="External"/><Relationship Id="rId230" Type="http://schemas.openxmlformats.org/officeDocument/2006/relationships/hyperlink" Target="https://cdn.ittelkom-sby.ac.id/research/z1615554777febff2aea61611ec8fc4abf1c73f844f.pdf" TargetMode="External"/><Relationship Id="rId25" Type="http://schemas.openxmlformats.org/officeDocument/2006/relationships/hyperlink" Target="https://cdn.ittelkom-sby.ac.id/research/z16933616697cfdda1616ab11810fd6f873ef7b59df.pdf" TargetMode="External"/><Relationship Id="rId67" Type="http://schemas.openxmlformats.org/officeDocument/2006/relationships/hyperlink" Target="https://cdn.ittelkom-sby.ac.id/research/z16631260913bf6d2e4cc83ce088ce10414a96de560.pdf" TargetMode="External"/><Relationship Id="rId272" Type="http://schemas.openxmlformats.org/officeDocument/2006/relationships/hyperlink" Target="https://cdn.ittelkom-sby.ac.id/research/z170168124922a3e49146a86d2302607b6d04e58969.pdf" TargetMode="External"/><Relationship Id="rId328" Type="http://schemas.openxmlformats.org/officeDocument/2006/relationships/hyperlink" Target="https://cdn.ittelkom-sby.ac.id/research/z16878517114140d9c4c8f06b27cd5156bda338b9ef.pdf" TargetMode="External"/><Relationship Id="rId132" Type="http://schemas.openxmlformats.org/officeDocument/2006/relationships/hyperlink" Target="https://cdn.ittelkom-sby.ac.id/research/z16756427041e16b26b7d8a472f708261cfcfa49aa9.pdf" TargetMode="External"/><Relationship Id="rId174" Type="http://schemas.openxmlformats.org/officeDocument/2006/relationships/hyperlink" Target="https://cdn.ittelkom-sby.ac.id/research/z16432950000b15db590f04bfe765bbd595a96c563e.pdf" TargetMode="External"/><Relationship Id="rId381" Type="http://schemas.openxmlformats.org/officeDocument/2006/relationships/hyperlink" Target="https://abdimas-ppm.telkomuniversity.ac.id/unduh-dokumen-fn/2025%2Cl702XrTi1MODlsap%2Cinternal%2Cproposal" TargetMode="External"/><Relationship Id="rId241" Type="http://schemas.openxmlformats.org/officeDocument/2006/relationships/hyperlink" Target="https://cdn.ittelkom-sby.ac.id/research/z16339599120a25ac4900cb83d7a6f3e605d80edf2d.pdf" TargetMode="External"/><Relationship Id="rId36" Type="http://schemas.openxmlformats.org/officeDocument/2006/relationships/hyperlink" Target="https://cdn.ittelkom-sby.ac.id/research/z1693360072f79f9947a356ac4d15f1b240d8322c2c.pdf" TargetMode="External"/><Relationship Id="rId283" Type="http://schemas.openxmlformats.org/officeDocument/2006/relationships/hyperlink" Target="https://abdimas-ppm.telkomuniversity.ac.id/unduh-dokumen-fn/2024%2CGocYU8ySOatmUNEn%2Cinternal%2Cproposal" TargetMode="External"/><Relationship Id="rId339" Type="http://schemas.openxmlformats.org/officeDocument/2006/relationships/hyperlink" Target="https://abdimas-ppm.telkomuniversity.ac.id/unduh-dokumen-fn/2024%2CpMuHjCD4DOTjSAqx%2Cinternal%2Cproposal" TargetMode="External"/><Relationship Id="rId78" Type="http://schemas.openxmlformats.org/officeDocument/2006/relationships/hyperlink" Target="https://cdn.ittelkom-sby.ac.id/research/z1628053055c300781a859366f7a636114d5df55dd5.pdf" TargetMode="External"/><Relationship Id="rId101" Type="http://schemas.openxmlformats.org/officeDocument/2006/relationships/hyperlink" Target="https://cdn.ittelkom-sby.ac.id/research/z168856419776b7db6b066cd23bb13ac94486f6568a.pdf" TargetMode="External"/><Relationship Id="rId143" Type="http://schemas.openxmlformats.org/officeDocument/2006/relationships/hyperlink" Target="https://cdn.ittelkom-sby.ac.id/research/z167228238118a0846d0fb5ef75edbadc7b052d25f3.pdf" TargetMode="External"/><Relationship Id="rId185" Type="http://schemas.openxmlformats.org/officeDocument/2006/relationships/hyperlink" Target="https://cdn.ittelkom-sby.ac.id/research/z16624456852ae61a217faa90f237ab5a2b89841a75.pdf" TargetMode="External"/><Relationship Id="rId350" Type="http://schemas.openxmlformats.org/officeDocument/2006/relationships/hyperlink" Target="https://abdimas-ppm.telkomuniversity.ac.id/unduh-pks/2024%2CX015WEKCMS1yYy3K" TargetMode="External"/><Relationship Id="rId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10" Type="http://schemas.openxmlformats.org/officeDocument/2006/relationships/hyperlink" Target="https://cdn.ittelkom-sby.ac.id/research/z16255390580189e3eaf32c85a6c0b6be288d9b8ba7.pdf" TargetMode="External"/><Relationship Id="rId392" Type="http://schemas.openxmlformats.org/officeDocument/2006/relationships/hyperlink" Target="https://abdimas-ppm.telkomuniversity.ac.id/unduh-dokumen-fn/2025%2Ce0nK2zozH6UYVkN9%2Cinternal%2Cproposal" TargetMode="External"/><Relationship Id="rId252" Type="http://schemas.openxmlformats.org/officeDocument/2006/relationships/hyperlink" Target="https://drive.google.com/file/d/1t6WzfDG91299Tx5UPFqRBVrJXYCwa9IY/view?usp=sharing" TargetMode="External"/><Relationship Id="rId294" Type="http://schemas.openxmlformats.org/officeDocument/2006/relationships/hyperlink" Target="https://abdimas-ppm.telkomuniversity.ac.id/unduh-dokumen-fn/2024%2CwAXiqG6HLYo5L0Qv%2Cinternal%2Cproposal" TargetMode="External"/><Relationship Id="rId308" Type="http://schemas.openxmlformats.org/officeDocument/2006/relationships/hyperlink" Target="https://abdimas-ppm.telkomuniversity.ac.id/unduh-pks/2024%2CobcFZyYNGHeEUK1H" TargetMode="External"/><Relationship Id="rId47" Type="http://schemas.openxmlformats.org/officeDocument/2006/relationships/hyperlink" Target="https://cdn.ittelkom-sby.ac.id/research/z1693361439b356de0ebe36889349b73aa62fc3075b.pdf" TargetMode="External"/><Relationship Id="rId89" Type="http://schemas.openxmlformats.org/officeDocument/2006/relationships/hyperlink" Target="https://cdn.ittelkom-sby.ac.id/research/z16335064254f3f8d9c0086903b12b3fff3f086ff91.pdf" TargetMode="External"/><Relationship Id="rId112" Type="http://schemas.openxmlformats.org/officeDocument/2006/relationships/hyperlink" Target="https://cdn.ittelkom-sby.ac.id/research/z1675647290989228579f0029953f9419b86e7bb451.pdf" TargetMode="External"/><Relationship Id="rId154" Type="http://schemas.openxmlformats.org/officeDocument/2006/relationships/hyperlink" Target="https://cdn.ittelkom-sby.ac.id/research/z1655353535f8f9b983a9df0666da41fd622dd9bbb1.pdf" TargetMode="External"/><Relationship Id="rId361" Type="http://schemas.openxmlformats.org/officeDocument/2006/relationships/hyperlink" Target="https://abdimas-ppm.telkomuniversity.ac.id/unduh-pks/2024%2CAE6Kz9zLw7Tfv8WP" TargetMode="External"/><Relationship Id="rId196" Type="http://schemas.openxmlformats.org/officeDocument/2006/relationships/hyperlink" Target="https://cdn.ittelkom-sby.ac.id/research/z163834105808f8c375060a5e44e3f1a64c623edd77.pdf" TargetMode="External"/><Relationship Id="rId16" Type="http://schemas.openxmlformats.org/officeDocument/2006/relationships/hyperlink" Target="https://drive.google.com/file/d/1EavCAwX21XC_cwdcb_q3271xprhlkUcE/view?usp=sharing" TargetMode="External"/><Relationship Id="rId221" Type="http://schemas.openxmlformats.org/officeDocument/2006/relationships/hyperlink" Target="https://cdn.ittelkom-sby.ac.id/research/z163301594761ae34f96e952cc5c02f628885cc4eba.pdf" TargetMode="External"/><Relationship Id="rId263" Type="http://schemas.openxmlformats.org/officeDocument/2006/relationships/hyperlink" Target="https://cdn.ittelkom-sby.ac.id/research/z1700621926f5ed4c452d8aaaa3a09c4a1db65d16c2.pdf" TargetMode="External"/><Relationship Id="rId319" Type="http://schemas.openxmlformats.org/officeDocument/2006/relationships/hyperlink" Target="https://abdimas-ppm.telkomuniversity.ac.id/unduh-pks/2024%2C0TGGHwynb164iKp1" TargetMode="External"/><Relationship Id="rId58" Type="http://schemas.openxmlformats.org/officeDocument/2006/relationships/hyperlink" Target="https://cdn.ittelkom-sby.ac.id/research/z165483276868ef29fa611963f35a64704202150f4d.pdf" TargetMode="External"/><Relationship Id="rId123" Type="http://schemas.openxmlformats.org/officeDocument/2006/relationships/hyperlink" Target="https://cdn.ittelkom-sby.ac.id/research/z169474918336a77a496a697bc79e54273fb4014a6f.pdf" TargetMode="External"/><Relationship Id="rId330" Type="http://schemas.openxmlformats.org/officeDocument/2006/relationships/hyperlink" Target="https://cdn.ittelkom-sby.ac.id/research/z1697450114908c0bd5097db3aa9e84a319a1506812.pdf" TargetMode="External"/><Relationship Id="rId90" Type="http://schemas.openxmlformats.org/officeDocument/2006/relationships/hyperlink" Target="https://cdn.ittelkom-sby.ac.id/research/z1628052515f49255fea602f40931bf2e5ed2f1a965.pdf" TargetMode="External"/><Relationship Id="rId165" Type="http://schemas.openxmlformats.org/officeDocument/2006/relationships/hyperlink" Target="https://cdn.ittelkom-sby.ac.id/research/z16652174178c650cb4e425582fbfa98e7eac9ade26.pdf" TargetMode="External"/><Relationship Id="rId186" Type="http://schemas.openxmlformats.org/officeDocument/2006/relationships/hyperlink" Target="https://cdn.ittelkom-sby.ac.id/research/z16432728851fad8d6fada104c800ee2e1cd54f344d.pdf" TargetMode="External"/><Relationship Id="rId351" Type="http://schemas.openxmlformats.org/officeDocument/2006/relationships/hyperlink" Target="https://abdimas-ppm.telkomuniversity.ac.id/unduh-pks/2024%2CpMuHjCD4DOTjSAqx" TargetMode="External"/><Relationship Id="rId372" Type="http://schemas.openxmlformats.org/officeDocument/2006/relationships/hyperlink" Target="https://abdimas-ppm.telkomuniversity.ac.id/unduh-dokumen-fn/2025%2CbxBU4dSBCwDCJjvl%2Cinternal%2Cproposal" TargetMode="External"/><Relationship Id="rId393" Type="http://schemas.openxmlformats.org/officeDocument/2006/relationships/hyperlink" Target="https://abdimas-ppm.telkomuniversity.ac.id/unduh-dokumen-fn/2025%2C1dkhN3HJJovxv8gU%2Cinternal%2Cproposal" TargetMode="External"/><Relationship Id="rId211" Type="http://schemas.openxmlformats.org/officeDocument/2006/relationships/hyperlink" Target="https://cdn.ittelkom-sby.ac.id/research/z1626065522fd910ae319f42b4f078d720c7539e3b9.pdf" TargetMode="External"/><Relationship Id="rId232" Type="http://schemas.openxmlformats.org/officeDocument/2006/relationships/hyperlink" Target="https://cdn.ittelkom-sby.ac.id/research/z16155172840021e3531a98ee1b508662186a07df41.pdf" TargetMode="External"/><Relationship Id="rId253" Type="http://schemas.openxmlformats.org/officeDocument/2006/relationships/hyperlink" Target="https://cdn.ittelkom-sby.ac.id/research/z1654831727cbe0d512637a7d4bb4639230b8f54552.pdf" TargetMode="External"/><Relationship Id="rId274" Type="http://schemas.openxmlformats.org/officeDocument/2006/relationships/hyperlink" Target="../../../../../:b:/g/personal/lppm_ittelkom-sby_ac_id/EVmf0qXQaO1LvsHj6UcKHsMBOOYQB9GtgAeVzl_2orTDPg?e=9fZAvL" TargetMode="External"/><Relationship Id="rId295" Type="http://schemas.openxmlformats.org/officeDocument/2006/relationships/hyperlink" Target="https://abdimas-ppm.telkomuniversity.ac.id/unduh-dokumen-fn/2024%2C0TGGHwynb164iKp1%2Cinternal%2Cproposal" TargetMode="External"/><Relationship Id="rId309" Type="http://schemas.openxmlformats.org/officeDocument/2006/relationships/hyperlink" Target="https://abdimas-ppm.telkomuniversity.ac.id/unduh-dokumen-fn/2024%2CobcFZyYNGHeEUK1H%2Cinternal%2Cproposal" TargetMode="External"/><Relationship Id="rId27" Type="http://schemas.openxmlformats.org/officeDocument/2006/relationships/hyperlink" Target="https://cdn.ittelkom-sby.ac.id/research/z16933613093b309f4f363696400323228d0c4e2bb8.pdf" TargetMode="External"/><Relationship Id="rId48" Type="http://schemas.openxmlformats.org/officeDocument/2006/relationships/hyperlink" Target="https://cdn.ittelkom-sby.ac.id/research/z169338415943afc52c0cc8e8c3123465d0ecad6520.pdf" TargetMode="External"/><Relationship Id="rId69" Type="http://schemas.openxmlformats.org/officeDocument/2006/relationships/hyperlink" Target="https://cdn.ittelkom-sby.ac.id/research/z166312714810937d7477396e633d5134cf512ad242.pdf" TargetMode="External"/><Relationship Id="rId113" Type="http://schemas.openxmlformats.org/officeDocument/2006/relationships/hyperlink" Target="https://cdn.ittelkom-sby.ac.id/research/z169476092202df8c9390902ef01b5cc7f5bf018fe7.pdf" TargetMode="External"/><Relationship Id="rId134" Type="http://schemas.openxmlformats.org/officeDocument/2006/relationships/hyperlink" Target="https://cdn.ittelkom-sby.ac.id/research/z1675642541cddf78e47c3e0fc8d138eb6246331dc1.pdf" TargetMode="External"/><Relationship Id="rId320" Type="http://schemas.openxmlformats.org/officeDocument/2006/relationships/hyperlink" Target="https://abdimas-ppm.telkomuniversity.ac.id/unduh-pks/2024%2CYU7INyMEsgBUasF6" TargetMode="External"/><Relationship Id="rId80" Type="http://schemas.openxmlformats.org/officeDocument/2006/relationships/hyperlink" Target="https://cdn.ittelkom-sby.ac.id/research/z16280532228f1fb2823b430629bf47e70b23d5a2c0.pdf" TargetMode="External"/><Relationship Id="rId155" Type="http://schemas.openxmlformats.org/officeDocument/2006/relationships/hyperlink" Target="https://cdn.ittelkom-sby.ac.id/research/z16836134339fc37b78aa7980fac74888cc97ce862a.pdf" TargetMode="External"/><Relationship Id="rId176" Type="http://schemas.openxmlformats.org/officeDocument/2006/relationships/hyperlink" Target="https://cdn.ittelkom-sby.ac.id/research/z16431729566805f7ce7991f383318371083dceb410.pdf" TargetMode="External"/><Relationship Id="rId197" Type="http://schemas.openxmlformats.org/officeDocument/2006/relationships/hyperlink" Target="https://cdn.ittelkom-sby.ac.id/research/z1626421241cdb1174f1223ada1957a384c1aaf93d1.pdf" TargetMode="External"/><Relationship Id="rId341" Type="http://schemas.openxmlformats.org/officeDocument/2006/relationships/hyperlink" Target="../../../../../../:b:/g/personal/lppmsby_telkomuniversity_ac_id/ERi0q1bEbe1Ngq9t1KSmQ4UBOqcayh_qD6sclKawED1QAw?e=mJCLf8" TargetMode="External"/><Relationship Id="rId362" Type="http://schemas.openxmlformats.org/officeDocument/2006/relationships/hyperlink" Target="https://abdimas-ppm.telkomuniversity.ac.id/unduh-dokumen-fn/2024%2CYtABbejfAMLWboE0%2Cinternal%2ClapAkhir" TargetMode="External"/><Relationship Id="rId383" Type="http://schemas.openxmlformats.org/officeDocument/2006/relationships/hyperlink" Target="https://abdimas-ppm.telkomuniversity.ac.id/unduh-dokumen-fn/2025%2CNBUzXf7TM4QAzfC6%2Cinternal%2Cproposal" TargetMode="External"/><Relationship Id="rId201" Type="http://schemas.openxmlformats.org/officeDocument/2006/relationships/hyperlink" Target="https://cdn.ittelkom-sby.ac.id/research/z1626431096110c2c8e5a026f56ae9a5cbc4d2d4103.pdf" TargetMode="External"/><Relationship Id="rId222" Type="http://schemas.openxmlformats.org/officeDocument/2006/relationships/hyperlink" Target="https://cdn.ittelkom-sby.ac.id/research/z1615521059906638642f3a42908d7c9b7eb93bd231.pdf" TargetMode="External"/><Relationship Id="rId243" Type="http://schemas.openxmlformats.org/officeDocument/2006/relationships/hyperlink" Target="https://cdn.ittelkom-sby.ac.id/research/z16353003339689d2f1bba8c00d7c4f2428335a91f9.pdf" TargetMode="External"/><Relationship Id="rId264" Type="http://schemas.openxmlformats.org/officeDocument/2006/relationships/hyperlink" Target="https://cdn.ittelkom-sby.ac.id/research/z1700622087a9dec36cb2754ddebf9e85930ecf2168.pdf" TargetMode="External"/><Relationship Id="rId285" Type="http://schemas.openxmlformats.org/officeDocument/2006/relationships/hyperlink" Target="https://abdimas-ppm.telkomuniversity.ac.id/unduh-dokumen-fn/2024%2CHtCBKJOlpNTTe3gU%2Cinternal%2Cproposal" TargetMode="External"/><Relationship Id="rId17" Type="http://schemas.openxmlformats.org/officeDocument/2006/relationships/hyperlink" Target="https://drive.google.com/file/d/1EavCAwX21XC_cwdcb_q3271xprhlkUcE/view?usp=sharing" TargetMode="External"/><Relationship Id="rId38" Type="http://schemas.openxmlformats.org/officeDocument/2006/relationships/hyperlink" Target="https://cdn.ittelkom-sby.ac.id/research/z169387990386b421112081461254204132b9d3597a.pdf" TargetMode="External"/><Relationship Id="rId59" Type="http://schemas.openxmlformats.org/officeDocument/2006/relationships/hyperlink" Target="https://cdn.ittelkom-sby.ac.id/research/z165483269414fa2ee9eddaf8e3884223c23169b1ce.pdf" TargetMode="External"/><Relationship Id="rId103" Type="http://schemas.openxmlformats.org/officeDocument/2006/relationships/hyperlink" Target="https://cdn.ittelkom-sby.ac.id/research/z1692599524d3d6e9db686cb3f66763c0880c0dfc83.pdf" TargetMode="External"/><Relationship Id="rId124" Type="http://schemas.openxmlformats.org/officeDocument/2006/relationships/hyperlink" Target="https://cdn.ittelkom-sby.ac.id/research/z1675644994ae5f7f10610a0872aabb5256822da021.pdf" TargetMode="External"/><Relationship Id="rId310" Type="http://schemas.openxmlformats.org/officeDocument/2006/relationships/hyperlink" Target="https://abdimas-ppm.telkomuniversity.ac.id/unduh-dokumen-fn/2024%2CWe7PpqJrOqoxByqL%2Cinternal%2Cproposal" TargetMode="External"/><Relationship Id="rId70" Type="http://schemas.openxmlformats.org/officeDocument/2006/relationships/hyperlink" Target="https://cdn.ittelkom-sby.ac.id/research/z16631273107e381b68e001f3798914672681f130c2.pdf" TargetMode="External"/><Relationship Id="rId91" Type="http://schemas.openxmlformats.org/officeDocument/2006/relationships/hyperlink" Target="https://cdn.ittelkom-sby.ac.id/research/z16280523832b7f5a71f25aed00443d22ae04e5ae5b.pdf" TargetMode="External"/><Relationship Id="rId145" Type="http://schemas.openxmlformats.org/officeDocument/2006/relationships/hyperlink" Target="https://cdn.ittelkom-sby.ac.id/research/z168256098705c755a06e2d922d779183a0e579c925.pdf" TargetMode="External"/><Relationship Id="rId166" Type="http://schemas.openxmlformats.org/officeDocument/2006/relationships/hyperlink" Target="https://cdn.ittelkom-sby.ac.id/research/z1643276100442a77576bcc3e41fa1e7f6f9b61ee5b.pdf" TargetMode="External"/><Relationship Id="rId187" Type="http://schemas.openxmlformats.org/officeDocument/2006/relationships/hyperlink" Target="https://cdn.ittelkom-sby.ac.id/research/z1658480413e738bbdf6410ddf1a92060fb7f513db3.pdf" TargetMode="External"/><Relationship Id="rId331" Type="http://schemas.openxmlformats.org/officeDocument/2006/relationships/hyperlink" Target="https://cdn.ittelkom-sby.ac.id/research/z169630355322018c49d5a2418cad131eae749cd619.pdf" TargetMode="External"/><Relationship Id="rId352" Type="http://schemas.openxmlformats.org/officeDocument/2006/relationships/hyperlink" Target="https://abdimas-ppm.telkomuniversity.ac.id/unduh-pks/2024%2CjV8bhHofkHS7GeXB" TargetMode="External"/><Relationship Id="rId373" Type="http://schemas.openxmlformats.org/officeDocument/2006/relationships/hyperlink" Target="https://abdimas-ppm.telkomuniversity.ac.id/unduh-dokumen-fn/2025%2CLoEmAhc537mEjA3H%2Cinternal%2Cproposal" TargetMode="External"/><Relationship Id="rId394" Type="http://schemas.openxmlformats.org/officeDocument/2006/relationships/hyperlink" Target="https://abdimas-ppm.telkomuniversity.ac.id/data-kegiatan-admin/2025%2Cl4lGQ7qaYNBznVqG" TargetMode="External"/><Relationship Id="rId1" Type="http://schemas.openxmlformats.org/officeDocument/2006/relationships/pivotTable" Target="../pivotTables/pivotTable1.xml"/><Relationship Id="rId212" Type="http://schemas.openxmlformats.org/officeDocument/2006/relationships/hyperlink" Target="https://cdn.ittelkom-sby.ac.id/research/z16262438691853d909b91bad7063a298b31ec05057.pdf" TargetMode="External"/><Relationship Id="rId233" Type="http://schemas.openxmlformats.org/officeDocument/2006/relationships/hyperlink" Target="https://cdn.ittelkom-sby.ac.id/research/z163411957116d9286b18ba0c55fbbfa797934d33ac.pdf" TargetMode="External"/><Relationship Id="rId254" Type="http://schemas.openxmlformats.org/officeDocument/2006/relationships/hyperlink" Target="https://cdn.ittelkom-sby.ac.id/research/z16432801054eb548130be1bbad37f7f1d36df7594d.pdf" TargetMode="External"/><Relationship Id="rId28" Type="http://schemas.openxmlformats.org/officeDocument/2006/relationships/hyperlink" Target="https://cdn.ittelkom-sby.ac.id/research/z169336194683adf3c3715ee33f0bffdd3533817e4d.pdf" TargetMode="External"/><Relationship Id="rId49" Type="http://schemas.openxmlformats.org/officeDocument/2006/relationships/hyperlink" Target="https://cdn.ittelkom-sby.ac.id/research/z170167484087bde8ad1400ab47f7fcccd68be7a1dc.pdf" TargetMode="External"/><Relationship Id="rId114" Type="http://schemas.openxmlformats.org/officeDocument/2006/relationships/hyperlink" Target="https://cdn.ittelkom-sby.ac.id/research/z16756430666243b4aee9600f4f64ad7bfa0cd2c326.pdf" TargetMode="External"/><Relationship Id="rId275" Type="http://schemas.openxmlformats.org/officeDocument/2006/relationships/hyperlink" Target="../../../../../:b:/g/personal/lppm_ittelkom-sby_ac_id/EVmf0qXQaO1LvsHj6UcKHsMBOOYQB9GtgAeVzl_2orTDPg?e=9fZAvL" TargetMode="External"/><Relationship Id="rId296" Type="http://schemas.openxmlformats.org/officeDocument/2006/relationships/hyperlink" Target="https://abdimas-ppm.telkomuniversity.ac.id/unduh-pks/2024%2CQRz6aL29P9mLFMk7" TargetMode="External"/><Relationship Id="rId300" Type="http://schemas.openxmlformats.org/officeDocument/2006/relationships/hyperlink" Target="https://abdimas-ppm.telkomuniversity.ac.id/unduh-dokumen-fn/2024%2CYU7INyMEsgBUasF6%2Cinternal%2Cproposal" TargetMode="External"/><Relationship Id="rId60" Type="http://schemas.openxmlformats.org/officeDocument/2006/relationships/hyperlink" Target="https://cdn.ittelkom-sby.ac.id/research/z1654832399365e19c03374e597c9538293176f74cf.pdf" TargetMode="External"/><Relationship Id="rId81" Type="http://schemas.openxmlformats.org/officeDocument/2006/relationships/hyperlink" Target="https://cdn.ittelkom-sby.ac.id/research/z1628053476af2014b95c001a13fc2b9ab7cf56e496.pdf" TargetMode="External"/><Relationship Id="rId135" Type="http://schemas.openxmlformats.org/officeDocument/2006/relationships/hyperlink" Target="https://cdn.ittelkom-sby.ac.id/research/z1694400683195000180ad9a4c057ef6c1786195281.pdf" TargetMode="External"/><Relationship Id="rId156" Type="http://schemas.openxmlformats.org/officeDocument/2006/relationships/hyperlink" Target="https://cdn.ittelkom-sby.ac.id/research/z1655453242c222285edc234161d7acdea0ebf2af89.pdf" TargetMode="External"/><Relationship Id="rId177" Type="http://schemas.openxmlformats.org/officeDocument/2006/relationships/hyperlink" Target="https://cdn.ittelkom-sby.ac.id/research/z1682481752e17df078350515f59287fbee27977270.pdf" TargetMode="External"/><Relationship Id="rId198" Type="http://schemas.openxmlformats.org/officeDocument/2006/relationships/hyperlink" Target="https://cdn.ittelkom-sby.ac.id/research/z16385419229e59a6ea6285f74002b320ae75c9b2de.pdf" TargetMode="External"/><Relationship Id="rId321" Type="http://schemas.openxmlformats.org/officeDocument/2006/relationships/hyperlink" Target="https://abdimas-ppm.telkomuniversity.ac.id/unduh-pks/2024%2CPrNRXdw53DNtgA1U" TargetMode="External"/><Relationship Id="rId342" Type="http://schemas.openxmlformats.org/officeDocument/2006/relationships/hyperlink" Target="../../../../../../:b:/g/personal/lppmsby_telkomuniversity_ac_id/ERi0q1bEbe1Ngq9t1KSmQ4UBOqcayh_qD6sclKawED1QAw?e=mJCLf8" TargetMode="External"/><Relationship Id="rId363" Type="http://schemas.openxmlformats.org/officeDocument/2006/relationships/hyperlink" Target="https://abdimas-ppm.telkomuniversity.ac.id/unduh-dokumen-fn/2024%2C2XSaszJ6ukSFGw2k%2Cinternal%2ClapAkhir" TargetMode="External"/><Relationship Id="rId384" Type="http://schemas.openxmlformats.org/officeDocument/2006/relationships/hyperlink" Target="https://abdimas-ppm.telkomuniversity.ac.id/unduh-dokumen-fn/2025%2C3ygysoqwZHo3uJnk%2Cinternal%2Cproposal" TargetMode="External"/><Relationship Id="rId202" Type="http://schemas.openxmlformats.org/officeDocument/2006/relationships/hyperlink" Target="https://cdn.ittelkom-sby.ac.id/research/z1638498863456ff40ebc643c1c0529051c152a000f.pdf" TargetMode="External"/><Relationship Id="rId223" Type="http://schemas.openxmlformats.org/officeDocument/2006/relationships/hyperlink" Target="https://cdn.ittelkom-sby.ac.id/research/z1615521059906638642f3a42908d7c9b7eb93bd231.pdf" TargetMode="External"/><Relationship Id="rId244" Type="http://schemas.openxmlformats.org/officeDocument/2006/relationships/hyperlink" Target="https://cdn.ittelkom-sby.ac.id/research/z1598493315616e0fa85faf054567b0818c87190f40.pdf" TargetMode="External"/><Relationship Id="rId18" Type="http://schemas.openxmlformats.org/officeDocument/2006/relationships/hyperlink" Target="https://drive.google.com/file/d/1DfoKl33q2Z6klF4C9MJmSHLBCiUsjDSL/view?usp=sharing" TargetMode="External"/><Relationship Id="rId39" Type="http://schemas.openxmlformats.org/officeDocument/2006/relationships/hyperlink" Target="https://cdn.ittelkom-sby.ac.id/research/z1694050677ea140ed9eb4d9c63a5e12acba4ecf7bc.pdf" TargetMode="External"/><Relationship Id="rId265" Type="http://schemas.openxmlformats.org/officeDocument/2006/relationships/hyperlink" Target="https://cdn.ittelkom-sby.ac.id/research/z1700621706cb7acc1167d3bf4a11daf88e912bb832.pdf" TargetMode="External"/><Relationship Id="rId286" Type="http://schemas.openxmlformats.org/officeDocument/2006/relationships/hyperlink" Target="https://abdimas-ppm.telkomuniversity.ac.id/unduh-pks/2024%2CHtCBKJOlpNTTe3gU" TargetMode="External"/><Relationship Id="rId50" Type="http://schemas.openxmlformats.org/officeDocument/2006/relationships/hyperlink" Target="https://cdn.ittelkom-sby.ac.id/research/z165483225036fd50f53ef4939ff1e707b96e8aebe7.pdf" TargetMode="External"/><Relationship Id="rId104" Type="http://schemas.openxmlformats.org/officeDocument/2006/relationships/hyperlink" Target="https://cdn.ittelkom-sby.ac.id/research/z1688213104e30dffd889c999f67b30311b2150288c.pdf" TargetMode="External"/><Relationship Id="rId125" Type="http://schemas.openxmlformats.org/officeDocument/2006/relationships/hyperlink" Target="https://cdn.ittelkom-sby.ac.id/research/z16947609816b3cc088c308848446b102f799428a52.pdf" TargetMode="External"/><Relationship Id="rId146" Type="http://schemas.openxmlformats.org/officeDocument/2006/relationships/hyperlink" Target="https://cdn.ittelkom-sby.ac.id/research/z16554604328ac44d10696d51ed8c25e8a811aabdce.pdf" TargetMode="External"/><Relationship Id="rId167" Type="http://schemas.openxmlformats.org/officeDocument/2006/relationships/hyperlink" Target="https://cdn.ittelkom-sby.ac.id/research/z1662623104b2149e4a0881ddf3634f0de4465b607d.pdf" TargetMode="External"/><Relationship Id="rId188" Type="http://schemas.openxmlformats.org/officeDocument/2006/relationships/hyperlink" Target="https://cdn.ittelkom-sby.ac.id/research/z165374931023976b653399c7b8c4502f9bbf899915.pdf" TargetMode="External"/><Relationship Id="rId311" Type="http://schemas.openxmlformats.org/officeDocument/2006/relationships/hyperlink" Target="https://abdimas-ppm.telkomuniversity.ac.id/unduh-dokumen-fn/2024%2CwYMnEvFVF2nG8bjK%2Cinternal%2Cproposal" TargetMode="External"/><Relationship Id="rId332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53" Type="http://schemas.openxmlformats.org/officeDocument/2006/relationships/hyperlink" Target="https://abdimas-ppm.telkomuniversity.ac.id/unduh-dokumen-fn/2024%2CUVJbpIHypdnVtoc6%2Cinternal%2Cproposal" TargetMode="External"/><Relationship Id="rId374" Type="http://schemas.openxmlformats.org/officeDocument/2006/relationships/hyperlink" Target="https://abdimas-ppm.telkomuniversity.ac.id/unduh-dokumen-fn/2025%2CI1bwCbVjapLEtQoI%2Cinternal%2Cproposal" TargetMode="External"/><Relationship Id="rId395" Type="http://schemas.openxmlformats.org/officeDocument/2006/relationships/hyperlink" Target="https://abdimas-ppm.telkomuniversity.ac.id/unduh-dokumen-fn/2025%2CZokKgPAvEgKNQpo6%2Cinternal%2Cproposal" TargetMode="External"/><Relationship Id="rId71" Type="http://schemas.openxmlformats.org/officeDocument/2006/relationships/hyperlink" Target="https://cdn.ittelkom-sby.ac.id/research/z166312628625704775749a1e6ce4bd00618491da20.pdf" TargetMode="External"/><Relationship Id="rId92" Type="http://schemas.openxmlformats.org/officeDocument/2006/relationships/hyperlink" Target="https://cdn.ittelkom-sby.ac.id/research/z1693363316c91091b9568181deb0fa8d05a39450ad.pdf" TargetMode="External"/><Relationship Id="rId213" Type="http://schemas.openxmlformats.org/officeDocument/2006/relationships/hyperlink" Target="https://cdn.ittelkom-sby.ac.id/research/z16262455134c21630d9dcae6b83974d756f346830c.pdf" TargetMode="External"/><Relationship Id="rId234" Type="http://schemas.openxmlformats.org/officeDocument/2006/relationships/hyperlink" Target="https://cdn.ittelkom-sby.ac.id/research/z1614689746a47116107b29a15230611591c69059ef.pdf" TargetMode="External"/><Relationship Id="rId2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9" Type="http://schemas.openxmlformats.org/officeDocument/2006/relationships/hyperlink" Target="https://cdn.ittelkom-sby.ac.id/research/z16933623122d081db2111ab3299e9ac9264972c23f.pdf" TargetMode="External"/><Relationship Id="rId255" Type="http://schemas.openxmlformats.org/officeDocument/2006/relationships/hyperlink" Target="https://cdn.ittelkom-sby.ac.id/research/z1683612548ba58256485107596d1d3406481d55aea.pdf" TargetMode="External"/><Relationship Id="rId276" Type="http://schemas.openxmlformats.org/officeDocument/2006/relationships/hyperlink" Target="http://cdndata.telkomuniversity.ac.id/research/z170856394418ebe243848e7455394c0b8615e6ddb8.pdf" TargetMode="External"/><Relationship Id="rId297" Type="http://schemas.openxmlformats.org/officeDocument/2006/relationships/hyperlink" Target="https://abdimas-ppm.telkomuniversity.ac.id/unduh-dokumen-fn/2024%2CQRz6aL29P9mLFMk7%2Cinternal%2Cproposal" TargetMode="External"/><Relationship Id="rId40" Type="http://schemas.openxmlformats.org/officeDocument/2006/relationships/hyperlink" Target="https://cdn.ittelkom-sby.ac.id/research/z16933826151a498daf2b41a46b3fec095be431c918.pdf" TargetMode="External"/><Relationship Id="rId115" Type="http://schemas.openxmlformats.org/officeDocument/2006/relationships/hyperlink" Target="https://cdn.ittelkom-sby.ac.id/research/z169443681028c3d118aae574695b6f97f1d8b25cf6.pdf" TargetMode="External"/><Relationship Id="rId136" Type="http://schemas.openxmlformats.org/officeDocument/2006/relationships/hyperlink" Target="https://cdn.ittelkom-sby.ac.id/research/z167564246051d203d7d9733ed83e97c739e1b14068.pdf" TargetMode="External"/><Relationship Id="rId157" Type="http://schemas.openxmlformats.org/officeDocument/2006/relationships/hyperlink" Target="https://cdn.ittelkom-sby.ac.id/research/z1682495503028b350e2e681241be837c7938928a05.pdf" TargetMode="External"/><Relationship Id="rId178" Type="http://schemas.openxmlformats.org/officeDocument/2006/relationships/hyperlink" Target="https://cdn.ittelkom-sby.ac.id/research/z16432728857f3dd0b2dd76332fee7e8274389eb6a6.pdf" TargetMode="External"/><Relationship Id="rId301" Type="http://schemas.openxmlformats.org/officeDocument/2006/relationships/hyperlink" Target="https://abdimas-ppm.telkomuniversity.ac.id/unduh-dokumen-fn/2024%2CYYQtUjmvVCyqKBCq%2Cinternal%2Cproposal" TargetMode="External"/><Relationship Id="rId322" Type="http://schemas.openxmlformats.org/officeDocument/2006/relationships/hyperlink" Target="https://abdimas-ppm.telkomuniversity.ac.id/unduh-pks/2024%2CuCiDQ8A7odUVCEt2" TargetMode="External"/><Relationship Id="rId343" Type="http://schemas.openxmlformats.org/officeDocument/2006/relationships/hyperlink" Target="../../../../../../:b:/g/personal/lppmsby_telkomuniversity_ac_id/ERi0q1bEbe1Ngq9t1KSmQ4UBOqcayh_qD6sclKawED1QAw?e=mJCLf8" TargetMode="External"/><Relationship Id="rId364" Type="http://schemas.openxmlformats.org/officeDocument/2006/relationships/hyperlink" Target="https://abdimas-ppm.telkomuniversity.ac.id/unduh-pks/2024%2C2XSaszJ6ukSFGw2k" TargetMode="External"/><Relationship Id="rId61" Type="http://schemas.openxmlformats.org/officeDocument/2006/relationships/hyperlink" Target="https://cdn.ittelkom-sby.ac.id/research/z16432778985b043871c2840ece1ff4c3cd2988a7ca.pdf" TargetMode="External"/><Relationship Id="rId82" Type="http://schemas.openxmlformats.org/officeDocument/2006/relationships/hyperlink" Target="https://cdn.ittelkom-sby.ac.id/research/z1628053341dcc5f10649339b3606998a91ffdcda8f.pdf" TargetMode="External"/><Relationship Id="rId199" Type="http://schemas.openxmlformats.org/officeDocument/2006/relationships/hyperlink" Target="Moh.Hamim%20Zajuli%20Al%20Faroby" TargetMode="External"/><Relationship Id="rId203" Type="http://schemas.openxmlformats.org/officeDocument/2006/relationships/hyperlink" Target="https://cdn.ittelkom-sby.ac.id/research/z1626159471ade7853add289e51831e9960d082204f.pdf" TargetMode="External"/><Relationship Id="rId385" Type="http://schemas.openxmlformats.org/officeDocument/2006/relationships/hyperlink" Target="https://abdimas-ppm.telkomuniversity.ac.id/unduh-dokumen-fn/2025%2CNU9SfxDbO6TtQ3AR%2Cinternal%2Cproposal" TargetMode="External"/><Relationship Id="rId19" Type="http://schemas.openxmlformats.org/officeDocument/2006/relationships/hyperlink" Target="https://drive.google.com/file/d/14t2vxRtswVcDzyBK7BIzB-wOSz4Uvd2J/view?usp=sharing" TargetMode="External"/><Relationship Id="rId224" Type="http://schemas.openxmlformats.org/officeDocument/2006/relationships/hyperlink" Target="https://cdn.ittelkom-sby.ac.id/research/z161554095560585ae9ef950e4e930a3db895a39183.pdf" TargetMode="External"/><Relationship Id="rId245" Type="http://schemas.openxmlformats.org/officeDocument/2006/relationships/hyperlink" Target="https://cdn.ittelkom-sby.ac.id/research/z1635300483d61e761b641b25a675f81ec08d24ce7d.pdf" TargetMode="External"/><Relationship Id="rId266" Type="http://schemas.openxmlformats.org/officeDocument/2006/relationships/hyperlink" Target="https://drive.google.com/file/d/1rlbxK7n7OgGziP2s6OYVRc1zL5TSIxia/view?usp=sharing" TargetMode="External"/><Relationship Id="rId287" Type="http://schemas.openxmlformats.org/officeDocument/2006/relationships/hyperlink" Target="https://abdimas-ppm.telkomuniversity.ac.id/unduh-pks/2024%2CtEm3F5t6OCn2BZTE" TargetMode="External"/><Relationship Id="rId30" Type="http://schemas.openxmlformats.org/officeDocument/2006/relationships/hyperlink" Target="https://cdn.ittelkom-sby.ac.id/research/z1693360561fecee4734ce7294464dd802d84925696.pdf" TargetMode="External"/><Relationship Id="rId105" Type="http://schemas.openxmlformats.org/officeDocument/2006/relationships/hyperlink" Target="https://cdn.ittelkom-sby.ac.id/research/z1692022330b364d816734219ce130bb6ef08decd09.pdf" TargetMode="External"/><Relationship Id="rId126" Type="http://schemas.openxmlformats.org/officeDocument/2006/relationships/hyperlink" Target="https://cdn.ittelkom-sby.ac.id/research/z1675642802a0edcdb15fadd4d915faf86e7d7951eb.pdf" TargetMode="External"/><Relationship Id="rId147" Type="http://schemas.openxmlformats.org/officeDocument/2006/relationships/hyperlink" Target="https://cdn.ittelkom-sby.ac.id/research/z1668604186c87aa360c325674499b14ffa4df95cc7.pdf" TargetMode="External"/><Relationship Id="rId168" Type="http://schemas.openxmlformats.org/officeDocument/2006/relationships/hyperlink" Target="https://cdn.ittelkom-sby.ac.id/research/z16432803154d563220dff40bf1d59e8c772b40d9b9.pdf" TargetMode="External"/><Relationship Id="rId312" Type="http://schemas.openxmlformats.org/officeDocument/2006/relationships/hyperlink" Target="https://abdimas-ppm.telkomuniversity.ac.id/unduh-pks/2024%2CwYMnEvFVF2nG8bjK" TargetMode="External"/><Relationship Id="rId333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54" Type="http://schemas.openxmlformats.org/officeDocument/2006/relationships/hyperlink" Target="https://abdimas-ppm.telkomuniversity.ac.id/unduh-dokumen-fn/2024%2CAE6Kz9zLw7Tfv8WP%2Cinternal%2Cproposal" TargetMode="External"/><Relationship Id="rId51" Type="http://schemas.openxmlformats.org/officeDocument/2006/relationships/hyperlink" Target="https://cdn.ittelkom-sby.ac.id/research/z1663125347b71ed542b2a216ff789e788e063e0509.pdf" TargetMode="External"/><Relationship Id="rId72" Type="http://schemas.openxmlformats.org/officeDocument/2006/relationships/hyperlink" Target="https://cdn.ittelkom-sby.ac.id/research/z16631259952c4cf7983566dd98928b7dba10cbeafb.pdf" TargetMode="External"/><Relationship Id="rId93" Type="http://schemas.openxmlformats.org/officeDocument/2006/relationships/hyperlink" Target="https://cdn.ittelkom-sby.ac.id/research/z1688355814e8e0ffe846d85b2b0507785c46f84fc7.pdf" TargetMode="External"/><Relationship Id="rId189" Type="http://schemas.openxmlformats.org/officeDocument/2006/relationships/hyperlink" Target="https://cdn.ittelkom-sby.ac.id/research/z1626326059743ae62cbb444c2e923c844e7fc13f0f.pdf" TargetMode="External"/><Relationship Id="rId375" Type="http://schemas.openxmlformats.org/officeDocument/2006/relationships/hyperlink" Target="https://abdimas-ppm.telkomuniversity.ac.id/unduh-dokumen-fn/2025%2CvC6aOmEioFR6MtHM%2Cinternal%2Cproposal" TargetMode="External"/><Relationship Id="rId396" Type="http://schemas.openxmlformats.org/officeDocument/2006/relationships/hyperlink" Target="https://abdimas-ppm.telkomuniversity.ac.id/unduh-dokumen-fn/2025%2CXwDH2HOusc1andct%2Cinternal%2Cproposal" TargetMode="External"/><Relationship Id="rId3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14" Type="http://schemas.openxmlformats.org/officeDocument/2006/relationships/hyperlink" Target="https://cdn.ittelkom-sby.ac.id/research/z16183688971ddd2ddc1aba0fbbca9b9ae86f345b26.pdf" TargetMode="External"/><Relationship Id="rId235" Type="http://schemas.openxmlformats.org/officeDocument/2006/relationships/hyperlink" Target="https://cdn.ittelkom-sby.ac.id/research/z1632977923639772e18f2ef27809925a6c81cdd563.pdf" TargetMode="External"/><Relationship Id="rId256" Type="http://schemas.openxmlformats.org/officeDocument/2006/relationships/hyperlink" Target="https://drive.google.com/file/d/1yCSp1LzQx1L-ax4eyplF9Kha5xkA9_nA/view" TargetMode="External"/><Relationship Id="rId277" Type="http://schemas.openxmlformats.org/officeDocument/2006/relationships/hyperlink" Target="http://cdndata.telkomuniversity.ac.id/research/z170971848336d2d990d2630cc9492df87c96ab0b05.pdf" TargetMode="External"/><Relationship Id="rId298" Type="http://schemas.openxmlformats.org/officeDocument/2006/relationships/hyperlink" Target="https://abdimas-ppm.telkomuniversity.ac.id/unduh-dokumen-fn/2024%2CzO3CiWdABRcykU3K%2Cinternal%2Cproposal" TargetMode="External"/><Relationship Id="rId400" Type="http://schemas.openxmlformats.org/officeDocument/2006/relationships/table" Target="../tables/table3.xml"/><Relationship Id="rId116" Type="http://schemas.openxmlformats.org/officeDocument/2006/relationships/hyperlink" Target="https://cdn.ittelkom-sby.ac.id/research/z1675645235b4c115aeb6a010fc63646fa54f7d6c05.pdf" TargetMode="External"/><Relationship Id="rId137" Type="http://schemas.openxmlformats.org/officeDocument/2006/relationships/hyperlink" Target="https://cdn.ittelkom-sby.ac.id/research/z169476188979e5b3a5ec9edf0c396423714c9cd9cd.pdf" TargetMode="External"/><Relationship Id="rId158" Type="http://schemas.openxmlformats.org/officeDocument/2006/relationships/hyperlink" Target="https://cdn.ittelkom-sby.ac.id/research/z164326963334463df88ad6bc0e93d10e4eec6c09df.pdf" TargetMode="External"/><Relationship Id="rId302" Type="http://schemas.openxmlformats.org/officeDocument/2006/relationships/hyperlink" Target="https://abdimas-ppm.telkomuniversity.ac.id/unduh-pks/2024%2CYYQtUjmvVCyqKBCq" TargetMode="External"/><Relationship Id="rId323" Type="http://schemas.openxmlformats.org/officeDocument/2006/relationships/hyperlink" Target="https://abdimas-ppm.telkomuniversity.ac.id/unduh-pks/2024%2CBroX2jRGw79es87U" TargetMode="External"/><Relationship Id="rId344" Type="http://schemas.openxmlformats.org/officeDocument/2006/relationships/hyperlink" Target="../../../../../../:b:/g/personal/lppmsby_telkomuniversity_ac_id/ERi0q1bEbe1Ngq9t1KSmQ4UBOqcayh_qD6sclKawED1QAw?e=mJCLf8" TargetMode="External"/><Relationship Id="rId20" Type="http://schemas.openxmlformats.org/officeDocument/2006/relationships/hyperlink" Target="https://drive.google.com/file/d/14t2vxRtswVcDzyBK7BIzB-wOSz4Uvd2J/view?usp=sharing" TargetMode="External"/><Relationship Id="rId41" Type="http://schemas.openxmlformats.org/officeDocument/2006/relationships/hyperlink" Target="https://cdn.ittelkom-sby.ac.id/research/z169338278491d18fe1ee9ba6db29c79eebb23d2be4.pdf" TargetMode="External"/><Relationship Id="rId62" Type="http://schemas.openxmlformats.org/officeDocument/2006/relationships/hyperlink" Target="https://cdn.ittelkom-sby.ac.id/research/z16548329714cb73132fa21321f09284544f833008e.pdf" TargetMode="External"/><Relationship Id="rId83" Type="http://schemas.openxmlformats.org/officeDocument/2006/relationships/hyperlink" Target="https://cdn.ittelkom-sby.ac.id/research/z163357849451c6d18021693979b2ec1e81ac1d1a52.pdf" TargetMode="External"/><Relationship Id="rId179" Type="http://schemas.openxmlformats.org/officeDocument/2006/relationships/hyperlink" Target="https://cdn.ittelkom-sby.ac.id/research/z16642626272f06d1319cc017de1a31ee456457ab3b.pdf" TargetMode="External"/><Relationship Id="rId365" Type="http://schemas.openxmlformats.org/officeDocument/2006/relationships/hyperlink" Target="https://abdimas-ppm.telkomuniversity.ac.id/unduh-dokumen-fn/2024%2CX7atZcAHbNeCRNgU%2Cinternal%2ClapAkhir" TargetMode="External"/><Relationship Id="rId386" Type="http://schemas.openxmlformats.org/officeDocument/2006/relationships/hyperlink" Target="https://abdimas-ppm.telkomuniversity.ac.id/unduh-dokumen-fn/2025%2CSnhl4IW2yqL7DHUJ%2Cinternal%2Cproposal" TargetMode="External"/><Relationship Id="rId190" Type="http://schemas.openxmlformats.org/officeDocument/2006/relationships/hyperlink" Target="https://cdn.ittelkom-sby.ac.id/research/z1636983826bd07008bef0eda3148896bc3a24e9a4f.pdf" TargetMode="External"/><Relationship Id="rId204" Type="http://schemas.openxmlformats.org/officeDocument/2006/relationships/hyperlink" Target="https://cdn.ittelkom-sby.ac.id/research/z1638253027ac1519eeb4173cdac60c7a07773f8288.pdf" TargetMode="External"/><Relationship Id="rId225" Type="http://schemas.openxmlformats.org/officeDocument/2006/relationships/hyperlink" Target="https://cdn.ittelkom-sby.ac.id/research/z163299098734c6cc255b02651a18ff4754239bb402.pdf" TargetMode="External"/><Relationship Id="rId246" Type="http://schemas.openxmlformats.org/officeDocument/2006/relationships/hyperlink" Target="https://cdn.ittelkom-sby.ac.id/research/z1598492615dfdbcc74dc562c7ed3ac6d3f0fd66f9d.pdf" TargetMode="External"/><Relationship Id="rId267" Type="http://schemas.openxmlformats.org/officeDocument/2006/relationships/hyperlink" Target="https://drive.google.com/file/d/1Sf8V4vL_ghqDt2Nzkeyf98PGqQLAFKED/view?usp=sharing" TargetMode="External"/><Relationship Id="rId288" Type="http://schemas.openxmlformats.org/officeDocument/2006/relationships/hyperlink" Target="https://abdimas-ppm.telkomuniversity.ac.id/unduh-dokumen-fn/2024%2CtEm3F5t6OCn2BZTE%2Cinternal%2Cproposal" TargetMode="External"/><Relationship Id="rId106" Type="http://schemas.openxmlformats.org/officeDocument/2006/relationships/hyperlink" Target="https://cdn.ittelkom-sby.ac.id/research/z16878452998830c0d7ab9f2a2969bb1c3f05e50d8b.pdf" TargetMode="External"/><Relationship Id="rId127" Type="http://schemas.openxmlformats.org/officeDocument/2006/relationships/hyperlink" Target="https://cdn.ittelkom-sby.ac.id/research/z1694420131326556c156ded44d85ec3714e5302166.pdf" TargetMode="External"/><Relationship Id="rId313" Type="http://schemas.openxmlformats.org/officeDocument/2006/relationships/hyperlink" Target="https://abdimas-ppm.telkomuniversity.ac.id/unduh-pks/2024%2CGocYU8ySOatmUNEn" TargetMode="External"/><Relationship Id="rId10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1" Type="http://schemas.openxmlformats.org/officeDocument/2006/relationships/hyperlink" Target="https://cdn.ittelkom-sby.ac.id/research/z169336098641aa6cedd99e9a00f454014141d268a7.pdf" TargetMode="External"/><Relationship Id="rId52" Type="http://schemas.openxmlformats.org/officeDocument/2006/relationships/hyperlink" Target="https://cdn.ittelkom-sby.ac.id/research/z165483261119bb95d27e58fa171146c4a68599324d.pdf" TargetMode="External"/><Relationship Id="rId73" Type="http://schemas.openxmlformats.org/officeDocument/2006/relationships/hyperlink" Target="https://cdn.ittelkom-sby.ac.id/research/z16631267999dcfcd191b8a6df45f9f3615e7977a20.pdf" TargetMode="External"/><Relationship Id="rId94" Type="http://schemas.openxmlformats.org/officeDocument/2006/relationships/hyperlink" Target="https://cdn.ittelkom-sby.ac.id/research/z1687863308182533361167e24a2f21ffe7a30a2ae4.pdf" TargetMode="External"/><Relationship Id="rId148" Type="http://schemas.openxmlformats.org/officeDocument/2006/relationships/hyperlink" Target="Aris%20Kusumawati" TargetMode="External"/><Relationship Id="rId169" Type="http://schemas.openxmlformats.org/officeDocument/2006/relationships/hyperlink" Target="https://cdn.ittelkom-sby.ac.id/research/z16824912033abc2e47cf135fe711f17f6a34d5dc96.pdf" TargetMode="External"/><Relationship Id="rId334" Type="http://schemas.openxmlformats.org/officeDocument/2006/relationships/hyperlink" Target="../../../../../:b:/g/personal/lppm_ittelkom-sby_ac_id/EQBzmKGIvANFu9TIPElr1goBtKFZzQBz6u8pTvEDCnAtxw?e=8yBNec" TargetMode="External"/><Relationship Id="rId355" Type="http://schemas.openxmlformats.org/officeDocument/2006/relationships/hyperlink" Target="https://abdimas-ppm.telkomuniversity.ac.id/unduh-dokumen-fn/2024%2CYtABbejfAMLWboE0%2Cinternal%2Cproposal" TargetMode="External"/><Relationship Id="rId376" Type="http://schemas.openxmlformats.org/officeDocument/2006/relationships/hyperlink" Target="https://abdimas-ppm.telkomuniversity.ac.id/unduh-dokumen-fn/2025%2CHwKQiB8wzoG453kC%2Cinternal%2Cproposal" TargetMode="External"/><Relationship Id="rId397" Type="http://schemas.openxmlformats.org/officeDocument/2006/relationships/hyperlink" Target="https://abdimas-ppm.telkomuniversity.ac.id/unduh-dokumen-fn/2025%2Cn7Bl9Ptd7Ue74Hkn%2Cinternal%2Cproposal" TargetMode="External"/><Relationship Id="rId4" Type="http://schemas.openxmlformats.org/officeDocument/2006/relationships/hyperlink" Target="../../../../../:b:/r/personal/lppm_ittelkom-sby_ac_id/Documents/2023/SK/SK%20LPPM%20Telah%20disahkan/REK.%20011_SAM4_REK_I_2023%20Penerima%20Dan%20Pelaksana%20Hibah%20Program%20Ayo%20Bikin%20Nyata%20Telkom%20CDC%20Tahun%20Anggaran%202022%20.pdf?csf=1&amp;web=1&amp;e=U5h4q6" TargetMode="External"/><Relationship Id="rId180" Type="http://schemas.openxmlformats.org/officeDocument/2006/relationships/hyperlink" Target="https://cdn.ittelkom-sby.ac.id/research/z1643278552c451e85e06fd077f50a1efc5945f9cb7.pdf" TargetMode="External"/><Relationship Id="rId215" Type="http://schemas.openxmlformats.org/officeDocument/2006/relationships/hyperlink" Target="https://cdn.ittelkom-sby.ac.id/research/z1624258229c2bc65572a4cd7748a2f910e6a68945c.pdf" TargetMode="External"/><Relationship Id="rId236" Type="http://schemas.openxmlformats.org/officeDocument/2006/relationships/hyperlink" Target="https://cdn.ittelkom-sby.ac.id/research/z1615521792b0f8c268c5a597b3e79a3a0d24ad0635.pdf" TargetMode="External"/><Relationship Id="rId257" Type="http://schemas.openxmlformats.org/officeDocument/2006/relationships/hyperlink" Target="../../../../../:b:/g/personal/lppm_ittelkom-sby_ac_id/EVPOpTZ-ybRKs7XdFozMPlABSMhzyc9q2cxPpYuQjQjm2g?e=zSdZUV" TargetMode="External"/><Relationship Id="rId278" Type="http://schemas.openxmlformats.org/officeDocument/2006/relationships/hyperlink" Target="http://cdndata.telkomuniversity.ac.id/research/z17080707217661b9081cbab844b0ac51d1e9d32612.pdf" TargetMode="External"/><Relationship Id="rId401" Type="http://schemas.openxmlformats.org/officeDocument/2006/relationships/comments" Target="../comments2.xml"/><Relationship Id="rId303" Type="http://schemas.openxmlformats.org/officeDocument/2006/relationships/hyperlink" Target="https://abdimas-ppm.telkomuniversity.ac.id/unduh-pks/2024%2CxC6PEwffEkz594w8" TargetMode="External"/><Relationship Id="rId42" Type="http://schemas.openxmlformats.org/officeDocument/2006/relationships/hyperlink" Target="https://cdn.ittelkom-sby.ac.id/research/z16933829700236eb3e1c3bbd96364c32db82b9853b.pdf" TargetMode="External"/><Relationship Id="rId84" Type="http://schemas.openxmlformats.org/officeDocument/2006/relationships/hyperlink" Target="https://cdn.ittelkom-sby.ac.id/research/z1633502822080072e91f6266690df905799d83ebfe.pdf" TargetMode="External"/><Relationship Id="rId138" Type="http://schemas.openxmlformats.org/officeDocument/2006/relationships/hyperlink" Target="https://cdn.ittelkom-sby.ac.id/research/z1655344660f79de20d9bc073bd897dd1a4334a9557.pdf" TargetMode="External"/><Relationship Id="rId345" Type="http://schemas.openxmlformats.org/officeDocument/2006/relationships/hyperlink" Target="../../../../../../:b:/g/personal/lppmsby_telkomuniversity_ac_id/ERi0q1bEbe1Ngq9t1KSmQ4UBOqcayh_qD6sclKawED1QAw?e=mJCLf8" TargetMode="External"/><Relationship Id="rId387" Type="http://schemas.openxmlformats.org/officeDocument/2006/relationships/hyperlink" Target="https://abdimas-ppm.telkomuniversity.ac.id/unduh-dokumen-fn/2025%2CE5IJ2FQ0lFtYAPeX%2Cinternal%2Cproposal" TargetMode="External"/><Relationship Id="rId191" Type="http://schemas.openxmlformats.org/officeDocument/2006/relationships/hyperlink" Target="https://cdn.ittelkom-sby.ac.id/research/z16385452192761de5a13fa79207913fc90286ecccc.pdf" TargetMode="External"/><Relationship Id="rId205" Type="http://schemas.openxmlformats.org/officeDocument/2006/relationships/hyperlink" Target="https://cdn.ittelkom-sby.ac.id/research/z1615382107bc11e1509bef258828736567c876e42d.pdf" TargetMode="External"/><Relationship Id="rId247" Type="http://schemas.openxmlformats.org/officeDocument/2006/relationships/hyperlink" Target="https://cdn.ittelkom-sby.ac.id/research/z163530064691d883fd96bc1d5967ff24244cd39ce0.pdf" TargetMode="External"/><Relationship Id="rId107" Type="http://schemas.openxmlformats.org/officeDocument/2006/relationships/hyperlink" Target="https://cdn.ittelkom-sby.ac.id/research/z16756435048ac44c6ac0dc1a8d11509e53961c5a6b.pdf" TargetMode="External"/><Relationship Id="rId289" Type="http://schemas.openxmlformats.org/officeDocument/2006/relationships/hyperlink" Target="https://abdimas-ppm.telkomuniversity.ac.id/unduh-dokumen-fn/2024%2Cqy7PMrD88nNngfkn%2Cinternal%2Cproposal" TargetMode="External"/><Relationship Id="rId11" Type="http://schemas.openxmlformats.org/officeDocument/2006/relationships/hyperlink" Target="https://drive.google.com/file/d/1xogy7NNIe_4vm0YtA55G6X96NJOBXuPA/view?usp=sharing" TargetMode="External"/><Relationship Id="rId53" Type="http://schemas.openxmlformats.org/officeDocument/2006/relationships/hyperlink" Target="https://cdn.ittelkom-sby.ac.id/research/z1654832510a5afa45805cadbb7a70d600e291d5833.pdf" TargetMode="External"/><Relationship Id="rId149" Type="http://schemas.openxmlformats.org/officeDocument/2006/relationships/hyperlink" Target="https://cdn.ittelkom-sby.ac.id/research/z168247484370c13ecf77148c92ece959f64aa2b58c.pdf" TargetMode="External"/><Relationship Id="rId314" Type="http://schemas.openxmlformats.org/officeDocument/2006/relationships/hyperlink" Target="https://abdimas-ppm.telkomuniversity.ac.id/unduh-pks/2024%2CFKtT4f2rlDTAmGSL" TargetMode="External"/><Relationship Id="rId356" Type="http://schemas.openxmlformats.org/officeDocument/2006/relationships/hyperlink" Target="https://abdimas-ppm.telkomuniversity.ac.id/unduh-dokumen-fn/2024%2C2XSaszJ6ukSFGw2k%2Cinternal%2Cproposal" TargetMode="External"/><Relationship Id="rId398" Type="http://schemas.openxmlformats.org/officeDocument/2006/relationships/printerSettings" Target="../printerSettings/printerSettings3.bin"/><Relationship Id="rId95" Type="http://schemas.openxmlformats.org/officeDocument/2006/relationships/hyperlink" Target="https://cdn.ittelkom-sby.ac.id/research/z169804525908fe7cef4b9042e8da952d16534e86c1.pdf" TargetMode="External"/><Relationship Id="rId160" Type="http://schemas.openxmlformats.org/officeDocument/2006/relationships/hyperlink" Target="https://cdn.ittelkom-sby.ac.id/research/z16432740892854e81dcd1e7cb6a10df1a20c6d3a08.pdf" TargetMode="External"/><Relationship Id="rId216" Type="http://schemas.openxmlformats.org/officeDocument/2006/relationships/hyperlink" Target="https://cdn.ittelkom-sby.ac.id/research/z16244174112a8c9a229ece07bd080a6f26c543cbb6.pdf" TargetMode="External"/><Relationship Id="rId258" Type="http://schemas.openxmlformats.org/officeDocument/2006/relationships/hyperlink" Target="../../../../../:b:/g/personal/lppm_ittelkom-sby_ac_id/EfhiDdlst-FClblDuQEXT-EBm3IuL0FOi-HitoiUpUP0HA?e=p47F2E" TargetMode="External"/><Relationship Id="rId22" Type="http://schemas.openxmlformats.org/officeDocument/2006/relationships/hyperlink" Target="https://cdn.ittelkom-sby.ac.id/research/z16933624400bdd985958ba3514a88b6fa899e11897.pdf" TargetMode="External"/><Relationship Id="rId64" Type="http://schemas.openxmlformats.org/officeDocument/2006/relationships/hyperlink" Target="https://cdn.ittelkom-sby.ac.id/research/z166312688454a5089d51b4c124355eaa89d95c1a51.pdf" TargetMode="External"/><Relationship Id="rId118" Type="http://schemas.openxmlformats.org/officeDocument/2006/relationships/hyperlink" Target="https://cdn.ittelkom-sby.ac.id/research/z167564314252b8817dee3e0236bb085b85305108bd.pdf" TargetMode="External"/><Relationship Id="rId325" Type="http://schemas.openxmlformats.org/officeDocument/2006/relationships/hyperlink" Target="https://cdn.ittelkom-sby.ac.id/research/z17017450518f56077e5ecfeaab5edde3ea70f8d6a3.pdf" TargetMode="External"/><Relationship Id="rId367" Type="http://schemas.openxmlformats.org/officeDocument/2006/relationships/hyperlink" Target="https://abdimas-ppm.telkomuniversity.ac.id/unduh-pks/2024%2CX7atZcAHbNeCRNgU" TargetMode="External"/><Relationship Id="rId171" Type="http://schemas.openxmlformats.org/officeDocument/2006/relationships/hyperlink" Target="https://cdn.ittelkom-sby.ac.id/research/z1661738334c8f5a7ad796724caa0b9edd2e36125d8.pdf" TargetMode="External"/><Relationship Id="rId227" Type="http://schemas.openxmlformats.org/officeDocument/2006/relationships/hyperlink" Target="https://cdn.ittelkom-sby.ac.id/research/z1634137123326601e51b8fdde567c8b6b89b267766.pdf" TargetMode="External"/><Relationship Id="rId269" Type="http://schemas.openxmlformats.org/officeDocument/2006/relationships/hyperlink" Target="../../../../../:b:/g/personal/lppm_ittelkom-sby_ac_id/Ebeju3VcF5RHpI1O5nmhg-wBYXNdxGK8Zn1gZQ5tyMKywQ?e=U8tYLi" TargetMode="External"/><Relationship Id="rId33" Type="http://schemas.openxmlformats.org/officeDocument/2006/relationships/hyperlink" Target="https://cdn.ittelkom-sby.ac.id/research/z16933601397fe894b9f7b1012e7dbfb6a051a28344.pdf" TargetMode="External"/><Relationship Id="rId129" Type="http://schemas.openxmlformats.org/officeDocument/2006/relationships/hyperlink" Target="https://cdn.ittelkom-sby.ac.id/research/z1694763252369d9ca566d46adadb267218d1cb8125.pdf" TargetMode="External"/><Relationship Id="rId280" Type="http://schemas.openxmlformats.org/officeDocument/2006/relationships/hyperlink" Target="http://cdndata.telkomuniversity.ac.id/research/z1708273844fc016e87b3fd45ddfaaf3d695f38e172.pdf" TargetMode="External"/><Relationship Id="rId336" Type="http://schemas.openxmlformats.org/officeDocument/2006/relationships/hyperlink" Target="https://abdimas-ppm.telkomuniversity.ac.id/unduh-dokumen-fn/2024%2C8rBXflU3B9ZQSGGP%2Cinternal%2Cproposal" TargetMode="External"/><Relationship Id="rId75" Type="http://schemas.openxmlformats.org/officeDocument/2006/relationships/hyperlink" Target="https://cdn.ittelkom-sby.ac.id/research/z1628053400415728a31d60cc6664a51d6278a45bc3.pdf" TargetMode="External"/><Relationship Id="rId140" Type="http://schemas.openxmlformats.org/officeDocument/2006/relationships/hyperlink" Target="https://cdn.ittelkom-sby.ac.id/research/z1655344655bb5d671673854990d7e35cc82cd791bf.pdf" TargetMode="External"/><Relationship Id="rId182" Type="http://schemas.openxmlformats.org/officeDocument/2006/relationships/hyperlink" Target="https://cdn.ittelkom-sby.ac.id/research/z164327978115bcb7c444888adf1c8ab2a63c3f7992.pdf" TargetMode="External"/><Relationship Id="rId378" Type="http://schemas.openxmlformats.org/officeDocument/2006/relationships/hyperlink" Target="https://abdimas-ppm.telkomuniversity.ac.id/unduh-dokumen-fn/2025%2CCCYYjkiHJlRMOKVr%2Cinternal%2Cproposal" TargetMode="External"/><Relationship Id="rId6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238" Type="http://schemas.openxmlformats.org/officeDocument/2006/relationships/hyperlink" Target="https://cdn.ittelkom-sby.ac.id/research/z1615542074da6fc1e5e3e5e3c0d70bc47db39c7d15.pdf" TargetMode="External"/><Relationship Id="rId291" Type="http://schemas.openxmlformats.org/officeDocument/2006/relationships/hyperlink" Target="https://abdimas-ppm.telkomuniversity.ac.id/unduh-dokumen-fn/2024%2CyWQQIrQ8HRVkMMgx%2Cinternal%2Cproposal" TargetMode="External"/><Relationship Id="rId305" Type="http://schemas.openxmlformats.org/officeDocument/2006/relationships/hyperlink" Target="https://abdimas-ppm.telkomuniversity.ac.id/unduh-dokumen-fn/2024%2CPrNRXdw53DNtgA1U%2Cinternal%2Cproposal" TargetMode="External"/><Relationship Id="rId347" Type="http://schemas.openxmlformats.org/officeDocument/2006/relationships/hyperlink" Target="../../../../../../:b:/g/personal/lppmsby_telkomuniversity_ac_id/ERi0q1bEbe1Ngq9t1KSmQ4UBOqcayh_qD6sclKawED1QAw?e=mJCLf8" TargetMode="External"/><Relationship Id="rId44" Type="http://schemas.openxmlformats.org/officeDocument/2006/relationships/hyperlink" Target="https://cdn.ittelkom-sby.ac.id/research/z169338289731a601820f52fc97ab937afa782a7d6e.pdf" TargetMode="External"/><Relationship Id="rId86" Type="http://schemas.openxmlformats.org/officeDocument/2006/relationships/hyperlink" Target="https://cdn.ittelkom-sby.ac.id/research/z163349926961efdbf1abe007881e0111feea21709b.pdf" TargetMode="External"/><Relationship Id="rId151" Type="http://schemas.openxmlformats.org/officeDocument/2006/relationships/hyperlink" Target="https://cdn.ittelkom-sby.ac.id/research/z1682560747832dbcec2a98576a99f3892b3bc22391.pdf" TargetMode="External"/><Relationship Id="rId389" Type="http://schemas.openxmlformats.org/officeDocument/2006/relationships/hyperlink" Target="https://abdimas-ppm.telkomuniversity.ac.id/unduh-dokumen-fn/2025%2Ce3Z3H78s4QLTmQDW%2Cinternal%2Cproposal" TargetMode="External"/><Relationship Id="rId193" Type="http://schemas.openxmlformats.org/officeDocument/2006/relationships/hyperlink" Target="https://cdn.ittelkom-sby.ac.id/research/z16265004268f745946faa21c5ec4759bf4f0056e62.pdf" TargetMode="External"/><Relationship Id="rId207" Type="http://schemas.openxmlformats.org/officeDocument/2006/relationships/hyperlink" Target="https://cdn.ittelkom-sby.ac.id/research/z1638529400541a40d94c6df24384301971202bc467.pdf" TargetMode="External"/><Relationship Id="rId249" Type="http://schemas.openxmlformats.org/officeDocument/2006/relationships/hyperlink" Target="https://cdn.ittelkom-sby.ac.id/research/z160143622855f025a2277492525a5b4db4cae9a48e.pdf" TargetMode="External"/><Relationship Id="rId13" Type="http://schemas.openxmlformats.org/officeDocument/2006/relationships/hyperlink" Target="https://drive.google.com/file/d/17b1Xi3t-8LeWp6X-i8U8Od_yMPjKsqaN/view?usp=sharing" TargetMode="External"/><Relationship Id="rId109" Type="http://schemas.openxmlformats.org/officeDocument/2006/relationships/hyperlink" Target="https://cdn.ittelkom-sby.ac.id/research/z16944173889123d1e454429ffcef867fe76dbe15ea.pdf" TargetMode="External"/><Relationship Id="rId260" Type="http://schemas.openxmlformats.org/officeDocument/2006/relationships/hyperlink" Target="../../../../../:b:/g/personal/lppm_ittelkom-sby_ac_id/EfJpnfBo_t1Il1nf_T7FK7sBQTzuVB50NpBrUYuCdR9-ig?e=Vm9WCG" TargetMode="External"/><Relationship Id="rId316" Type="http://schemas.openxmlformats.org/officeDocument/2006/relationships/hyperlink" Target="https://abdimas-ppm.telkomuniversity.ac.id/unduh-pks/2024%2CN30yLCj7mCNqUWeS" TargetMode="External"/><Relationship Id="rId55" Type="http://schemas.openxmlformats.org/officeDocument/2006/relationships/hyperlink" Target="https://cdn.ittelkom-sby.ac.id/research/z1655089442292b995ca37e5538082f58900a54053a.pdf" TargetMode="External"/><Relationship Id="rId97" Type="http://schemas.openxmlformats.org/officeDocument/2006/relationships/hyperlink" Target="https://cdn.ittelkom-sby.ac.id/research/z169199480989b3334b823c1b3438349880be98d98d.pdf" TargetMode="External"/><Relationship Id="rId120" Type="http://schemas.openxmlformats.org/officeDocument/2006/relationships/hyperlink" Target="https://cdn.ittelkom-sby.ac.id/research/z167564298344c38d8b5a0da2cfeec64628753fa742.pdf" TargetMode="External"/><Relationship Id="rId358" Type="http://schemas.openxmlformats.org/officeDocument/2006/relationships/hyperlink" Target="https://abdimas-ppm.telkomuniversity.ac.id/unduh-dokumen-fn/2024%2C01R6qDcPWb3EXVHS%2Cinternal%2Cproposal" TargetMode="External"/><Relationship Id="rId162" Type="http://schemas.openxmlformats.org/officeDocument/2006/relationships/hyperlink" Target="https://cdn.ittelkom-sby.ac.id/research/z1643356626eff81b05a2d1dab7d684b8fc940f87da.pdf" TargetMode="External"/><Relationship Id="rId218" Type="http://schemas.openxmlformats.org/officeDocument/2006/relationships/hyperlink" Target="https://cdn.ittelkom-sby.ac.id/research/z161604983363cd50010040655c8eebfbd6108ec242.pdf" TargetMode="External"/><Relationship Id="rId271" Type="http://schemas.openxmlformats.org/officeDocument/2006/relationships/hyperlink" Target="https://cdn.ittelkom-sby.ac.id/research/z17016804054df6ef484694b995fad64f4dd62ad677.pdf" TargetMode="External"/><Relationship Id="rId24" Type="http://schemas.openxmlformats.org/officeDocument/2006/relationships/hyperlink" Target="https://cdn.ittelkom-sby.ac.id/research/z1693360802542662b940fcdb02d7f3bc3c2305f340.pdf" TargetMode="External"/><Relationship Id="rId66" Type="http://schemas.openxmlformats.org/officeDocument/2006/relationships/hyperlink" Target="https://cdn.ittelkom-sby.ac.id/research/z16631264882eb2671fb8ce9c412644f55e7118f7dd.pdf" TargetMode="External"/><Relationship Id="rId131" Type="http://schemas.openxmlformats.org/officeDocument/2006/relationships/hyperlink" Target="https://cdn.ittelkom-sby.ac.id/research/z1694749021d762676d8a5bdc0b0a87d457e5a836a5.pdf" TargetMode="External"/><Relationship Id="rId327" Type="http://schemas.openxmlformats.org/officeDocument/2006/relationships/hyperlink" Target="https://cdn.ittelkom-sby.ac.id/research/z1697192429c9d5aab41acfd59379d2eab4105e7d24.pdf" TargetMode="External"/><Relationship Id="rId369" Type="http://schemas.openxmlformats.org/officeDocument/2006/relationships/hyperlink" Target="https://abdimas-ppm.telkomuniversity.ac.id/unduh-dokumen-fn/2024%2C01R6qDcPWb3EXVHS%2Cinternal%2ClapAkhir" TargetMode="External"/><Relationship Id="rId173" Type="http://schemas.openxmlformats.org/officeDocument/2006/relationships/hyperlink" Target="https://cdn.ittelkom-sby.ac.id/research/z16824799910e656198c1d2feee7546ff57acd95e48.pdf" TargetMode="External"/><Relationship Id="rId229" Type="http://schemas.openxmlformats.org/officeDocument/2006/relationships/hyperlink" Target="https://cdn.ittelkom-sby.ac.id/research/z1633662665d05e7c89635a646ec785fd0caf4267a4.pdf" TargetMode="External"/><Relationship Id="rId380" Type="http://schemas.openxmlformats.org/officeDocument/2006/relationships/hyperlink" Target="https://abdimas-ppm.telkomuniversity.ac.id/unduh-dokumen-fn/2025%2C0Uz0ENaiK6O3cExG%2Cinternal%2Cproposal" TargetMode="External"/><Relationship Id="rId240" Type="http://schemas.openxmlformats.org/officeDocument/2006/relationships/hyperlink" Target="https://cdn.ittelkom-sby.ac.id/research/z16155542849d5f732182738ad476880d73f4c19ae2.pdf" TargetMode="External"/><Relationship Id="rId35" Type="http://schemas.openxmlformats.org/officeDocument/2006/relationships/hyperlink" Target="https://cdn.ittelkom-sby.ac.id/research/z1693360433e5b91174ef7442ff3b4e71752f93293c.pdf" TargetMode="External"/><Relationship Id="rId77" Type="http://schemas.openxmlformats.org/officeDocument/2006/relationships/hyperlink" Target="https://cdn.ittelkom-sby.ac.id/research/z1628052878f4c8c3ce58655383f69f593a14f37890.pdf" TargetMode="External"/><Relationship Id="rId100" Type="http://schemas.openxmlformats.org/officeDocument/2006/relationships/hyperlink" Target="https://cdn.ittelkom-sby.ac.id/research/z1692610415532f31f627d047c2dc9c324bfc229573.pdf" TargetMode="External"/><Relationship Id="rId282" Type="http://schemas.openxmlformats.org/officeDocument/2006/relationships/hyperlink" Target="http://cdndata.telkomuniversity.ac.id/research/z17102997613d18b476410c0502502c94088d676a8a.pdf" TargetMode="External"/><Relationship Id="rId338" Type="http://schemas.openxmlformats.org/officeDocument/2006/relationships/hyperlink" Target="https://abdimas-ppm.telkomuniversity.ac.id/unduh-dokumen-fn/2024%2CX015WEKCMS1yYy3K%2Cinternal%2Cproposal" TargetMode="External"/><Relationship Id="rId8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42" Type="http://schemas.openxmlformats.org/officeDocument/2006/relationships/hyperlink" Target="https://cdn.ittelkom-sby.ac.id/research/z1657852014d10dd1f03e8a6dbebf3efe9bff0efb62.pdf" TargetMode="External"/><Relationship Id="rId184" Type="http://schemas.openxmlformats.org/officeDocument/2006/relationships/hyperlink" Target="https://cdn.ittelkom-sby.ac.id/research/z1661756727c1e25da339bcf97cf5692d07b10791c6.pdf" TargetMode="External"/><Relationship Id="rId391" Type="http://schemas.openxmlformats.org/officeDocument/2006/relationships/hyperlink" Target="https://abdimas-ppm.telkomuniversity.ac.id/unduh-dokumen-fn/2025%2CTomZTRZKiyMpCQje%2Cinternal%2Cproposal" TargetMode="External"/><Relationship Id="rId251" Type="http://schemas.openxmlformats.org/officeDocument/2006/relationships/hyperlink" Target="https://cdn.ittelkom-sby.ac.id/research/z1610760432c80f5dd7a38f726ca100527d491fa7cd.pdf" TargetMode="External"/><Relationship Id="rId46" Type="http://schemas.openxmlformats.org/officeDocument/2006/relationships/hyperlink" Target="https://cdn.ittelkom-sby.ac.id/research/z1693384077be9dea1206336ba4b2ffec1fe2a75caf.pdf" TargetMode="External"/><Relationship Id="rId293" Type="http://schemas.openxmlformats.org/officeDocument/2006/relationships/hyperlink" Target="https://abdimas-ppm.telkomuniversity.ac.id/unduh-pks/2024%2CwAXiqG6HLYo5L0Qv" TargetMode="External"/><Relationship Id="rId307" Type="http://schemas.openxmlformats.org/officeDocument/2006/relationships/hyperlink" Target="https://abdimas-ppm.telkomuniversity.ac.id/unduh-dokumen-fn/2024%2CBroX2jRGw79es87U%2Cinternal%2Cproposal" TargetMode="External"/><Relationship Id="rId349" Type="http://schemas.openxmlformats.org/officeDocument/2006/relationships/hyperlink" Target="https://abdimas-ppm.telkomuniversity.ac.id/unduh-pks/2024%2CJlmzABk2E5buT4V7" TargetMode="External"/><Relationship Id="rId88" Type="http://schemas.openxmlformats.org/officeDocument/2006/relationships/hyperlink" Target="https://cdn.ittelkom-sby.ac.id/research/z1633506530a378d47fb9d6853a64698e60179ab3b6.pdf" TargetMode="External"/><Relationship Id="rId111" Type="http://schemas.openxmlformats.org/officeDocument/2006/relationships/hyperlink" Target="https://cdn.ittelkom-sby.ac.id/research/z1696990323a0751743a685d75f87a57f7dccf08472.pdf" TargetMode="External"/><Relationship Id="rId153" Type="http://schemas.openxmlformats.org/officeDocument/2006/relationships/hyperlink" Target="https://cdn.ittelkom-sby.ac.id/research/z1682498157cadaf5ff4e7d34fbd8e8dd4be3d79f76.pdf" TargetMode="External"/><Relationship Id="rId195" Type="http://schemas.openxmlformats.org/officeDocument/2006/relationships/hyperlink" Target="https://cdn.ittelkom-sby.ac.id/research/z1626293456a1328cd531e814252b3db4c69412eb58.pdf" TargetMode="External"/><Relationship Id="rId209" Type="http://schemas.openxmlformats.org/officeDocument/2006/relationships/hyperlink" Target="https://cdn.ittelkom-sby.ac.id/research/z1634273232f1202a4b34d55dd18dc46a2d2a90558f.pdf" TargetMode="External"/><Relationship Id="rId360" Type="http://schemas.openxmlformats.org/officeDocument/2006/relationships/hyperlink" Target="https://abdimas-ppm.telkomuniversity.ac.id/unduh-dokumen-fn/2024%2CAE6Kz9zLw7Tfv8WP%2Cinternal%2ClapAkhir" TargetMode="External"/><Relationship Id="rId220" Type="http://schemas.openxmlformats.org/officeDocument/2006/relationships/hyperlink" Target="https://cdn.ittelkom-sby.ac.id/research/z1615367459b5634909835d1b3ea76d4db1362eea9c.pdf" TargetMode="External"/><Relationship Id="rId15" Type="http://schemas.openxmlformats.org/officeDocument/2006/relationships/hyperlink" Target="https://drive.google.com/file/d/17MYjaTOD_p7JiHH0Vtml3USllFlr3gsm/view?usp=sharing" TargetMode="External"/><Relationship Id="rId57" Type="http://schemas.openxmlformats.org/officeDocument/2006/relationships/hyperlink" Target="https://cdn.ittelkom-sby.ac.id/research/z1654832089ce52bede5f880121f4bfa7df4a351082.pdf" TargetMode="External"/><Relationship Id="rId262" Type="http://schemas.openxmlformats.org/officeDocument/2006/relationships/hyperlink" Target="https://drive.google.com/file/d/1Qks_IPrBZKgFx2Z8Rp987_gCx4yMAX_n/view?usp=drive_link" TargetMode="External"/><Relationship Id="rId318" Type="http://schemas.openxmlformats.org/officeDocument/2006/relationships/hyperlink" Target="https://abdimas-ppm.telkomuniversity.ac.id/unduh-pks/2024%2Cv5Xehq9p96rrhSMU" TargetMode="External"/><Relationship Id="rId99" Type="http://schemas.openxmlformats.org/officeDocument/2006/relationships/hyperlink" Target="https://cdn.ittelkom-sby.ac.id/research/z1688140217f9b899f6a1f39e8a6a38ab0511f9184c.pdf" TargetMode="External"/><Relationship Id="rId122" Type="http://schemas.openxmlformats.org/officeDocument/2006/relationships/hyperlink" Target="https://cdn.ittelkom-sby.ac.id/research/z16756451046d125a5d0e8aa45d8a2df00f5ae90d06.pdf" TargetMode="External"/><Relationship Id="rId164" Type="http://schemas.openxmlformats.org/officeDocument/2006/relationships/hyperlink" Target="https://cdn.ittelkom-sby.ac.id/research/z16432778985b043871c2840ece1ff4c3cd2988a7ca.pdf" TargetMode="External"/><Relationship Id="rId371" Type="http://schemas.openxmlformats.org/officeDocument/2006/relationships/hyperlink" Target="https://abdimas-ppm.telkomuniversity.ac.id/unduh-dokumen-fn/2025%2CWjTqVhVmDo3XZEK1%2Cinternal%2Cproposal" TargetMode="External"/><Relationship Id="rId26" Type="http://schemas.openxmlformats.org/officeDocument/2006/relationships/hyperlink" Target="https://cdn.ittelkom-sby.ac.id/research/z16933618047ff7339e6d7a8050a7a609fd612ea5a5.pdf" TargetMode="External"/><Relationship Id="rId231" Type="http://schemas.openxmlformats.org/officeDocument/2006/relationships/hyperlink" Target="https://cdn.ittelkom-sby.ac.id/research/z16342792408918240fba777489a1aa2f2aab8a3cac.pdf" TargetMode="External"/><Relationship Id="rId273" Type="http://schemas.openxmlformats.org/officeDocument/2006/relationships/hyperlink" Target="https://cdn.ittelkom-sby.ac.id/research/z1701680405fc9fbd3faf3ebd2b604a3e28582fa10d.pdf" TargetMode="External"/><Relationship Id="rId329" Type="http://schemas.openxmlformats.org/officeDocument/2006/relationships/hyperlink" Target="https://cdn.ittelkom-sby.ac.id/research/z1689588002829e061614d2f6c2cc6f3108da392d53.pdf" TargetMode="External"/><Relationship Id="rId68" Type="http://schemas.openxmlformats.org/officeDocument/2006/relationships/hyperlink" Target="https://cdn.ittelkom-sby.ac.id/research/z1663126200f80f8c68aa37c5691587a8900977adc5.pdf" TargetMode="External"/><Relationship Id="rId133" Type="http://schemas.openxmlformats.org/officeDocument/2006/relationships/hyperlink" Target="https://cdn.ittelkom-sby.ac.id/research/z1694503117438936e3250779de32f57778fabbf2c7.pdf" TargetMode="External"/><Relationship Id="rId175" Type="http://schemas.openxmlformats.org/officeDocument/2006/relationships/hyperlink" Target="https://cdn.ittelkom-sby.ac.id/research/z16824807069b2929d3fdbe1912a4494e606f5e7971.pdf" TargetMode="External"/><Relationship Id="rId340" Type="http://schemas.openxmlformats.org/officeDocument/2006/relationships/hyperlink" Target="https://abdimas-ppm.telkomuniversity.ac.id/unduh-dokumen-fn/2024%2CjV8bhHofkHS7GeXB%2Cinternal%2Cproposal" TargetMode="External"/><Relationship Id="rId200" Type="http://schemas.openxmlformats.org/officeDocument/2006/relationships/hyperlink" Target="https://cdn.ittelkom-sby.ac.id/research/z1638499638fe9d8213b285687e6cb3cc334701b361.pdf" TargetMode="External"/><Relationship Id="rId382" Type="http://schemas.openxmlformats.org/officeDocument/2006/relationships/hyperlink" Target="https://abdimas-ppm.telkomuniversity.ac.id/unduh-dokumen-fn/2025%2C9bHzssLTM6EMX3MR%2Cinternal%2Cproposal" TargetMode="External"/><Relationship Id="rId242" Type="http://schemas.openxmlformats.org/officeDocument/2006/relationships/hyperlink" Target="https://cdn.ittelkom-sby.ac.id/research/z15984293105c6c5935542ecf8d0ae36bd694f86bd4.pdf" TargetMode="External"/><Relationship Id="rId284" Type="http://schemas.openxmlformats.org/officeDocument/2006/relationships/hyperlink" Target="https://abdimas-ppm.telkomuniversity.ac.id/unduh-dokumen-fn/2024%2CFKtT4f2rlDTAmGSL%2Cinternal%2Cproposal" TargetMode="External"/><Relationship Id="rId37" Type="http://schemas.openxmlformats.org/officeDocument/2006/relationships/hyperlink" Target="https://cdn.ittelkom-sby.ac.id/research/z1693382855924412c44fe637d205785ee50d39eb36.pdf" TargetMode="External"/><Relationship Id="rId79" Type="http://schemas.openxmlformats.org/officeDocument/2006/relationships/hyperlink" Target="https://cdn.ittelkom-sby.ac.id/research/z1628053722a15f6953e6a543ea149b44afe6a7867b.pdf" TargetMode="External"/><Relationship Id="rId102" Type="http://schemas.openxmlformats.org/officeDocument/2006/relationships/hyperlink" Target="https://cdn.ittelkom-sby.ac.id/research/z16887283872e7d5f214b209fd22de82d257d7a3b97.pdf" TargetMode="External"/><Relationship Id="rId144" Type="http://schemas.openxmlformats.org/officeDocument/2006/relationships/hyperlink" Target="https://cdn.ittelkom-sby.ac.id/research/z1657877023eea6204dd560ec5e2abfa981bd6b115d.pdf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ittelkom-sby.ac.id/research/z167564314252b8817dee3e0236bb085b85305108bd.pdf" TargetMode="External"/><Relationship Id="rId299" Type="http://schemas.openxmlformats.org/officeDocument/2006/relationships/hyperlink" Target="https://abdimas-ppm.telkomuniversity.ac.id/unduh-dokumen-fn/2024%2CYU7INyMEsgBUasF6%2Cinternal%2Cproposal" TargetMode="External"/><Relationship Id="rId21" Type="http://schemas.openxmlformats.org/officeDocument/2006/relationships/hyperlink" Target="https://cdn.ittelkom-sby.ac.id/research/z16933624400bdd985958ba3514a88b6fa899e11897.pdf" TargetMode="External"/><Relationship Id="rId63" Type="http://schemas.openxmlformats.org/officeDocument/2006/relationships/hyperlink" Target="https://cdn.ittelkom-sby.ac.id/research/z166312688454a5089d51b4c124355eaa89d95c1a51.pdf" TargetMode="External"/><Relationship Id="rId159" Type="http://schemas.openxmlformats.org/officeDocument/2006/relationships/hyperlink" Target="https://cdn.ittelkom-sby.ac.id/research/z16432740892854e81dcd1e7cb6a10df1a20c6d3a08.pdf" TargetMode="External"/><Relationship Id="rId324" Type="http://schemas.openxmlformats.org/officeDocument/2006/relationships/hyperlink" Target="https://cdn.ittelkom-sby.ac.id/research/z17017450518f56077e5ecfeaab5edde3ea70f8d6a3.pdf" TargetMode="External"/><Relationship Id="rId366" Type="http://schemas.openxmlformats.org/officeDocument/2006/relationships/hyperlink" Target="https://abdimas-ppm.telkomuniversity.ac.id/unduh-pks/2024%2CX7atZcAHbNeCRNgU" TargetMode="External"/><Relationship Id="rId170" Type="http://schemas.openxmlformats.org/officeDocument/2006/relationships/hyperlink" Target="https://cdn.ittelkom-sby.ac.id/research/z1661738334c8f5a7ad796724caa0b9edd2e36125d8.pdf" TargetMode="External"/><Relationship Id="rId226" Type="http://schemas.openxmlformats.org/officeDocument/2006/relationships/hyperlink" Target="https://cdn.ittelkom-sby.ac.id/research/z1634137123326601e51b8fdde567c8b6b89b267766.pdf" TargetMode="External"/><Relationship Id="rId268" Type="http://schemas.openxmlformats.org/officeDocument/2006/relationships/hyperlink" Target="../../../../../:b:/g/personal/lppm_ittelkom-sby_ac_id/Ebeju3VcF5RHpI1O5nmhg-wBYXNdxGK8Zn1gZQ5tyMKywQ?e=U8tYLi" TargetMode="External"/><Relationship Id="rId32" Type="http://schemas.openxmlformats.org/officeDocument/2006/relationships/hyperlink" Target="https://cdn.ittelkom-sby.ac.id/research/z16933601397fe894b9f7b1012e7dbfb6a051a28344.pdf" TargetMode="External"/><Relationship Id="rId74" Type="http://schemas.openxmlformats.org/officeDocument/2006/relationships/hyperlink" Target="https://cdn.ittelkom-sby.ac.id/research/z1628053400415728a31d60cc6664a51d6278a45bc3.pdf" TargetMode="External"/><Relationship Id="rId128" Type="http://schemas.openxmlformats.org/officeDocument/2006/relationships/hyperlink" Target="https://cdn.ittelkom-sby.ac.id/research/z1694763252369d9ca566d46adadb267218d1cb8125.pdf" TargetMode="External"/><Relationship Id="rId335" Type="http://schemas.openxmlformats.org/officeDocument/2006/relationships/hyperlink" Target="https://abdimas-ppm.telkomuniversity.ac.id/unduh-dokumen-fn/2024%2C8rBXflU3B9ZQSGGP%2Cinternal%2Cproposal" TargetMode="External"/><Relationship Id="rId377" Type="http://schemas.openxmlformats.org/officeDocument/2006/relationships/hyperlink" Target="https://abdimas-ppm.telkomuniversity.ac.id/unduh-dokumen-fn/2025%2CCCYYjkiHJlRMOKVr%2Cinternal%2Cproposal" TargetMode="External"/><Relationship Id="rId5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1" Type="http://schemas.openxmlformats.org/officeDocument/2006/relationships/hyperlink" Target="https://cdn.ittelkom-sby.ac.id/research/z164327978115bcb7c444888adf1c8ab2a63c3f7992.pdf" TargetMode="External"/><Relationship Id="rId237" Type="http://schemas.openxmlformats.org/officeDocument/2006/relationships/hyperlink" Target="https://cdn.ittelkom-sby.ac.id/research/z1615542074da6fc1e5e3e5e3c0d70bc47db39c7d15.pdf" TargetMode="External"/><Relationship Id="rId279" Type="http://schemas.openxmlformats.org/officeDocument/2006/relationships/hyperlink" Target="http://cdndata.telkomuniversity.ac.id/research/z1708273844fc016e87b3fd45ddfaaf3d695f38e172.pdf" TargetMode="External"/><Relationship Id="rId43" Type="http://schemas.openxmlformats.org/officeDocument/2006/relationships/hyperlink" Target="https://cdn.ittelkom-sby.ac.id/research/z169338289731a601820f52fc97ab937afa782a7d6e.pdf" TargetMode="External"/><Relationship Id="rId139" Type="http://schemas.openxmlformats.org/officeDocument/2006/relationships/hyperlink" Target="https://cdn.ittelkom-sby.ac.id/research/z1655344655bb5d671673854990d7e35cc82cd791bf.pdf" TargetMode="External"/><Relationship Id="rId290" Type="http://schemas.openxmlformats.org/officeDocument/2006/relationships/hyperlink" Target="https://abdimas-ppm.telkomuniversity.ac.id/unduh-dokumen-fn/2024%2CyWQQIrQ8HRVkMMgx%2Cinternal%2Cproposal" TargetMode="External"/><Relationship Id="rId304" Type="http://schemas.openxmlformats.org/officeDocument/2006/relationships/hyperlink" Target="https://abdimas-ppm.telkomuniversity.ac.id/unduh-dokumen-fn/2024%2CPrNRXdw53DNtgA1U%2Cinternal%2Cproposal" TargetMode="External"/><Relationship Id="rId346" Type="http://schemas.openxmlformats.org/officeDocument/2006/relationships/hyperlink" Target="../../../../../../:b:/g/personal/lppmsby_telkomuniversity_ac_id/ERi0q1bEbe1Ngq9t1KSmQ4UBOqcayh_qD6sclKawED1QAw?e=mJCLf8" TargetMode="External"/><Relationship Id="rId388" Type="http://schemas.openxmlformats.org/officeDocument/2006/relationships/hyperlink" Target="https://abdimas-ppm.telkomuniversity.ac.id/unduh-dokumen-fn/2025%2Ce3Z3H78s4QLTmQDW%2Cinternal%2Cproposal" TargetMode="External"/><Relationship Id="rId85" Type="http://schemas.openxmlformats.org/officeDocument/2006/relationships/hyperlink" Target="https://cdn.ittelkom-sby.ac.id/research/z163349926961efdbf1abe007881e0111feea21709b.pdf" TargetMode="External"/><Relationship Id="rId150" Type="http://schemas.openxmlformats.org/officeDocument/2006/relationships/hyperlink" Target="https://cdn.ittelkom-sby.ac.id/research/z1682560747832dbcec2a98576a99f3892b3bc22391.pdf" TargetMode="External"/><Relationship Id="rId192" Type="http://schemas.openxmlformats.org/officeDocument/2006/relationships/hyperlink" Target="https://cdn.ittelkom-sby.ac.id/research/z16265004268f745946faa21c5ec4759bf4f0056e62.pdf" TargetMode="External"/><Relationship Id="rId206" Type="http://schemas.openxmlformats.org/officeDocument/2006/relationships/hyperlink" Target="https://cdn.ittelkom-sby.ac.id/research/z1638529400541a40d94c6df24384301971202bc467.pdf" TargetMode="External"/><Relationship Id="rId248" Type="http://schemas.openxmlformats.org/officeDocument/2006/relationships/hyperlink" Target="https://cdn.ittelkom-sby.ac.id/research/z160143622855f025a2277492525a5b4db4cae9a48e.pdf" TargetMode="External"/><Relationship Id="rId12" Type="http://schemas.openxmlformats.org/officeDocument/2006/relationships/hyperlink" Target="https://drive.google.com/file/d/17b1Xi3t-8LeWp6X-i8U8Od_yMPjKsqaN/view?usp=sharing" TargetMode="External"/><Relationship Id="rId108" Type="http://schemas.openxmlformats.org/officeDocument/2006/relationships/hyperlink" Target="https://cdn.ittelkom-sby.ac.id/research/z16944173889123d1e454429ffcef867fe76dbe15ea.pdf" TargetMode="External"/><Relationship Id="rId315" Type="http://schemas.openxmlformats.org/officeDocument/2006/relationships/hyperlink" Target="https://abdimas-ppm.telkomuniversity.ac.id/unduh-pks/2024%2CN30yLCj7mCNqUWeS" TargetMode="External"/><Relationship Id="rId357" Type="http://schemas.openxmlformats.org/officeDocument/2006/relationships/hyperlink" Target="https://abdimas-ppm.telkomuniversity.ac.id/unduh-dokumen-fn/2024%2C01R6qDcPWb3EXVHS%2Cinternal%2Cproposal" TargetMode="External"/><Relationship Id="rId54" Type="http://schemas.openxmlformats.org/officeDocument/2006/relationships/hyperlink" Target="https://cdn.ittelkom-sby.ac.id/research/z1655089442292b995ca37e5538082f58900a54053a.pdf" TargetMode="External"/><Relationship Id="rId96" Type="http://schemas.openxmlformats.org/officeDocument/2006/relationships/hyperlink" Target="https://cdn.ittelkom-sby.ac.id/research/z169199480989b3334b823c1b3438349880be98d98d.pdf" TargetMode="External"/><Relationship Id="rId161" Type="http://schemas.openxmlformats.org/officeDocument/2006/relationships/hyperlink" Target="https://cdn.ittelkom-sby.ac.id/research/z1643356626eff81b05a2d1dab7d684b8fc940f87da.pdf" TargetMode="External"/><Relationship Id="rId217" Type="http://schemas.openxmlformats.org/officeDocument/2006/relationships/hyperlink" Target="https://cdn.ittelkom-sby.ac.id/research/z161604983363cd50010040655c8eebfbd6108ec242.pdf" TargetMode="External"/><Relationship Id="rId399" Type="http://schemas.openxmlformats.org/officeDocument/2006/relationships/vmlDrawing" Target="../drawings/vmlDrawing3.vml"/><Relationship Id="rId259" Type="http://schemas.openxmlformats.org/officeDocument/2006/relationships/hyperlink" Target="../../../../../:b:/g/personal/lppm_ittelkom-sby_ac_id/EfJpnfBo_t1Il1nf_T7FK7sBQTzuVB50NpBrUYuCdR9-ig?e=Vm9WCG" TargetMode="External"/><Relationship Id="rId23" Type="http://schemas.openxmlformats.org/officeDocument/2006/relationships/hyperlink" Target="https://cdn.ittelkom-sby.ac.id/research/z1693360802542662b940fcdb02d7f3bc3c2305f340.pdf" TargetMode="External"/><Relationship Id="rId119" Type="http://schemas.openxmlformats.org/officeDocument/2006/relationships/hyperlink" Target="https://cdn.ittelkom-sby.ac.id/research/z167564298344c38d8b5a0da2cfeec64628753fa742.pdf" TargetMode="External"/><Relationship Id="rId270" Type="http://schemas.openxmlformats.org/officeDocument/2006/relationships/hyperlink" Target="https://cdn.ittelkom-sby.ac.id/research/z17016804054df6ef484694b995fad64f4dd62ad677.pdf" TargetMode="External"/><Relationship Id="rId326" Type="http://schemas.openxmlformats.org/officeDocument/2006/relationships/hyperlink" Target="https://cdn.ittelkom-sby.ac.id/research/z1697192429c9d5aab41acfd59379d2eab4105e7d24.pdf" TargetMode="External"/><Relationship Id="rId65" Type="http://schemas.openxmlformats.org/officeDocument/2006/relationships/hyperlink" Target="https://cdn.ittelkom-sby.ac.id/research/z16631264882eb2671fb8ce9c412644f55e7118f7dd.pdf" TargetMode="External"/><Relationship Id="rId130" Type="http://schemas.openxmlformats.org/officeDocument/2006/relationships/hyperlink" Target="https://cdn.ittelkom-sby.ac.id/research/z1694749021d762676d8a5bdc0b0a87d457e5a836a5.pdf" TargetMode="External"/><Relationship Id="rId368" Type="http://schemas.openxmlformats.org/officeDocument/2006/relationships/hyperlink" Target="https://abdimas-ppm.telkomuniversity.ac.id/unduh-dokumen-fn/2024%2C01R6qDcPWb3EXVHS%2Cinternal%2ClapAkhir" TargetMode="External"/><Relationship Id="rId172" Type="http://schemas.openxmlformats.org/officeDocument/2006/relationships/hyperlink" Target="https://cdn.ittelkom-sby.ac.id/research/z16824799910e656198c1d2feee7546ff57acd95e48.pdf" TargetMode="External"/><Relationship Id="rId228" Type="http://schemas.openxmlformats.org/officeDocument/2006/relationships/hyperlink" Target="https://cdn.ittelkom-sby.ac.id/research/z1633662665d05e7c89635a646ec785fd0caf4267a4.pdf" TargetMode="External"/><Relationship Id="rId281" Type="http://schemas.openxmlformats.org/officeDocument/2006/relationships/hyperlink" Target="http://cdndata.telkomuniversity.ac.id/research/z17102997613d18b476410c0502502c94088d676a8a.pdf" TargetMode="External"/><Relationship Id="rId337" Type="http://schemas.openxmlformats.org/officeDocument/2006/relationships/hyperlink" Target="https://abdimas-ppm.telkomuniversity.ac.id/unduh-dokumen-fn/2024%2CX015WEKCMS1yYy3K%2Cinternal%2Cproposal" TargetMode="External"/><Relationship Id="rId34" Type="http://schemas.openxmlformats.org/officeDocument/2006/relationships/hyperlink" Target="https://cdn.ittelkom-sby.ac.id/research/z1693360433e5b91174ef7442ff3b4e71752f93293c.pdf" TargetMode="External"/><Relationship Id="rId76" Type="http://schemas.openxmlformats.org/officeDocument/2006/relationships/hyperlink" Target="https://cdn.ittelkom-sby.ac.id/research/z1628052878f4c8c3ce58655383f69f593a14f37890.pdf" TargetMode="External"/><Relationship Id="rId141" Type="http://schemas.openxmlformats.org/officeDocument/2006/relationships/hyperlink" Target="https://cdn.ittelkom-sby.ac.id/research/z1657852014d10dd1f03e8a6dbebf3efe9bff0efb62.pdf" TargetMode="External"/><Relationship Id="rId379" Type="http://schemas.openxmlformats.org/officeDocument/2006/relationships/hyperlink" Target="https://abdimas-ppm.telkomuniversity.ac.id/unduh-dokumen-fn/2025%2C0Uz0ENaiK6O3cExG%2Cinternal%2Cproposal" TargetMode="External"/><Relationship Id="rId7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83" Type="http://schemas.openxmlformats.org/officeDocument/2006/relationships/hyperlink" Target="https://cdn.ittelkom-sby.ac.id/research/z1661756727c1e25da339bcf97cf5692d07b10791c6.pdf" TargetMode="External"/><Relationship Id="rId239" Type="http://schemas.openxmlformats.org/officeDocument/2006/relationships/hyperlink" Target="https://cdn.ittelkom-sby.ac.id/research/z16155542849d5f732182738ad476880d73f4c19ae2.pdf" TargetMode="External"/><Relationship Id="rId390" Type="http://schemas.openxmlformats.org/officeDocument/2006/relationships/hyperlink" Target="https://abdimas-ppm.telkomuniversity.ac.id/unduh-dokumen-fn/2025%2CTomZTRZKiyMpCQje%2Cinternal%2Cproposal" TargetMode="External"/><Relationship Id="rId250" Type="http://schemas.openxmlformats.org/officeDocument/2006/relationships/hyperlink" Target="https://cdn.ittelkom-sby.ac.id/research/z1610760432c80f5dd7a38f726ca100527d491fa7cd.pdf" TargetMode="External"/><Relationship Id="rId292" Type="http://schemas.openxmlformats.org/officeDocument/2006/relationships/hyperlink" Target="https://abdimas-ppm.telkomuniversity.ac.id/unduh-pks/2024%2CwAXiqG6HLYo5L0Qv" TargetMode="External"/><Relationship Id="rId306" Type="http://schemas.openxmlformats.org/officeDocument/2006/relationships/hyperlink" Target="https://abdimas-ppm.telkomuniversity.ac.id/unduh-dokumen-fn/2024%2CBroX2jRGw79es87U%2Cinternal%2Cproposal" TargetMode="External"/><Relationship Id="rId45" Type="http://schemas.openxmlformats.org/officeDocument/2006/relationships/hyperlink" Target="https://cdn.ittelkom-sby.ac.id/research/z1693384077be9dea1206336ba4b2ffec1fe2a75caf.pdf" TargetMode="External"/><Relationship Id="rId87" Type="http://schemas.openxmlformats.org/officeDocument/2006/relationships/hyperlink" Target="https://cdn.ittelkom-sby.ac.id/research/z1633506530a378d47fb9d6853a64698e60179ab3b6.pdf" TargetMode="External"/><Relationship Id="rId110" Type="http://schemas.openxmlformats.org/officeDocument/2006/relationships/hyperlink" Target="https://cdn.ittelkom-sby.ac.id/research/z1696990323a0751743a685d75f87a57f7dccf08472.pdf" TargetMode="External"/><Relationship Id="rId348" Type="http://schemas.openxmlformats.org/officeDocument/2006/relationships/hyperlink" Target="https://abdimas-ppm.telkomuniversity.ac.id/unduh-pks/2024%2CJlmzABk2E5buT4V7" TargetMode="External"/><Relationship Id="rId152" Type="http://schemas.openxmlformats.org/officeDocument/2006/relationships/hyperlink" Target="https://cdn.ittelkom-sby.ac.id/research/z1682498157cadaf5ff4e7d34fbd8e8dd4be3d79f76.pdf" TargetMode="External"/><Relationship Id="rId194" Type="http://schemas.openxmlformats.org/officeDocument/2006/relationships/hyperlink" Target="https://cdn.ittelkom-sby.ac.id/research/z1626293456a1328cd531e814252b3db4c69412eb58.pdf" TargetMode="External"/><Relationship Id="rId208" Type="http://schemas.openxmlformats.org/officeDocument/2006/relationships/hyperlink" Target="https://cdn.ittelkom-sby.ac.id/research/z1634273232f1202a4b34d55dd18dc46a2d2a90558f.pdf" TargetMode="External"/><Relationship Id="rId261" Type="http://schemas.openxmlformats.org/officeDocument/2006/relationships/hyperlink" Target="https://drive.google.com/file/d/1Qks_IPrBZKgFx2Z8Rp987_gCx4yMAX_n/view?usp=drive_link" TargetMode="External"/><Relationship Id="rId14" Type="http://schemas.openxmlformats.org/officeDocument/2006/relationships/hyperlink" Target="https://drive.google.com/file/d/17MYjaTOD_p7JiHH0Vtml3USllFlr3gsm/view?usp=sharing" TargetMode="External"/><Relationship Id="rId56" Type="http://schemas.openxmlformats.org/officeDocument/2006/relationships/hyperlink" Target="https://cdn.ittelkom-sby.ac.id/research/z1654832089ce52bede5f880121f4bfa7df4a351082.pdf" TargetMode="External"/><Relationship Id="rId317" Type="http://schemas.openxmlformats.org/officeDocument/2006/relationships/hyperlink" Target="https://abdimas-ppm.telkomuniversity.ac.id/unduh-pks/2024%2Cv5Xehq9p96rrhSMU" TargetMode="External"/><Relationship Id="rId359" Type="http://schemas.openxmlformats.org/officeDocument/2006/relationships/hyperlink" Target="https://abdimas-ppm.telkomuniversity.ac.id/unduh-dokumen-fn/2024%2CAE6Kz9zLw7Tfv8WP%2Cinternal%2ClapAkhir" TargetMode="External"/><Relationship Id="rId98" Type="http://schemas.openxmlformats.org/officeDocument/2006/relationships/hyperlink" Target="https://cdn.ittelkom-sby.ac.id/research/z1688140217f9b899f6a1f39e8a6a38ab0511f9184c.pdf" TargetMode="External"/><Relationship Id="rId121" Type="http://schemas.openxmlformats.org/officeDocument/2006/relationships/hyperlink" Target="https://cdn.ittelkom-sby.ac.id/research/z16756451046d125a5d0e8aa45d8a2df00f5ae90d06.pdf" TargetMode="External"/><Relationship Id="rId163" Type="http://schemas.openxmlformats.org/officeDocument/2006/relationships/hyperlink" Target="https://cdn.ittelkom-sby.ac.id/research/z16432778985b043871c2840ece1ff4c3cd2988a7ca.pdf" TargetMode="External"/><Relationship Id="rId219" Type="http://schemas.openxmlformats.org/officeDocument/2006/relationships/hyperlink" Target="https://cdn.ittelkom-sby.ac.id/research/z1615367459b5634909835d1b3ea76d4db1362eea9c.pdf" TargetMode="External"/><Relationship Id="rId370" Type="http://schemas.openxmlformats.org/officeDocument/2006/relationships/hyperlink" Target="https://abdimas-ppm.telkomuniversity.ac.id/unduh-dokumen-fn/2025%2CWjTqVhVmDo3XZEK1%2Cinternal%2Cproposal" TargetMode="External"/><Relationship Id="rId230" Type="http://schemas.openxmlformats.org/officeDocument/2006/relationships/hyperlink" Target="https://cdn.ittelkom-sby.ac.id/research/z16342792408918240fba777489a1aa2f2aab8a3cac.pdf" TargetMode="External"/><Relationship Id="rId25" Type="http://schemas.openxmlformats.org/officeDocument/2006/relationships/hyperlink" Target="https://cdn.ittelkom-sby.ac.id/research/z16933618047ff7339e6d7a8050a7a609fd612ea5a5.pdf" TargetMode="External"/><Relationship Id="rId67" Type="http://schemas.openxmlformats.org/officeDocument/2006/relationships/hyperlink" Target="https://cdn.ittelkom-sby.ac.id/research/z1663126200f80f8c68aa37c5691587a8900977adc5.pdf" TargetMode="External"/><Relationship Id="rId272" Type="http://schemas.openxmlformats.org/officeDocument/2006/relationships/hyperlink" Target="https://cdn.ittelkom-sby.ac.id/research/z1701680405fc9fbd3faf3ebd2b604a3e28582fa10d.pdf" TargetMode="External"/><Relationship Id="rId328" Type="http://schemas.openxmlformats.org/officeDocument/2006/relationships/hyperlink" Target="https://cdn.ittelkom-sby.ac.id/research/z1689588002829e061614d2f6c2cc6f3108da392d53.pdf" TargetMode="External"/><Relationship Id="rId132" Type="http://schemas.openxmlformats.org/officeDocument/2006/relationships/hyperlink" Target="https://cdn.ittelkom-sby.ac.id/research/z1694503117438936e3250779de32f57778fabbf2c7.pdf" TargetMode="External"/><Relationship Id="rId174" Type="http://schemas.openxmlformats.org/officeDocument/2006/relationships/hyperlink" Target="https://cdn.ittelkom-sby.ac.id/research/z16824807069b2929d3fdbe1912a4494e606f5e7971.pdf" TargetMode="External"/><Relationship Id="rId381" Type="http://schemas.openxmlformats.org/officeDocument/2006/relationships/hyperlink" Target="https://abdimas-ppm.telkomuniversity.ac.id/unduh-dokumen-fn/2025%2C9bHzssLTM6EMX3MR%2Cinternal%2Cproposal" TargetMode="External"/><Relationship Id="rId241" Type="http://schemas.openxmlformats.org/officeDocument/2006/relationships/hyperlink" Target="https://cdn.ittelkom-sby.ac.id/research/z15984293105c6c5935542ecf8d0ae36bd694f86bd4.pdf" TargetMode="External"/><Relationship Id="rId36" Type="http://schemas.openxmlformats.org/officeDocument/2006/relationships/hyperlink" Target="https://cdn.ittelkom-sby.ac.id/research/z1693382855924412c44fe637d205785ee50d39eb36.pdf" TargetMode="External"/><Relationship Id="rId283" Type="http://schemas.openxmlformats.org/officeDocument/2006/relationships/hyperlink" Target="https://abdimas-ppm.telkomuniversity.ac.id/unduh-dokumen-fn/2024%2CFKtT4f2rlDTAmGSL%2Cinternal%2Cproposal" TargetMode="External"/><Relationship Id="rId339" Type="http://schemas.openxmlformats.org/officeDocument/2006/relationships/hyperlink" Target="https://abdimas-ppm.telkomuniversity.ac.id/unduh-dokumen-fn/2024%2CjV8bhHofkHS7GeXB%2Cinternal%2Cproposal" TargetMode="External"/><Relationship Id="rId78" Type="http://schemas.openxmlformats.org/officeDocument/2006/relationships/hyperlink" Target="https://cdn.ittelkom-sby.ac.id/research/z1628053722a15f6953e6a543ea149b44afe6a7867b.pdf" TargetMode="External"/><Relationship Id="rId101" Type="http://schemas.openxmlformats.org/officeDocument/2006/relationships/hyperlink" Target="https://cdn.ittelkom-sby.ac.id/research/z16887283872e7d5f214b209fd22de82d257d7a3b97.pdf" TargetMode="External"/><Relationship Id="rId143" Type="http://schemas.openxmlformats.org/officeDocument/2006/relationships/hyperlink" Target="https://cdn.ittelkom-sby.ac.id/research/z1657877023eea6204dd560ec5e2abfa981bd6b115d.pdf" TargetMode="External"/><Relationship Id="rId185" Type="http://schemas.openxmlformats.org/officeDocument/2006/relationships/hyperlink" Target="https://cdn.ittelkom-sby.ac.id/research/z16432728851fad8d6fada104c800ee2e1cd54f344d.pdf" TargetMode="External"/><Relationship Id="rId350" Type="http://schemas.openxmlformats.org/officeDocument/2006/relationships/hyperlink" Target="https://abdimas-ppm.telkomuniversity.ac.id/unduh-pks/2024%2CpMuHjCD4DOTjSAqx" TargetMode="External"/><Relationship Id="rId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10" Type="http://schemas.openxmlformats.org/officeDocument/2006/relationships/hyperlink" Target="https://cdn.ittelkom-sby.ac.id/research/z1626065522fd910ae319f42b4f078d720c7539e3b9.pdf" TargetMode="External"/><Relationship Id="rId392" Type="http://schemas.openxmlformats.org/officeDocument/2006/relationships/hyperlink" Target="https://abdimas-ppm.telkomuniversity.ac.id/unduh-dokumen-fn/2025%2C1dkhN3HJJovxv8gU%2Cinternal%2Cproposal" TargetMode="External"/><Relationship Id="rId252" Type="http://schemas.openxmlformats.org/officeDocument/2006/relationships/hyperlink" Target="https://cdn.ittelkom-sby.ac.id/research/z1654831727cbe0d512637a7d4bb4639230b8f54552.pdf" TargetMode="External"/><Relationship Id="rId294" Type="http://schemas.openxmlformats.org/officeDocument/2006/relationships/hyperlink" Target="https://abdimas-ppm.telkomuniversity.ac.id/unduh-dokumen-fn/2024%2C0TGGHwynb164iKp1%2Cinternal%2Cproposal" TargetMode="External"/><Relationship Id="rId308" Type="http://schemas.openxmlformats.org/officeDocument/2006/relationships/hyperlink" Target="https://abdimas-ppm.telkomuniversity.ac.id/unduh-dokumen-fn/2024%2CobcFZyYNGHeEUK1H%2Cinternal%2Cproposal" TargetMode="External"/><Relationship Id="rId47" Type="http://schemas.openxmlformats.org/officeDocument/2006/relationships/hyperlink" Target="https://cdn.ittelkom-sby.ac.id/research/z169338415943afc52c0cc8e8c3123465d0ecad6520.pdf" TargetMode="External"/><Relationship Id="rId89" Type="http://schemas.openxmlformats.org/officeDocument/2006/relationships/hyperlink" Target="https://cdn.ittelkom-sby.ac.id/research/z1628052515f49255fea602f40931bf2e5ed2f1a965.pdf" TargetMode="External"/><Relationship Id="rId112" Type="http://schemas.openxmlformats.org/officeDocument/2006/relationships/hyperlink" Target="https://cdn.ittelkom-sby.ac.id/research/z169476092202df8c9390902ef01b5cc7f5bf018fe7.pdf" TargetMode="External"/><Relationship Id="rId154" Type="http://schemas.openxmlformats.org/officeDocument/2006/relationships/hyperlink" Target="https://cdn.ittelkom-sby.ac.id/research/z16836134339fc37b78aa7980fac74888cc97ce862a.pdf" TargetMode="External"/><Relationship Id="rId361" Type="http://schemas.openxmlformats.org/officeDocument/2006/relationships/hyperlink" Target="https://abdimas-ppm.telkomuniversity.ac.id/unduh-dokumen-fn/2024%2CYtABbejfAMLWboE0%2Cinternal%2ClapAkhir" TargetMode="External"/><Relationship Id="rId196" Type="http://schemas.openxmlformats.org/officeDocument/2006/relationships/hyperlink" Target="https://cdn.ittelkom-sby.ac.id/research/z1626421241cdb1174f1223ada1957a384c1aaf93d1.pdf" TargetMode="External"/><Relationship Id="rId16" Type="http://schemas.openxmlformats.org/officeDocument/2006/relationships/hyperlink" Target="https://drive.google.com/file/d/1EavCAwX21XC_cwdcb_q3271xprhlkUcE/view?usp=sharing" TargetMode="External"/><Relationship Id="rId221" Type="http://schemas.openxmlformats.org/officeDocument/2006/relationships/hyperlink" Target="https://cdn.ittelkom-sby.ac.id/research/z1615521059906638642f3a42908d7c9b7eb93bd231.pdf" TargetMode="External"/><Relationship Id="rId263" Type="http://schemas.openxmlformats.org/officeDocument/2006/relationships/hyperlink" Target="https://cdn.ittelkom-sby.ac.id/research/z1700622087a9dec36cb2754ddebf9e85930ecf2168.pdf" TargetMode="External"/><Relationship Id="rId319" Type="http://schemas.openxmlformats.org/officeDocument/2006/relationships/hyperlink" Target="https://abdimas-ppm.telkomuniversity.ac.id/unduh-pks/2024%2CYU7INyMEsgBUasF6" TargetMode="External"/><Relationship Id="rId58" Type="http://schemas.openxmlformats.org/officeDocument/2006/relationships/hyperlink" Target="https://cdn.ittelkom-sby.ac.id/research/z165483269414fa2ee9eddaf8e3884223c23169b1ce.pdf" TargetMode="External"/><Relationship Id="rId123" Type="http://schemas.openxmlformats.org/officeDocument/2006/relationships/hyperlink" Target="https://cdn.ittelkom-sby.ac.id/research/z1675644994ae5f7f10610a0872aabb5256822da021.pdf" TargetMode="External"/><Relationship Id="rId330" Type="http://schemas.openxmlformats.org/officeDocument/2006/relationships/hyperlink" Target="https://cdn.ittelkom-sby.ac.id/research/z169630355322018c49d5a2418cad131eae749cd619.pdf" TargetMode="External"/><Relationship Id="rId90" Type="http://schemas.openxmlformats.org/officeDocument/2006/relationships/hyperlink" Target="https://cdn.ittelkom-sby.ac.id/research/z16280523832b7f5a71f25aed00443d22ae04e5ae5b.pdf" TargetMode="External"/><Relationship Id="rId165" Type="http://schemas.openxmlformats.org/officeDocument/2006/relationships/hyperlink" Target="https://cdn.ittelkom-sby.ac.id/research/z1643276100442a77576bcc3e41fa1e7f6f9b61ee5b.pdf" TargetMode="External"/><Relationship Id="rId186" Type="http://schemas.openxmlformats.org/officeDocument/2006/relationships/hyperlink" Target="https://cdn.ittelkom-sby.ac.id/research/z1658480413e738bbdf6410ddf1a92060fb7f513db3.pdf" TargetMode="External"/><Relationship Id="rId351" Type="http://schemas.openxmlformats.org/officeDocument/2006/relationships/hyperlink" Target="https://abdimas-ppm.telkomuniversity.ac.id/unduh-pks/2024%2CjV8bhHofkHS7GeXB" TargetMode="External"/><Relationship Id="rId372" Type="http://schemas.openxmlformats.org/officeDocument/2006/relationships/hyperlink" Target="https://abdimas-ppm.telkomuniversity.ac.id/unduh-dokumen-fn/2025%2CLoEmAhc537mEjA3H%2Cinternal%2Cproposal" TargetMode="External"/><Relationship Id="rId393" Type="http://schemas.openxmlformats.org/officeDocument/2006/relationships/hyperlink" Target="https://abdimas-ppm.telkomuniversity.ac.id/unduh-dokumen-fn/2025%2Cl4lGQ7qaYNBznVqG%2Cinternal%2Cproposal" TargetMode="External"/><Relationship Id="rId211" Type="http://schemas.openxmlformats.org/officeDocument/2006/relationships/hyperlink" Target="https://cdn.ittelkom-sby.ac.id/research/z16262438691853d909b91bad7063a298b31ec05057.pdf" TargetMode="External"/><Relationship Id="rId232" Type="http://schemas.openxmlformats.org/officeDocument/2006/relationships/hyperlink" Target="https://cdn.ittelkom-sby.ac.id/research/z163411957116d9286b18ba0c55fbbfa797934d33ac.pdf" TargetMode="External"/><Relationship Id="rId253" Type="http://schemas.openxmlformats.org/officeDocument/2006/relationships/hyperlink" Target="https://cdn.ittelkom-sby.ac.id/research/z16432801054eb548130be1bbad37f7f1d36df7594d.pdf" TargetMode="External"/><Relationship Id="rId274" Type="http://schemas.openxmlformats.org/officeDocument/2006/relationships/hyperlink" Target="../../../../../:b:/g/personal/lppm_ittelkom-sby_ac_id/EVmf0qXQaO1LvsHj6UcKHsMBOOYQB9GtgAeVzl_2orTDPg?e=9fZAvL" TargetMode="External"/><Relationship Id="rId295" Type="http://schemas.openxmlformats.org/officeDocument/2006/relationships/hyperlink" Target="https://abdimas-ppm.telkomuniversity.ac.id/unduh-pks/2024%2CQRz6aL29P9mLFMk7" TargetMode="External"/><Relationship Id="rId309" Type="http://schemas.openxmlformats.org/officeDocument/2006/relationships/hyperlink" Target="https://abdimas-ppm.telkomuniversity.ac.id/unduh-dokumen-fn/2024%2CWe7PpqJrOqoxByqL%2Cinternal%2Cproposal" TargetMode="External"/><Relationship Id="rId27" Type="http://schemas.openxmlformats.org/officeDocument/2006/relationships/hyperlink" Target="https://cdn.ittelkom-sby.ac.id/research/z169336194683adf3c3715ee33f0bffdd3533817e4d.pdf" TargetMode="External"/><Relationship Id="rId48" Type="http://schemas.openxmlformats.org/officeDocument/2006/relationships/hyperlink" Target="https://cdn.ittelkom-sby.ac.id/research/z170167484087bde8ad1400ab47f7fcccd68be7a1dc.pdf" TargetMode="External"/><Relationship Id="rId69" Type="http://schemas.openxmlformats.org/officeDocument/2006/relationships/hyperlink" Target="https://cdn.ittelkom-sby.ac.id/research/z16631273107e381b68e001f3798914672681f130c2.pdf" TargetMode="External"/><Relationship Id="rId113" Type="http://schemas.openxmlformats.org/officeDocument/2006/relationships/hyperlink" Target="https://cdn.ittelkom-sby.ac.id/research/z16756430666243b4aee9600f4f64ad7bfa0cd2c326.pdf" TargetMode="External"/><Relationship Id="rId134" Type="http://schemas.openxmlformats.org/officeDocument/2006/relationships/hyperlink" Target="https://cdn.ittelkom-sby.ac.id/research/z1694400683195000180ad9a4c057ef6c1786195281.pdf" TargetMode="External"/><Relationship Id="rId320" Type="http://schemas.openxmlformats.org/officeDocument/2006/relationships/hyperlink" Target="https://abdimas-ppm.telkomuniversity.ac.id/unduh-pks/2024%2CPrNRXdw53DNtgA1U" TargetMode="External"/><Relationship Id="rId80" Type="http://schemas.openxmlformats.org/officeDocument/2006/relationships/hyperlink" Target="https://cdn.ittelkom-sby.ac.id/research/z1628053476af2014b95c001a13fc2b9ab7cf56e496.pdf" TargetMode="External"/><Relationship Id="rId155" Type="http://schemas.openxmlformats.org/officeDocument/2006/relationships/hyperlink" Target="https://cdn.ittelkom-sby.ac.id/research/z1655453242c222285edc234161d7acdea0ebf2af89.pdf" TargetMode="External"/><Relationship Id="rId176" Type="http://schemas.openxmlformats.org/officeDocument/2006/relationships/hyperlink" Target="https://cdn.ittelkom-sby.ac.id/research/z1682481752e17df078350515f59287fbee27977270.pdf" TargetMode="External"/><Relationship Id="rId197" Type="http://schemas.openxmlformats.org/officeDocument/2006/relationships/hyperlink" Target="https://cdn.ittelkom-sby.ac.id/research/z16385419229e59a6ea6285f74002b320ae75c9b2de.pdf" TargetMode="External"/><Relationship Id="rId341" Type="http://schemas.openxmlformats.org/officeDocument/2006/relationships/hyperlink" Target="../../../../../../:b:/g/personal/lppmsby_telkomuniversity_ac_id/ERi0q1bEbe1Ngq9t1KSmQ4UBOqcayh_qD6sclKawED1QAw?e=mJCLf8" TargetMode="External"/><Relationship Id="rId362" Type="http://schemas.openxmlformats.org/officeDocument/2006/relationships/hyperlink" Target="https://abdimas-ppm.telkomuniversity.ac.id/unduh-dokumen-fn/2024%2C2XSaszJ6ukSFGw2k%2Cinternal%2ClapAkhir" TargetMode="External"/><Relationship Id="rId383" Type="http://schemas.openxmlformats.org/officeDocument/2006/relationships/hyperlink" Target="https://abdimas-ppm.telkomuniversity.ac.id/unduh-dokumen-fn/2025%2C3ygysoqwZHo3uJnk%2Cinternal%2Cproposal" TargetMode="External"/><Relationship Id="rId201" Type="http://schemas.openxmlformats.org/officeDocument/2006/relationships/hyperlink" Target="https://cdn.ittelkom-sby.ac.id/research/z1638498863456ff40ebc643c1c0529051c152a000f.pdf" TargetMode="External"/><Relationship Id="rId222" Type="http://schemas.openxmlformats.org/officeDocument/2006/relationships/hyperlink" Target="https://cdn.ittelkom-sby.ac.id/research/z1615521059906638642f3a42908d7c9b7eb93bd231.pdf" TargetMode="External"/><Relationship Id="rId243" Type="http://schemas.openxmlformats.org/officeDocument/2006/relationships/hyperlink" Target="https://cdn.ittelkom-sby.ac.id/research/z1598493315616e0fa85faf054567b0818c87190f40.pdf" TargetMode="External"/><Relationship Id="rId264" Type="http://schemas.openxmlformats.org/officeDocument/2006/relationships/hyperlink" Target="https://cdn.ittelkom-sby.ac.id/research/z1700621706cb7acc1167d3bf4a11daf88e912bb832.pdf" TargetMode="External"/><Relationship Id="rId285" Type="http://schemas.openxmlformats.org/officeDocument/2006/relationships/hyperlink" Target="https://abdimas-ppm.telkomuniversity.ac.id/unduh-pks/2024%2CHtCBKJOlpNTTe3gU" TargetMode="External"/><Relationship Id="rId17" Type="http://schemas.openxmlformats.org/officeDocument/2006/relationships/hyperlink" Target="https://drive.google.com/file/d/1DfoKl33q2Z6klF4C9MJmSHLBCiUsjDSL/view?usp=sharing" TargetMode="External"/><Relationship Id="rId38" Type="http://schemas.openxmlformats.org/officeDocument/2006/relationships/hyperlink" Target="https://cdn.ittelkom-sby.ac.id/research/z1694050677ea140ed9eb4d9c63a5e12acba4ecf7bc.pdf" TargetMode="External"/><Relationship Id="rId59" Type="http://schemas.openxmlformats.org/officeDocument/2006/relationships/hyperlink" Target="https://cdn.ittelkom-sby.ac.id/research/z1654832399365e19c03374e597c9538293176f74cf.pdf" TargetMode="External"/><Relationship Id="rId103" Type="http://schemas.openxmlformats.org/officeDocument/2006/relationships/hyperlink" Target="https://cdn.ittelkom-sby.ac.id/research/z1688213104e30dffd889c999f67b30311b2150288c.pdf" TargetMode="External"/><Relationship Id="rId124" Type="http://schemas.openxmlformats.org/officeDocument/2006/relationships/hyperlink" Target="https://cdn.ittelkom-sby.ac.id/research/z16947609816b3cc088c308848446b102f799428a52.pdf" TargetMode="External"/><Relationship Id="rId310" Type="http://schemas.openxmlformats.org/officeDocument/2006/relationships/hyperlink" Target="https://abdimas-ppm.telkomuniversity.ac.id/unduh-dokumen-fn/2024%2CwYMnEvFVF2nG8bjK%2Cinternal%2Cproposal" TargetMode="External"/><Relationship Id="rId70" Type="http://schemas.openxmlformats.org/officeDocument/2006/relationships/hyperlink" Target="https://cdn.ittelkom-sby.ac.id/research/z166312628625704775749a1e6ce4bd00618491da20.pdf" TargetMode="External"/><Relationship Id="rId91" Type="http://schemas.openxmlformats.org/officeDocument/2006/relationships/hyperlink" Target="https://cdn.ittelkom-sby.ac.id/research/z1693363316c91091b9568181deb0fa8d05a39450ad.pdf" TargetMode="External"/><Relationship Id="rId145" Type="http://schemas.openxmlformats.org/officeDocument/2006/relationships/hyperlink" Target="https://cdn.ittelkom-sby.ac.id/research/z16554604328ac44d10696d51ed8c25e8a811aabdce.pdf" TargetMode="External"/><Relationship Id="rId166" Type="http://schemas.openxmlformats.org/officeDocument/2006/relationships/hyperlink" Target="https://cdn.ittelkom-sby.ac.id/research/z1662623104b2149e4a0881ddf3634f0de4465b607d.pdf" TargetMode="External"/><Relationship Id="rId187" Type="http://schemas.openxmlformats.org/officeDocument/2006/relationships/hyperlink" Target="https://cdn.ittelkom-sby.ac.id/research/z165374931023976b653399c7b8c4502f9bbf899915.pdf" TargetMode="External"/><Relationship Id="rId331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52" Type="http://schemas.openxmlformats.org/officeDocument/2006/relationships/hyperlink" Target="https://abdimas-ppm.telkomuniversity.ac.id/unduh-dokumen-fn/2024%2CUVJbpIHypdnVtoc6%2Cinternal%2Cproposal" TargetMode="External"/><Relationship Id="rId373" Type="http://schemas.openxmlformats.org/officeDocument/2006/relationships/hyperlink" Target="https://abdimas-ppm.telkomuniversity.ac.id/unduh-dokumen-fn/2025%2CI1bwCbVjapLEtQoI%2Cinternal%2Cproposal" TargetMode="External"/><Relationship Id="rId394" Type="http://schemas.openxmlformats.org/officeDocument/2006/relationships/hyperlink" Target="https://abdimas-ppm.telkomuniversity.ac.id/unduh-dokumen-fn/2025%2CZokKgPAvEgKNQpo6%2Cinternal%2Cproposal" TargetMode="External"/><Relationship Id="rId1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12" Type="http://schemas.openxmlformats.org/officeDocument/2006/relationships/hyperlink" Target="https://cdn.ittelkom-sby.ac.id/research/z16262455134c21630d9dcae6b83974d756f346830c.pdf" TargetMode="External"/><Relationship Id="rId233" Type="http://schemas.openxmlformats.org/officeDocument/2006/relationships/hyperlink" Target="https://cdn.ittelkom-sby.ac.id/research/z1614689746a47116107b29a15230611591c69059ef.pdf" TargetMode="External"/><Relationship Id="rId254" Type="http://schemas.openxmlformats.org/officeDocument/2006/relationships/hyperlink" Target="https://cdn.ittelkom-sby.ac.id/research/z1683612548ba58256485107596d1d3406481d55aea.pdf" TargetMode="External"/><Relationship Id="rId28" Type="http://schemas.openxmlformats.org/officeDocument/2006/relationships/hyperlink" Target="https://cdn.ittelkom-sby.ac.id/research/z16933623122d081db2111ab3299e9ac9264972c23f.pdf" TargetMode="External"/><Relationship Id="rId49" Type="http://schemas.openxmlformats.org/officeDocument/2006/relationships/hyperlink" Target="https://cdn.ittelkom-sby.ac.id/research/z165483225036fd50f53ef4939ff1e707b96e8aebe7.pdf" TargetMode="External"/><Relationship Id="rId114" Type="http://schemas.openxmlformats.org/officeDocument/2006/relationships/hyperlink" Target="https://cdn.ittelkom-sby.ac.id/research/z169443681028c3d118aae574695b6f97f1d8b25cf6.pdf" TargetMode="External"/><Relationship Id="rId275" Type="http://schemas.openxmlformats.org/officeDocument/2006/relationships/hyperlink" Target="http://cdndata.telkomuniversity.ac.id/research/z170856394418ebe243848e7455394c0b8615e6ddb8.pdf" TargetMode="External"/><Relationship Id="rId296" Type="http://schemas.openxmlformats.org/officeDocument/2006/relationships/hyperlink" Target="https://abdimas-ppm.telkomuniversity.ac.id/unduh-dokumen-fn/2024%2CQRz6aL29P9mLFMk7%2Cinternal%2Cproposal" TargetMode="External"/><Relationship Id="rId300" Type="http://schemas.openxmlformats.org/officeDocument/2006/relationships/hyperlink" Target="https://abdimas-ppm.telkomuniversity.ac.id/unduh-dokumen-fn/2024%2CYYQtUjmvVCyqKBCq%2Cinternal%2Cproposal" TargetMode="External"/><Relationship Id="rId60" Type="http://schemas.openxmlformats.org/officeDocument/2006/relationships/hyperlink" Target="https://cdn.ittelkom-sby.ac.id/research/z16432778985b043871c2840ece1ff4c3cd2988a7ca.pdf" TargetMode="External"/><Relationship Id="rId81" Type="http://schemas.openxmlformats.org/officeDocument/2006/relationships/hyperlink" Target="https://cdn.ittelkom-sby.ac.id/research/z1628053341dcc5f10649339b3606998a91ffdcda8f.pdf" TargetMode="External"/><Relationship Id="rId135" Type="http://schemas.openxmlformats.org/officeDocument/2006/relationships/hyperlink" Target="https://cdn.ittelkom-sby.ac.id/research/z167564246051d203d7d9733ed83e97c739e1b14068.pdf" TargetMode="External"/><Relationship Id="rId156" Type="http://schemas.openxmlformats.org/officeDocument/2006/relationships/hyperlink" Target="https://cdn.ittelkom-sby.ac.id/research/z1682495503028b350e2e681241be837c7938928a05.pdf" TargetMode="External"/><Relationship Id="rId177" Type="http://schemas.openxmlformats.org/officeDocument/2006/relationships/hyperlink" Target="https://cdn.ittelkom-sby.ac.id/research/z16432728857f3dd0b2dd76332fee7e8274389eb6a6.pdf" TargetMode="External"/><Relationship Id="rId198" Type="http://schemas.openxmlformats.org/officeDocument/2006/relationships/hyperlink" Target="https://cdn.ittelkom-sby.ac.id/research/z162676972996cc54c070961f6c58e9db56269757b7.pdf" TargetMode="External"/><Relationship Id="rId321" Type="http://schemas.openxmlformats.org/officeDocument/2006/relationships/hyperlink" Target="https://abdimas-ppm.telkomuniversity.ac.id/unduh-pks/2024%2CuCiDQ8A7odUVCEt2" TargetMode="External"/><Relationship Id="rId342" Type="http://schemas.openxmlformats.org/officeDocument/2006/relationships/hyperlink" Target="../../../../../../:b:/g/personal/lppmsby_telkomuniversity_ac_id/ERi0q1bEbe1Ngq9t1KSmQ4UBOqcayh_qD6sclKawED1QAw?e=mJCLf8" TargetMode="External"/><Relationship Id="rId363" Type="http://schemas.openxmlformats.org/officeDocument/2006/relationships/hyperlink" Target="https://abdimas-ppm.telkomuniversity.ac.id/unduh-pks/2024%2C2XSaszJ6ukSFGw2k" TargetMode="External"/><Relationship Id="rId384" Type="http://schemas.openxmlformats.org/officeDocument/2006/relationships/hyperlink" Target="https://abdimas-ppm.telkomuniversity.ac.id/unduh-dokumen-fn/2025%2CNU9SfxDbO6TtQ3AR%2Cinternal%2Cproposal" TargetMode="External"/><Relationship Id="rId202" Type="http://schemas.openxmlformats.org/officeDocument/2006/relationships/hyperlink" Target="https://cdn.ittelkom-sby.ac.id/research/z1626159471ade7853add289e51831e9960d082204f.pdf" TargetMode="External"/><Relationship Id="rId223" Type="http://schemas.openxmlformats.org/officeDocument/2006/relationships/hyperlink" Target="https://cdn.ittelkom-sby.ac.id/research/z161554095560585ae9ef950e4e930a3db895a39183.pdf" TargetMode="External"/><Relationship Id="rId244" Type="http://schemas.openxmlformats.org/officeDocument/2006/relationships/hyperlink" Target="https://cdn.ittelkom-sby.ac.id/research/z1635300483d61e761b641b25a675f81ec08d24ce7d.pdf" TargetMode="External"/><Relationship Id="rId18" Type="http://schemas.openxmlformats.org/officeDocument/2006/relationships/hyperlink" Target="https://drive.google.com/file/d/14t2vxRtswVcDzyBK7BIzB-wOSz4Uvd2J/view?usp=sharing" TargetMode="External"/><Relationship Id="rId39" Type="http://schemas.openxmlformats.org/officeDocument/2006/relationships/hyperlink" Target="https://cdn.ittelkom-sby.ac.id/research/z16933826151a498daf2b41a46b3fec095be431c918.pdf" TargetMode="External"/><Relationship Id="rId265" Type="http://schemas.openxmlformats.org/officeDocument/2006/relationships/hyperlink" Target="https://drive.google.com/file/d/1rlbxK7n7OgGziP2s6OYVRc1zL5TSIxia/view?usp=sharing" TargetMode="External"/><Relationship Id="rId286" Type="http://schemas.openxmlformats.org/officeDocument/2006/relationships/hyperlink" Target="https://abdimas-ppm.telkomuniversity.ac.id/unduh-pks/2024%2CtEm3F5t6OCn2BZTE" TargetMode="External"/><Relationship Id="rId50" Type="http://schemas.openxmlformats.org/officeDocument/2006/relationships/hyperlink" Target="https://cdn.ittelkom-sby.ac.id/research/z1663125347b71ed542b2a216ff789e788e063e0509.pdf" TargetMode="External"/><Relationship Id="rId104" Type="http://schemas.openxmlformats.org/officeDocument/2006/relationships/hyperlink" Target="https://cdn.ittelkom-sby.ac.id/research/z1692022330b364d816734219ce130bb6ef08decd09.pdf" TargetMode="External"/><Relationship Id="rId125" Type="http://schemas.openxmlformats.org/officeDocument/2006/relationships/hyperlink" Target="https://cdn.ittelkom-sby.ac.id/research/z1675642802a0edcdb15fadd4d915faf86e7d7951eb.pdf" TargetMode="External"/><Relationship Id="rId146" Type="http://schemas.openxmlformats.org/officeDocument/2006/relationships/hyperlink" Target="https://cdn.ittelkom-sby.ac.id/research/z1668604186c87aa360c325674499b14ffa4df95cc7.pdf" TargetMode="External"/><Relationship Id="rId167" Type="http://schemas.openxmlformats.org/officeDocument/2006/relationships/hyperlink" Target="https://cdn.ittelkom-sby.ac.id/research/z16432803154d563220dff40bf1d59e8c772b40d9b9.pdf" TargetMode="External"/><Relationship Id="rId188" Type="http://schemas.openxmlformats.org/officeDocument/2006/relationships/hyperlink" Target="https://cdn.ittelkom-sby.ac.id/research/z1626326059743ae62cbb444c2e923c844e7fc13f0f.pdf" TargetMode="External"/><Relationship Id="rId311" Type="http://schemas.openxmlformats.org/officeDocument/2006/relationships/hyperlink" Target="https://abdimas-ppm.telkomuniversity.ac.id/unduh-pks/2024%2CwYMnEvFVF2nG8bjK" TargetMode="External"/><Relationship Id="rId332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53" Type="http://schemas.openxmlformats.org/officeDocument/2006/relationships/hyperlink" Target="https://abdimas-ppm.telkomuniversity.ac.id/unduh-dokumen-fn/2024%2CAE6Kz9zLw7Tfv8WP%2Cinternal%2Cproposal" TargetMode="External"/><Relationship Id="rId374" Type="http://schemas.openxmlformats.org/officeDocument/2006/relationships/hyperlink" Target="https://abdimas-ppm.telkomuniversity.ac.id/unduh-dokumen-fn/2025%2CvC6aOmEioFR6MtHM%2Cinternal%2Cproposal" TargetMode="External"/><Relationship Id="rId395" Type="http://schemas.openxmlformats.org/officeDocument/2006/relationships/hyperlink" Target="https://abdimas-ppm.telkomuniversity.ac.id/unduh-dokumen-fn/2025%2CXwDH2HOusc1andct%2Cinternal%2Cproposal" TargetMode="External"/><Relationship Id="rId71" Type="http://schemas.openxmlformats.org/officeDocument/2006/relationships/hyperlink" Target="https://cdn.ittelkom-sby.ac.id/research/z16631259952c4cf7983566dd98928b7dba10cbeafb.pdf" TargetMode="External"/><Relationship Id="rId92" Type="http://schemas.openxmlformats.org/officeDocument/2006/relationships/hyperlink" Target="https://cdn.ittelkom-sby.ac.id/research/z1688355814e8e0ffe846d85b2b0507785c46f84fc7.pdf" TargetMode="External"/><Relationship Id="rId213" Type="http://schemas.openxmlformats.org/officeDocument/2006/relationships/hyperlink" Target="https://cdn.ittelkom-sby.ac.id/research/z16183688971ddd2ddc1aba0fbbca9b9ae86f345b26.pdf" TargetMode="External"/><Relationship Id="rId234" Type="http://schemas.openxmlformats.org/officeDocument/2006/relationships/hyperlink" Target="https://cdn.ittelkom-sby.ac.id/research/z1632977923639772e18f2ef27809925a6c81cdd563.pdf" TargetMode="External"/><Relationship Id="rId2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9" Type="http://schemas.openxmlformats.org/officeDocument/2006/relationships/hyperlink" Target="https://cdn.ittelkom-sby.ac.id/research/z1693360561fecee4734ce7294464dd802d84925696.pdf" TargetMode="External"/><Relationship Id="rId255" Type="http://schemas.openxmlformats.org/officeDocument/2006/relationships/hyperlink" Target="https://drive.google.com/file/d/1yCSp1LzQx1L-ax4eyplF9Kha5xkA9_nA/view" TargetMode="External"/><Relationship Id="rId276" Type="http://schemas.openxmlformats.org/officeDocument/2006/relationships/hyperlink" Target="http://cdndata.telkomuniversity.ac.id/research/z170971848336d2d990d2630cc9492df87c96ab0b05.pdf" TargetMode="External"/><Relationship Id="rId297" Type="http://schemas.openxmlformats.org/officeDocument/2006/relationships/hyperlink" Target="https://abdimas-ppm.telkomuniversity.ac.id/unduh-dokumen-fn/2024%2CzO3CiWdABRcykU3K%2Cinternal%2Cproposal" TargetMode="External"/><Relationship Id="rId40" Type="http://schemas.openxmlformats.org/officeDocument/2006/relationships/hyperlink" Target="https://cdn.ittelkom-sby.ac.id/research/z169338278491d18fe1ee9ba6db29c79eebb23d2be4.pdf" TargetMode="External"/><Relationship Id="rId115" Type="http://schemas.openxmlformats.org/officeDocument/2006/relationships/hyperlink" Target="https://cdn.ittelkom-sby.ac.id/research/z1675645235b4c115aeb6a010fc63646fa54f7d6c05.pdf" TargetMode="External"/><Relationship Id="rId136" Type="http://schemas.openxmlformats.org/officeDocument/2006/relationships/hyperlink" Target="https://cdn.ittelkom-sby.ac.id/research/z169476188979e5b3a5ec9edf0c396423714c9cd9cd.pdf" TargetMode="External"/><Relationship Id="rId157" Type="http://schemas.openxmlformats.org/officeDocument/2006/relationships/hyperlink" Target="https://cdn.ittelkom-sby.ac.id/research/z164326963334463df88ad6bc0e93d10e4eec6c09df.pdf" TargetMode="External"/><Relationship Id="rId178" Type="http://schemas.openxmlformats.org/officeDocument/2006/relationships/hyperlink" Target="https://cdn.ittelkom-sby.ac.id/research/z16642626272f06d1319cc017de1a31ee456457ab3b.pdf" TargetMode="External"/><Relationship Id="rId301" Type="http://schemas.openxmlformats.org/officeDocument/2006/relationships/hyperlink" Target="https://abdimas-ppm.telkomuniversity.ac.id/unduh-pks/2024%2CYYQtUjmvVCyqKBCq" TargetMode="External"/><Relationship Id="rId322" Type="http://schemas.openxmlformats.org/officeDocument/2006/relationships/hyperlink" Target="https://abdimas-ppm.telkomuniversity.ac.id/unduh-pks/2024%2CBroX2jRGw79es87U" TargetMode="External"/><Relationship Id="rId343" Type="http://schemas.openxmlformats.org/officeDocument/2006/relationships/hyperlink" Target="../../../../../../:b:/g/personal/lppmsby_telkomuniversity_ac_id/ERi0q1bEbe1Ngq9t1KSmQ4UBOqcayh_qD6sclKawED1QAw?e=mJCLf8" TargetMode="External"/><Relationship Id="rId364" Type="http://schemas.openxmlformats.org/officeDocument/2006/relationships/hyperlink" Target="https://abdimas-ppm.telkomuniversity.ac.id/unduh-dokumen-fn/2024%2CX7atZcAHbNeCRNgU%2Cinternal%2ClapAkhir" TargetMode="External"/><Relationship Id="rId61" Type="http://schemas.openxmlformats.org/officeDocument/2006/relationships/hyperlink" Target="https://cdn.ittelkom-sby.ac.id/research/z16548329714cb73132fa21321f09284544f833008e.pdf" TargetMode="External"/><Relationship Id="rId82" Type="http://schemas.openxmlformats.org/officeDocument/2006/relationships/hyperlink" Target="https://cdn.ittelkom-sby.ac.id/research/z163357849451c6d18021693979b2ec1e81ac1d1a52.pdf" TargetMode="External"/><Relationship Id="rId199" Type="http://schemas.openxmlformats.org/officeDocument/2006/relationships/hyperlink" Target="https://cdn.ittelkom-sby.ac.id/research/z1638499638fe9d8213b285687e6cb3cc334701b361.pdf" TargetMode="External"/><Relationship Id="rId203" Type="http://schemas.openxmlformats.org/officeDocument/2006/relationships/hyperlink" Target="https://cdn.ittelkom-sby.ac.id/research/z1638253027ac1519eeb4173cdac60c7a07773f8288.pdf" TargetMode="External"/><Relationship Id="rId385" Type="http://schemas.openxmlformats.org/officeDocument/2006/relationships/hyperlink" Target="https://abdimas-ppm.telkomuniversity.ac.id/unduh-dokumen-fn/2025%2CSnhl4IW2yqL7DHUJ%2Cinternal%2Cproposal" TargetMode="External"/><Relationship Id="rId19" Type="http://schemas.openxmlformats.org/officeDocument/2006/relationships/hyperlink" Target="https://drive.google.com/file/d/14t2vxRtswVcDzyBK7BIzB-wOSz4Uvd2J/view?usp=sharing" TargetMode="External"/><Relationship Id="rId224" Type="http://schemas.openxmlformats.org/officeDocument/2006/relationships/hyperlink" Target="https://cdn.ittelkom-sby.ac.id/research/z163299098734c6cc255b02651a18ff4754239bb402.pdf" TargetMode="External"/><Relationship Id="rId245" Type="http://schemas.openxmlformats.org/officeDocument/2006/relationships/hyperlink" Target="https://cdn.ittelkom-sby.ac.id/research/z1598492615dfdbcc74dc562c7ed3ac6d3f0fd66f9d.pdf" TargetMode="External"/><Relationship Id="rId266" Type="http://schemas.openxmlformats.org/officeDocument/2006/relationships/hyperlink" Target="https://drive.google.com/file/d/1Sf8V4vL_ghqDt2Nzkeyf98PGqQLAFKED/view?usp=sharing" TargetMode="External"/><Relationship Id="rId287" Type="http://schemas.openxmlformats.org/officeDocument/2006/relationships/hyperlink" Target="https://abdimas-ppm.telkomuniversity.ac.id/unduh-dokumen-fn/2024%2CtEm3F5t6OCn2BZTE%2Cinternal%2Cproposal" TargetMode="External"/><Relationship Id="rId30" Type="http://schemas.openxmlformats.org/officeDocument/2006/relationships/hyperlink" Target="https://cdn.ittelkom-sby.ac.id/research/z169336098641aa6cedd99e9a00f454014141d268a7.pdf" TargetMode="External"/><Relationship Id="rId105" Type="http://schemas.openxmlformats.org/officeDocument/2006/relationships/hyperlink" Target="https://cdn.ittelkom-sby.ac.id/research/z16878452998830c0d7ab9f2a2969bb1c3f05e50d8b.pdf" TargetMode="External"/><Relationship Id="rId126" Type="http://schemas.openxmlformats.org/officeDocument/2006/relationships/hyperlink" Target="https://cdn.ittelkom-sby.ac.id/research/z1694420131326556c156ded44d85ec3714e5302166.pdf" TargetMode="External"/><Relationship Id="rId147" Type="http://schemas.openxmlformats.org/officeDocument/2006/relationships/hyperlink" Target="https://cdn.ittelkom-sby.ac.id/research/z165553574901fbd768ce6e9f80ee75f08a84675e35.pdf" TargetMode="External"/><Relationship Id="rId168" Type="http://schemas.openxmlformats.org/officeDocument/2006/relationships/hyperlink" Target="https://cdn.ittelkom-sby.ac.id/research/z16824912033abc2e47cf135fe711f17f6a34d5dc96.pdf" TargetMode="External"/><Relationship Id="rId312" Type="http://schemas.openxmlformats.org/officeDocument/2006/relationships/hyperlink" Target="https://abdimas-ppm.telkomuniversity.ac.id/unduh-pks/2024%2CGocYU8ySOatmUNEn" TargetMode="External"/><Relationship Id="rId333" Type="http://schemas.openxmlformats.org/officeDocument/2006/relationships/hyperlink" Target="../../../../../:b:/g/personal/lppm_ittelkom-sby_ac_id/EQBzmKGIvANFu9TIPElr1goBtKFZzQBz6u8pTvEDCnAtxw?e=8yBNec" TargetMode="External"/><Relationship Id="rId354" Type="http://schemas.openxmlformats.org/officeDocument/2006/relationships/hyperlink" Target="https://abdimas-ppm.telkomuniversity.ac.id/unduh-dokumen-fn/2024%2CYtABbejfAMLWboE0%2Cinternal%2Cproposal" TargetMode="External"/><Relationship Id="rId51" Type="http://schemas.openxmlformats.org/officeDocument/2006/relationships/hyperlink" Target="https://cdn.ittelkom-sby.ac.id/research/z165483261119bb95d27e58fa171146c4a68599324d.pdf" TargetMode="External"/><Relationship Id="rId72" Type="http://schemas.openxmlformats.org/officeDocument/2006/relationships/hyperlink" Target="https://cdn.ittelkom-sby.ac.id/research/z16631267999dcfcd191b8a6df45f9f3615e7977a20.pdf" TargetMode="External"/><Relationship Id="rId93" Type="http://schemas.openxmlformats.org/officeDocument/2006/relationships/hyperlink" Target="https://cdn.ittelkom-sby.ac.id/research/z1687863308182533361167e24a2f21ffe7a30a2ae4.pdf" TargetMode="External"/><Relationship Id="rId189" Type="http://schemas.openxmlformats.org/officeDocument/2006/relationships/hyperlink" Target="https://cdn.ittelkom-sby.ac.id/research/z1636983826bd07008bef0eda3148896bc3a24e9a4f.pdf" TargetMode="External"/><Relationship Id="rId375" Type="http://schemas.openxmlformats.org/officeDocument/2006/relationships/hyperlink" Target="https://abdimas-ppm.telkomuniversity.ac.id/unduh-dokumen-fn/2025%2CHwKQiB8wzoG453kC%2Cinternal%2Cproposal" TargetMode="External"/><Relationship Id="rId396" Type="http://schemas.openxmlformats.org/officeDocument/2006/relationships/hyperlink" Target="https://abdimas-ppm.telkomuniversity.ac.id/unduh-dokumen-fn/2025%2Cn7Bl9Ptd7Ue74Hkn%2Cinternal%2Cproposal" TargetMode="External"/><Relationship Id="rId3" Type="http://schemas.openxmlformats.org/officeDocument/2006/relationships/hyperlink" Target="../../../../../:b:/r/personal/lppm_ittelkom-sby_ac_id/Documents/2023/SK/SK%20LPPM%20Telah%20disahkan/REK.%20011_SAM4_REK_I_2023%20Penerima%20Dan%20Pelaksana%20Hibah%20Program%20Ayo%20Bikin%20Nyata%20Telkom%20CDC%20Tahun%20Anggaran%202022%20.pdf?csf=1&amp;web=1&amp;e=U5h4q6" TargetMode="External"/><Relationship Id="rId214" Type="http://schemas.openxmlformats.org/officeDocument/2006/relationships/hyperlink" Target="https://cdn.ittelkom-sby.ac.id/research/z1624258229c2bc65572a4cd7748a2f910e6a68945c.pdf" TargetMode="External"/><Relationship Id="rId235" Type="http://schemas.openxmlformats.org/officeDocument/2006/relationships/hyperlink" Target="https://cdn.ittelkom-sby.ac.id/research/z1615521792b0f8c268c5a597b3e79a3a0d24ad0635.pdf" TargetMode="External"/><Relationship Id="rId256" Type="http://schemas.openxmlformats.org/officeDocument/2006/relationships/hyperlink" Target="../../../../../:b:/g/personal/lppm_ittelkom-sby_ac_id/EVPOpTZ-ybRKs7XdFozMPlABSMhzyc9q2cxPpYuQjQjm2g?e=zSdZUV" TargetMode="External"/><Relationship Id="rId277" Type="http://schemas.openxmlformats.org/officeDocument/2006/relationships/hyperlink" Target="http://cdndata.telkomuniversity.ac.id/research/z17080707217661b9081cbab844b0ac51d1e9d32612.pdf" TargetMode="External"/><Relationship Id="rId298" Type="http://schemas.openxmlformats.org/officeDocument/2006/relationships/hyperlink" Target="https://abdimas-ppm.telkomuniversity.ac.id/unduh-pks/2024%2CzO3CiWdABRcykU3K" TargetMode="External"/><Relationship Id="rId400" Type="http://schemas.openxmlformats.org/officeDocument/2006/relationships/table" Target="../tables/table4.xml"/><Relationship Id="rId116" Type="http://schemas.openxmlformats.org/officeDocument/2006/relationships/hyperlink" Target="https://cdn.ittelkom-sby.ac.id/research/z1695960304488df12c572b3ddecc9acc256e16932a.pdf" TargetMode="External"/><Relationship Id="rId137" Type="http://schemas.openxmlformats.org/officeDocument/2006/relationships/hyperlink" Target="https://cdn.ittelkom-sby.ac.id/research/z1655344660f79de20d9bc073bd897dd1a4334a9557.pdf" TargetMode="External"/><Relationship Id="rId158" Type="http://schemas.openxmlformats.org/officeDocument/2006/relationships/hyperlink" Target="https://cdn.ittelkom-sby.ac.id/research/z1682495396474b3732b046148b3646af9826cce57f.pdf" TargetMode="External"/><Relationship Id="rId302" Type="http://schemas.openxmlformats.org/officeDocument/2006/relationships/hyperlink" Target="https://abdimas-ppm.telkomuniversity.ac.id/unduh-pks/2024%2CxC6PEwffEkz594w8" TargetMode="External"/><Relationship Id="rId323" Type="http://schemas.openxmlformats.org/officeDocument/2006/relationships/hyperlink" Target="https://abdimas-ppm.telkomuniversity.ac.id/unduh-pks/2024%2CWe7PpqJrOqoxByqL" TargetMode="External"/><Relationship Id="rId344" Type="http://schemas.openxmlformats.org/officeDocument/2006/relationships/hyperlink" Target="../../../../../../:b:/g/personal/lppmsby_telkomuniversity_ac_id/ERi0q1bEbe1Ngq9t1KSmQ4UBOqcayh_qD6sclKawED1QAw?e=mJCLf8" TargetMode="External"/><Relationship Id="rId20" Type="http://schemas.openxmlformats.org/officeDocument/2006/relationships/hyperlink" Target="https://drive.google.com/file/d/1rv_ZyGNztP8WP8g6MGtVZrcFn1vOqeei/view?usp=sharing" TargetMode="External"/><Relationship Id="rId41" Type="http://schemas.openxmlformats.org/officeDocument/2006/relationships/hyperlink" Target="https://cdn.ittelkom-sby.ac.id/research/z16933829700236eb3e1c3bbd96364c32db82b9853b.pdf" TargetMode="External"/><Relationship Id="rId62" Type="http://schemas.openxmlformats.org/officeDocument/2006/relationships/hyperlink" Target="https://cdn.ittelkom-sby.ac.id/research/z165483230952e0ca19aec4569506f26bcf8cd71b2f.pdf" TargetMode="External"/><Relationship Id="rId83" Type="http://schemas.openxmlformats.org/officeDocument/2006/relationships/hyperlink" Target="https://cdn.ittelkom-sby.ac.id/research/z1633502822080072e91f6266690df905799d83ebfe.pdf" TargetMode="External"/><Relationship Id="rId179" Type="http://schemas.openxmlformats.org/officeDocument/2006/relationships/hyperlink" Target="https://cdn.ittelkom-sby.ac.id/research/z1643278552c451e85e06fd077f50a1efc5945f9cb7.pdf" TargetMode="External"/><Relationship Id="rId365" Type="http://schemas.openxmlformats.org/officeDocument/2006/relationships/hyperlink" Target="https://abdimas-ppm.telkomuniversity.ac.id/unduh-pks/2024%2CYtABbejfAMLWboE0" TargetMode="External"/><Relationship Id="rId386" Type="http://schemas.openxmlformats.org/officeDocument/2006/relationships/hyperlink" Target="https://abdimas-ppm.telkomuniversity.ac.id/unduh-dokumen-fn/2025%2CE5IJ2FQ0lFtYAPeX%2Cinternal%2Cproposal" TargetMode="External"/><Relationship Id="rId190" Type="http://schemas.openxmlformats.org/officeDocument/2006/relationships/hyperlink" Target="https://cdn.ittelkom-sby.ac.id/research/z16385452192761de5a13fa79207913fc90286ecccc.pdf" TargetMode="External"/><Relationship Id="rId204" Type="http://schemas.openxmlformats.org/officeDocument/2006/relationships/hyperlink" Target="https://cdn.ittelkom-sby.ac.id/research/z1615382107bc11e1509bef258828736567c876e42d.pdf" TargetMode="External"/><Relationship Id="rId225" Type="http://schemas.openxmlformats.org/officeDocument/2006/relationships/hyperlink" Target="https://cdn.ittelkom-sby.ac.id/research/z1615545138e60abcbb71388cca2a7cfae87b5944b5.pdf" TargetMode="External"/><Relationship Id="rId246" Type="http://schemas.openxmlformats.org/officeDocument/2006/relationships/hyperlink" Target="https://cdn.ittelkom-sby.ac.id/research/z163530064691d883fd96bc1d5967ff24244cd39ce0.pdf" TargetMode="External"/><Relationship Id="rId267" Type="http://schemas.openxmlformats.org/officeDocument/2006/relationships/hyperlink" Target="../../../../../:b:/g/personal/lppm_ittelkom-sby_ac_id/Eaz9x-oj_4NAnjg66YZLgnMBp347kSfRP9j2_r7fjR7HFA?e=XJfexh" TargetMode="External"/><Relationship Id="rId288" Type="http://schemas.openxmlformats.org/officeDocument/2006/relationships/hyperlink" Target="https://abdimas-ppm.telkomuniversity.ac.id/unduh-dokumen-fn/2024%2Cqy7PMrD88nNngfkn%2Cinternal%2Cproposal" TargetMode="External"/><Relationship Id="rId106" Type="http://schemas.openxmlformats.org/officeDocument/2006/relationships/hyperlink" Target="https://cdn.ittelkom-sby.ac.id/research/z16756435048ac44c6ac0dc1a8d11509e53961c5a6b.pdf" TargetMode="External"/><Relationship Id="rId127" Type="http://schemas.openxmlformats.org/officeDocument/2006/relationships/hyperlink" Target="https://cdn.ittelkom-sby.ac.id/research/z1675644918eea8a7a14e067b527be1710f97edd7df.pdf" TargetMode="External"/><Relationship Id="rId313" Type="http://schemas.openxmlformats.org/officeDocument/2006/relationships/hyperlink" Target="https://abdimas-ppm.telkomuniversity.ac.id/unduh-pks/2024%2CFKtT4f2rlDTAmGSL" TargetMode="External"/><Relationship Id="rId10" Type="http://schemas.openxmlformats.org/officeDocument/2006/relationships/hyperlink" Target="https://drive.google.com/file/d/1xogy7NNIe_4vm0YtA55G6X96NJOBXuPA/view?usp=sharing" TargetMode="External"/><Relationship Id="rId31" Type="http://schemas.openxmlformats.org/officeDocument/2006/relationships/hyperlink" Target="https://cdn.ittelkom-sby.ac.id/research/z16943974813946e3f095e3a272c1e2e7757945dd4b.pdf" TargetMode="External"/><Relationship Id="rId52" Type="http://schemas.openxmlformats.org/officeDocument/2006/relationships/hyperlink" Target="https://cdn.ittelkom-sby.ac.id/research/z1654832510a5afa45805cadbb7a70d600e291d5833.pdf" TargetMode="External"/><Relationship Id="rId73" Type="http://schemas.openxmlformats.org/officeDocument/2006/relationships/hyperlink" Target="https://cdn.ittelkom-sby.ac.id/research/z1628053612bb4ce90cb1e751f1fa9006711affdc72.pdf" TargetMode="External"/><Relationship Id="rId94" Type="http://schemas.openxmlformats.org/officeDocument/2006/relationships/hyperlink" Target="https://cdn.ittelkom-sby.ac.id/research/z169804525908fe7cef4b9042e8da952d16534e86c1.pdf" TargetMode="External"/><Relationship Id="rId148" Type="http://schemas.openxmlformats.org/officeDocument/2006/relationships/hyperlink" Target="https://cdn.ittelkom-sby.ac.id/research/z168247484370c13ecf77148c92ece959f64aa2b58c.pdf" TargetMode="External"/><Relationship Id="rId169" Type="http://schemas.openxmlformats.org/officeDocument/2006/relationships/hyperlink" Target="https://cdn.ittelkom-sby.ac.id/research/z164328415724efea534642d5f846e71bbaf3ce8068.pdf" TargetMode="External"/><Relationship Id="rId334" Type="http://schemas.openxmlformats.org/officeDocument/2006/relationships/hyperlink" Target="../../../../../:b:/g/personal/lppm_ittelkom-sby_ac_id/EQBzmKGIvANFu9TIPElr1goBtKFZzQBz6u8pTvEDCnAtxw?e=8yBNec" TargetMode="External"/><Relationship Id="rId355" Type="http://schemas.openxmlformats.org/officeDocument/2006/relationships/hyperlink" Target="https://abdimas-ppm.telkomuniversity.ac.id/unduh-dokumen-fn/2024%2C2XSaszJ6ukSFGw2k%2Cinternal%2Cproposal" TargetMode="External"/><Relationship Id="rId376" Type="http://schemas.openxmlformats.org/officeDocument/2006/relationships/hyperlink" Target="https://abdimas-ppm.telkomuniversity.ac.id/unduh-dokumen-fn/2025%2CopVSBFMZW8BZfXQD%2Cinternal%2Cproposal" TargetMode="External"/><Relationship Id="rId397" Type="http://schemas.openxmlformats.org/officeDocument/2006/relationships/hyperlink" Target="https://cdn.ittelkom-sby.ac.id/research/z16554658086a4a185a7035a9bf0c37694fe9d5f097.pdf" TargetMode="External"/><Relationship Id="rId4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0" Type="http://schemas.openxmlformats.org/officeDocument/2006/relationships/hyperlink" Target="https://cdn.ittelkom-sby.ac.id/research/z16824843535af0898474412d2730bc1f4d1c122784.pdf" TargetMode="External"/><Relationship Id="rId215" Type="http://schemas.openxmlformats.org/officeDocument/2006/relationships/hyperlink" Target="https://cdn.ittelkom-sby.ac.id/research/z16244174112a8c9a229ece07bd080a6f26c543cbb6.pdf" TargetMode="External"/><Relationship Id="rId236" Type="http://schemas.openxmlformats.org/officeDocument/2006/relationships/hyperlink" Target="https://cdn.ittelkom-sby.ac.id/research/z1633700259593f334a58d87812670a19ac251843ee.pdf" TargetMode="External"/><Relationship Id="rId257" Type="http://schemas.openxmlformats.org/officeDocument/2006/relationships/hyperlink" Target="../../../../../:b:/g/personal/lppm_ittelkom-sby_ac_id/EfhiDdlst-FClblDuQEXT-EBm3IuL0FOi-HitoiUpUP0HA?e=p47F2E" TargetMode="External"/><Relationship Id="rId278" Type="http://schemas.openxmlformats.org/officeDocument/2006/relationships/hyperlink" Target="http://cdndata.telkomuniversity.ac.id/research/z17084913435cd17398cebd083da4fde3adde978861.pdf" TargetMode="External"/><Relationship Id="rId401" Type="http://schemas.openxmlformats.org/officeDocument/2006/relationships/comments" Target="../comments3.xml"/><Relationship Id="rId303" Type="http://schemas.openxmlformats.org/officeDocument/2006/relationships/hyperlink" Target="https://abdimas-ppm.telkomuniversity.ac.id/unduh-dokumen-fn/2024%2CxC6PEwffEkz594w8%2Cinternal%2Cproposal" TargetMode="External"/><Relationship Id="rId42" Type="http://schemas.openxmlformats.org/officeDocument/2006/relationships/hyperlink" Target="https://cdn.ittelkom-sby.ac.id/research/z1693382686cc52baf62d7d6399be63450d6cee03b4.pdf" TargetMode="External"/><Relationship Id="rId84" Type="http://schemas.openxmlformats.org/officeDocument/2006/relationships/hyperlink" Target="https://cdn.ittelkom-sby.ac.id/research/z16280546664d89c2d450a8662fb1ee61c1a451ddce.pdf" TargetMode="External"/><Relationship Id="rId138" Type="http://schemas.openxmlformats.org/officeDocument/2006/relationships/hyperlink" Target="https://cdn.ittelkom-sby.ac.id/research/z1668566980932ea3e76f5500f6b51ebb81e01b3766.pdf" TargetMode="External"/><Relationship Id="rId345" Type="http://schemas.openxmlformats.org/officeDocument/2006/relationships/hyperlink" Target="../../../../../../:b:/g/personal/lppmsby_telkomuniversity_ac_id/ERi0q1bEbe1Ngq9t1KSmQ4UBOqcayh_qD6sclKawED1QAw?e=mJCLf8" TargetMode="External"/><Relationship Id="rId387" Type="http://schemas.openxmlformats.org/officeDocument/2006/relationships/hyperlink" Target="https://abdimas-ppm.telkomuniversity.ac.id/unduh-dokumen-fn/2025%2CDM0kyEKYGQLOhCrs%2Cinternal%2Cproposal" TargetMode="External"/><Relationship Id="rId191" Type="http://schemas.openxmlformats.org/officeDocument/2006/relationships/hyperlink" Target="https://cdn.ittelkom-sby.ac.id/research/z162643529808119a91f37360e909913027788bc063.pdf" TargetMode="External"/><Relationship Id="rId205" Type="http://schemas.openxmlformats.org/officeDocument/2006/relationships/hyperlink" Target="https://cdn.ittelkom-sby.ac.id/research/z1626354588a5998d524f6d9f36c717f5033bc74fd7.pdf" TargetMode="External"/><Relationship Id="rId247" Type="http://schemas.openxmlformats.org/officeDocument/2006/relationships/hyperlink" Target="https://cdn.ittelkom-sby.ac.id/research/z1598425186699b0147ed710a7d3e656d6dfa2cd91c.pdf" TargetMode="External"/><Relationship Id="rId107" Type="http://schemas.openxmlformats.org/officeDocument/2006/relationships/hyperlink" Target="https://cdn.ittelkom-sby.ac.id/research/z1675650687b988ae6fa6eeeb651e6111a62dad63a1.pdf" TargetMode="External"/><Relationship Id="rId289" Type="http://schemas.openxmlformats.org/officeDocument/2006/relationships/hyperlink" Target="https://abdimas-ppm.telkomuniversity.ac.id/unduh-dokumen-fn/2024%2CN30yLCj7mCNqUWeS%2Cinternal%2Cproposal" TargetMode="External"/><Relationship Id="rId11" Type="http://schemas.openxmlformats.org/officeDocument/2006/relationships/hyperlink" Target="https://drive.google.com/file/d/1xogy7NNIe_4vm0YtA55G6X96NJOBXuPA/view?usp=sharing" TargetMode="External"/><Relationship Id="rId53" Type="http://schemas.openxmlformats.org/officeDocument/2006/relationships/hyperlink" Target="https://cdn.ittelkom-sby.ac.id/research/z1654832170d0c25729b5c0a42652957b724d6e01bb.pdf" TargetMode="External"/><Relationship Id="rId149" Type="http://schemas.openxmlformats.org/officeDocument/2006/relationships/hyperlink" Target="https://cdn.ittelkom-sby.ac.id/research/z1655457617efc08ae07597cdc47f456a72a86b38ab.pdf" TargetMode="External"/><Relationship Id="rId314" Type="http://schemas.openxmlformats.org/officeDocument/2006/relationships/hyperlink" Target="https://abdimas-ppm.telkomuniversity.ac.id/unduh-pks/2024%2Cqy7PMrD88nNngfkn" TargetMode="External"/><Relationship Id="rId356" Type="http://schemas.openxmlformats.org/officeDocument/2006/relationships/hyperlink" Target="https://abdimas-ppm.telkomuniversity.ac.id/unduh-dokumen-fn/2024%2CX7atZcAHbNeCRNgU%2Cinternal%2Cproposal" TargetMode="External"/><Relationship Id="rId398" Type="http://schemas.openxmlformats.org/officeDocument/2006/relationships/printerSettings" Target="../printerSettings/printerSettings4.bin"/><Relationship Id="rId95" Type="http://schemas.openxmlformats.org/officeDocument/2006/relationships/hyperlink" Target="https://cdn.ittelkom-sby.ac.id/research/z1692014697947b16082af52c05208a586cde7877f3.pdf" TargetMode="External"/><Relationship Id="rId160" Type="http://schemas.openxmlformats.org/officeDocument/2006/relationships/hyperlink" Target="https://cdn.ittelkom-sby.ac.id/research/z16619138809338a154b31abb697a3f0ced111e0533.pdf" TargetMode="External"/><Relationship Id="rId216" Type="http://schemas.openxmlformats.org/officeDocument/2006/relationships/hyperlink" Target="https://cdn.ittelkom-sby.ac.id/research/z1624418291eafb62a8e7fa70b263f66b0ace4d1d8d.pdf" TargetMode="External"/><Relationship Id="rId258" Type="http://schemas.openxmlformats.org/officeDocument/2006/relationships/hyperlink" Target="../../../../../:b:/g/personal/lppm_ittelkom-sby_ac_id/EfhiDdlst-FClblDuQEXT-EBm3IuL0FOi-HitoiUpUP0HA?e=1isve7" TargetMode="External"/><Relationship Id="rId22" Type="http://schemas.openxmlformats.org/officeDocument/2006/relationships/hyperlink" Target="https://cdn.ittelkom-sby.ac.id/research/z16933603004e1c377d9b8b9511800cf89af758f14d.pdf" TargetMode="External"/><Relationship Id="rId64" Type="http://schemas.openxmlformats.org/officeDocument/2006/relationships/hyperlink" Target="https://cdn.ittelkom-sby.ac.id/research/z1663126696dde2e58127bfc8828bb3f8fa5c353430.pdf" TargetMode="External"/><Relationship Id="rId118" Type="http://schemas.openxmlformats.org/officeDocument/2006/relationships/hyperlink" Target="https://cdn.ittelkom-sby.ac.id/research/z169451967143028a8f474c5f416217e9d2572e3cee.pdf" TargetMode="External"/><Relationship Id="rId325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367" Type="http://schemas.openxmlformats.org/officeDocument/2006/relationships/hyperlink" Target="https://abdimas-ppm.telkomuniversity.ac.id/unduh-pks/2024%2CUVJbpIHypdnVtoc6" TargetMode="External"/><Relationship Id="rId171" Type="http://schemas.openxmlformats.org/officeDocument/2006/relationships/hyperlink" Target="https://cdn.ittelkom-sby.ac.id/research/z1643253013557505e7175f83e94bdfbb7186034d43.pdf" TargetMode="External"/><Relationship Id="rId227" Type="http://schemas.openxmlformats.org/officeDocument/2006/relationships/hyperlink" Target="https://cdn.ittelkom-sby.ac.id/research/z16155401822bc2ee9dfbfc0c7c6f605733b67e1baf.pdf" TargetMode="External"/><Relationship Id="rId26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3" Type="http://schemas.openxmlformats.org/officeDocument/2006/relationships/hyperlink" Target="https://cdn.ittelkom-sby.ac.id/research/z16933615170aae51a209e1861fac6c6874e213ceed.pdf" TargetMode="External"/><Relationship Id="rId129" Type="http://schemas.openxmlformats.org/officeDocument/2006/relationships/hyperlink" Target="https://cdn.ittelkom-sby.ac.id/research/z16756447282c105d54741563e89220e609e33bdd3f.pdf" TargetMode="External"/><Relationship Id="rId280" Type="http://schemas.openxmlformats.org/officeDocument/2006/relationships/hyperlink" Target="http://cdndata.telkomuniversity.ac.id/research/z1708098508cd91991370e2f0066b69b024c72f945f.pdf" TargetMode="External"/><Relationship Id="rId336" Type="http://schemas.openxmlformats.org/officeDocument/2006/relationships/hyperlink" Target="https://abdimas-ppm.telkomuniversity.ac.id/unduh-dokumen-fn/2024%2CJlmzABk2E5buT4V7%2Cinternal%2Cproposal" TargetMode="External"/><Relationship Id="rId75" Type="http://schemas.openxmlformats.org/officeDocument/2006/relationships/hyperlink" Target="https://cdn.ittelkom-sby.ac.id/research/z1628053140f0b3864028344aea3ff33da6fb13d37a.pdf" TargetMode="External"/><Relationship Id="rId140" Type="http://schemas.openxmlformats.org/officeDocument/2006/relationships/hyperlink" Target="https://cdn.ittelkom-sby.ac.id/research/z16698666312c34b0652c309f02ef1bff546bbe6bc1.pdf" TargetMode="External"/><Relationship Id="rId182" Type="http://schemas.openxmlformats.org/officeDocument/2006/relationships/hyperlink" Target="https://cdn.ittelkom-sby.ac.id/research/z1682491919c1039e10f1b443b66341ef68223ba2ca.pdf" TargetMode="External"/><Relationship Id="rId378" Type="http://schemas.openxmlformats.org/officeDocument/2006/relationships/hyperlink" Target="https://abdimas-ppm.telkomuniversity.ac.id/unduh-dokumen-fn/2025%2Ca35mlARCXUPjDBgj%2Cinternal%2Cproposal" TargetMode="External"/><Relationship Id="rId6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238" Type="http://schemas.openxmlformats.org/officeDocument/2006/relationships/hyperlink" Target="https://cdn.ittelkom-sby.ac.id/research/z1634119340b78049b47580e34edff9cb36827410a0.pdf" TargetMode="External"/><Relationship Id="rId291" Type="http://schemas.openxmlformats.org/officeDocument/2006/relationships/hyperlink" Target="https://abdimas-ppm.telkomuniversity.ac.id/unduh-dokumen-fn/2024%2Cv5Xehq9p96rrhSMU%2Cinternal%2Cproposal" TargetMode="External"/><Relationship Id="rId305" Type="http://schemas.openxmlformats.org/officeDocument/2006/relationships/hyperlink" Target="https://abdimas-ppm.telkomuniversity.ac.id/unduh-dokumen-fn/2024%2CuCiDQ8A7odUVCEt2%2Cinternal%2Cproposal" TargetMode="External"/><Relationship Id="rId347" Type="http://schemas.openxmlformats.org/officeDocument/2006/relationships/hyperlink" Target="https://abdimas-ppm.telkomuniversity.ac.id/unduh-pks/2024%2C8rBXflU3B9ZQSGGP" TargetMode="External"/><Relationship Id="rId44" Type="http://schemas.openxmlformats.org/officeDocument/2006/relationships/hyperlink" Target="https://cdn.ittelkom-sby.ac.id/research/z1693879966e31d78d44782879ef10b274ca7a2097b.pdf" TargetMode="External"/><Relationship Id="rId86" Type="http://schemas.openxmlformats.org/officeDocument/2006/relationships/hyperlink" Target="https://cdn.ittelkom-sby.ac.id/research/z163349921477c75166197a23e8b8cc687da87f6c76.pdf" TargetMode="External"/><Relationship Id="rId151" Type="http://schemas.openxmlformats.org/officeDocument/2006/relationships/hyperlink" Target="https://cdn.ittelkom-sby.ac.id/research/z16578553465b178e88a225817cd1e3cb0becfd1c60.pdf" TargetMode="External"/><Relationship Id="rId389" Type="http://schemas.openxmlformats.org/officeDocument/2006/relationships/hyperlink" Target="https://abdimas-ppm.telkomuniversity.ac.id/unduh-dokumen-fn/2025%2Ce3Z3H78s4QLTmQDW%2Cinternal%2Cproposal" TargetMode="External"/><Relationship Id="rId193" Type="http://schemas.openxmlformats.org/officeDocument/2006/relationships/hyperlink" Target="https://cdn.ittelkom-sby.ac.id/research/z163849726227b9f841846005d8da465ef55a2510b8.pdf" TargetMode="External"/><Relationship Id="rId207" Type="http://schemas.openxmlformats.org/officeDocument/2006/relationships/hyperlink" Target="https://cdn.ittelkom-sby.ac.id/research/z1634272513e178e69e0eed22f739b28cadd731edfa.pdf" TargetMode="External"/><Relationship Id="rId249" Type="http://schemas.openxmlformats.org/officeDocument/2006/relationships/hyperlink" Target="https://cdn.ittelkom-sby.ac.id/research/z1598426531fd21c478f4cc3b9698bc10c0d310bc11.pdf" TargetMode="External"/><Relationship Id="rId13" Type="http://schemas.openxmlformats.org/officeDocument/2006/relationships/hyperlink" Target="https://drive.google.com/file/d/17b1Xi3t-8LeWp6X-i8U8Od_yMPjKsqaN/view?usp=sharing" TargetMode="External"/><Relationship Id="rId109" Type="http://schemas.openxmlformats.org/officeDocument/2006/relationships/hyperlink" Target="https://cdn.ittelkom-sby.ac.id/research/z1675647206129b3d9c5e26b25ed44fcfe361c43cce.pdf" TargetMode="External"/><Relationship Id="rId260" Type="http://schemas.openxmlformats.org/officeDocument/2006/relationships/hyperlink" Target="../../../../../:b:/g/personal/lppm_ittelkom-sby_ac_id/EQWig6bztItJnU3pOcyUmJkBgqpW-R6_rIGjnbhaZIlN1Q?e=1il2El" TargetMode="External"/><Relationship Id="rId316" Type="http://schemas.openxmlformats.org/officeDocument/2006/relationships/hyperlink" Target="https://abdimas-ppm.telkomuniversity.ac.id/unduh-pks/2024%2CyWQQIrQ8HRVkMMgx" TargetMode="External"/><Relationship Id="rId55" Type="http://schemas.openxmlformats.org/officeDocument/2006/relationships/hyperlink" Target="https://cdn.ittelkom-sby.ac.id/research/z1663125252c41d93887c45e272359da60558a43c69.pdf" TargetMode="External"/><Relationship Id="rId97" Type="http://schemas.openxmlformats.org/officeDocument/2006/relationships/hyperlink" Target="https://cdn.ittelkom-sby.ac.id/research/z169380199105cc88870c5acce3b46931de54369e30.pdf" TargetMode="External"/><Relationship Id="rId120" Type="http://schemas.openxmlformats.org/officeDocument/2006/relationships/hyperlink" Target="https://cdn.ittelkom-sby.ac.id/research/z1694520872527ac157f5839ef2cd84bf1ce5c9c50c.pdf" TargetMode="External"/><Relationship Id="rId358" Type="http://schemas.openxmlformats.org/officeDocument/2006/relationships/hyperlink" Target="https://abdimas-ppm.telkomuniversity.ac.id/unduh-dokumen-fn/2024%2CUVJbpIHypdnVtoc6%2Cinternal%2ClapAkhir" TargetMode="External"/><Relationship Id="rId162" Type="http://schemas.openxmlformats.org/officeDocument/2006/relationships/hyperlink" Target="https://cdn.ittelkom-sby.ac.id/research/z1682493693aa19e4dc4f8a8b8ff5dba65f30a64e6c.pdf" TargetMode="External"/><Relationship Id="rId218" Type="http://schemas.openxmlformats.org/officeDocument/2006/relationships/hyperlink" Target="https://cdn.ittelkom-sby.ac.id/research/z1632449031ebb440dcdb3a9d246cac0e83a0063a30.pdf" TargetMode="External"/><Relationship Id="rId271" Type="http://schemas.openxmlformats.org/officeDocument/2006/relationships/hyperlink" Target="https://cdn.ittelkom-sby.ac.id/research/z170168124922a3e49146a86d2302607b6d04e58969.pdf" TargetMode="External"/><Relationship Id="rId24" Type="http://schemas.openxmlformats.org/officeDocument/2006/relationships/hyperlink" Target="https://cdn.ittelkom-sby.ac.id/research/z16933616697cfdda1616ab11810fd6f873ef7b59df.pdf" TargetMode="External"/><Relationship Id="rId66" Type="http://schemas.openxmlformats.org/officeDocument/2006/relationships/hyperlink" Target="https://cdn.ittelkom-sby.ac.id/research/z16631260913bf6d2e4cc83ce088ce10414a96de560.pdf" TargetMode="External"/><Relationship Id="rId131" Type="http://schemas.openxmlformats.org/officeDocument/2006/relationships/hyperlink" Target="https://cdn.ittelkom-sby.ac.id/research/z16756427041e16b26b7d8a472f708261cfcfa49aa9.pdf" TargetMode="External"/><Relationship Id="rId327" Type="http://schemas.openxmlformats.org/officeDocument/2006/relationships/hyperlink" Target="https://cdn.ittelkom-sby.ac.id/research/z16878517114140d9c4c8f06b27cd5156bda338b9ef.pdf" TargetMode="External"/><Relationship Id="rId369" Type="http://schemas.openxmlformats.org/officeDocument/2006/relationships/hyperlink" Target="https://abdimas-ppm.telkomuniversity.ac.id/unduh-pks/2024%2C01R6qDcPWb3EXVHS" TargetMode="External"/><Relationship Id="rId173" Type="http://schemas.openxmlformats.org/officeDocument/2006/relationships/hyperlink" Target="https://cdn.ittelkom-sby.ac.id/research/z16432950000b15db590f04bfe765bbd595a96c563e.pdf" TargetMode="External"/><Relationship Id="rId229" Type="http://schemas.openxmlformats.org/officeDocument/2006/relationships/hyperlink" Target="https://cdn.ittelkom-sby.ac.id/research/z1615554777febff2aea61611ec8fc4abf1c73f844f.pdf" TargetMode="External"/><Relationship Id="rId380" Type="http://schemas.openxmlformats.org/officeDocument/2006/relationships/hyperlink" Target="https://abdimas-ppm.telkomuniversity.ac.id/unduh-dokumen-fn/2025%2Cl702XrTi1MODlsap%2Cinternal%2Cproposal" TargetMode="External"/><Relationship Id="rId240" Type="http://schemas.openxmlformats.org/officeDocument/2006/relationships/hyperlink" Target="https://cdn.ittelkom-sby.ac.id/research/z16339599120a25ac4900cb83d7a6f3e605d80edf2d.pdf" TargetMode="External"/><Relationship Id="rId35" Type="http://schemas.openxmlformats.org/officeDocument/2006/relationships/hyperlink" Target="https://cdn.ittelkom-sby.ac.id/research/z1693360072f79f9947a356ac4d15f1b240d8322c2c.pdf" TargetMode="External"/><Relationship Id="rId77" Type="http://schemas.openxmlformats.org/officeDocument/2006/relationships/hyperlink" Target="https://cdn.ittelkom-sby.ac.id/research/z1628053055c300781a859366f7a636114d5df55dd5.pdf" TargetMode="External"/><Relationship Id="rId100" Type="http://schemas.openxmlformats.org/officeDocument/2006/relationships/hyperlink" Target="https://cdn.ittelkom-sby.ac.id/research/z168856419776b7db6b066cd23bb13ac94486f6568a.pdf" TargetMode="External"/><Relationship Id="rId282" Type="http://schemas.openxmlformats.org/officeDocument/2006/relationships/hyperlink" Target="https://abdimas-ppm.telkomuniversity.ac.id/unduh-dokumen-fn/2024%2CGocYU8ySOatmUNEn%2Cinternal%2Cproposal" TargetMode="External"/><Relationship Id="rId338" Type="http://schemas.openxmlformats.org/officeDocument/2006/relationships/hyperlink" Target="https://abdimas-ppm.telkomuniversity.ac.id/unduh-dokumen-fn/2024%2CpMuHjCD4DOTjSAqx%2Cinternal%2Cproposal" TargetMode="External"/><Relationship Id="rId8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142" Type="http://schemas.openxmlformats.org/officeDocument/2006/relationships/hyperlink" Target="https://cdn.ittelkom-sby.ac.id/research/z167228238118a0846d0fb5ef75edbadc7b052d25f3.pdf" TargetMode="External"/><Relationship Id="rId184" Type="http://schemas.openxmlformats.org/officeDocument/2006/relationships/hyperlink" Target="https://cdn.ittelkom-sby.ac.id/research/z16624456852ae61a217faa90f237ab5a2b89841a75.pdf" TargetMode="External"/><Relationship Id="rId391" Type="http://schemas.openxmlformats.org/officeDocument/2006/relationships/hyperlink" Target="https://abdimas-ppm.telkomuniversity.ac.id/unduh-dokumen-fn/2025%2Ce0nK2zozH6UYVkN9%2Cinternal%2Cproposal" TargetMode="External"/><Relationship Id="rId251" Type="http://schemas.openxmlformats.org/officeDocument/2006/relationships/hyperlink" Target="https://drive.google.com/file/d/1t6WzfDG91299Tx5UPFqRBVrJXYCwa9IY/view?usp=sharing" TargetMode="External"/><Relationship Id="rId46" Type="http://schemas.openxmlformats.org/officeDocument/2006/relationships/hyperlink" Target="https://cdn.ittelkom-sby.ac.id/research/z1693361439b356de0ebe36889349b73aa62fc3075b.pdf" TargetMode="External"/><Relationship Id="rId293" Type="http://schemas.openxmlformats.org/officeDocument/2006/relationships/hyperlink" Target="https://abdimas-ppm.telkomuniversity.ac.id/unduh-dokumen-fn/2024%2CwAXiqG6HLYo5L0Qv%2Cinternal%2Cproposal" TargetMode="External"/><Relationship Id="rId307" Type="http://schemas.openxmlformats.org/officeDocument/2006/relationships/hyperlink" Target="https://abdimas-ppm.telkomuniversity.ac.id/unduh-pks/2024%2CobcFZyYNGHeEUK1H" TargetMode="External"/><Relationship Id="rId349" Type="http://schemas.openxmlformats.org/officeDocument/2006/relationships/hyperlink" Target="https://abdimas-ppm.telkomuniversity.ac.id/unduh-pks/2024%2CX015WEKCMS1yYy3K" TargetMode="External"/><Relationship Id="rId88" Type="http://schemas.openxmlformats.org/officeDocument/2006/relationships/hyperlink" Target="https://cdn.ittelkom-sby.ac.id/research/z16335064254f3f8d9c0086903b12b3fff3f086ff91.pdf" TargetMode="External"/><Relationship Id="rId111" Type="http://schemas.openxmlformats.org/officeDocument/2006/relationships/hyperlink" Target="https://cdn.ittelkom-sby.ac.id/research/z1675647290989228579f0029953f9419b86e7bb451.pdf" TargetMode="External"/><Relationship Id="rId153" Type="http://schemas.openxmlformats.org/officeDocument/2006/relationships/hyperlink" Target="https://cdn.ittelkom-sby.ac.id/research/z1655353535f8f9b983a9df0666da41fd622dd9bbb1.pdf" TargetMode="External"/><Relationship Id="rId195" Type="http://schemas.openxmlformats.org/officeDocument/2006/relationships/hyperlink" Target="https://cdn.ittelkom-sby.ac.id/research/z163834105808f8c375060a5e44e3f1a64c623edd77.pdf" TargetMode="External"/><Relationship Id="rId209" Type="http://schemas.openxmlformats.org/officeDocument/2006/relationships/hyperlink" Target="https://cdn.ittelkom-sby.ac.id/research/z16255390580189e3eaf32c85a6c0b6be288d9b8ba7.pdf" TargetMode="External"/><Relationship Id="rId360" Type="http://schemas.openxmlformats.org/officeDocument/2006/relationships/hyperlink" Target="https://abdimas-ppm.telkomuniversity.ac.id/unduh-pks/2024%2CAE6Kz9zLw7Tfv8WP" TargetMode="External"/><Relationship Id="rId220" Type="http://schemas.openxmlformats.org/officeDocument/2006/relationships/hyperlink" Target="https://cdn.ittelkom-sby.ac.id/research/z163301594761ae34f96e952cc5c02f628885cc4eba.pdf" TargetMode="External"/><Relationship Id="rId15" Type="http://schemas.openxmlformats.org/officeDocument/2006/relationships/hyperlink" Target="https://drive.google.com/file/d/1EavCAwX21XC_cwdcb_q3271xprhlkUcE/view?usp=sharing" TargetMode="External"/><Relationship Id="rId57" Type="http://schemas.openxmlformats.org/officeDocument/2006/relationships/hyperlink" Target="https://cdn.ittelkom-sby.ac.id/research/z165483276868ef29fa611963f35a64704202150f4d.pdf" TargetMode="External"/><Relationship Id="rId262" Type="http://schemas.openxmlformats.org/officeDocument/2006/relationships/hyperlink" Target="https://cdn.ittelkom-sby.ac.id/research/z1700621926f5ed4c452d8aaaa3a09c4a1db65d16c2.pdf" TargetMode="External"/><Relationship Id="rId318" Type="http://schemas.openxmlformats.org/officeDocument/2006/relationships/hyperlink" Target="https://abdimas-ppm.telkomuniversity.ac.id/unduh-pks/2024%2C0TGGHwynb164iKp1" TargetMode="External"/><Relationship Id="rId99" Type="http://schemas.openxmlformats.org/officeDocument/2006/relationships/hyperlink" Target="https://cdn.ittelkom-sby.ac.id/research/z1692610415532f31f627d047c2dc9c324bfc229573.pdf" TargetMode="External"/><Relationship Id="rId122" Type="http://schemas.openxmlformats.org/officeDocument/2006/relationships/hyperlink" Target="https://cdn.ittelkom-sby.ac.id/research/z169474918336a77a496a697bc79e54273fb4014a6f.pdf" TargetMode="External"/><Relationship Id="rId164" Type="http://schemas.openxmlformats.org/officeDocument/2006/relationships/hyperlink" Target="https://cdn.ittelkom-sby.ac.id/research/z16652174178c650cb4e425582fbfa98e7eac9ade26.pdf" TargetMode="External"/><Relationship Id="rId371" Type="http://schemas.openxmlformats.org/officeDocument/2006/relationships/hyperlink" Target="https://abdimas-ppm.telkomuniversity.ac.id/unduh-dokumen-fn/2025%2CbxBU4dSBCwDCJjvl%2Cinternal%2Cproposal" TargetMode="External"/><Relationship Id="rId26" Type="http://schemas.openxmlformats.org/officeDocument/2006/relationships/hyperlink" Target="https://cdn.ittelkom-sby.ac.id/research/z16933613093b309f4f363696400323228d0c4e2bb8.pdf" TargetMode="External"/><Relationship Id="rId231" Type="http://schemas.openxmlformats.org/officeDocument/2006/relationships/hyperlink" Target="https://cdn.ittelkom-sby.ac.id/research/z16155172840021e3531a98ee1b508662186a07df41.pdf" TargetMode="External"/><Relationship Id="rId273" Type="http://schemas.openxmlformats.org/officeDocument/2006/relationships/hyperlink" Target="../../../../../:b:/g/personal/lppm_ittelkom-sby_ac_id/EVmf0qXQaO1LvsHj6UcKHsMBOOYQB9GtgAeVzl_2orTDPg?e=9fZAvL" TargetMode="External"/><Relationship Id="rId329" Type="http://schemas.openxmlformats.org/officeDocument/2006/relationships/hyperlink" Target="https://cdn.ittelkom-sby.ac.id/research/z1697450114908c0bd5097db3aa9e84a319a1506812.pdf" TargetMode="External"/><Relationship Id="rId68" Type="http://schemas.openxmlformats.org/officeDocument/2006/relationships/hyperlink" Target="https://cdn.ittelkom-sby.ac.id/research/z166312714810937d7477396e633d5134cf512ad242.pdf" TargetMode="External"/><Relationship Id="rId133" Type="http://schemas.openxmlformats.org/officeDocument/2006/relationships/hyperlink" Target="https://cdn.ittelkom-sby.ac.id/research/z1675642541cddf78e47c3e0fc8d138eb6246331dc1.pdf" TargetMode="External"/><Relationship Id="rId175" Type="http://schemas.openxmlformats.org/officeDocument/2006/relationships/hyperlink" Target="https://cdn.ittelkom-sby.ac.id/research/z16431729566805f7ce7991f383318371083dceb410.pdf" TargetMode="External"/><Relationship Id="rId340" Type="http://schemas.openxmlformats.org/officeDocument/2006/relationships/hyperlink" Target="../../../../../../:b:/g/personal/lppmsby_telkomuniversity_ac_id/ERi0q1bEbe1Ngq9t1KSmQ4UBOqcayh_qD6sclKawED1QAw?e=mJCLf8" TargetMode="External"/><Relationship Id="rId200" Type="http://schemas.openxmlformats.org/officeDocument/2006/relationships/hyperlink" Target="https://cdn.ittelkom-sby.ac.id/research/z1626431096110c2c8e5a026f56ae9a5cbc4d2d4103.pdf" TargetMode="External"/><Relationship Id="rId382" Type="http://schemas.openxmlformats.org/officeDocument/2006/relationships/hyperlink" Target="https://abdimas-ppm.telkomuniversity.ac.id/unduh-dokumen-fn/2025%2CNBUzXf7TM4QAzfC6%2Cinternal%2Cproposal" TargetMode="External"/><Relationship Id="rId242" Type="http://schemas.openxmlformats.org/officeDocument/2006/relationships/hyperlink" Target="https://cdn.ittelkom-sby.ac.id/research/z16353003339689d2f1bba8c00d7c4f2428335a91f9.pdf" TargetMode="External"/><Relationship Id="rId284" Type="http://schemas.openxmlformats.org/officeDocument/2006/relationships/hyperlink" Target="https://abdimas-ppm.telkomuniversity.ac.id/unduh-dokumen-fn/2024%2CHtCBKJOlpNTTe3gU%2Cinternal%2Cproposal" TargetMode="External"/><Relationship Id="rId37" Type="http://schemas.openxmlformats.org/officeDocument/2006/relationships/hyperlink" Target="https://cdn.ittelkom-sby.ac.id/research/z169387990386b421112081461254204132b9d3597a.pdf" TargetMode="External"/><Relationship Id="rId79" Type="http://schemas.openxmlformats.org/officeDocument/2006/relationships/hyperlink" Target="https://cdn.ittelkom-sby.ac.id/research/z16280532228f1fb2823b430629bf47e70b23d5a2c0.pdf" TargetMode="External"/><Relationship Id="rId102" Type="http://schemas.openxmlformats.org/officeDocument/2006/relationships/hyperlink" Target="https://cdn.ittelkom-sby.ac.id/research/z1692599524d3d6e9db686cb3f66763c0880c0dfc83.pdf" TargetMode="External"/><Relationship Id="rId144" Type="http://schemas.openxmlformats.org/officeDocument/2006/relationships/hyperlink" Target="https://cdn.ittelkom-sby.ac.id/research/z168256098705c755a06e2d922d779183a0e579c925.pdf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:b:/g/personal/lppmsby_telkomuniversity_ac_id/EU1hvwGmgsNMkllE1VjLvuEBew-AARVtG017iWhagpCcNQ?e=4xjeGr" TargetMode="External"/><Relationship Id="rId299" Type="http://schemas.openxmlformats.org/officeDocument/2006/relationships/hyperlink" Target="../../../../../../:b:/g/personal/lppmsby_telkomuniversity_ac_id/EYghMGoPzWpCviJvzIHg6eMBkmaGOusKietdtXYgoYHSng?e=QMXN82" TargetMode="External"/><Relationship Id="rId21" Type="http://schemas.openxmlformats.org/officeDocument/2006/relationships/hyperlink" Target="https://cdn.ittelkom-sby.ac.id/research/z16933624400bdd985958ba3514a88b6fa899e11897.pdf" TargetMode="External"/><Relationship Id="rId63" Type="http://schemas.openxmlformats.org/officeDocument/2006/relationships/hyperlink" Target="https://cdn.ittelkom-sby.ac.id/research/z166312688454a5089d51b4c124355eaa89d95c1a51.pdf" TargetMode="External"/><Relationship Id="rId159" Type="http://schemas.openxmlformats.org/officeDocument/2006/relationships/hyperlink" Target="https://cdn.ittelkom-sby.ac.id/research/z16244174112a8c9a229ece07bd080a6f26c543cbb6.pdf" TargetMode="External"/><Relationship Id="rId324" Type="http://schemas.openxmlformats.org/officeDocument/2006/relationships/hyperlink" Target="../../../../../../:b:/g/personal/lppmsby_telkomuniversity_ac_id/EfkinT4jfKBDnhyVYq-_-x8Bs3I75jaKOIxSppkKblQTBg?e=ZNWNCR" TargetMode="External"/><Relationship Id="rId366" Type="http://schemas.openxmlformats.org/officeDocument/2006/relationships/hyperlink" Target="../../../../../../:b:/g/personal/lppmsby_telkomuniversity_ac_id/ETWAizPxWCBCshKfXK8q1QYBcaaY_mKy5ioCzp_jyez-5g?e=RH1GxT" TargetMode="External"/><Relationship Id="rId170" Type="http://schemas.openxmlformats.org/officeDocument/2006/relationships/hyperlink" Target="https://cdn.ittelkom-sby.ac.id/research/z1634137123326601e51b8fdde567c8b6b89b267766.pdf" TargetMode="External"/><Relationship Id="rId226" Type="http://schemas.openxmlformats.org/officeDocument/2006/relationships/hyperlink" Target="../../../../../../:b:/g/personal/lppmsby_telkomuniversity_ac_id/EVYVnKYfXShLhlgRHVeuhrkBp0fQqyr2PFQQSzMBalgT4w?e=XtVBHn" TargetMode="External"/><Relationship Id="rId433" Type="http://schemas.openxmlformats.org/officeDocument/2006/relationships/hyperlink" Target="../../../../../../:b:/g/personal/lppmsby_telkomuniversity_ac_id/EYxcAGHj00lKkf1Aok0C-AcB2QIXIsOIWe86TPMxcCfz1A?e=4MiSd2" TargetMode="External"/><Relationship Id="rId268" Type="http://schemas.openxmlformats.org/officeDocument/2006/relationships/hyperlink" Target="https://cdn.ittelkom-sby.ac.id/research/z169630355322018c49d5a2418cad131eae749cd619.pdf" TargetMode="External"/><Relationship Id="rId32" Type="http://schemas.openxmlformats.org/officeDocument/2006/relationships/hyperlink" Target="https://cdn.ittelkom-sby.ac.id/research/z16933601397fe894b9f7b1012e7dbfb6a051a28344.pdf" TargetMode="External"/><Relationship Id="rId74" Type="http://schemas.openxmlformats.org/officeDocument/2006/relationships/hyperlink" Target="https://cdn.ittelkom-sby.ac.id/research/z1628053400415728a31d60cc6664a51d6278a45bc3.pdf" TargetMode="External"/><Relationship Id="rId128" Type="http://schemas.openxmlformats.org/officeDocument/2006/relationships/hyperlink" Target="https://cdn.ittelkom-sby.ac.id/research/z169476188979e5b3a5ec9edf0c396423714c9cd9cd.pdf" TargetMode="External"/><Relationship Id="rId335" Type="http://schemas.openxmlformats.org/officeDocument/2006/relationships/hyperlink" Target="../../../../../../:b:/g/personal/lppmsby_telkomuniversity_ac_id/EX6iSrp7MjpKnGQv_WrwcU4BIak4Z6YkwZkfaCBDdOO9Uw?e=70PgFZ" TargetMode="External"/><Relationship Id="rId377" Type="http://schemas.openxmlformats.org/officeDocument/2006/relationships/hyperlink" Target="../../../../../../:b:/g/personal/lppmsby_telkomuniversity_ac_id/Efzr3H-BgOpEnLXaozNhax8Bg-8hPmgJpnRsbJayVnBOpg?e=fd7IDp" TargetMode="External"/><Relationship Id="rId5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1" Type="http://schemas.openxmlformats.org/officeDocument/2006/relationships/hyperlink" Target="https://cdn.ittelkom-sby.ac.id/research/z1615542074da6fc1e5e3e5e3c0d70bc47db39c7d15.pdf" TargetMode="External"/><Relationship Id="rId237" Type="http://schemas.openxmlformats.org/officeDocument/2006/relationships/hyperlink" Target="https://abdimas-ppm.telkomuniversity.ac.id/unduh-pks/2024%2CQRz6aL29P9mLFMk7" TargetMode="External"/><Relationship Id="rId402" Type="http://schemas.openxmlformats.org/officeDocument/2006/relationships/hyperlink" Target="../../../../../../:b:/g/personal/lppmsby_telkomuniversity_ac_id/ERl4M_DThThKsKypYdVOu9QBlhqHf_c6fgJ1becHB1RFzQ?e=3mZ8fU" TargetMode="External"/><Relationship Id="rId279" Type="http://schemas.openxmlformats.org/officeDocument/2006/relationships/hyperlink" Target="../../../../../../:b:/g/personal/lppmsby_telkomuniversity_ac_id/ERi0q1bEbe1Ngq9t1KSmQ4UBOqcayh_qD6sclKawED1QAw?e=mJCLf8" TargetMode="External"/><Relationship Id="rId43" Type="http://schemas.openxmlformats.org/officeDocument/2006/relationships/hyperlink" Target="https://cdn.ittelkom-sby.ac.id/research/z169338289731a601820f52fc97ab937afa782a7d6e.pdf" TargetMode="External"/><Relationship Id="rId139" Type="http://schemas.openxmlformats.org/officeDocument/2006/relationships/hyperlink" Target="https://cdn.ittelkom-sby.ac.id/research/z163834105808f8c375060a5e44e3f1a64c623edd77.pdf" TargetMode="External"/><Relationship Id="rId290" Type="http://schemas.openxmlformats.org/officeDocument/2006/relationships/hyperlink" Target="../../../../../../:b:/g/personal/lppmsby_telkomuniversity_ac_id/ETCjuAEMr2xNlMAbxc2d0_wB9tzjK3LiEawTM0Xxw7WiVw?e=X4rxTk" TargetMode="External"/><Relationship Id="rId304" Type="http://schemas.openxmlformats.org/officeDocument/2006/relationships/hyperlink" Target="https://abdimas-ppm.telkomuniversity.ac.id/unduh-pks/2024%2CX7atZcAHbNeCRNgU" TargetMode="External"/><Relationship Id="rId346" Type="http://schemas.openxmlformats.org/officeDocument/2006/relationships/hyperlink" Target="../../../../../../:b:/g/personal/lppmsby_telkomuniversity_ac_id/EYPCQTXSANRAvu9EI8VX74IBqqq-c9EmC1xfaaAaLNGxlQ?e=REsg7l" TargetMode="External"/><Relationship Id="rId388" Type="http://schemas.openxmlformats.org/officeDocument/2006/relationships/hyperlink" Target="../../../../../../:b:/g/personal/lppmsby_telkomuniversity_ac_id/EULqrOdMflxKkg-gsR7JoxMBWAO92aN6BMkY1CRnNHbFRQ?e=optygh" TargetMode="External"/><Relationship Id="rId85" Type="http://schemas.openxmlformats.org/officeDocument/2006/relationships/hyperlink" Target="https://cdn.ittelkom-sby.ac.id/research/z163349926961efdbf1abe007881e0111feea21709b.pdf" TargetMode="External"/><Relationship Id="rId150" Type="http://schemas.openxmlformats.org/officeDocument/2006/relationships/hyperlink" Target="https://cdn.ittelkom-sby.ac.id/research/z1638529400541a40d94c6df24384301971202bc467.pdf" TargetMode="External"/><Relationship Id="rId192" Type="http://schemas.openxmlformats.org/officeDocument/2006/relationships/hyperlink" Target="https://cdn.ittelkom-sby.ac.id/research/z160143622855f025a2277492525a5b4db4cae9a48e.pdf" TargetMode="External"/><Relationship Id="rId206" Type="http://schemas.openxmlformats.org/officeDocument/2006/relationships/hyperlink" Target="https://cdn.ittelkom-sby.ac.id/research/z1700621706cb7acc1167d3bf4a11daf88e912bb832.pdf" TargetMode="External"/><Relationship Id="rId413" Type="http://schemas.openxmlformats.org/officeDocument/2006/relationships/hyperlink" Target="../../../../../../:b:/g/personal/lppmsby_telkomuniversity_ac_id/EbNgKMW1SwpIi1GU7vmH_4UBxCSU6AYVVFGJKle5Ay_zsQ?e=G72muc" TargetMode="External"/><Relationship Id="rId248" Type="http://schemas.openxmlformats.org/officeDocument/2006/relationships/hyperlink" Target="https://abdimas-ppm.telkomuniversity.ac.id/unduh-pks/2024%2CobcFZyYNGHeEUK1H" TargetMode="External"/><Relationship Id="rId12" Type="http://schemas.openxmlformats.org/officeDocument/2006/relationships/hyperlink" Target="https://drive.google.com/file/d/17b1Xi3t-8LeWp6X-i8U8Od_yMPjKsqaN/view?usp=sharing" TargetMode="External"/><Relationship Id="rId108" Type="http://schemas.openxmlformats.org/officeDocument/2006/relationships/hyperlink" Target="../../../../../../:b:/g/personal/lppmsby_telkomuniversity_ac_id/EbSOpVc1GPtOuR4e1-NxeeYBQZhFJmoCfU_cSCr4Y_9Fyw?e=kkBAKL" TargetMode="External"/><Relationship Id="rId315" Type="http://schemas.openxmlformats.org/officeDocument/2006/relationships/hyperlink" Target="../../../../../../:b:/g/personal/lppmsby_telkomuniversity_ac_id/EcrF0Xkp0V1OuzXPFNMcJJABOYM0xbf6fKkfFopbUlPldQ?e=bHWd2i" TargetMode="External"/><Relationship Id="rId357" Type="http://schemas.openxmlformats.org/officeDocument/2006/relationships/hyperlink" Target="../../../../../../:b:/g/personal/lppmsby_telkomuniversity_ac_id/EX-DOJNGVmNEoClF0rXDSiQBVSWxs0t_l3yqmRcm1xH-tQ?e=PKKvdc" TargetMode="External"/><Relationship Id="rId54" Type="http://schemas.openxmlformats.org/officeDocument/2006/relationships/hyperlink" Target="https://cdn.ittelkom-sby.ac.id/research/z1655089442292b995ca37e5538082f58900a54053a.pdf" TargetMode="External"/><Relationship Id="rId96" Type="http://schemas.openxmlformats.org/officeDocument/2006/relationships/hyperlink" Target="https://cdn.ittelkom-sby.ac.id/research/z169199480989b3334b823c1b3438349880be98d98d.pdf" TargetMode="External"/><Relationship Id="rId161" Type="http://schemas.openxmlformats.org/officeDocument/2006/relationships/hyperlink" Target="https://cdn.ittelkom-sby.ac.id/research/z161604983363cd50010040655c8eebfbd6108ec242.pdf" TargetMode="External"/><Relationship Id="rId217" Type="http://schemas.openxmlformats.org/officeDocument/2006/relationships/hyperlink" Target="http://cdndata.telkomuniversity.ac.id/research/z170856394418ebe243848e7455394c0b8615e6ddb8.pdf" TargetMode="External"/><Relationship Id="rId399" Type="http://schemas.openxmlformats.org/officeDocument/2006/relationships/hyperlink" Target="../../../../../../:b:/g/personal/lppmsby_telkomuniversity_ac_id/ESAr8zefyw5Njp5V6b7OggEBETiwzLTcrumDqICFqYwWvw?e=tH5M4W" TargetMode="External"/><Relationship Id="rId259" Type="http://schemas.openxmlformats.org/officeDocument/2006/relationships/hyperlink" Target="https://abdimas-ppm.telkomuniversity.ac.id/unduh-pks/2024%2C0TGGHwynb164iKp1" TargetMode="External"/><Relationship Id="rId424" Type="http://schemas.openxmlformats.org/officeDocument/2006/relationships/hyperlink" Target="../../../../../../:b:/g/personal/lppmsby_telkomuniversity_ac_id/Ed9TorNt2uRFnOMQNHLUM-MBwiUZ27xzxDzCJTcL0QFnTg?e=jSlirR" TargetMode="External"/><Relationship Id="rId23" Type="http://schemas.openxmlformats.org/officeDocument/2006/relationships/hyperlink" Target="https://cdn.ittelkom-sby.ac.id/research/z1693360802542662b940fcdb02d7f3bc3c2305f340.pdf" TargetMode="External"/><Relationship Id="rId119" Type="http://schemas.openxmlformats.org/officeDocument/2006/relationships/hyperlink" Target="../../../../../../:b:/g/personal/lppmsby_telkomuniversity_ac_id/EY3IcI1mvaRMsvjQ9pbyy3EBXi4NExujOQMJBLItO_xvow?e=hKoBc5" TargetMode="External"/><Relationship Id="rId270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326" Type="http://schemas.openxmlformats.org/officeDocument/2006/relationships/hyperlink" Target="../../../../../../:b:/g/personal/lppmsby_telkomuniversity_ac_id/EeH2TQ3u5sZJt82yfoA0N1ABuRMvK4kUl-jFxyBJzAd_ww?e=hsy88k" TargetMode="External"/><Relationship Id="rId65" Type="http://schemas.openxmlformats.org/officeDocument/2006/relationships/hyperlink" Target="https://cdn.ittelkom-sby.ac.id/research/z16631264882eb2671fb8ce9c412644f55e7118f7dd.pdf" TargetMode="External"/><Relationship Id="rId130" Type="http://schemas.openxmlformats.org/officeDocument/2006/relationships/hyperlink" Target="https://cdn.ittelkom-sby.ac.id/research/z1682495396474b3732b046148b3646af9826cce57f.pdf" TargetMode="External"/><Relationship Id="rId368" Type="http://schemas.openxmlformats.org/officeDocument/2006/relationships/hyperlink" Target="../../../../../../:b:/g/personal/lppmsby_telkomuniversity_ac_id/EfV6SxGkncZGnlxENf4rc00B33rjzIpKacZL_WoIxYETpQ?e=nGitbf" TargetMode="External"/><Relationship Id="rId172" Type="http://schemas.openxmlformats.org/officeDocument/2006/relationships/hyperlink" Target="https://cdn.ittelkom-sby.ac.id/research/z1633662665d05e7c89635a646ec785fd0caf4267a4.pdf" TargetMode="External"/><Relationship Id="rId228" Type="http://schemas.openxmlformats.org/officeDocument/2006/relationships/hyperlink" Target="https://abdimas-ppm.telkomuniversity.ac.id/unduh-pks/2024%2CtEm3F5t6OCn2BZTE" TargetMode="External"/><Relationship Id="rId435" Type="http://schemas.openxmlformats.org/officeDocument/2006/relationships/hyperlink" Target="../../../../../../:b:/g/personal/lppmsby_telkomuniversity_ac_id/EVCPCjM2Au9Jmsr5Lu6chPEByvDywinSBxXM8q4_mTrDQw?e=Mn2ARu" TargetMode="External"/><Relationship Id="rId281" Type="http://schemas.openxmlformats.org/officeDocument/2006/relationships/hyperlink" Target="../../../../../../:b:/g/personal/lppmsby_telkomuniversity_ac_id/ERi0q1bEbe1Ngq9t1KSmQ4UBOqcayh_qD6sclKawED1QAw?e=mJCLf8" TargetMode="External"/><Relationship Id="rId337" Type="http://schemas.openxmlformats.org/officeDocument/2006/relationships/hyperlink" Target="../../../../../../:b:/g/personal/lppmsby_telkomuniversity_ac_id/EVvPMn2Cap9Bv8V1u-RyyV4Baxaq4whA1MVR_wbQdsyWjQ?e=UsTFsO" TargetMode="External"/><Relationship Id="rId34" Type="http://schemas.openxmlformats.org/officeDocument/2006/relationships/hyperlink" Target="https://cdn.ittelkom-sby.ac.id/research/z1693360433e5b91174ef7442ff3b4e71752f93293c.pdf" TargetMode="External"/><Relationship Id="rId76" Type="http://schemas.openxmlformats.org/officeDocument/2006/relationships/hyperlink" Target="https://cdn.ittelkom-sby.ac.id/research/z1628052878f4c8c3ce58655383f69f593a14f37890.pdf" TargetMode="External"/><Relationship Id="rId141" Type="http://schemas.openxmlformats.org/officeDocument/2006/relationships/hyperlink" Target="https://cdn.ittelkom-sby.ac.id/research/z16385419229e59a6ea6285f74002b320ae75c9b2de.pdf" TargetMode="External"/><Relationship Id="rId379" Type="http://schemas.openxmlformats.org/officeDocument/2006/relationships/hyperlink" Target="../../../../../../:b:/g/personal/lppmsby_telkomuniversity_ac_id/ETxhZb10PPVHvpCsJBLIZlkBXLg3mUEgZ1hAT3-4Bb7mFw?e=xojjF9" TargetMode="External"/><Relationship Id="rId7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183" Type="http://schemas.openxmlformats.org/officeDocument/2006/relationships/hyperlink" Target="https://cdn.ittelkom-sby.ac.id/research/z16155542849d5f732182738ad476880d73f4c19ae2.pdf" TargetMode="External"/><Relationship Id="rId239" Type="http://schemas.openxmlformats.org/officeDocument/2006/relationships/hyperlink" Target="../../../../../../:b:/g/personal/lppmsby_telkomuniversity_ac_id/Ee6MWSrQQG1Njp5YKxVoH6MBHW6V4MbjMPviC4TXpXemyA?e=4TLavi" TargetMode="External"/><Relationship Id="rId390" Type="http://schemas.openxmlformats.org/officeDocument/2006/relationships/hyperlink" Target="../../../../../../:b:/g/personal/lppmsby_telkomuniversity_ac_id/EU7m9DDOd4xGhGgu_M1briIBzjO-_q0z0EzHYZ54PgQq0w?e=UN2TKb" TargetMode="External"/><Relationship Id="rId404" Type="http://schemas.openxmlformats.org/officeDocument/2006/relationships/hyperlink" Target="../../../../../../:b:/g/personal/lppmsby_telkomuniversity_ac_id/EeYrmhlcGjVFhTkbyHIruGgBQ5k1eoAO2S2FnKpCoAv8Wg?e=S5Qauq" TargetMode="External"/><Relationship Id="rId250" Type="http://schemas.openxmlformats.org/officeDocument/2006/relationships/hyperlink" Target="../../../../../../:b:/g/personal/lppmsby_telkomuniversity_ac_id/EWPq9rXmurBFvlWIJ1hwh6QBVwyZ3Iyf6Lh3a1KW0R1_WQ?e=qKLA0o" TargetMode="External"/><Relationship Id="rId292" Type="http://schemas.openxmlformats.org/officeDocument/2006/relationships/hyperlink" Target="../../../../../../:b:/g/personal/lppmsby_telkomuniversity_ac_id/EbTJnwj2s9RDrvsGdUH_SGcBTwysKpV7vB19_88zB49Prg?e=2Hxf8q" TargetMode="External"/><Relationship Id="rId306" Type="http://schemas.openxmlformats.org/officeDocument/2006/relationships/hyperlink" Target="../../../../../../:b:/g/personal/lppmsby_telkomuniversity_ac_id/ESO187bbyhNKkcstP6YtUWoBe0_Qn1Ve9ucfSwzePrTm3Q?e=6zfOKz" TargetMode="External"/><Relationship Id="rId45" Type="http://schemas.openxmlformats.org/officeDocument/2006/relationships/hyperlink" Target="https://cdn.ittelkom-sby.ac.id/research/z1693384077be9dea1206336ba4b2ffec1fe2a75caf.pdf" TargetMode="External"/><Relationship Id="rId87" Type="http://schemas.openxmlformats.org/officeDocument/2006/relationships/hyperlink" Target="https://cdn.ittelkom-sby.ac.id/research/z1633506530a378d47fb9d6853a64698e60179ab3b6.pdf" TargetMode="External"/><Relationship Id="rId110" Type="http://schemas.openxmlformats.org/officeDocument/2006/relationships/hyperlink" Target="../../../../../../:b:/g/personal/lppmsby_telkomuniversity_ac_id/EQDcmLPlB2lJgPzU2COhwUABCOWVHkXC5XrJVSPnV1oaaQ?e=ipfCQ3" TargetMode="External"/><Relationship Id="rId348" Type="http://schemas.openxmlformats.org/officeDocument/2006/relationships/hyperlink" Target="../../../../../../:b:/g/personal/lppmsby_telkomuniversity_ac_id/EbZK5nLH1AxNuzcYbpx6ikcBwIP4kM-R20I67CyrejQPyA?e=lSSKDv" TargetMode="External"/><Relationship Id="rId152" Type="http://schemas.openxmlformats.org/officeDocument/2006/relationships/hyperlink" Target="https://cdn.ittelkom-sby.ac.id/research/z1634273232f1202a4b34d55dd18dc46a2d2a90558f.pdf" TargetMode="External"/><Relationship Id="rId194" Type="http://schemas.openxmlformats.org/officeDocument/2006/relationships/hyperlink" Target="https://cdn.ittelkom-sby.ac.id/research/z1610760432c80f5dd7a38f726ca100527d491fa7cd.pdf" TargetMode="External"/><Relationship Id="rId208" Type="http://schemas.openxmlformats.org/officeDocument/2006/relationships/hyperlink" Target="https://drive.google.com/file/d/1Sf8V4vL_ghqDt2Nzkeyf98PGqQLAFKED/view?usp=sharing" TargetMode="External"/><Relationship Id="rId415" Type="http://schemas.openxmlformats.org/officeDocument/2006/relationships/hyperlink" Target="../../../../../../:b:/g/personal/lppmsby_telkomuniversity_ac_id/EW0Xu04GIEZBpszPfHOAx1sBKQJ0tEKDa-0X4omcFWZoZg?e=fdbje9" TargetMode="External"/><Relationship Id="rId261" Type="http://schemas.openxmlformats.org/officeDocument/2006/relationships/hyperlink" Target="https://abdimas-ppm.telkomuniversity.ac.id/unduh-pks/2024%2CPrNRXdw53DNtgA1U" TargetMode="External"/><Relationship Id="rId14" Type="http://schemas.openxmlformats.org/officeDocument/2006/relationships/hyperlink" Target="https://drive.google.com/file/d/17MYjaTOD_p7JiHH0Vtml3USllFlr3gsm/view?usp=sharing" TargetMode="External"/><Relationship Id="rId56" Type="http://schemas.openxmlformats.org/officeDocument/2006/relationships/hyperlink" Target="https://cdn.ittelkom-sby.ac.id/research/z1654832089ce52bede5f880121f4bfa7df4a351082.pdf" TargetMode="External"/><Relationship Id="rId317" Type="http://schemas.openxmlformats.org/officeDocument/2006/relationships/hyperlink" Target="../../../../../../:b:/g/personal/lppmsby_telkomuniversity_ac_id/EXJ-BMB-lz5ElWe0yQQgALYBtdNg-NtJ3YHc1den-Sr2XA?e=bcRJKV" TargetMode="External"/><Relationship Id="rId359" Type="http://schemas.openxmlformats.org/officeDocument/2006/relationships/hyperlink" Target="../../../../../../:b:/g/personal/lppmsby_telkomuniversity_ac_id/Ef4Z30muLR5LqMSk1f5wiToBAluOqDB9DsvrZDb8rvy-tw?e=uerJnT" TargetMode="External"/><Relationship Id="rId98" Type="http://schemas.openxmlformats.org/officeDocument/2006/relationships/hyperlink" Target="../../../../../../:b:/g/personal/lppmsby_telkomuniversity_ac_id/EVFZ2qFy_k5FuXMr5Of-JcgBc_ptH-cY3DDrOOWr91cPow?e=ZlBGuW" TargetMode="External"/><Relationship Id="rId121" Type="http://schemas.openxmlformats.org/officeDocument/2006/relationships/hyperlink" Target="../../../../../../:b:/g/personal/lppmsby_telkomuniversity_ac_id/EQG_IAUBhvRIkFpuxf9Tav8BQC4UD4R9cJgBAJRSC84z3w?e=t8KtZB" TargetMode="External"/><Relationship Id="rId163" Type="http://schemas.openxmlformats.org/officeDocument/2006/relationships/hyperlink" Target="https://cdn.ittelkom-sby.ac.id/research/z1615367459b5634909835d1b3ea76d4db1362eea9c.pdf" TargetMode="External"/><Relationship Id="rId219" Type="http://schemas.openxmlformats.org/officeDocument/2006/relationships/hyperlink" Target="http://cdndata.telkomuniversity.ac.id/research/z17080707217661b9081cbab844b0ac51d1e9d32612.pdf" TargetMode="External"/><Relationship Id="rId370" Type="http://schemas.openxmlformats.org/officeDocument/2006/relationships/hyperlink" Target="../../../../../../:b:/g/personal/lppmsby_telkomuniversity_ac_id/EcMV5bgiEndCsilunVnveKIBUgyVeFXKRCcSrIKShm7ENg?e=NeOWFR" TargetMode="External"/><Relationship Id="rId426" Type="http://schemas.openxmlformats.org/officeDocument/2006/relationships/hyperlink" Target="../../../../../../:b:/g/personal/lppmsby_telkomuniversity_ac_id/EWkeUqkTFfpJuwlqLNeKX-cBtQBfCsnEn6KhF1Wj3i93Ig?e=nyCiGn" TargetMode="External"/><Relationship Id="rId230" Type="http://schemas.openxmlformats.org/officeDocument/2006/relationships/hyperlink" Target="../../../../../../:b:/g/personal/lppmsby_telkomuniversity_ac_id/EWZke4tSyqlMhJm3O-ithPoBV4VMWjaupFeMwTrifoy7Rw?e=Poj7f2" TargetMode="External"/><Relationship Id="rId25" Type="http://schemas.openxmlformats.org/officeDocument/2006/relationships/hyperlink" Target="https://cdn.ittelkom-sby.ac.id/research/z16933618047ff7339e6d7a8050a7a609fd612ea5a5.pdf" TargetMode="External"/><Relationship Id="rId67" Type="http://schemas.openxmlformats.org/officeDocument/2006/relationships/hyperlink" Target="https://cdn.ittelkom-sby.ac.id/research/z1663126200f80f8c68aa37c5691587a8900977adc5.pdf" TargetMode="External"/><Relationship Id="rId272" Type="http://schemas.openxmlformats.org/officeDocument/2006/relationships/hyperlink" Target="../../../../../:b:/g/personal/lppm_ittelkom-sby_ac_id/EQBzmKGIvANFu9TIPElr1goBtKFZzQBz6u8pTvEDCnAtxw?e=8yBNec" TargetMode="External"/><Relationship Id="rId328" Type="http://schemas.openxmlformats.org/officeDocument/2006/relationships/hyperlink" Target="../../../../../../:b:/g/personal/lppmsby_telkomuniversity_ac_id/EZ0S2_EFNSxGtBUJ5s09piYBEVMxOSL7IPocDeSFPBRnWg?e=ttONY7" TargetMode="External"/><Relationship Id="rId132" Type="http://schemas.openxmlformats.org/officeDocument/2006/relationships/hyperlink" Target="https://cdn.ittelkom-sby.ac.id/research/z1626326059743ae62cbb444c2e923c844e7fc13f0f.pdf" TargetMode="External"/><Relationship Id="rId174" Type="http://schemas.openxmlformats.org/officeDocument/2006/relationships/hyperlink" Target="https://cdn.ittelkom-sby.ac.id/research/z16342792408918240fba777489a1aa2f2aab8a3cac.pdf" TargetMode="External"/><Relationship Id="rId381" Type="http://schemas.openxmlformats.org/officeDocument/2006/relationships/hyperlink" Target="../../../../../../:b:/g/personal/lppmsby_telkomuniversity_ac_id/Ec1420zamDRMuPB3IXgvy4cBw2Zm-caiKyoaeJShQM-8gA?e=hPpXa2" TargetMode="External"/><Relationship Id="rId241" Type="http://schemas.openxmlformats.org/officeDocument/2006/relationships/hyperlink" Target="../../../../../../:b:/g/personal/lppmsby_telkomuniversity_ac_id/EX1e5xy3G2pCuboA_h7Oe_0B44efX6JhlKa67i8QTtW3vw?e=48mlWV" TargetMode="External"/><Relationship Id="rId437" Type="http://schemas.openxmlformats.org/officeDocument/2006/relationships/printerSettings" Target="../printerSettings/printerSettings6.bin"/><Relationship Id="rId36" Type="http://schemas.openxmlformats.org/officeDocument/2006/relationships/hyperlink" Target="https://cdn.ittelkom-sby.ac.id/research/z1693382855924412c44fe637d205785ee50d39eb36.pdf" TargetMode="External"/><Relationship Id="rId283" Type="http://schemas.openxmlformats.org/officeDocument/2006/relationships/hyperlink" Target="../../../../../../:b:/g/personal/lppmsby_telkomuniversity_ac_id/ERi0q1bEbe1Ngq9t1KSmQ4UBOqcayh_qD6sclKawED1QAw?e=mJCLf8" TargetMode="External"/><Relationship Id="rId339" Type="http://schemas.openxmlformats.org/officeDocument/2006/relationships/hyperlink" Target="../../../../../../:b:/g/personal/lppmsby_telkomuniversity_ac_id/EaB8ilG7By1HgQ6wIuRuAi8BCIOmjJ3oCF4sU4PQJCebBQ?e=juolej" TargetMode="External"/><Relationship Id="rId78" Type="http://schemas.openxmlformats.org/officeDocument/2006/relationships/hyperlink" Target="https://cdn.ittelkom-sby.ac.id/research/z1628053722a15f6953e6a543ea149b44afe6a7867b.pdf" TargetMode="External"/><Relationship Id="rId101" Type="http://schemas.openxmlformats.org/officeDocument/2006/relationships/hyperlink" Target="../../../../../../:b:/g/personal/lppmsby_telkomuniversity_ac_id/Eew2ZkC-7k9JiaTtFp0oTlkBAVcOTXORsRwBvuDWlFMC_A?e=NbpAne" TargetMode="External"/><Relationship Id="rId143" Type="http://schemas.openxmlformats.org/officeDocument/2006/relationships/hyperlink" Target="https://cdn.ittelkom-sby.ac.id/research/z1638499638fe9d8213b285687e6cb3cc334701b361.pdf" TargetMode="External"/><Relationship Id="rId185" Type="http://schemas.openxmlformats.org/officeDocument/2006/relationships/hyperlink" Target="https://cdn.ittelkom-sby.ac.id/research/z15984293105c6c5935542ecf8d0ae36bd694f86bd4.pdf" TargetMode="External"/><Relationship Id="rId350" Type="http://schemas.openxmlformats.org/officeDocument/2006/relationships/hyperlink" Target="../../../../../../:b:/g/personal/lppmsby_telkomuniversity_ac_id/Eb5GU5FI74BJhUgb3uNr9k8BUhNW65CESpR1JjaagS6kvw?e=ZXzKKc" TargetMode="External"/><Relationship Id="rId406" Type="http://schemas.openxmlformats.org/officeDocument/2006/relationships/hyperlink" Target="https://abdimas-ppm.telkomuniversity.ac.id/unduh-dokumen-fn/2025%2ClKBJzTvfMR6wX6pa%2Ceksternal%2Cproposal" TargetMode="External"/><Relationship Id="rId9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10" Type="http://schemas.openxmlformats.org/officeDocument/2006/relationships/hyperlink" Target="../../../../../:b:/g/personal/lppm_ittelkom-sby_ac_id/Ebeju3VcF5RHpI1O5nmhg-wBYXNdxGK8Zn1gZQ5tyMKywQ?e=U8tYLi" TargetMode="External"/><Relationship Id="rId392" Type="http://schemas.openxmlformats.org/officeDocument/2006/relationships/hyperlink" Target="../../../../../../:b:/g/personal/lppmsby_telkomuniversity_ac_id/EYfY71Uxvl5Nmq_u2yKSCYkBJKTD-Hkd7LVQQJmMR-h_ug?e=yFcSZ2" TargetMode="External"/><Relationship Id="rId252" Type="http://schemas.openxmlformats.org/officeDocument/2006/relationships/hyperlink" Target="https://abdimas-ppm.telkomuniversity.ac.id/unduh-pks/2024%2CwYMnEvFVF2nG8bjK" TargetMode="External"/><Relationship Id="rId294" Type="http://schemas.openxmlformats.org/officeDocument/2006/relationships/hyperlink" Target="../../../../../../:b:/g/personal/lppmsby_telkomuniversity_ac_id/EXyVTY8L-lNJhCZppVFf-QYBq-fG00xQwY1PodvuyCiy-g?e=aKHCjN" TargetMode="External"/><Relationship Id="rId308" Type="http://schemas.openxmlformats.org/officeDocument/2006/relationships/hyperlink" Target="../../../../../../:b:/g/personal/lppmsby_telkomuniversity_ac_id/ET4WfHjAJ7VAq4nmvtAPcucBaLgBvssXGtPpX_BY43z5Ug?e=L3QgWH" TargetMode="External"/><Relationship Id="rId47" Type="http://schemas.openxmlformats.org/officeDocument/2006/relationships/hyperlink" Target="https://cdn.ittelkom-sby.ac.id/research/z169338415943afc52c0cc8e8c3123465d0ecad6520.pdf" TargetMode="External"/><Relationship Id="rId89" Type="http://schemas.openxmlformats.org/officeDocument/2006/relationships/hyperlink" Target="https://cdn.ittelkom-sby.ac.id/research/z1628052515f49255fea602f40931bf2e5ed2f1a965.pdf" TargetMode="External"/><Relationship Id="rId112" Type="http://schemas.openxmlformats.org/officeDocument/2006/relationships/hyperlink" Target="../../../../../../:b:/g/personal/lppmsby_telkomuniversity_ac_id/EfNaL_SZ7rRAssYI2-X8VzgBE5EnPmA2bCELCksiv8MF0g?e=68LRN7" TargetMode="External"/><Relationship Id="rId154" Type="http://schemas.openxmlformats.org/officeDocument/2006/relationships/hyperlink" Target="https://cdn.ittelkom-sby.ac.id/research/z1626065522fd910ae319f42b4f078d720c7539e3b9.pdf" TargetMode="External"/><Relationship Id="rId361" Type="http://schemas.openxmlformats.org/officeDocument/2006/relationships/hyperlink" Target="../../../../../../:b:/g/personal/lppmsby_telkomuniversity_ac_id/ESwDBZJFwItHtC4h616ycEIBr89FVotnnAWCdDptlWZ-Eg?e=hBB9OC" TargetMode="External"/><Relationship Id="rId196" Type="http://schemas.openxmlformats.org/officeDocument/2006/relationships/hyperlink" Target="https://cdn.ittelkom-sby.ac.id/research/z1654831727cbe0d512637a7d4bb4639230b8f54552.pdf" TargetMode="External"/><Relationship Id="rId417" Type="http://schemas.openxmlformats.org/officeDocument/2006/relationships/hyperlink" Target="../../../../../../:b:/g/personal/lppmsby_telkomuniversity_ac_id/EUl-TDGVPBZCvD8NU-durA0BVw4xZcNbz96WNTj_m8PYAw?e=rdJsaK" TargetMode="External"/><Relationship Id="rId16" Type="http://schemas.openxmlformats.org/officeDocument/2006/relationships/hyperlink" Target="https://drive.google.com/file/d/1EavCAwX21XC_cwdcb_q3271xprhlkUcE/view?usp=sharing" TargetMode="External"/><Relationship Id="rId221" Type="http://schemas.openxmlformats.org/officeDocument/2006/relationships/hyperlink" Target="http://cdndata.telkomuniversity.ac.id/research/z1708273844fc016e87b3fd45ddfaaf3d695f38e172.pdf" TargetMode="External"/><Relationship Id="rId263" Type="http://schemas.openxmlformats.org/officeDocument/2006/relationships/hyperlink" Target="https://abdimas-ppm.telkomuniversity.ac.id/unduh-pks/2024%2CBroX2jRGw79es87U" TargetMode="External"/><Relationship Id="rId319" Type="http://schemas.openxmlformats.org/officeDocument/2006/relationships/hyperlink" Target="../../../../../../:b:/g/personal/lppmsby_telkomuniversity_ac_id/EepUhMTAxjFEuAa3Jzo-i_YBTPtbE0si-k157kIKhkWnaQ?e=pefgJb" TargetMode="External"/><Relationship Id="rId58" Type="http://schemas.openxmlformats.org/officeDocument/2006/relationships/hyperlink" Target="https://cdn.ittelkom-sby.ac.id/research/z165483269414fa2ee9eddaf8e3884223c23169b1ce.pdf" TargetMode="External"/><Relationship Id="rId123" Type="http://schemas.openxmlformats.org/officeDocument/2006/relationships/hyperlink" Target="https://cdn.ittelkom-sby.ac.id/research/z16756427041e16b26b7d8a472f708261cfcfa49aa9.pdf" TargetMode="External"/><Relationship Id="rId330" Type="http://schemas.openxmlformats.org/officeDocument/2006/relationships/hyperlink" Target="../../../../../../:b:/g/personal/lppmsby_telkomuniversity_ac_id/EZeAWGSGjc5GkY1LLG5uRvsBZ1Oj7Q2RODJQ648OEJLpsQ?e=eES7hx" TargetMode="External"/><Relationship Id="rId165" Type="http://schemas.openxmlformats.org/officeDocument/2006/relationships/hyperlink" Target="https://cdn.ittelkom-sby.ac.id/research/z1615521059906638642f3a42908d7c9b7eb93bd231.pdf" TargetMode="External"/><Relationship Id="rId372" Type="http://schemas.openxmlformats.org/officeDocument/2006/relationships/hyperlink" Target="../../../../../../:b:/g/personal/lppmsby_telkomuniversity_ac_id/EUC3B-ZNnh1AtZpkW-hbZi4BmpS_uZCi8u3kEEV4LJWJOw?e=XRGGOq" TargetMode="External"/><Relationship Id="rId428" Type="http://schemas.openxmlformats.org/officeDocument/2006/relationships/hyperlink" Target="../../../../../../:b:/g/personal/lppmsby_telkomuniversity_ac_id/ES9C-c23tBNCuL8_gYsYWwYB2ia9ATOrv1uDwsF3Gp3wNg?e=jJeLhc" TargetMode="External"/><Relationship Id="rId232" Type="http://schemas.openxmlformats.org/officeDocument/2006/relationships/hyperlink" Target="../../../../../../:b:/g/personal/lppmsby_telkomuniversity_ac_id/ESb9J3FyiT1BkipZO5Hk0vwBsUGAfGxIF9g8LxAgrWM_Jg?e=HkaG2S" TargetMode="External"/><Relationship Id="rId274" Type="http://schemas.openxmlformats.org/officeDocument/2006/relationships/hyperlink" Target="../../../../../../:b:/g/personal/lppmsby_telkomuniversity_ac_id/EVOzkJnK7-pAu3rpAtkfhqcBXCOMCc9Sy-rfLgSBWOlS3g?e=21Kgk6" TargetMode="External"/><Relationship Id="rId27" Type="http://schemas.openxmlformats.org/officeDocument/2006/relationships/hyperlink" Target="https://cdn.ittelkom-sby.ac.id/research/z169336194683adf3c3715ee33f0bffdd3533817e4d.pdf" TargetMode="External"/><Relationship Id="rId69" Type="http://schemas.openxmlformats.org/officeDocument/2006/relationships/hyperlink" Target="https://cdn.ittelkom-sby.ac.id/research/z16631273107e381b68e001f3798914672681f130c2.pdf" TargetMode="External"/><Relationship Id="rId134" Type="http://schemas.openxmlformats.org/officeDocument/2006/relationships/hyperlink" Target="https://cdn.ittelkom-sby.ac.id/research/z16385452192761de5a13fa79207913fc90286ecccc.pdf" TargetMode="External"/><Relationship Id="rId80" Type="http://schemas.openxmlformats.org/officeDocument/2006/relationships/hyperlink" Target="https://cdn.ittelkom-sby.ac.id/research/z1628053476af2014b95c001a13fc2b9ab7cf56e496.pdf" TargetMode="External"/><Relationship Id="rId176" Type="http://schemas.openxmlformats.org/officeDocument/2006/relationships/hyperlink" Target="https://cdn.ittelkom-sby.ac.id/research/z163411957116d9286b18ba0c55fbbfa797934d33ac.pdf" TargetMode="External"/><Relationship Id="rId341" Type="http://schemas.openxmlformats.org/officeDocument/2006/relationships/hyperlink" Target="../../../../../../:b:/g/personal/lppmsby_telkomuniversity_ac_id/EX2VSF6Md6tBso4yK4RrIRUBgyO2w5ogNPqOwUdubwKNYA?e=uK3nJm" TargetMode="External"/><Relationship Id="rId383" Type="http://schemas.openxmlformats.org/officeDocument/2006/relationships/hyperlink" Target="../../../../../../:b:/g/personal/lppmsby_telkomuniversity_ac_id/EcjLueINGqlEpwAIRSIZg8MBPIWac32i_DVAVU-jafSv7g?e=IBhvo6" TargetMode="External"/><Relationship Id="rId439" Type="http://schemas.openxmlformats.org/officeDocument/2006/relationships/table" Target="../tables/table5.xml"/><Relationship Id="rId201" Type="http://schemas.openxmlformats.org/officeDocument/2006/relationships/hyperlink" Target="../../../../../:b:/g/personal/lppm_ittelkom-sby_ac_id/EfJpnfBo_t1Il1nf_T7FK7sBQTzuVB50NpBrUYuCdR9-ig?e=Vm9WCG" TargetMode="External"/><Relationship Id="rId243" Type="http://schemas.openxmlformats.org/officeDocument/2006/relationships/hyperlink" Target="https://abdimas-ppm.telkomuniversity.ac.id/unduh-pks/2024%2CYYQtUjmvVCyqKBCq" TargetMode="External"/><Relationship Id="rId285" Type="http://schemas.openxmlformats.org/officeDocument/2006/relationships/hyperlink" Target="https://abdimas-ppm.telkomuniversity.ac.id/unduh-pks/2024%2C8rBXflU3B9ZQSGGP" TargetMode="External"/><Relationship Id="rId38" Type="http://schemas.openxmlformats.org/officeDocument/2006/relationships/hyperlink" Target="https://cdn.ittelkom-sby.ac.id/research/z1694050677ea140ed9eb4d9c63a5e12acba4ecf7bc.pdf" TargetMode="External"/><Relationship Id="rId103" Type="http://schemas.openxmlformats.org/officeDocument/2006/relationships/hyperlink" Target="https://cdn.ittelkom-sby.ac.id/research/z16756435048ac44c6ac0dc1a8d11509e53961c5a6b.pdf" TargetMode="External"/><Relationship Id="rId310" Type="http://schemas.openxmlformats.org/officeDocument/2006/relationships/hyperlink" Target="../../../../../../:b:/g/personal/lppmsby_telkomuniversity_ac_id/EVsicBbjLgtFuLv80E-zhyQBhUjwA5ic9uPPfIL-GEk7tw?e=U0zb27" TargetMode="External"/><Relationship Id="rId91" Type="http://schemas.openxmlformats.org/officeDocument/2006/relationships/hyperlink" Target="https://cdn.ittelkom-sby.ac.id/research/z1693363316c91091b9568181deb0fa8d05a39450ad.pdf" TargetMode="External"/><Relationship Id="rId145" Type="http://schemas.openxmlformats.org/officeDocument/2006/relationships/hyperlink" Target="https://cdn.ittelkom-sby.ac.id/research/z1638498863456ff40ebc643c1c0529051c152a000f.pdf" TargetMode="External"/><Relationship Id="rId187" Type="http://schemas.openxmlformats.org/officeDocument/2006/relationships/hyperlink" Target="https://cdn.ittelkom-sby.ac.id/research/z1598493315616e0fa85faf054567b0818c87190f40.pdf" TargetMode="External"/><Relationship Id="rId352" Type="http://schemas.openxmlformats.org/officeDocument/2006/relationships/hyperlink" Target="../../../../../../:b:/g/personal/lppmsby_telkomuniversity_ac_id/EQCqMf0ejJhGr-HPeRiVKg0BTBK11KgyH-24lwYVZpllpw?e=qUPzJ9" TargetMode="External"/><Relationship Id="rId394" Type="http://schemas.openxmlformats.org/officeDocument/2006/relationships/hyperlink" Target="../../../../../../:b:/g/personal/lppmsby_telkomuniversity_ac_id/EYrS8CJfLoNLnyTiU5BsRxUB0g1pCD6cTfNpi457CwC9PA?e=5S4mrZ" TargetMode="External"/><Relationship Id="rId408" Type="http://schemas.openxmlformats.org/officeDocument/2006/relationships/hyperlink" Target="../../../../../../:b:/g/personal/lppmsby_telkomuniversity_ac_id/EQjPOn4w_49FkaXU5vt0kA4BW1Kc_xygOF4m3PZhPWp6Ug?e=uqfVc4" TargetMode="External"/><Relationship Id="rId212" Type="http://schemas.openxmlformats.org/officeDocument/2006/relationships/hyperlink" Target="../../../../../../:b:/g/personal/lppmsby_telkomuniversity_ac_id/EcIsGLkHxZNPuivDjxldElcBPiM-YT6ArZg85zDB59qq6Q?e=t32UzH" TargetMode="External"/><Relationship Id="rId254" Type="http://schemas.openxmlformats.org/officeDocument/2006/relationships/hyperlink" Target="https://abdimas-ppm.telkomuniversity.ac.id/unduh-pks/2024%2CFKtT4f2rlDTAmGSL" TargetMode="External"/><Relationship Id="rId49" Type="http://schemas.openxmlformats.org/officeDocument/2006/relationships/hyperlink" Target="https://cdn.ittelkom-sby.ac.id/research/z165483225036fd50f53ef4939ff1e707b96e8aebe7.pdf" TargetMode="External"/><Relationship Id="rId114" Type="http://schemas.openxmlformats.org/officeDocument/2006/relationships/hyperlink" Target="https://cdn.ittelkom-sby.ac.id/research/z167564298344c38d8b5a0da2cfeec64628753fa742.pdf" TargetMode="External"/><Relationship Id="rId296" Type="http://schemas.openxmlformats.org/officeDocument/2006/relationships/hyperlink" Target="../../../../../../:b:/g/personal/lppmsby_telkomuniversity_ac_id/EfPa89FkXsFHv0TDpYTvGboBfgd0qsdawANeXkDMZ4hxPA?e=j4gyq5" TargetMode="External"/><Relationship Id="rId60" Type="http://schemas.openxmlformats.org/officeDocument/2006/relationships/hyperlink" Target="https://cdn.ittelkom-sby.ac.id/research/z16432778985b043871c2840ece1ff4c3cd2988a7ca.pdf" TargetMode="External"/><Relationship Id="rId81" Type="http://schemas.openxmlformats.org/officeDocument/2006/relationships/hyperlink" Target="https://cdn.ittelkom-sby.ac.id/research/z1628053341dcc5f10649339b3606998a91ffdcda8f.pdf" TargetMode="External"/><Relationship Id="rId135" Type="http://schemas.openxmlformats.org/officeDocument/2006/relationships/hyperlink" Target="https://cdn.ittelkom-sby.ac.id/research/z162643529808119a91f37360e909913027788bc063.pdf" TargetMode="External"/><Relationship Id="rId156" Type="http://schemas.openxmlformats.org/officeDocument/2006/relationships/hyperlink" Target="https://cdn.ittelkom-sby.ac.id/research/z16262455134c21630d9dcae6b83974d756f346830c.pdf" TargetMode="External"/><Relationship Id="rId177" Type="http://schemas.openxmlformats.org/officeDocument/2006/relationships/hyperlink" Target="https://cdn.ittelkom-sby.ac.id/research/z1614689746a47116107b29a15230611591c69059ef.pdf" TargetMode="External"/><Relationship Id="rId198" Type="http://schemas.openxmlformats.org/officeDocument/2006/relationships/hyperlink" Target="../../../../../:b:/g/personal/lppm_ittelkom-sby_ac_id/EVPOpTZ-ybRKs7XdFozMPlABSMhzyc9q2cxPpYuQjQjm2g?e=zSdZUV" TargetMode="External"/><Relationship Id="rId321" Type="http://schemas.openxmlformats.org/officeDocument/2006/relationships/hyperlink" Target="../../../../../../:b:/g/personal/lppmsby_telkomuniversity_ac_id/EeuhUIcgIiFBlvmpfO5qChQBPdJ7CjgDKWIQTUVKweAvGw?e=LCcx1a" TargetMode="External"/><Relationship Id="rId342" Type="http://schemas.openxmlformats.org/officeDocument/2006/relationships/hyperlink" Target="../../../../../../:b:/g/personal/lppmsby_telkomuniversity_ac_id/EelyWV63WmpCms6IZIwosCoBZ83c4MWv4D3JmapglnonxQ?e=WmrrSe" TargetMode="External"/><Relationship Id="rId363" Type="http://schemas.openxmlformats.org/officeDocument/2006/relationships/hyperlink" Target="../../../../../../:b:/g/personal/lppmsby_telkomuniversity_ac_id/EY0Z-ufqkFJPjjBvPSfgffEB81gWXudvRuDBSVR89lJJrQ?e=GjqH0p" TargetMode="External"/><Relationship Id="rId384" Type="http://schemas.openxmlformats.org/officeDocument/2006/relationships/hyperlink" Target="../../../../../../:b:/g/personal/lppmsby_telkomuniversity_ac_id/Ea6yEd4tN6tGicacu7-YtN0BLIlZOyj5NbCL0acBmK05Zw?e=wgs0BK" TargetMode="External"/><Relationship Id="rId419" Type="http://schemas.openxmlformats.org/officeDocument/2006/relationships/hyperlink" Target="../../../../../../:b:/g/personal/lppmsby_telkomuniversity_ac_id/ER7_l0ZmDfhDh45nS8b0mgcBrKaHE10yBkb1BYBlYCnVhg?e=zzePyj" TargetMode="External"/><Relationship Id="rId202" Type="http://schemas.openxmlformats.org/officeDocument/2006/relationships/hyperlink" Target="../../../../../:b:/g/personal/lppm_ittelkom-sby_ac_id/EQWig6bztItJnU3pOcyUmJkBgqpW-R6_rIGjnbhaZIlN1Q?e=1il2El" TargetMode="External"/><Relationship Id="rId223" Type="http://schemas.openxmlformats.org/officeDocument/2006/relationships/hyperlink" Target="http://cdndata.telkomuniversity.ac.id/research/z17102997613d18b476410c0502502c94088d676a8a.pdf" TargetMode="External"/><Relationship Id="rId244" Type="http://schemas.openxmlformats.org/officeDocument/2006/relationships/hyperlink" Target="https://abdimas-ppm.telkomuniversity.ac.id/unduh-pks/2024%2CxC6PEwffEkz594w8" TargetMode="External"/><Relationship Id="rId430" Type="http://schemas.openxmlformats.org/officeDocument/2006/relationships/hyperlink" Target="../../../../../../:b:/g/personal/lppmsby_telkomuniversity_ac_id/EX4e2tUOSrdIjEiHXQ_4CW8B_KW9MS2UCllUVOxi0OXtLg?e=kLfIbS" TargetMode="External"/><Relationship Id="rId18" Type="http://schemas.openxmlformats.org/officeDocument/2006/relationships/hyperlink" Target="https://drive.google.com/file/d/14t2vxRtswVcDzyBK7BIzB-wOSz4Uvd2J/view?usp=sharing" TargetMode="External"/><Relationship Id="rId39" Type="http://schemas.openxmlformats.org/officeDocument/2006/relationships/hyperlink" Target="https://cdn.ittelkom-sby.ac.id/research/z16933826151a498daf2b41a46b3fec095be431c918.pdf" TargetMode="External"/><Relationship Id="rId265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286" Type="http://schemas.openxmlformats.org/officeDocument/2006/relationships/hyperlink" Target="https://abdimas-ppm.telkomuniversity.ac.id/unduh-pks/2024%2CJlmzABk2E5buT4V7" TargetMode="External"/><Relationship Id="rId50" Type="http://schemas.openxmlformats.org/officeDocument/2006/relationships/hyperlink" Target="https://cdn.ittelkom-sby.ac.id/research/z1663125347b71ed542b2a216ff789e788e063e0509.pdf" TargetMode="External"/><Relationship Id="rId104" Type="http://schemas.openxmlformats.org/officeDocument/2006/relationships/hyperlink" Target="../../../../../../:b:/g/personal/lppmsby_telkomuniversity_ac_id/ESmFL_o4WwpKjm7IKEEsr5UBVlnjiQKrYjvBDmlpk2mtsQ?e=hAXvUb" TargetMode="External"/><Relationship Id="rId125" Type="http://schemas.openxmlformats.org/officeDocument/2006/relationships/hyperlink" Target="../../../../../../:b:/g/personal/lppmsby_telkomuniversity_ac_id/EaktiwjlP7lBtxTsWW2snaYB8YlRPPFoYZpP5fSQ4iISTw?e=AGDP9L" TargetMode="External"/><Relationship Id="rId146" Type="http://schemas.openxmlformats.org/officeDocument/2006/relationships/hyperlink" Target="https://cdn.ittelkom-sby.ac.id/research/z1626159471ade7853add289e51831e9960d082204f.pdf" TargetMode="External"/><Relationship Id="rId167" Type="http://schemas.openxmlformats.org/officeDocument/2006/relationships/hyperlink" Target="https://cdn.ittelkom-sby.ac.id/research/z161554095560585ae9ef950e4e930a3db895a39183.pdf" TargetMode="External"/><Relationship Id="rId188" Type="http://schemas.openxmlformats.org/officeDocument/2006/relationships/hyperlink" Target="https://cdn.ittelkom-sby.ac.id/research/z1635300483d61e761b641b25a675f81ec08d24ce7d.pdf" TargetMode="External"/><Relationship Id="rId311" Type="http://schemas.openxmlformats.org/officeDocument/2006/relationships/hyperlink" Target="../../../../../../:b:/g/personal/lppmsby_telkomuniversity_ac_id/EYu-z9FcF61PjeSU6mvOUQMB1_JSaDNV57ApSjgQbLY2zA?e=FOMead" TargetMode="External"/><Relationship Id="rId332" Type="http://schemas.openxmlformats.org/officeDocument/2006/relationships/hyperlink" Target="https://abdimas-ppm.telkomuniversity.ac.id/unduh-dokumen-fn/2025%2CXwDH2HOusc1andct%2Cinternal%2Cproposal" TargetMode="External"/><Relationship Id="rId353" Type="http://schemas.openxmlformats.org/officeDocument/2006/relationships/hyperlink" Target="../../../../../../:b:/g/personal/lppmsby_telkomuniversity_ac_id/EcapotvJTtRCjXI8w_m1qrwBstVzNKtl_IkG7g35G0gjRQ?e=HWW9Sh" TargetMode="External"/><Relationship Id="rId374" Type="http://schemas.openxmlformats.org/officeDocument/2006/relationships/hyperlink" Target="../../../../../../:b:/g/personal/lppmsby_telkomuniversity_ac_id/EfYZdD-xuFhGpd2HCiKUyWABndOFt8bLwQ7U2FSsImWtOQ?e=XDQNY7" TargetMode="External"/><Relationship Id="rId395" Type="http://schemas.openxmlformats.org/officeDocument/2006/relationships/hyperlink" Target="../../../../../../:b:/g/personal/lppmsby_telkomuniversity_ac_id/EbZPLBJGfT9BlWQXEBEzC24B6lmfX76ooe7cCqGf6LIO6Q?e=EJUAjQ" TargetMode="External"/><Relationship Id="rId409" Type="http://schemas.openxmlformats.org/officeDocument/2006/relationships/hyperlink" Target="../../../../../../:b:/g/personal/lppmsby_telkomuniversity_ac_id/ESay7fY0WuNOuataQTD9dLEBy3Bj0k7RYYW87XuTs-9ywA?e=kFHNVv" TargetMode="External"/><Relationship Id="rId71" Type="http://schemas.openxmlformats.org/officeDocument/2006/relationships/hyperlink" Target="https://cdn.ittelkom-sby.ac.id/research/z16631259952c4cf7983566dd98928b7dba10cbeafb.pdf" TargetMode="External"/><Relationship Id="rId92" Type="http://schemas.openxmlformats.org/officeDocument/2006/relationships/hyperlink" Target="https://cdn.ittelkom-sby.ac.id/research/z1688355814e8e0ffe846d85b2b0507785c46f84fc7.pdf" TargetMode="External"/><Relationship Id="rId213" Type="http://schemas.openxmlformats.org/officeDocument/2006/relationships/hyperlink" Target="../../../../../../:b:/g/personal/lppmsby_telkomuniversity_ac_id/Eftp5W2ZzQxFjt4HOULdj18B0cwjSz2--lj_GTRgR0rUtA?e=nLLCcu" TargetMode="External"/><Relationship Id="rId234" Type="http://schemas.openxmlformats.org/officeDocument/2006/relationships/hyperlink" Target="https://abdimas-ppm.telkomuniversity.ac.id/unduh-pks/2024%2CwAXiqG6HLYo5L0Qv" TargetMode="External"/><Relationship Id="rId420" Type="http://schemas.openxmlformats.org/officeDocument/2006/relationships/hyperlink" Target="../../../../../../:b:/g/personal/lppmsby_telkomuniversity_ac_id/EWis8U1IE1BCgJr1BGGf3lkBI7WQ38m_eJeElbKdFIjEuw?e=zXYZTZ" TargetMode="External"/><Relationship Id="rId2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9" Type="http://schemas.openxmlformats.org/officeDocument/2006/relationships/hyperlink" Target="https://cdn.ittelkom-sby.ac.id/research/z1693360561fecee4734ce7294464dd802d84925696.pdf" TargetMode="External"/><Relationship Id="rId255" Type="http://schemas.openxmlformats.org/officeDocument/2006/relationships/hyperlink" Target="https://abdimas-ppm.telkomuniversity.ac.id/unduh-pks/2024%2Cqy7PMrD88nNngfkn" TargetMode="External"/><Relationship Id="rId276" Type="http://schemas.openxmlformats.org/officeDocument/2006/relationships/hyperlink" Target="../../../../../../:b:/g/personal/lppmsby_telkomuniversity_ac_id/EZwgGUX7XRBOlunEWwg11AUBAbutv3Hb0sLymsEzmTm7TA?e=93reAr" TargetMode="External"/><Relationship Id="rId297" Type="http://schemas.openxmlformats.org/officeDocument/2006/relationships/hyperlink" Target="../../../../../../:b:/g/personal/lppmsby_telkomuniversity_ac_id/ES22j1QkgplCkIcJycUAXdcBAnt8rQJR-wCA7_-LbaQ-hA?e=lTnHFt" TargetMode="External"/><Relationship Id="rId40" Type="http://schemas.openxmlformats.org/officeDocument/2006/relationships/hyperlink" Target="https://cdn.ittelkom-sby.ac.id/research/z169338278491d18fe1ee9ba6db29c79eebb23d2be4.pdf" TargetMode="External"/><Relationship Id="rId115" Type="http://schemas.openxmlformats.org/officeDocument/2006/relationships/hyperlink" Target="https://cdn.ittelkom-sby.ac.id/research/z1675644994ae5f7f10610a0872aabb5256822da021.pdf" TargetMode="External"/><Relationship Id="rId136" Type="http://schemas.openxmlformats.org/officeDocument/2006/relationships/hyperlink" Target="https://cdn.ittelkom-sby.ac.id/research/z16265004268f745946faa21c5ec4759bf4f0056e62.pdf" TargetMode="External"/><Relationship Id="rId157" Type="http://schemas.openxmlformats.org/officeDocument/2006/relationships/hyperlink" Target="https://cdn.ittelkom-sby.ac.id/research/z16183688971ddd2ddc1aba0fbbca9b9ae86f345b26.pdf" TargetMode="External"/><Relationship Id="rId178" Type="http://schemas.openxmlformats.org/officeDocument/2006/relationships/hyperlink" Target="https://cdn.ittelkom-sby.ac.id/research/z1632977923639772e18f2ef27809925a6c81cdd563.pdf" TargetMode="External"/><Relationship Id="rId301" Type="http://schemas.openxmlformats.org/officeDocument/2006/relationships/hyperlink" Target="https://abdimas-ppm.telkomuniversity.ac.id/unduh-pks/2024%2C2XSaszJ6ukSFGw2k" TargetMode="External"/><Relationship Id="rId322" Type="http://schemas.openxmlformats.org/officeDocument/2006/relationships/hyperlink" Target="../../../../../../:b:/g/personal/lppmsby_telkomuniversity_ac_id/EbRzVWDGg_pIt94VSOzUbsAByzRGwizoQ12jYHv8RK9AnQ?e=KFWax8" TargetMode="External"/><Relationship Id="rId343" Type="http://schemas.openxmlformats.org/officeDocument/2006/relationships/hyperlink" Target="../../../../../../:b:/g/personal/lppmsby_telkomuniversity_ac_id/EXyT59HdfYFFiVXZnMz8wcEBHWN7X7IkF3ZmlkS_bpYb1Q?e=UZd15o" TargetMode="External"/><Relationship Id="rId364" Type="http://schemas.openxmlformats.org/officeDocument/2006/relationships/hyperlink" Target="../../../../../../:b:/g/personal/lppmsby_telkomuniversity_ac_id/Ecc18bnxitRLpZ7htqkjf0gBXJMk-BqrqZKM5iSWSfPlEQ?e=XyicwA" TargetMode="External"/><Relationship Id="rId61" Type="http://schemas.openxmlformats.org/officeDocument/2006/relationships/hyperlink" Target="https://cdn.ittelkom-sby.ac.id/research/z16548329714cb73132fa21321f09284544f833008e.pdf" TargetMode="External"/><Relationship Id="rId82" Type="http://schemas.openxmlformats.org/officeDocument/2006/relationships/hyperlink" Target="https://cdn.ittelkom-sby.ac.id/research/z163357849451c6d18021693979b2ec1e81ac1d1a52.pdf" TargetMode="External"/><Relationship Id="rId199" Type="http://schemas.openxmlformats.org/officeDocument/2006/relationships/hyperlink" Target="../../../../../:b:/g/personal/lppm_ittelkom-sby_ac_id/EfhiDdlst-FClblDuQEXT-EBm3IuL0FOi-HitoiUpUP0HA?e=p47F2E" TargetMode="External"/><Relationship Id="rId203" Type="http://schemas.openxmlformats.org/officeDocument/2006/relationships/hyperlink" Target="https://drive.google.com/file/d/1Qks_IPrBZKgFx2Z8Rp987_gCx4yMAX_n/view?usp=drive_link" TargetMode="External"/><Relationship Id="rId385" Type="http://schemas.openxmlformats.org/officeDocument/2006/relationships/hyperlink" Target="../../../../../../:b:/g/personal/lppmsby_telkomuniversity_ac_id/ESRjRk5jPmlLlmlYR0R0K9YBhiqTZKS1iNgmXYkF6mwlag?e=rvF8pt" TargetMode="External"/><Relationship Id="rId19" Type="http://schemas.openxmlformats.org/officeDocument/2006/relationships/hyperlink" Target="https://drive.google.com/file/d/14t2vxRtswVcDzyBK7BIzB-wOSz4Uvd2J/view?usp=sharing" TargetMode="External"/><Relationship Id="rId224" Type="http://schemas.openxmlformats.org/officeDocument/2006/relationships/hyperlink" Target="https://abdimas-ppm.telkomuniversity.ac.id/unduh-dokumen-fn/2024%2CGocYU8ySOatmUNEn%2Cinternal%2Cproposal" TargetMode="External"/><Relationship Id="rId245" Type="http://schemas.openxmlformats.org/officeDocument/2006/relationships/hyperlink" Target="../../../../../../:b:/g/personal/lppmsby_telkomuniversity_ac_id/EbGhfKxo6UFKkY9Vy9jv8ooBs5wBUW8eYHmOjaUs7rJMAg?e=KeMUxd" TargetMode="External"/><Relationship Id="rId266" Type="http://schemas.openxmlformats.org/officeDocument/2006/relationships/hyperlink" Target="../../../../../../:b:/g/personal/lppmsby_telkomuniversity_ac_id/EcIlcc7xAnVNoXTC3UY5eSwBJjLklC9BUkrWoTMvyyNsbg?e=Evvcxx" TargetMode="External"/><Relationship Id="rId287" Type="http://schemas.openxmlformats.org/officeDocument/2006/relationships/hyperlink" Target="https://abdimas-ppm.telkomuniversity.ac.id/unduh-pks/2024%2CX015WEKCMS1yYy3K" TargetMode="External"/><Relationship Id="rId410" Type="http://schemas.openxmlformats.org/officeDocument/2006/relationships/hyperlink" Target="../../../../../../:b:/g/personal/lppmsby_telkomuniversity_ac_id/Ed0EUaAOIxRAlxTWarxI6oQBuUGbshKxYWAR_stionTRiQ?e=gEdq2N" TargetMode="External"/><Relationship Id="rId431" Type="http://schemas.openxmlformats.org/officeDocument/2006/relationships/hyperlink" Target="../../../../../../:b:/g/personal/lppmsby_telkomuniversity_ac_id/EaH5LWALf-tEvVFe2Xnth5MB5cs9FYeZs__hzaLvN83qVg?e=pg3UjZ" TargetMode="External"/><Relationship Id="rId30" Type="http://schemas.openxmlformats.org/officeDocument/2006/relationships/hyperlink" Target="https://cdn.ittelkom-sby.ac.id/research/z169336098641aa6cedd99e9a00f454014141d268a7.pdf" TargetMode="External"/><Relationship Id="rId105" Type="http://schemas.openxmlformats.org/officeDocument/2006/relationships/hyperlink" Target="../../../../../../:b:/g/personal/lppmsby_telkomuniversity_ac_id/Ea4RoDNQcGFGqqtrj_6GmlwBEwlJB_kWHIkLYLtG75_DJQ?e=ZPJnmk" TargetMode="External"/><Relationship Id="rId126" Type="http://schemas.openxmlformats.org/officeDocument/2006/relationships/hyperlink" Target="../../../../../../:b:/g/personal/lppmsby_telkomuniversity_ac_id/EaKWAG8yc9dItkT4To6vX78BXxecu8sXDGDFdKeT7UmlrQ?e=oxRvHv" TargetMode="External"/><Relationship Id="rId147" Type="http://schemas.openxmlformats.org/officeDocument/2006/relationships/hyperlink" Target="https://cdn.ittelkom-sby.ac.id/research/z1638253027ac1519eeb4173cdac60c7a07773f8288.pdf" TargetMode="External"/><Relationship Id="rId168" Type="http://schemas.openxmlformats.org/officeDocument/2006/relationships/hyperlink" Target="https://cdn.ittelkom-sby.ac.id/research/z163299098734c6cc255b02651a18ff4754239bb402.pdf" TargetMode="External"/><Relationship Id="rId312" Type="http://schemas.openxmlformats.org/officeDocument/2006/relationships/hyperlink" Target="../../../../../../:b:/g/personal/lppmsby_telkomuniversity_ac_id/ET15OAta93VKoJGTNJxN-HEBl4Vxeoyem0QX1zB-u05rVw?e=5Lsx64" TargetMode="External"/><Relationship Id="rId333" Type="http://schemas.openxmlformats.org/officeDocument/2006/relationships/hyperlink" Target="../../../../../../:b:/g/personal/lppmsby_telkomuniversity_ac_id/EVZzqSjm7thPtCdn-QYd374BPGbwaeUfyPJ0ajK19demfg?e=HANkIM" TargetMode="External"/><Relationship Id="rId354" Type="http://schemas.openxmlformats.org/officeDocument/2006/relationships/hyperlink" Target="../../../../../../:b:/g/personal/lppmsby_telkomuniversity_ac_id/EZEmt8Z-V3RBoTGE2JhYFlwBzfK2WhuVhpS6I5kwYR3WbQ?e=oiFMMf" TargetMode="External"/><Relationship Id="rId51" Type="http://schemas.openxmlformats.org/officeDocument/2006/relationships/hyperlink" Target="https://cdn.ittelkom-sby.ac.id/research/z165483261119bb95d27e58fa171146c4a68599324d.pdf" TargetMode="External"/><Relationship Id="rId72" Type="http://schemas.openxmlformats.org/officeDocument/2006/relationships/hyperlink" Target="https://cdn.ittelkom-sby.ac.id/research/z16631267999dcfcd191b8a6df45f9f3615e7977a20.pdf" TargetMode="External"/><Relationship Id="rId93" Type="http://schemas.openxmlformats.org/officeDocument/2006/relationships/hyperlink" Target="../../../../../../:b:/g/personal/lppmsby_telkomuniversity_ac_id/Ecyv6V48t19Or6Wbrf5IYwsBIwcTaTh_roraVbU5I7oudw?e=IcJd82" TargetMode="External"/><Relationship Id="rId189" Type="http://schemas.openxmlformats.org/officeDocument/2006/relationships/hyperlink" Target="https://cdn.ittelkom-sby.ac.id/research/z1598492615dfdbcc74dc562c7ed3ac6d3f0fd66f9d.pdf" TargetMode="External"/><Relationship Id="rId375" Type="http://schemas.openxmlformats.org/officeDocument/2006/relationships/hyperlink" Target="../../../../../../:b:/g/personal/lppmsby_telkomuniversity_ac_id/EQX9iFTdIipDp8o-JpgJwm0BnHIQcryPrtVXGZys5CHrpg?e=zOe0vC" TargetMode="External"/><Relationship Id="rId396" Type="http://schemas.openxmlformats.org/officeDocument/2006/relationships/hyperlink" Target="../../../../../../:b:/g/personal/lppmsby_telkomuniversity_ac_id/EWxrR-tqViJIqxDopiIgmrIBYEy0WgwDu-AqNDCyuGdy5w?e=FnIbIW" TargetMode="External"/><Relationship Id="rId3" Type="http://schemas.openxmlformats.org/officeDocument/2006/relationships/hyperlink" Target="../../../../../:b:/r/personal/lppm_ittelkom-sby_ac_id/Documents/2023/SK/SK%20LPPM%20Telah%20disahkan/REK.%20011_SAM4_REK_I_2023%20Penerima%20Dan%20Pelaksana%20Hibah%20Program%20Ayo%20Bikin%20Nyata%20Telkom%20CDC%20Tahun%20Anggaran%202022%20.pdf?csf=1&amp;web=1&amp;e=U5h4q6" TargetMode="External"/><Relationship Id="rId214" Type="http://schemas.openxmlformats.org/officeDocument/2006/relationships/hyperlink" Target="https://cdn.ittelkom-sby.ac.id/research/z1701680405fc9fbd3faf3ebd2b604a3e28582fa10d.pdf" TargetMode="External"/><Relationship Id="rId235" Type="http://schemas.openxmlformats.org/officeDocument/2006/relationships/hyperlink" Target="../../../../../../:b:/g/personal/lppmsby_telkomuniversity_ac_id/EafrL6rjUIVEqoEm76LaUs8BBSsjNz-eqry5CrkMvfF6uw?e=lc7xmY" TargetMode="External"/><Relationship Id="rId256" Type="http://schemas.openxmlformats.org/officeDocument/2006/relationships/hyperlink" Target="https://abdimas-ppm.telkomuniversity.ac.id/unduh-pks/2024%2CN30yLCj7mCNqUWeS" TargetMode="External"/><Relationship Id="rId277" Type="http://schemas.openxmlformats.org/officeDocument/2006/relationships/hyperlink" Target="../../../../../../:b:/g/personal/lppmsby_telkomuniversity_ac_id/EYLDIrNoXVpAvZupkjMo5MEBMeTRYpQVwr0pjXxqOHCV4A?e=6UomS0" TargetMode="External"/><Relationship Id="rId298" Type="http://schemas.openxmlformats.org/officeDocument/2006/relationships/hyperlink" Target="https://abdimas-ppm.telkomuniversity.ac.id/unduh-pks/2024%2CAE6Kz9zLw7Tfv8WP" TargetMode="External"/><Relationship Id="rId400" Type="http://schemas.openxmlformats.org/officeDocument/2006/relationships/hyperlink" Target="../../../../../../:b:/g/personal/lppmsby_telkomuniversity_ac_id/EU9MiFWzkxRChsu6O3ljgmEBHSO-1uFWTi6JxcEY6IaTJg?e=CdFJB7" TargetMode="External"/><Relationship Id="rId421" Type="http://schemas.openxmlformats.org/officeDocument/2006/relationships/hyperlink" Target="../../../../../../:b:/g/personal/lppmsby_telkomuniversity_ac_id/EcJGqjdutnZAvvuVj4olw9EBYEKIiUoJlN2GC-ognxzzcA?e=dMhbUZ" TargetMode="External"/><Relationship Id="rId116" Type="http://schemas.openxmlformats.org/officeDocument/2006/relationships/hyperlink" Target="https://cdn.ittelkom-sby.ac.id/research/z16947609816b3cc088c308848446b102f799428a52.pdf" TargetMode="External"/><Relationship Id="rId137" Type="http://schemas.openxmlformats.org/officeDocument/2006/relationships/hyperlink" Target="https://cdn.ittelkom-sby.ac.id/research/z163849726227b9f841846005d8da465ef55a2510b8.pdf" TargetMode="External"/><Relationship Id="rId158" Type="http://schemas.openxmlformats.org/officeDocument/2006/relationships/hyperlink" Target="https://cdn.ittelkom-sby.ac.id/research/z1624258229c2bc65572a4cd7748a2f910e6a68945c.pdf" TargetMode="External"/><Relationship Id="rId302" Type="http://schemas.openxmlformats.org/officeDocument/2006/relationships/hyperlink" Target="../../../../../../:b:/g/personal/lppmsby_telkomuniversity_ac_id/EdAPi_4ncH1IlhjB-IvRCvwBC1MnKB4QcCs0fstY2fAMug?e=Ba6e17" TargetMode="External"/><Relationship Id="rId323" Type="http://schemas.openxmlformats.org/officeDocument/2006/relationships/hyperlink" Target="../../../../../../:b:/g/personal/lppmsby_telkomuniversity_ac_id/EbHVniVGi8pNmix8zeOCa20BUTBTxGbViA5YeIYb8ojq8Q?e=jQmGfx" TargetMode="External"/><Relationship Id="rId344" Type="http://schemas.openxmlformats.org/officeDocument/2006/relationships/hyperlink" Target="../../../../../../:b:/g/personal/lppmsby_telkomuniversity_ac_id/EZ_USwfCeZFChEYNT4VUAHABCECIfI6frp9D3oHc0GhZCQ?e=3xakku" TargetMode="External"/><Relationship Id="rId20" Type="http://schemas.openxmlformats.org/officeDocument/2006/relationships/hyperlink" Target="https://drive.google.com/file/d/1rv_ZyGNztP8WP8g6MGtVZrcFn1vOqeei/view?usp=sharing" TargetMode="External"/><Relationship Id="rId41" Type="http://schemas.openxmlformats.org/officeDocument/2006/relationships/hyperlink" Target="https://cdn.ittelkom-sby.ac.id/research/z16933829700236eb3e1c3bbd96364c32db82b9853b.pdf" TargetMode="External"/><Relationship Id="rId62" Type="http://schemas.openxmlformats.org/officeDocument/2006/relationships/hyperlink" Target="https://cdn.ittelkom-sby.ac.id/research/z165483230952e0ca19aec4569506f26bcf8cd71b2f.pdf" TargetMode="External"/><Relationship Id="rId83" Type="http://schemas.openxmlformats.org/officeDocument/2006/relationships/hyperlink" Target="https://cdn.ittelkom-sby.ac.id/research/z1633502822080072e91f6266690df905799d83ebfe.pdf" TargetMode="External"/><Relationship Id="rId179" Type="http://schemas.openxmlformats.org/officeDocument/2006/relationships/hyperlink" Target="https://cdn.ittelkom-sby.ac.id/research/z1615521792b0f8c268c5a597b3e79a3a0d24ad0635.pdf" TargetMode="External"/><Relationship Id="rId365" Type="http://schemas.openxmlformats.org/officeDocument/2006/relationships/hyperlink" Target="../../../../../../:b:/g/personal/lppmsby_telkomuniversity_ac_id/Ebz45d_FhcxMpFHCPUqO4r4BlUBrI6-vv4xSHr5PjlI6Zw?e=BKwNeI" TargetMode="External"/><Relationship Id="rId386" Type="http://schemas.openxmlformats.org/officeDocument/2006/relationships/hyperlink" Target="../../../../../../:b:/g/personal/lppmsby_telkomuniversity_ac_id/ERI4Dq-ymE1AnR1DO6-2viwB9SiIKqQ_G_spfPIErMwZZA?e=1cBfmb" TargetMode="External"/><Relationship Id="rId190" Type="http://schemas.openxmlformats.org/officeDocument/2006/relationships/hyperlink" Target="https://cdn.ittelkom-sby.ac.id/research/z163530064691d883fd96bc1d5967ff24244cd39ce0.pdf" TargetMode="External"/><Relationship Id="rId204" Type="http://schemas.openxmlformats.org/officeDocument/2006/relationships/hyperlink" Target="https://cdn.ittelkom-sby.ac.id/research/z1700621926f5ed4c452d8aaaa3a09c4a1db65d16c2.pdf" TargetMode="External"/><Relationship Id="rId225" Type="http://schemas.openxmlformats.org/officeDocument/2006/relationships/hyperlink" Target="../../../../../../:b:/g/personal/lppmsby_telkomuniversity_ac_id/EQpqdW_IG_tCq2Ru-nFkNeAB5V1I9M9p_KHUgOZtHWOhbQ?e=Dneod7" TargetMode="External"/><Relationship Id="rId246" Type="http://schemas.openxmlformats.org/officeDocument/2006/relationships/hyperlink" Target="../../../../../../:b:/g/personal/lppmsby_telkomuniversity_ac_id/EQu8BKpxBW1FjBemhbFr5wAB3UiRrAo8LIXei5UxzKHwCg?e=GC26EZ" TargetMode="External"/><Relationship Id="rId267" Type="http://schemas.openxmlformats.org/officeDocument/2006/relationships/hyperlink" Target="../../../../../../:b:/g/personal/lppmsby_telkomuniversity_ac_id/Eeip8B2NJU9LmfESczQCiscBVJGIVUEZtwXvvIYM5No0Cw?e=8KiDBC" TargetMode="External"/><Relationship Id="rId288" Type="http://schemas.openxmlformats.org/officeDocument/2006/relationships/hyperlink" Target="https://abdimas-ppm.telkomuniversity.ac.id/unduh-pks/2024%2CpMuHjCD4DOTjSAqx" TargetMode="External"/><Relationship Id="rId411" Type="http://schemas.openxmlformats.org/officeDocument/2006/relationships/hyperlink" Target="../../../../../../:b:/g/personal/lppmsby_telkomuniversity_ac_id/EQLlfx1fmQtBiZXRXl0KhjgBIncE_6LRcM9ReA8lo3jr_Q?e=rsm2KZ" TargetMode="External"/><Relationship Id="rId432" Type="http://schemas.openxmlformats.org/officeDocument/2006/relationships/hyperlink" Target="../../../../../../:b:/g/personal/lppmsby_telkomuniversity_ac_id/EXtvmq0xFeRBgkoQFSb03HcB3zIDnqY9TMZmzAJmasZHTA?e=GLNEYL" TargetMode="External"/><Relationship Id="rId106" Type="http://schemas.openxmlformats.org/officeDocument/2006/relationships/hyperlink" Target="../../../../../../:b:/g/personal/lppmsby_telkomuniversity_ac_id/EQKe80AJcjtPkBOhI3_uFkwBQ3l-k4YdIoxdS1aSFu1MMw?e=PNGoo2" TargetMode="External"/><Relationship Id="rId127" Type="http://schemas.openxmlformats.org/officeDocument/2006/relationships/hyperlink" Target="https://cdn.ittelkom-sby.ac.id/research/z167564246051d203d7d9733ed83e97c739e1b14068.pdf" TargetMode="External"/><Relationship Id="rId313" Type="http://schemas.openxmlformats.org/officeDocument/2006/relationships/hyperlink" Target="../../../../../../:b:/g/personal/lppmsby_telkomuniversity_ac_id/EfNTTMuZUvhPvaF9W7rLTZwB51hMD1KLAAXJvHnigp0DjQ?e=hOKrPN" TargetMode="External"/><Relationship Id="rId10" Type="http://schemas.openxmlformats.org/officeDocument/2006/relationships/hyperlink" Target="https://drive.google.com/file/d/1xogy7NNIe_4vm0YtA55G6X96NJOBXuPA/view?usp=sharing" TargetMode="External"/><Relationship Id="rId31" Type="http://schemas.openxmlformats.org/officeDocument/2006/relationships/hyperlink" Target="https://cdn.ittelkom-sby.ac.id/research/z16943974813946e3f095e3a272c1e2e7757945dd4b.pdf" TargetMode="External"/><Relationship Id="rId52" Type="http://schemas.openxmlformats.org/officeDocument/2006/relationships/hyperlink" Target="https://cdn.ittelkom-sby.ac.id/research/z1654832510a5afa45805cadbb7a70d600e291d5833.pdf" TargetMode="External"/><Relationship Id="rId73" Type="http://schemas.openxmlformats.org/officeDocument/2006/relationships/hyperlink" Target="https://cdn.ittelkom-sby.ac.id/research/z1628053612bb4ce90cb1e751f1fa9006711affdc72.pdf" TargetMode="External"/><Relationship Id="rId94" Type="http://schemas.openxmlformats.org/officeDocument/2006/relationships/hyperlink" Target="../../../../../../:b:/g/personal/lppmsby_telkomuniversity_ac_id/ERakCV5eLnVLpFjuBX1L42MBCCSAZdRabcL8VM6om3dQJQ?e=kh5g3V" TargetMode="External"/><Relationship Id="rId148" Type="http://schemas.openxmlformats.org/officeDocument/2006/relationships/hyperlink" Target="https://cdn.ittelkom-sby.ac.id/research/z1615382107bc11e1509bef258828736567c876e42d.pdf" TargetMode="External"/><Relationship Id="rId169" Type="http://schemas.openxmlformats.org/officeDocument/2006/relationships/hyperlink" Target="https://cdn.ittelkom-sby.ac.id/research/z1615545138e60abcbb71388cca2a7cfae87b5944b5.pdf" TargetMode="External"/><Relationship Id="rId334" Type="http://schemas.openxmlformats.org/officeDocument/2006/relationships/hyperlink" Target="../../../../../../:b:/g/personal/lppmsby_telkomuniversity_ac_id/Ee_DWFA7oXxClOUFmHy3a58B--kOrc1t-dIQavk4hzDlzw?e=wtkM6B" TargetMode="External"/><Relationship Id="rId355" Type="http://schemas.openxmlformats.org/officeDocument/2006/relationships/hyperlink" Target="../../../../../../:b:/g/personal/lppmsby_telkomuniversity_ac_id/Eam4SoGUfxVDm_4P2lEJX2oBT7QKgFukorHSNqzyWdbbAw?e=Oegsbn" TargetMode="External"/><Relationship Id="rId376" Type="http://schemas.openxmlformats.org/officeDocument/2006/relationships/hyperlink" Target="../../../../../../:b:/g/personal/lppmsby_telkomuniversity_ac_id/ES7VhRoiv5NPjERP4zAlT40BYrocg8NMg2JEItyzAkJ3hA?e=63jpXs" TargetMode="External"/><Relationship Id="rId397" Type="http://schemas.openxmlformats.org/officeDocument/2006/relationships/hyperlink" Target="../../../../../../:b:/g/personal/lppmsby_telkomuniversity_ac_id/EcwziPOVDyRHiY1iHKRDgMUBRUlf2wllSFUZ9pQt-2ptuw?e=ZTj5j6" TargetMode="External"/><Relationship Id="rId4" Type="http://schemas.openxmlformats.org/officeDocument/2006/relationships/hyperlink" Target="../../../../../:b:/r/personal/lppm_ittelkom-sby_ac_id/Documents/2023/SK/SK%20LPPM%20Telah%20disahkan/REK.%20097_ABDI3_REK_VII_2023%20Penerima%20%26%20Pelaksana%20Penelitian%20Pengmas%20Hibah%20Dikti%20Tahun%202023.pdf?csf=1&amp;web=1&amp;e=tOBHwV" TargetMode="External"/><Relationship Id="rId180" Type="http://schemas.openxmlformats.org/officeDocument/2006/relationships/hyperlink" Target="https://cdn.ittelkom-sby.ac.id/research/z1633700259593f334a58d87812670a19ac251843ee.pdf" TargetMode="External"/><Relationship Id="rId215" Type="http://schemas.openxmlformats.org/officeDocument/2006/relationships/hyperlink" Target="../../../../../:b:/g/personal/lppm_ittelkom-sby_ac_id/EVmf0qXQaO1LvsHj6UcKHsMBOOYQB9GtgAeVzl_2orTDPg?e=9fZAvL" TargetMode="External"/><Relationship Id="rId236" Type="http://schemas.openxmlformats.org/officeDocument/2006/relationships/hyperlink" Target="../../../../../../:b:/g/personal/lppmsby_telkomuniversity_ac_id/EfTawJsTXTtAs4uSvedMtfwBc0w1TR8ZDNMjrUfVUgfl2A?e=14XmQ8" TargetMode="External"/><Relationship Id="rId257" Type="http://schemas.openxmlformats.org/officeDocument/2006/relationships/hyperlink" Target="https://abdimas-ppm.telkomuniversity.ac.id/unduh-pks/2024%2CyWQQIrQ8HRVkMMgx" TargetMode="External"/><Relationship Id="rId278" Type="http://schemas.openxmlformats.org/officeDocument/2006/relationships/hyperlink" Target="../../../../../../:b:/g/personal/lppmsby_telkomuniversity_ac_id/ERi0q1bEbe1Ngq9t1KSmQ4UBOqcayh_qD6sclKawED1QAw?e=mJCLf8" TargetMode="External"/><Relationship Id="rId401" Type="http://schemas.openxmlformats.org/officeDocument/2006/relationships/hyperlink" Target="../../../../../../:b:/g/personal/lppmsby_telkomuniversity_ac_id/EepOgiKAiOpHooq2A9_ZczEBZkfzuKeRqXHYeDsbufWBag?e=aF982d" TargetMode="External"/><Relationship Id="rId422" Type="http://schemas.openxmlformats.org/officeDocument/2006/relationships/hyperlink" Target="../../../../../../:b:/g/personal/lppmsby_telkomuniversity_ac_id/EU3vt_TxBpFPsyS_HgcldjQB58RsuVPYYuGwb9v5E0s4pA?e=gKdMm3" TargetMode="External"/><Relationship Id="rId303" Type="http://schemas.openxmlformats.org/officeDocument/2006/relationships/hyperlink" Target="https://abdimas-ppm.telkomuniversity.ac.id/unduh-pks/2024%2CYtABbejfAMLWboE0" TargetMode="External"/><Relationship Id="rId42" Type="http://schemas.openxmlformats.org/officeDocument/2006/relationships/hyperlink" Target="https://cdn.ittelkom-sby.ac.id/research/z1693382686cc52baf62d7d6399be63450d6cee03b4.pdf" TargetMode="External"/><Relationship Id="rId84" Type="http://schemas.openxmlformats.org/officeDocument/2006/relationships/hyperlink" Target="https://cdn.ittelkom-sby.ac.id/research/z16280546664d89c2d450a8662fb1ee61c1a451ddce.pdf" TargetMode="External"/><Relationship Id="rId138" Type="http://schemas.openxmlformats.org/officeDocument/2006/relationships/hyperlink" Target="https://cdn.ittelkom-sby.ac.id/research/z1626293456a1328cd531e814252b3db4c69412eb58.pdf" TargetMode="External"/><Relationship Id="rId345" Type="http://schemas.openxmlformats.org/officeDocument/2006/relationships/hyperlink" Target="../../../../../../:b:/g/personal/lppmsby_telkomuniversity_ac_id/EVwmRA7tjRxJopgfQ3hlJR4BB4-eVdaa6IfMWYgUFt1Mkw?e=gABkSv" TargetMode="External"/><Relationship Id="rId387" Type="http://schemas.openxmlformats.org/officeDocument/2006/relationships/hyperlink" Target="../../../../../../:b:/g/personal/lppmsby_telkomuniversity_ac_id/ERI4Dq-ymE1AnR1DO6-2viwB9SiIKqQ_G_spfPIErMwZZA?e=1cBfmb" TargetMode="External"/><Relationship Id="rId191" Type="http://schemas.openxmlformats.org/officeDocument/2006/relationships/hyperlink" Target="https://cdn.ittelkom-sby.ac.id/research/z1598425186699b0147ed710a7d3e656d6dfa2cd91c.pdf" TargetMode="External"/><Relationship Id="rId205" Type="http://schemas.openxmlformats.org/officeDocument/2006/relationships/hyperlink" Target="https://cdn.ittelkom-sby.ac.id/research/z1700622087a9dec36cb2754ddebf9e85930ecf2168.pdf" TargetMode="External"/><Relationship Id="rId247" Type="http://schemas.openxmlformats.org/officeDocument/2006/relationships/hyperlink" Target="../../../../../../:b:/g/personal/lppmsby_telkomuniversity_ac_id/EVb9La-U3bFHulRq3l2irPQB2SzX_i2b10ztjiBgZXvzNA?e=5JmsAJ" TargetMode="External"/><Relationship Id="rId412" Type="http://schemas.openxmlformats.org/officeDocument/2006/relationships/hyperlink" Target="../../../../../../:b:/g/personal/lppmsby_telkomuniversity_ac_id/EXDerVDi0BFHhP_2uSVBC-UBvvzb_oXKoi5rrn0x-1Ek2A?e=8MTjA0" TargetMode="External"/><Relationship Id="rId107" Type="http://schemas.openxmlformats.org/officeDocument/2006/relationships/hyperlink" Target="../../../../../../:b:/g/personal/lppmsby_telkomuniversity_ac_id/EXAyge-giRlEkKuhemAxZoIBsQYtEoZIgU3c-CovJUxsXg?e=5pNdrg" TargetMode="External"/><Relationship Id="rId289" Type="http://schemas.openxmlformats.org/officeDocument/2006/relationships/hyperlink" Target="https://abdimas-ppm.telkomuniversity.ac.id/unduh-pks/2024%2CjV8bhHofkHS7GeXB" TargetMode="External"/><Relationship Id="rId11" Type="http://schemas.openxmlformats.org/officeDocument/2006/relationships/hyperlink" Target="https://drive.google.com/file/d/1xogy7NNIe_4vm0YtA55G6X96NJOBXuPA/view?usp=sharing" TargetMode="External"/><Relationship Id="rId53" Type="http://schemas.openxmlformats.org/officeDocument/2006/relationships/hyperlink" Target="https://cdn.ittelkom-sby.ac.id/research/z1654832170d0c25729b5c0a42652957b724d6e01bb.pdf" TargetMode="External"/><Relationship Id="rId149" Type="http://schemas.openxmlformats.org/officeDocument/2006/relationships/hyperlink" Target="https://cdn.ittelkom-sby.ac.id/research/z1626354588a5998d524f6d9f36c717f5033bc74fd7.pdf" TargetMode="External"/><Relationship Id="rId314" Type="http://schemas.openxmlformats.org/officeDocument/2006/relationships/hyperlink" Target="../../../../../../:b:/g/personal/lppmsby_telkomuniversity_ac_id/EVxtmq6OZ3RLmmSPk8PZj-ABdvJry_m3v_-HvazCnRWcjQ?e=ZL2JhQ" TargetMode="External"/><Relationship Id="rId356" Type="http://schemas.openxmlformats.org/officeDocument/2006/relationships/hyperlink" Target="../../../../../../:b:/g/personal/lppmsby_telkomuniversity_ac_id/EbUsRUydFfZCjgHwVN1XItMBoKG6Qxp1YynuvQYt6hxV2Q?e=2e9c26" TargetMode="External"/><Relationship Id="rId398" Type="http://schemas.openxmlformats.org/officeDocument/2006/relationships/hyperlink" Target="../../../../../../:b:/g/personal/lppmsby_telkomuniversity_ac_id/EeEzB74CNDhLt2lgutxVw1sBMdJOSKQX68o0F6Seva428A?e=plP30n" TargetMode="External"/><Relationship Id="rId95" Type="http://schemas.openxmlformats.org/officeDocument/2006/relationships/hyperlink" Target="https://cdn.ittelkom-sby.ac.id/research/z1692014697947b16082af52c05208a586cde7877f3.pdf" TargetMode="External"/><Relationship Id="rId160" Type="http://schemas.openxmlformats.org/officeDocument/2006/relationships/hyperlink" Target="https://cdn.ittelkom-sby.ac.id/research/z1624418291eafb62a8e7fa70b263f66b0ace4d1d8d.pdf" TargetMode="External"/><Relationship Id="rId216" Type="http://schemas.openxmlformats.org/officeDocument/2006/relationships/hyperlink" Target="../../../../../:b:/g/personal/lppm_ittelkom-sby_ac_id/EVmf0qXQaO1LvsHj6UcKHsMBOOYQB9GtgAeVzl_2orTDPg?e=9fZAvL" TargetMode="External"/><Relationship Id="rId423" Type="http://schemas.openxmlformats.org/officeDocument/2006/relationships/hyperlink" Target="../../../../../../:b:/g/personal/lppmsby_telkomuniversity_ac_id/EQN94wRJOXBIuOOd2It758kBBILIGre-hltVUbxRmvaDEw?e=Ya9PDN" TargetMode="External"/><Relationship Id="rId258" Type="http://schemas.openxmlformats.org/officeDocument/2006/relationships/hyperlink" Target="https://abdimas-ppm.telkomuniversity.ac.id/unduh-pks/2024%2Cv5Xehq9p96rrhSMU" TargetMode="External"/><Relationship Id="rId22" Type="http://schemas.openxmlformats.org/officeDocument/2006/relationships/hyperlink" Target="https://cdn.ittelkom-sby.ac.id/research/z16933603004e1c377d9b8b9511800cf89af758f14d.pdf" TargetMode="External"/><Relationship Id="rId64" Type="http://schemas.openxmlformats.org/officeDocument/2006/relationships/hyperlink" Target="https://cdn.ittelkom-sby.ac.id/research/z1663126696dde2e58127bfc8828bb3f8fa5c353430.pdf" TargetMode="External"/><Relationship Id="rId118" Type="http://schemas.openxmlformats.org/officeDocument/2006/relationships/hyperlink" Target="../../../../../../:b:/g/personal/lppmsby_telkomuniversity_ac_id/Ed74m32nVfNEvxlxrETFbZ0BzEf-Nwd-Q1ilqRVBiQ3L8A?e=EbvDNl" TargetMode="External"/><Relationship Id="rId325" Type="http://schemas.openxmlformats.org/officeDocument/2006/relationships/hyperlink" Target="https://abdimas-ppm.telkomuniversity.ac.id/unduh-dokumen-fn/2025%2Ce3Z3H78s4QLTmQDW%2Cinternal%2Cproposal" TargetMode="External"/><Relationship Id="rId367" Type="http://schemas.openxmlformats.org/officeDocument/2006/relationships/hyperlink" Target="../../../../../../:b:/g/personal/lppmsby_telkomuniversity_ac_id/EfnIULnDoGpHqd6tBAPj0oEBA92SoFw5tiiJnbAMODJE1A?e=XxdJMo" TargetMode="External"/><Relationship Id="rId171" Type="http://schemas.openxmlformats.org/officeDocument/2006/relationships/hyperlink" Target="https://cdn.ittelkom-sby.ac.id/research/z16155401822bc2ee9dfbfc0c7c6f605733b67e1baf.pdf" TargetMode="External"/><Relationship Id="rId227" Type="http://schemas.openxmlformats.org/officeDocument/2006/relationships/hyperlink" Target="https://abdimas-ppm.telkomuniversity.ac.id/unduh-pks/2024%2CHtCBKJOlpNTTe3gU" TargetMode="External"/><Relationship Id="rId269" Type="http://schemas.openxmlformats.org/officeDocument/2006/relationships/hyperlink" Target="../../../../../:b:/r/personal/lppm_ittelkom-sby_ac_id/Documents/2023/SK/SK%20LPPM%20Telah%20disahkan/REK.%20165_PNLT1_REK_IX_2023%20Surat%20Keputusan%20Rektor%20Tentang%20Penetapan%20Penerima%20Dan%20Pelaksana%20Pengabdian.pdf?csf=1&amp;web=1&amp;e=HPBTLu" TargetMode="External"/><Relationship Id="rId434" Type="http://schemas.openxmlformats.org/officeDocument/2006/relationships/hyperlink" Target="../../../../../../:b:/g/personal/lppmsby_telkomuniversity_ac_id/EaRSSDe-B4hOv0EOELaxV74BXQKVfo2JJFb5ySbrm4Dn4w?e=av7yb7" TargetMode="External"/><Relationship Id="rId33" Type="http://schemas.openxmlformats.org/officeDocument/2006/relationships/hyperlink" Target="https://cdn.ittelkom-sby.ac.id/research/z16933615170aae51a209e1861fac6c6874e213ceed.pdf" TargetMode="External"/><Relationship Id="rId129" Type="http://schemas.openxmlformats.org/officeDocument/2006/relationships/hyperlink" Target="https://cdn.ittelkom-sby.ac.id/research/z164326963334463df88ad6bc0e93d10e4eec6c09df.pdf" TargetMode="External"/><Relationship Id="rId280" Type="http://schemas.openxmlformats.org/officeDocument/2006/relationships/hyperlink" Target="../../../../../../:b:/g/personal/lppmsby_telkomuniversity_ac_id/ERi0q1bEbe1Ngq9t1KSmQ4UBOqcayh_qD6sclKawED1QAw?e=mJCLf8" TargetMode="External"/><Relationship Id="rId336" Type="http://schemas.openxmlformats.org/officeDocument/2006/relationships/hyperlink" Target="https://abdimas-ppm.telkomuniversity.ac.id/unduh-dokumen-fn/2024%2CGocYU8ySOatmUNEn%2Cinternal%2ClapAkhir" TargetMode="External"/><Relationship Id="rId75" Type="http://schemas.openxmlformats.org/officeDocument/2006/relationships/hyperlink" Target="https://cdn.ittelkom-sby.ac.id/research/z1628053140f0b3864028344aea3ff33da6fb13d37a.pdf" TargetMode="External"/><Relationship Id="rId140" Type="http://schemas.openxmlformats.org/officeDocument/2006/relationships/hyperlink" Target="https://cdn.ittelkom-sby.ac.id/research/z1626421241cdb1174f1223ada1957a384c1aaf93d1.pdf" TargetMode="External"/><Relationship Id="rId182" Type="http://schemas.openxmlformats.org/officeDocument/2006/relationships/hyperlink" Target="https://cdn.ittelkom-sby.ac.id/research/z1634119340b78049b47580e34edff9cb36827410a0.pdf" TargetMode="External"/><Relationship Id="rId378" Type="http://schemas.openxmlformats.org/officeDocument/2006/relationships/hyperlink" Target="../../../../../../:b:/g/personal/lppmsby_telkomuniversity_ac_id/EdevziqswIBHrVkAvZgVqv0BCLNjB__s3S-TPHepjR-cOg?e=ZLFm2u" TargetMode="External"/><Relationship Id="rId403" Type="http://schemas.openxmlformats.org/officeDocument/2006/relationships/hyperlink" Target="../../../../../../:b:/g/personal/lppmsby_telkomuniversity_ac_id/EaGZtlw8Em9Ks_PAIO2b6ogBxTQSBHOMnIB9iJ3C2L0uLQ?e=FZK6w7" TargetMode="External"/><Relationship Id="rId6" Type="http://schemas.openxmlformats.org/officeDocument/2006/relationships/hyperlink" Target="../../../../../:b:/r/personal/lppm_ittelkom-sby_ac_id/Documents/2023/SK/SK%20LPPM%20Telah%20disahkan/REK.%20117_ABDI1_REK_VIII_2023%20Penetapan%20Penerima%20Dan%20Pelaksana%20Pengabdian%20Masyarakat%20Hibah%20Internal%20Batch%202%20Institut%20Teknologi%20Telkom%20Surabaya%20Tahun%20Anggaran%202023.pdf?csf=1&amp;web=1&amp;e=VC0R45" TargetMode="External"/><Relationship Id="rId238" Type="http://schemas.openxmlformats.org/officeDocument/2006/relationships/hyperlink" Target="../../../../../../:b:/g/personal/lppmsby_telkomuniversity_ac_id/EYtz-dA6KNlAmUp8mPXsu98BFZsktLoa5JnJqKGkEXu6hg?e=BvyrPk" TargetMode="External"/><Relationship Id="rId291" Type="http://schemas.openxmlformats.org/officeDocument/2006/relationships/hyperlink" Target="../../../../../../:b:/g/personal/lppmsby_telkomuniversity_ac_id/EWpDxNDFq2JJqdc2Ktxq8nwBjza3cd2hrd9xDZtwv9dNWg?e=UgufvP" TargetMode="External"/><Relationship Id="rId305" Type="http://schemas.openxmlformats.org/officeDocument/2006/relationships/hyperlink" Target="https://abdimas-ppm.telkomuniversity.ac.id/unduh-pks/2024%2CUVJbpIHypdnVtoc6" TargetMode="External"/><Relationship Id="rId347" Type="http://schemas.openxmlformats.org/officeDocument/2006/relationships/hyperlink" Target="../../../../../../:b:/g/personal/lppmsby_telkomuniversity_ac_id/EWFoh2Q0X1RPmH0ECqF_bZcBBsC96t3b7V-KG9fPrQY5fg?e=vLkSFE" TargetMode="External"/><Relationship Id="rId44" Type="http://schemas.openxmlformats.org/officeDocument/2006/relationships/hyperlink" Target="https://cdn.ittelkom-sby.ac.id/research/z1693879966e31d78d44782879ef10b274ca7a2097b.pdf" TargetMode="External"/><Relationship Id="rId86" Type="http://schemas.openxmlformats.org/officeDocument/2006/relationships/hyperlink" Target="https://cdn.ittelkom-sby.ac.id/research/z163349921477c75166197a23e8b8cc687da87f6c76.pdf" TargetMode="External"/><Relationship Id="rId151" Type="http://schemas.openxmlformats.org/officeDocument/2006/relationships/hyperlink" Target="https://cdn.ittelkom-sby.ac.id/research/z1634272513e178e69e0eed22f739b28cadd731edfa.pdf" TargetMode="External"/><Relationship Id="rId389" Type="http://schemas.openxmlformats.org/officeDocument/2006/relationships/hyperlink" Target="../../../../../../:b:/g/personal/lppmsby_telkomuniversity_ac_id/EbT6Wpy_ThtFqcaxjKkR-sYBXnBH6KBsEwsWSjNXk7tOEg?e=LC7VBS" TargetMode="External"/><Relationship Id="rId193" Type="http://schemas.openxmlformats.org/officeDocument/2006/relationships/hyperlink" Target="https://cdn.ittelkom-sby.ac.id/research/z1598426531fd21c478f4cc3b9698bc10c0d310bc11.pdf" TargetMode="External"/><Relationship Id="rId207" Type="http://schemas.openxmlformats.org/officeDocument/2006/relationships/hyperlink" Target="https://drive.google.com/file/d/1rlbxK7n7OgGziP2s6OYVRc1zL5TSIxia/view?usp=sharing" TargetMode="External"/><Relationship Id="rId249" Type="http://schemas.openxmlformats.org/officeDocument/2006/relationships/hyperlink" Target="../../../../../../:b:/g/personal/lppmsby_telkomuniversity_ac_id/Ee5nZvjPCSVNu-vHkTqX91wBxO_-Ic1v0hRmP4FIkDFu5w?e=74xZii" TargetMode="External"/><Relationship Id="rId414" Type="http://schemas.openxmlformats.org/officeDocument/2006/relationships/hyperlink" Target="../../../../../../:b:/g/personal/lppmsby_telkomuniversity_ac_id/Eel4pDM4m0dCnxCeU4utcgcBrr3rLT_LwO4ajmj1Ijzm-w?e=b1caGG" TargetMode="External"/><Relationship Id="rId13" Type="http://schemas.openxmlformats.org/officeDocument/2006/relationships/hyperlink" Target="https://drive.google.com/file/d/17b1Xi3t-8LeWp6X-i8U8Od_yMPjKsqaN/view?usp=sharing" TargetMode="External"/><Relationship Id="rId109" Type="http://schemas.openxmlformats.org/officeDocument/2006/relationships/hyperlink" Target="../../../../../../:b:/g/personal/lppmsby_telkomuniversity_ac_id/ESkURGk7G7JNicVtRCjJE-wBKfJxHN-23jdvx2n_gSnNmg?e=HVKX0f" TargetMode="External"/><Relationship Id="rId260" Type="http://schemas.openxmlformats.org/officeDocument/2006/relationships/hyperlink" Target="https://abdimas-ppm.telkomuniversity.ac.id/unduh-pks/2024%2CYU7INyMEsgBUasF6" TargetMode="External"/><Relationship Id="rId316" Type="http://schemas.openxmlformats.org/officeDocument/2006/relationships/hyperlink" Target="../../../../../../:b:/g/personal/lppmsby_telkomuniversity_ac_id/EU3VitdJ271HnNSowRUIFTUBpXkmEnKtb2WYOAq0zluuNA?e=GKCeMD" TargetMode="External"/><Relationship Id="rId55" Type="http://schemas.openxmlformats.org/officeDocument/2006/relationships/hyperlink" Target="https://cdn.ittelkom-sby.ac.id/research/z1663125252c41d93887c45e272359da60558a43c69.pdf" TargetMode="External"/><Relationship Id="rId97" Type="http://schemas.openxmlformats.org/officeDocument/2006/relationships/hyperlink" Target="../../../../../../:b:/g/personal/lppmsby_telkomuniversity_ac_id/EV_PHc1ZlMBMuz-ExCUEO5EBrzTUkwKSbgZ2pwqFG-7VlQ?e=AOWyMh" TargetMode="External"/><Relationship Id="rId120" Type="http://schemas.openxmlformats.org/officeDocument/2006/relationships/hyperlink" Target="../../../../../../:b:/g/personal/lppmsby_telkomuniversity_ac_id/Eb5QgmBHCb9AsRofBs6NPHQB5ddHF98zz75pI78pbjMKww?e=6shmVS" TargetMode="External"/><Relationship Id="rId358" Type="http://schemas.openxmlformats.org/officeDocument/2006/relationships/hyperlink" Target="../../../../../../:b:/g/personal/lppmsby_telkomuniversity_ac_id/EaXmDyjHgUZAp8PZFaNNU7cBHY7PqMcI2tqsLO0Zf6U11g?e=t75Oio" TargetMode="External"/><Relationship Id="rId162" Type="http://schemas.openxmlformats.org/officeDocument/2006/relationships/hyperlink" Target="https://cdn.ittelkom-sby.ac.id/research/z1632449031ebb440dcdb3a9d246cac0e83a0063a30.pdf" TargetMode="External"/><Relationship Id="rId218" Type="http://schemas.openxmlformats.org/officeDocument/2006/relationships/hyperlink" Target="http://cdndata.telkomuniversity.ac.id/research/z170971848336d2d990d2630cc9492df87c96ab0b05.pdf" TargetMode="External"/><Relationship Id="rId425" Type="http://schemas.openxmlformats.org/officeDocument/2006/relationships/hyperlink" Target="../../../../../../:b:/g/personal/lppmsby_telkomuniversity_ac_id/EUByClN4vLVCvqp_ZMIcmkcBk1btaeo0-Kz70WwxLy3JiA?e=abBDhQ" TargetMode="External"/><Relationship Id="rId271" Type="http://schemas.openxmlformats.org/officeDocument/2006/relationships/hyperlink" Target="../../../../../:b:/g/personal/lppm_ittelkom-sby_ac_id/EQBzmKGIvANFu9TIPElr1goBtKFZzQBz6u8pTvEDCnAtxw?e=8yBNec" TargetMode="External"/><Relationship Id="rId24" Type="http://schemas.openxmlformats.org/officeDocument/2006/relationships/hyperlink" Target="https://cdn.ittelkom-sby.ac.id/research/z16933616697cfdda1616ab11810fd6f873ef7b59df.pdf" TargetMode="External"/><Relationship Id="rId66" Type="http://schemas.openxmlformats.org/officeDocument/2006/relationships/hyperlink" Target="https://cdn.ittelkom-sby.ac.id/research/z16631260913bf6d2e4cc83ce088ce10414a96de560.pdf" TargetMode="External"/><Relationship Id="rId131" Type="http://schemas.openxmlformats.org/officeDocument/2006/relationships/hyperlink" Target="https://cdn.ittelkom-sby.ac.id/research/z165374931023976b653399c7b8c4502f9bbf899915.pdf" TargetMode="External"/><Relationship Id="rId327" Type="http://schemas.openxmlformats.org/officeDocument/2006/relationships/hyperlink" Target="../../../../../../:b:/g/personal/lppmsby_telkomuniversity_ac_id/Edt5iPG5vT1Pn6-jGAvKsM8B4Y0hdfty76I4Nt1rTu2acA?e=910qXr" TargetMode="External"/><Relationship Id="rId369" Type="http://schemas.openxmlformats.org/officeDocument/2006/relationships/hyperlink" Target="../../../../../../:b:/g/personal/lppmsby_telkomuniversity_ac_id/EfNL5aInHqBLjAdQNF45gQsBWnplOkPPiT1k7dEmqyjLfA?e=YLhT9i" TargetMode="External"/><Relationship Id="rId173" Type="http://schemas.openxmlformats.org/officeDocument/2006/relationships/hyperlink" Target="https://cdn.ittelkom-sby.ac.id/research/z1615554777febff2aea61611ec8fc4abf1c73f844f.pdf" TargetMode="External"/><Relationship Id="rId229" Type="http://schemas.openxmlformats.org/officeDocument/2006/relationships/hyperlink" Target="../../../../../../:b:/g/personal/lppmsby_telkomuniversity_ac_id/ESCgrBsoeV9HjPD0qvXHcp8Bl4YkaSjlijbUqxctAz0zVA?e=7wvvhO" TargetMode="External"/><Relationship Id="rId380" Type="http://schemas.openxmlformats.org/officeDocument/2006/relationships/hyperlink" Target="../../../../../../:b:/g/personal/lppmsby_telkomuniversity_ac_id/ETI1pgw6uwtAlLwpwTQ-uhQBysdPqBK8BTsL31kRkFhqgQ?e=O9UoMN" TargetMode="External"/><Relationship Id="rId436" Type="http://schemas.openxmlformats.org/officeDocument/2006/relationships/hyperlink" Target="../../../../../../:b:/g/personal/lppmsby_telkomuniversity_ac_id/EYlf9FvUfGpFuiGb3fFAFjUBpKeEv97c2O0t3I0ksc7L6Q?e=RJhicr" TargetMode="External"/><Relationship Id="rId240" Type="http://schemas.openxmlformats.org/officeDocument/2006/relationships/hyperlink" Target="https://abdimas-ppm.telkomuniversity.ac.id/unduh-pks/2024%2CzO3CiWdABRcykU3K" TargetMode="External"/><Relationship Id="rId35" Type="http://schemas.openxmlformats.org/officeDocument/2006/relationships/hyperlink" Target="https://cdn.ittelkom-sby.ac.id/research/z1693360072f79f9947a356ac4d15f1b240d8322c2c.pdf" TargetMode="External"/><Relationship Id="rId77" Type="http://schemas.openxmlformats.org/officeDocument/2006/relationships/hyperlink" Target="https://cdn.ittelkom-sby.ac.id/research/z1628053055c300781a859366f7a636114d5df55dd5.pdf" TargetMode="External"/><Relationship Id="rId100" Type="http://schemas.openxmlformats.org/officeDocument/2006/relationships/hyperlink" Target="../../../../../../:b:/g/personal/lppmsby_telkomuniversity_ac_id/EUelMnuy8BhPoxvdX734MzgB7BdbICE7lSxzHcPgW3h9DA?e=Ee9uJf" TargetMode="External"/><Relationship Id="rId282" Type="http://schemas.openxmlformats.org/officeDocument/2006/relationships/hyperlink" Target="../../../../../../:b:/g/personal/lppmsby_telkomuniversity_ac_id/ERi0q1bEbe1Ngq9t1KSmQ4UBOqcayh_qD6sclKawED1QAw?e=mJCLf8" TargetMode="External"/><Relationship Id="rId338" Type="http://schemas.openxmlformats.org/officeDocument/2006/relationships/hyperlink" Target="../../../../../../:b:/g/personal/lppmsby_telkomuniversity_ac_id/EaC9g6xWAdVMnksbi5ElDwgBzoz9xQgXDa11vT-LH0JI1w?e=Dgy5d7" TargetMode="External"/><Relationship Id="rId8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142" Type="http://schemas.openxmlformats.org/officeDocument/2006/relationships/hyperlink" Target="Moh.Hamim%20Zajuli%20Al%20Faroby" TargetMode="External"/><Relationship Id="rId184" Type="http://schemas.openxmlformats.org/officeDocument/2006/relationships/hyperlink" Target="https://cdn.ittelkom-sby.ac.id/research/z16339599120a25ac4900cb83d7a6f3e605d80edf2d.pdf" TargetMode="External"/><Relationship Id="rId391" Type="http://schemas.openxmlformats.org/officeDocument/2006/relationships/hyperlink" Target="../../../../../../:b:/g/personal/lppmsby_telkomuniversity_ac_id/ERd8KgqLmH5FvVK_mlvV02YB6cJkrb_Ol9FJO4DYQ73pag?e=O1igqz" TargetMode="External"/><Relationship Id="rId405" Type="http://schemas.openxmlformats.org/officeDocument/2006/relationships/hyperlink" Target="../../../../../../:b:/g/personal/lppmsby_telkomuniversity_ac_id/EVv9i-FFIQJIhhz-zSSfPwEB0X8O3jrhZuwaAaD1xcj1RQ?e=L1QNO7" TargetMode="External"/><Relationship Id="rId251" Type="http://schemas.openxmlformats.org/officeDocument/2006/relationships/hyperlink" Target="../../../../../../:b:/g/personal/lppmsby_telkomuniversity_ac_id/EXMQ_Emk9WhGobTJIXMtZXUB3qbv82eC2_W-527wbCag4Q?e=9XE1pM" TargetMode="External"/><Relationship Id="rId46" Type="http://schemas.openxmlformats.org/officeDocument/2006/relationships/hyperlink" Target="https://cdn.ittelkom-sby.ac.id/research/z1693361439b356de0ebe36889349b73aa62fc3075b.pdf" TargetMode="External"/><Relationship Id="rId293" Type="http://schemas.openxmlformats.org/officeDocument/2006/relationships/hyperlink" Target="../../../../../../:b:/g/personal/lppmsby_telkomuniversity_ac_id/EdrCcIlOHXpMnnsIn3toubwBq0nYsTdtho0NKr_pkJh8Gw?e=ZVZYw7" TargetMode="External"/><Relationship Id="rId307" Type="http://schemas.openxmlformats.org/officeDocument/2006/relationships/hyperlink" Target="https://abdimas-ppm.telkomuniversity.ac.id/unduh-pks/2024%2C01R6qDcPWb3EXVHS" TargetMode="External"/><Relationship Id="rId349" Type="http://schemas.openxmlformats.org/officeDocument/2006/relationships/hyperlink" Target="../../../../../../:b:/g/personal/lppmsby_telkomuniversity_ac_id/Efy93ByN78VJpA6xSGJdJzMBsJG1Q4TV1HGdzfCa7PvF9w?e=AwjKSF" TargetMode="External"/><Relationship Id="rId88" Type="http://schemas.openxmlformats.org/officeDocument/2006/relationships/hyperlink" Target="https://cdn.ittelkom-sby.ac.id/research/z16335064254f3f8d9c0086903b12b3fff3f086ff91.pdf" TargetMode="External"/><Relationship Id="rId111" Type="http://schemas.openxmlformats.org/officeDocument/2006/relationships/hyperlink" Target="../../../../../../:b:/g/personal/lppmsby_telkomuniversity_ac_id/ESn0n52jjxVDu7dATLSEPmQBEi4xzvdRZgEiEvNHaWMIbg?e=aKSodR" TargetMode="External"/><Relationship Id="rId153" Type="http://schemas.openxmlformats.org/officeDocument/2006/relationships/hyperlink" Target="https://cdn.ittelkom-sby.ac.id/research/z16255390580189e3eaf32c85a6c0b6be288d9b8ba7.pdf" TargetMode="External"/><Relationship Id="rId195" Type="http://schemas.openxmlformats.org/officeDocument/2006/relationships/hyperlink" Target="https://drive.google.com/file/d/1t6WzfDG91299Tx5UPFqRBVrJXYCwa9IY/view?usp=sharing" TargetMode="External"/><Relationship Id="rId209" Type="http://schemas.openxmlformats.org/officeDocument/2006/relationships/hyperlink" Target="../../../../../:b:/g/personal/lppm_ittelkom-sby_ac_id/Eaz9x-oj_4NAnjg66YZLgnMBp347kSfRP9j2_r7fjR7HFA?e=XJfexh" TargetMode="External"/><Relationship Id="rId360" Type="http://schemas.openxmlformats.org/officeDocument/2006/relationships/hyperlink" Target="../../../../../../:b:/g/personal/lppmsby_telkomuniversity_ac_id/EW07KBkNyypFodI-G7hzA4cBmeT1apQVv6WZiYLW2sSZyA?e=vPEezq" TargetMode="External"/><Relationship Id="rId416" Type="http://schemas.openxmlformats.org/officeDocument/2006/relationships/hyperlink" Target="../../../../../../:b:/g/personal/lppmsby_telkomuniversity_ac_id/EbNgKMW1SwpIi1GU7vmH_4UBxCSU6AYVVFGJKle5Ay_zsQ?e=U3BiLc" TargetMode="External"/><Relationship Id="rId220" Type="http://schemas.openxmlformats.org/officeDocument/2006/relationships/hyperlink" Target="http://cdndata.telkomuniversity.ac.id/research/z17084913435cd17398cebd083da4fde3adde978861.pdf" TargetMode="External"/><Relationship Id="rId15" Type="http://schemas.openxmlformats.org/officeDocument/2006/relationships/hyperlink" Target="https://drive.google.com/file/d/1EavCAwX21XC_cwdcb_q3271xprhlkUcE/view?usp=sharing" TargetMode="External"/><Relationship Id="rId57" Type="http://schemas.openxmlformats.org/officeDocument/2006/relationships/hyperlink" Target="https://cdn.ittelkom-sby.ac.id/research/z165483276868ef29fa611963f35a64704202150f4d.pdf" TargetMode="External"/><Relationship Id="rId262" Type="http://schemas.openxmlformats.org/officeDocument/2006/relationships/hyperlink" Target="https://abdimas-ppm.telkomuniversity.ac.id/unduh-pks/2024%2CuCiDQ8A7odUVCEt2" TargetMode="External"/><Relationship Id="rId318" Type="http://schemas.openxmlformats.org/officeDocument/2006/relationships/hyperlink" Target="../../../../../../:b:/g/personal/lppmsby_telkomuniversity_ac_id/EeZom-FJEe9IlNI3dlGiG5IBBUZZpWSLiUwKL3VEtNjIdQ?e=6xNFT5" TargetMode="External"/><Relationship Id="rId99" Type="http://schemas.openxmlformats.org/officeDocument/2006/relationships/hyperlink" Target="https://cdn.ittelkom-sby.ac.id/research/z1692599524d3d6e9db686cb3f66763c0880c0dfc83.pdf" TargetMode="External"/><Relationship Id="rId122" Type="http://schemas.openxmlformats.org/officeDocument/2006/relationships/hyperlink" Target="../../../../../../:b:/g/personal/lppmsby_telkomuniversity_ac_id/EddhtkgX88hHmxrgkXZrnPkBG7y07ywkEgrCQ8v9HtGCwg?e=6df5r8" TargetMode="External"/><Relationship Id="rId164" Type="http://schemas.openxmlformats.org/officeDocument/2006/relationships/hyperlink" Target="https://cdn.ittelkom-sby.ac.id/research/z163301594761ae34f96e952cc5c02f628885cc4eba.pdf" TargetMode="External"/><Relationship Id="rId371" Type="http://schemas.openxmlformats.org/officeDocument/2006/relationships/hyperlink" Target="../../../../../../:b:/g/personal/lppmsby_telkomuniversity_ac_id/EVCSQU2eBsRIis8B24FmPgsBHyJQRhJOXx2bhd3NRZ7mbQ?e=gAbhGj" TargetMode="External"/><Relationship Id="rId427" Type="http://schemas.openxmlformats.org/officeDocument/2006/relationships/hyperlink" Target="../../../../../../:b:/g/personal/lppmsby_telkomuniversity_ac_id/EVlw6Fi9O6FKoUFtl50LMv8BQhZntVBLEC1McHy16Kd29w?e=PwXMeG" TargetMode="External"/><Relationship Id="rId26" Type="http://schemas.openxmlformats.org/officeDocument/2006/relationships/hyperlink" Target="https://cdn.ittelkom-sby.ac.id/research/z16933613093b309f4f363696400323228d0c4e2bb8.pdf" TargetMode="External"/><Relationship Id="rId231" Type="http://schemas.openxmlformats.org/officeDocument/2006/relationships/hyperlink" Target="../../../../../../:b:/g/personal/lppmsby_telkomuniversity_ac_id/Eb70bVSA9dxCsv7Hd7R3sigB-aOydAEqRU47XjSS2P_7Cw?e=n2WnsG" TargetMode="External"/><Relationship Id="rId273" Type="http://schemas.openxmlformats.org/officeDocument/2006/relationships/hyperlink" Target="../../../../../../:b:/g/personal/lppmsby_telkomuniversity_ac_id/EX8ayukAGzhHo0pYxOVxVVsBlRKdJdwUm39ODXbR84Xxtg?e=Tv8RoY" TargetMode="External"/><Relationship Id="rId329" Type="http://schemas.openxmlformats.org/officeDocument/2006/relationships/hyperlink" Target="../../../../../../:b:/g/personal/lppmsby_telkomuniversity_ac_id/ET9wUN9F8kxGkyI_1hAtvzABjInt7AjfKn1nqMGfPHIubQ?e=ZKgs98" TargetMode="External"/><Relationship Id="rId68" Type="http://schemas.openxmlformats.org/officeDocument/2006/relationships/hyperlink" Target="https://cdn.ittelkom-sby.ac.id/research/z166312714810937d7477396e633d5134cf512ad242.pdf" TargetMode="External"/><Relationship Id="rId133" Type="http://schemas.openxmlformats.org/officeDocument/2006/relationships/hyperlink" Target="https://cdn.ittelkom-sby.ac.id/research/z1636983826bd07008bef0eda3148896bc3a24e9a4f.pdf" TargetMode="External"/><Relationship Id="rId175" Type="http://schemas.openxmlformats.org/officeDocument/2006/relationships/hyperlink" Target="https://cdn.ittelkom-sby.ac.id/research/z16155172840021e3531a98ee1b508662186a07df41.pdf" TargetMode="External"/><Relationship Id="rId340" Type="http://schemas.openxmlformats.org/officeDocument/2006/relationships/hyperlink" Target="../../../../../../:b:/g/personal/lppmsby_telkomuniversity_ac_id/ETMHkXsCrOxIjPseMLN9i7gBEzwTxSAMV9xwcTDqsNBSZw?e=m1Cnzf" TargetMode="External"/><Relationship Id="rId200" Type="http://schemas.openxmlformats.org/officeDocument/2006/relationships/hyperlink" Target="../../../../../:b:/g/personal/lppm_ittelkom-sby_ac_id/EfhiDdlst-FClblDuQEXT-EBm3IuL0FOi-HitoiUpUP0HA?e=1isve7" TargetMode="External"/><Relationship Id="rId382" Type="http://schemas.openxmlformats.org/officeDocument/2006/relationships/hyperlink" Target="../../../../../../:b:/g/personal/lppmsby_telkomuniversity_ac_id/EfTuA03Z67BJkQQqK49OPVQB6GX17CjyAdok4BFbqv3pmg?e=Qk6GZg" TargetMode="External"/><Relationship Id="rId438" Type="http://schemas.openxmlformats.org/officeDocument/2006/relationships/vmlDrawing" Target="../drawings/vmlDrawing5.vml"/><Relationship Id="rId242" Type="http://schemas.openxmlformats.org/officeDocument/2006/relationships/hyperlink" Target="../../../../../../:b:/g/personal/lppmsby_telkomuniversity_ac_id/EXuWe5uTmNhFg1_F4CR7fFMBStDLuMnelJu-NRR987R2PA?e=3aKuUz" TargetMode="External"/><Relationship Id="rId284" Type="http://schemas.openxmlformats.org/officeDocument/2006/relationships/hyperlink" Target="../../../../../../:b:/g/personal/lppmsby_telkomuniversity_ac_id/ERi0q1bEbe1Ngq9t1KSmQ4UBOqcayh_qD6sclKawED1QAw?e=mJCLf8" TargetMode="External"/><Relationship Id="rId37" Type="http://schemas.openxmlformats.org/officeDocument/2006/relationships/hyperlink" Target="https://cdn.ittelkom-sby.ac.id/research/z169387990386b421112081461254204132b9d3597a.pdf" TargetMode="External"/><Relationship Id="rId79" Type="http://schemas.openxmlformats.org/officeDocument/2006/relationships/hyperlink" Target="https://cdn.ittelkom-sby.ac.id/research/z16280532228f1fb2823b430629bf47e70b23d5a2c0.pdf" TargetMode="External"/><Relationship Id="rId102" Type="http://schemas.openxmlformats.org/officeDocument/2006/relationships/hyperlink" Target="../../../../../../:b:/g/personal/lppmsby_telkomuniversity_ac_id/EUpe5gRMcaVHl9VhcFTCPr0Bv8sjstC2wfu0C2Molzat1Q?e=4Dgsmx" TargetMode="External"/><Relationship Id="rId144" Type="http://schemas.openxmlformats.org/officeDocument/2006/relationships/hyperlink" Target="https://cdn.ittelkom-sby.ac.id/research/z1626431096110c2c8e5a026f56ae9a5cbc4d2d4103.pdf" TargetMode="External"/><Relationship Id="rId90" Type="http://schemas.openxmlformats.org/officeDocument/2006/relationships/hyperlink" Target="https://cdn.ittelkom-sby.ac.id/research/z16280523832b7f5a71f25aed00443d22ae04e5ae5b.pdf" TargetMode="External"/><Relationship Id="rId186" Type="http://schemas.openxmlformats.org/officeDocument/2006/relationships/hyperlink" Target="https://cdn.ittelkom-sby.ac.id/research/z16353003339689d2f1bba8c00d7c4f2428335a91f9.pdf" TargetMode="External"/><Relationship Id="rId351" Type="http://schemas.openxmlformats.org/officeDocument/2006/relationships/hyperlink" Target="../../../../../../:b:/g/personal/lppmsby_telkomuniversity_ac_id/EXZoLebfLANKoY-WwVQBMjYB5dDOnIYPSks9cTE5JxxIpw?e=cPCjDS" TargetMode="External"/><Relationship Id="rId393" Type="http://schemas.openxmlformats.org/officeDocument/2006/relationships/hyperlink" Target="../../../../../../:b:/g/personal/lppmsby_telkomuniversity_ac_id/EdE1wgHiIvVAiU-83BhtDhEBaaEg0Xuv9XnwYauG3HO6Sw?e=nkqktz" TargetMode="External"/><Relationship Id="rId407" Type="http://schemas.openxmlformats.org/officeDocument/2006/relationships/hyperlink" Target="https://cdn.ittelkom-sby.ac.id/research/z1694520872527ac157f5839ef2cd84bf1ce5c9c50c.pdf" TargetMode="External"/><Relationship Id="rId211" Type="http://schemas.openxmlformats.org/officeDocument/2006/relationships/hyperlink" Target="../../../../../:b:/r/personal/lppm_ittelkom-sby_ac_id/Documents/2023/SK/SK%20LPPM%20Telah%20disahkan/REK.%20092_ABDI1_REK_VII_2023%20Penetapan%20Penerima%20dan%20Pelaksana%20Pengabdian%20Masyarakat%20Penugasan%20Institut%20Teknologi%20Telkom%20Surabaya%20Tahun%202023.pdf?csf=1&amp;web=1&amp;e=cRhvIG" TargetMode="External"/><Relationship Id="rId253" Type="http://schemas.openxmlformats.org/officeDocument/2006/relationships/hyperlink" Target="https://abdimas-ppm.telkomuniversity.ac.id/unduh-pks/2024%2CGocYU8ySOatmUNEn" TargetMode="External"/><Relationship Id="rId295" Type="http://schemas.openxmlformats.org/officeDocument/2006/relationships/hyperlink" Target="../../../../../../:b:/g/personal/lppmsby_telkomuniversity_ac_id/EahLc0zuHy1MuCrqBTCTlS0BgdHMuqx-VyUWdMv7BQINxQ?e=WAJX74" TargetMode="External"/><Relationship Id="rId309" Type="http://schemas.openxmlformats.org/officeDocument/2006/relationships/hyperlink" Target="../../../../../../:b:/g/personal/lppmsby_telkomuniversity_ac_id/EcEzfOmHFmRFiG4JHriIXqcBB449vT50AkgWgo0VXWGWjg?e=tLcyit" TargetMode="External"/><Relationship Id="rId48" Type="http://schemas.openxmlformats.org/officeDocument/2006/relationships/hyperlink" Target="https://cdn.ittelkom-sby.ac.id/research/z170167484087bde8ad1400ab47f7fcccd68be7a1dc.pdf" TargetMode="External"/><Relationship Id="rId113" Type="http://schemas.openxmlformats.org/officeDocument/2006/relationships/hyperlink" Target="../../../../../../:b:/g/personal/lppmsby_telkomuniversity_ac_id/EdN1h4aMj7JOjwvGlivtKokBLg1LN0rOX1KAloYBXBXqwg?e=oQoxuB" TargetMode="External"/><Relationship Id="rId320" Type="http://schemas.openxmlformats.org/officeDocument/2006/relationships/hyperlink" Target="../../../../../../:b:/g/personal/lppmsby_telkomuniversity_ac_id/EZd-2HTyzwpBtLAcepj6k00Bg5Rrx-7jFvT5yHKx3cng4A?e=D92edV" TargetMode="External"/><Relationship Id="rId155" Type="http://schemas.openxmlformats.org/officeDocument/2006/relationships/hyperlink" Target="https://cdn.ittelkom-sby.ac.id/research/z16262438691853d909b91bad7063a298b31ec05057.pdf" TargetMode="External"/><Relationship Id="rId197" Type="http://schemas.openxmlformats.org/officeDocument/2006/relationships/hyperlink" Target="https://drive.google.com/file/d/1yCSp1LzQx1L-ax4eyplF9Kha5xkA9_nA/view" TargetMode="External"/><Relationship Id="rId362" Type="http://schemas.openxmlformats.org/officeDocument/2006/relationships/hyperlink" Target="../../../../../../:b:/g/personal/lppmsby_telkomuniversity_ac_id/ERkdKtGkB1ZNnmWYDXT4CGwBVcOA-ZOOx8ueQinZWhx-Fw?e=cpmc3C" TargetMode="External"/><Relationship Id="rId418" Type="http://schemas.openxmlformats.org/officeDocument/2006/relationships/hyperlink" Target="../../../../../../:b:/g/personal/lppmsby_telkomuniversity_ac_id/EQcMzJMhPHdEksLot4GQQEYBQK9ELqTMOu-0u_P0IG9qYQ?e=RkCsOn" TargetMode="External"/><Relationship Id="rId222" Type="http://schemas.openxmlformats.org/officeDocument/2006/relationships/hyperlink" Target="http://cdndata.telkomuniversity.ac.id/research/z1708098508cd91991370e2f0066b69b024c72f945f.pdf" TargetMode="External"/><Relationship Id="rId264" Type="http://schemas.openxmlformats.org/officeDocument/2006/relationships/hyperlink" Target="https://abdimas-ppm.telkomuniversity.ac.id/unduh-pks/2024%2CWe7PpqJrOqoxByqL" TargetMode="External"/><Relationship Id="rId17" Type="http://schemas.openxmlformats.org/officeDocument/2006/relationships/hyperlink" Target="https://drive.google.com/file/d/1DfoKl33q2Z6klF4C9MJmSHLBCiUsjDSL/view?usp=sharing" TargetMode="External"/><Relationship Id="rId59" Type="http://schemas.openxmlformats.org/officeDocument/2006/relationships/hyperlink" Target="https://cdn.ittelkom-sby.ac.id/research/z1654832399365e19c03374e597c9538293176f74cf.pdf" TargetMode="External"/><Relationship Id="rId124" Type="http://schemas.openxmlformats.org/officeDocument/2006/relationships/hyperlink" Target="https://cdn.ittelkom-sby.ac.id/research/z1694503117438936e3250779de32f57778fabbf2c7.pdf" TargetMode="External"/><Relationship Id="rId70" Type="http://schemas.openxmlformats.org/officeDocument/2006/relationships/hyperlink" Target="https://cdn.ittelkom-sby.ac.id/research/z166312628625704775749a1e6ce4bd00618491da20.pdf" TargetMode="External"/><Relationship Id="rId166" Type="http://schemas.openxmlformats.org/officeDocument/2006/relationships/hyperlink" Target="https://cdn.ittelkom-sby.ac.id/research/z1615521059906638642f3a42908d7c9b7eb93bd231.pdf" TargetMode="External"/><Relationship Id="rId331" Type="http://schemas.openxmlformats.org/officeDocument/2006/relationships/hyperlink" Target="../../../../../../:b:/g/personal/lppmsby_telkomuniversity_ac_id/Eb6ZZJb07LNLgIhLMw_72lUB8O7NnHLb4Dy4tfPnYBM6WA?e=3kcPUz" TargetMode="External"/><Relationship Id="rId373" Type="http://schemas.openxmlformats.org/officeDocument/2006/relationships/hyperlink" Target="../../../../../../:b:/g/personal/lppmsby_telkomuniversity_ac_id/EfYZdD-xuFhGpd2HCiKUyWABndOFt8bLwQ7U2FSsImWtOQ?e=XDQNY7" TargetMode="External"/><Relationship Id="rId429" Type="http://schemas.openxmlformats.org/officeDocument/2006/relationships/hyperlink" Target="../../../../../../:b:/g/personal/lppmsby_telkomuniversity_ac_id/EUdhx2zxsW5MtiGL1bb9puUBwt2qR7xu6xqelkMVPagcgg?e=dEiWeG" TargetMode="External"/><Relationship Id="rId1" Type="http://schemas.openxmlformats.org/officeDocument/2006/relationships/hyperlink" Target="../../../../../:b:/r/personal/lppm_ittelkom-sby_ac_id/Documents/2023/SK/SK%20LPPM%20Telah%20disahkan/REK.%20025_ABDI1_REK_II_2023%20Penetapan%20Penerima%20Dan%20Pelaksana%20Pengabdian%20Masyarakat%20Hibah%20Internal%20Institut%20Teknologi%20Telkom%20Surabaya%20Tahun%20Anggaran%202023.pdf?csf=1&amp;web=1&amp;e=PbmSL1" TargetMode="External"/><Relationship Id="rId233" Type="http://schemas.openxmlformats.org/officeDocument/2006/relationships/hyperlink" Target="../../../../../../:b:/g/personal/lppmsby_telkomuniversity_ac_id/EYaA2S6Be3NCj-XKuxa9f-YBHqqe6JZfJCDTP_xW8q-8Fg?e=V9YCNi" TargetMode="External"/><Relationship Id="rId440" Type="http://schemas.openxmlformats.org/officeDocument/2006/relationships/comments" Target="../comments5.xml"/><Relationship Id="rId28" Type="http://schemas.openxmlformats.org/officeDocument/2006/relationships/hyperlink" Target="https://cdn.ittelkom-sby.ac.id/research/z16933623122d081db2111ab3299e9ac9264972c23f.pdf" TargetMode="External"/><Relationship Id="rId275" Type="http://schemas.openxmlformats.org/officeDocument/2006/relationships/hyperlink" Target="../../../../../../:b:/g/personal/lppmsby_telkomuniversity_ac_id/EeoctB97DZBLvHLvNN2T01oB5eE5knOfGDcsLgyT9oY53Q?e=1DFYWe" TargetMode="External"/><Relationship Id="rId300" Type="http://schemas.openxmlformats.org/officeDocument/2006/relationships/hyperlink" Target="../../../../../../:b:/g/personal/lppmsby_telkomuniversity_ac_id/EeQNo0MDmdZIuQsR1m-zfZkBDQxnecu7qND5um9R8V6veg?e=Zuyx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39997558519241921"/>
  </sheetPr>
  <dimension ref="A1:AW780"/>
  <sheetViews>
    <sheetView workbookViewId="0">
      <selection sqref="A1:H1"/>
    </sheetView>
  </sheetViews>
  <sheetFormatPr defaultColWidth="9.109375" defaultRowHeight="14.4"/>
  <cols>
    <col min="1" max="1" width="62.5546875" style="2" customWidth="1"/>
    <col min="2" max="3" width="30.6640625" style="2" customWidth="1"/>
    <col min="4" max="4" width="24.6640625" style="5" customWidth="1"/>
    <col min="5" max="5" width="22.88671875" style="5" customWidth="1"/>
    <col min="6" max="6" width="15.88671875" style="30" customWidth="1"/>
    <col min="7" max="7" width="17.88671875" style="30" customWidth="1"/>
    <col min="8" max="8" width="18.44140625" style="437" customWidth="1"/>
    <col min="9" max="9" width="28.88671875" style="2" customWidth="1"/>
    <col min="10" max="10" width="14.109375" style="3" customWidth="1"/>
    <col min="11" max="11" width="13.6640625" style="3" customWidth="1"/>
    <col min="12" max="12" width="10.109375" style="3" customWidth="1"/>
    <col min="13" max="13" width="20.109375" style="3" customWidth="1"/>
    <col min="14" max="14" width="21" style="2" customWidth="1"/>
    <col min="15" max="15" width="10.6640625" style="3" customWidth="1"/>
    <col min="16" max="16" width="22" style="3" customWidth="1"/>
    <col min="17" max="17" width="11.6640625" style="3" customWidth="1"/>
    <col min="18" max="18" width="14.88671875" style="3" customWidth="1"/>
    <col min="19" max="19" width="20.33203125" style="2" customWidth="1"/>
    <col min="20" max="20" width="9" style="3" customWidth="1"/>
    <col min="21" max="21" width="19.6640625" style="2" customWidth="1"/>
    <col min="22" max="22" width="12.5546875" style="2" customWidth="1"/>
    <col min="23" max="23" width="14.44140625" style="2" customWidth="1"/>
    <col min="24" max="24" width="23.109375" style="2" customWidth="1"/>
    <col min="25" max="25" width="10" style="3" customWidth="1"/>
    <col min="26" max="26" width="24.33203125" style="2" customWidth="1"/>
    <col min="27" max="27" width="12.33203125" style="2" customWidth="1"/>
    <col min="28" max="28" width="14.109375" style="2" customWidth="1"/>
    <col min="29" max="29" width="19.44140625" style="2" customWidth="1"/>
    <col min="30" max="30" width="10" style="3" customWidth="1"/>
    <col min="31" max="31" width="24.33203125" style="2" customWidth="1"/>
    <col min="32" max="32" width="12.33203125" style="2" customWidth="1"/>
    <col min="33" max="33" width="15.109375" style="2" customWidth="1"/>
    <col min="34" max="34" width="21.44140625" style="2" customWidth="1"/>
    <col min="35" max="35" width="10" style="2" customWidth="1"/>
    <col min="36" max="36" width="25.33203125" style="2" customWidth="1"/>
    <col min="37" max="37" width="14" style="2" customWidth="1"/>
    <col min="38" max="38" width="14.33203125" style="2" bestFit="1" customWidth="1"/>
    <col min="39" max="39" width="19" style="2" customWidth="1"/>
    <col min="40" max="40" width="12.44140625" style="2" customWidth="1"/>
    <col min="41" max="41" width="17" style="2" customWidth="1"/>
    <col min="42" max="42" width="13" style="2" customWidth="1"/>
    <col min="43" max="43" width="15.6640625" style="2" bestFit="1" customWidth="1"/>
    <col min="44" max="44" width="23.88671875" style="2" customWidth="1"/>
    <col min="45" max="45" width="11.44140625" style="2" bestFit="1" customWidth="1"/>
    <col min="46" max="46" width="35.6640625" style="2" customWidth="1"/>
    <col min="47" max="47" width="13" style="2" customWidth="1"/>
    <col min="48" max="48" width="12.44140625" style="2" customWidth="1"/>
    <col min="49" max="16384" width="9.109375" style="30"/>
  </cols>
  <sheetData>
    <row r="1" spans="1:48">
      <c r="A1" s="796" t="s">
        <v>219</v>
      </c>
      <c r="B1" s="802"/>
      <c r="C1" s="802"/>
      <c r="D1" s="802"/>
      <c r="E1" s="802"/>
      <c r="F1" s="802"/>
      <c r="G1" s="802"/>
      <c r="H1" s="803"/>
      <c r="I1" s="799" t="s">
        <v>220</v>
      </c>
      <c r="J1" s="800"/>
      <c r="K1" s="800"/>
      <c r="L1" s="800"/>
      <c r="M1" s="801"/>
      <c r="N1" s="796" t="s">
        <v>221</v>
      </c>
      <c r="O1" s="797"/>
      <c r="P1" s="797"/>
      <c r="Q1" s="797"/>
      <c r="R1" s="798"/>
      <c r="S1" s="799" t="s">
        <v>222</v>
      </c>
      <c r="T1" s="800"/>
      <c r="U1" s="800"/>
      <c r="V1" s="800"/>
      <c r="W1" s="801"/>
      <c r="X1" s="796" t="s">
        <v>223</v>
      </c>
      <c r="Y1" s="797"/>
      <c r="Z1" s="797"/>
      <c r="AA1" s="797"/>
      <c r="AB1" s="798"/>
      <c r="AC1" s="799" t="s">
        <v>224</v>
      </c>
      <c r="AD1" s="800"/>
      <c r="AE1" s="800"/>
      <c r="AF1" s="800"/>
      <c r="AG1" s="801"/>
      <c r="AH1" s="796" t="s">
        <v>225</v>
      </c>
      <c r="AI1" s="797"/>
      <c r="AJ1" s="797"/>
      <c r="AK1" s="797"/>
      <c r="AL1" s="798"/>
      <c r="AM1" s="799" t="s">
        <v>226</v>
      </c>
      <c r="AN1" s="800"/>
      <c r="AO1" s="800"/>
      <c r="AP1" s="800"/>
      <c r="AQ1" s="801"/>
      <c r="AR1" s="796" t="s">
        <v>227</v>
      </c>
      <c r="AS1" s="797"/>
      <c r="AT1" s="797"/>
      <c r="AU1" s="797"/>
      <c r="AV1" s="798"/>
    </row>
    <row r="2" spans="1:48">
      <c r="A2" s="411" t="s">
        <v>228</v>
      </c>
      <c r="B2" s="412" t="s">
        <v>229</v>
      </c>
      <c r="C2" s="412" t="s">
        <v>230</v>
      </c>
      <c r="D2" s="412" t="s">
        <v>231</v>
      </c>
      <c r="E2" s="412" t="s">
        <v>232</v>
      </c>
      <c r="F2" s="412" t="s">
        <v>233</v>
      </c>
      <c r="G2" s="412" t="s">
        <v>234</v>
      </c>
      <c r="H2" s="430" t="s">
        <v>235</v>
      </c>
      <c r="I2" s="413" t="s">
        <v>236</v>
      </c>
      <c r="J2" s="413" t="s">
        <v>237</v>
      </c>
      <c r="K2" s="413" t="s">
        <v>238</v>
      </c>
      <c r="L2" s="413" t="s">
        <v>239</v>
      </c>
      <c r="M2" s="413" t="s">
        <v>150</v>
      </c>
      <c r="N2" s="412" t="s">
        <v>240</v>
      </c>
      <c r="O2" s="412" t="s">
        <v>241</v>
      </c>
      <c r="P2" s="412" t="s">
        <v>242</v>
      </c>
      <c r="Q2" s="412" t="s">
        <v>243</v>
      </c>
      <c r="R2" s="412" t="s">
        <v>244</v>
      </c>
      <c r="S2" s="413" t="s">
        <v>245</v>
      </c>
      <c r="T2" s="413" t="s">
        <v>246</v>
      </c>
      <c r="U2" s="413" t="s">
        <v>247</v>
      </c>
      <c r="V2" s="413" t="s">
        <v>248</v>
      </c>
      <c r="W2" s="413" t="s">
        <v>249</v>
      </c>
      <c r="X2" s="412" t="s">
        <v>250</v>
      </c>
      <c r="Y2" s="412" t="s">
        <v>251</v>
      </c>
      <c r="Z2" s="412" t="s">
        <v>252</v>
      </c>
      <c r="AA2" s="412" t="s">
        <v>253</v>
      </c>
      <c r="AB2" s="412" t="s">
        <v>254</v>
      </c>
      <c r="AC2" s="413" t="s">
        <v>255</v>
      </c>
      <c r="AD2" s="413" t="s">
        <v>256</v>
      </c>
      <c r="AE2" s="413" t="s">
        <v>257</v>
      </c>
      <c r="AF2" s="413" t="s">
        <v>258</v>
      </c>
      <c r="AG2" s="413" t="s">
        <v>259</v>
      </c>
      <c r="AH2" s="412" t="s">
        <v>260</v>
      </c>
      <c r="AI2" s="412" t="s">
        <v>261</v>
      </c>
      <c r="AJ2" s="412" t="s">
        <v>262</v>
      </c>
      <c r="AK2" s="412" t="s">
        <v>263</v>
      </c>
      <c r="AL2" s="412" t="s">
        <v>264</v>
      </c>
      <c r="AM2" s="413" t="s">
        <v>265</v>
      </c>
      <c r="AN2" s="413" t="s">
        <v>266</v>
      </c>
      <c r="AO2" s="413" t="s">
        <v>267</v>
      </c>
      <c r="AP2" s="413" t="s">
        <v>268</v>
      </c>
      <c r="AQ2" s="413" t="s">
        <v>269</v>
      </c>
      <c r="AR2" s="412" t="s">
        <v>270</v>
      </c>
      <c r="AS2" s="412" t="s">
        <v>271</v>
      </c>
      <c r="AT2" s="412" t="s">
        <v>272</v>
      </c>
      <c r="AU2" s="412" t="s">
        <v>273</v>
      </c>
      <c r="AV2" s="414" t="s">
        <v>274</v>
      </c>
    </row>
    <row r="3" spans="1:48" ht="43.2" hidden="1">
      <c r="A3" s="394" t="s">
        <v>275</v>
      </c>
      <c r="B3" s="375" t="s">
        <v>276</v>
      </c>
      <c r="C3" s="375"/>
      <c r="D3" s="395" t="s">
        <v>277</v>
      </c>
      <c r="E3" s="395"/>
      <c r="F3" s="372"/>
      <c r="G3" s="372"/>
      <c r="H3" s="431">
        <v>2021</v>
      </c>
      <c r="I3" s="375" t="s">
        <v>278</v>
      </c>
      <c r="J3" s="374"/>
      <c r="K3" s="374"/>
      <c r="L3" s="374" t="s">
        <v>279</v>
      </c>
      <c r="M3" s="373" t="s">
        <v>280</v>
      </c>
      <c r="N3" s="375" t="s">
        <v>278</v>
      </c>
      <c r="O3" s="374" t="s">
        <v>279</v>
      </c>
      <c r="P3" s="373" t="s">
        <v>280</v>
      </c>
      <c r="Q3" s="374"/>
      <c r="R3" s="374"/>
      <c r="S3" s="375" t="s">
        <v>281</v>
      </c>
      <c r="T3" s="374"/>
      <c r="U3" s="374" t="s">
        <v>282</v>
      </c>
      <c r="V3" s="375"/>
      <c r="W3" s="375"/>
      <c r="X3" s="375" t="s">
        <v>283</v>
      </c>
      <c r="Y3" s="374"/>
      <c r="Z3" s="374" t="s">
        <v>282</v>
      </c>
      <c r="AA3" s="375"/>
      <c r="AB3" s="375"/>
      <c r="AC3" s="375"/>
      <c r="AD3" s="374"/>
      <c r="AE3" s="375"/>
      <c r="AF3" s="375"/>
      <c r="AG3" s="375"/>
      <c r="AH3" s="375"/>
      <c r="AI3" s="375"/>
      <c r="AJ3" s="375"/>
      <c r="AK3" s="375"/>
      <c r="AL3" s="375"/>
      <c r="AM3" s="375"/>
      <c r="AN3" s="375"/>
      <c r="AO3" s="375"/>
      <c r="AP3" s="375"/>
      <c r="AQ3" s="375"/>
      <c r="AR3" s="375"/>
      <c r="AS3" s="375"/>
      <c r="AT3" s="375"/>
      <c r="AU3" s="375"/>
      <c r="AV3" s="376"/>
    </row>
    <row r="4" spans="1:48" ht="28.8" hidden="1">
      <c r="A4" s="137" t="s">
        <v>284</v>
      </c>
      <c r="B4" s="36" t="s">
        <v>285</v>
      </c>
      <c r="C4" s="36"/>
      <c r="D4" s="35" t="s">
        <v>286</v>
      </c>
      <c r="E4" s="35"/>
      <c r="F4" s="35"/>
      <c r="G4" s="35"/>
      <c r="H4" s="432">
        <v>2021</v>
      </c>
      <c r="I4" s="36" t="s">
        <v>287</v>
      </c>
      <c r="J4" s="94"/>
      <c r="K4" s="94"/>
      <c r="L4" s="94"/>
      <c r="M4" s="94" t="s">
        <v>282</v>
      </c>
      <c r="N4" s="36" t="s">
        <v>287</v>
      </c>
      <c r="O4" s="94"/>
      <c r="P4" s="94" t="s">
        <v>282</v>
      </c>
      <c r="Q4" s="94"/>
      <c r="R4" s="94"/>
      <c r="S4" s="36" t="s">
        <v>281</v>
      </c>
      <c r="T4" s="94"/>
      <c r="U4" s="94" t="s">
        <v>282</v>
      </c>
      <c r="V4" s="36"/>
      <c r="W4" s="36"/>
      <c r="X4" s="36" t="s">
        <v>278</v>
      </c>
      <c r="Y4" s="94" t="s">
        <v>279</v>
      </c>
      <c r="Z4" s="380" t="s">
        <v>280</v>
      </c>
      <c r="AA4" s="36"/>
      <c r="AB4" s="36"/>
      <c r="AC4" s="36"/>
      <c r="AD4" s="94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81"/>
    </row>
    <row r="5" spans="1:48" ht="28.8" hidden="1">
      <c r="A5" s="394" t="s">
        <v>288</v>
      </c>
      <c r="B5" s="375" t="s">
        <v>289</v>
      </c>
      <c r="C5" s="375"/>
      <c r="D5" s="395" t="s">
        <v>286</v>
      </c>
      <c r="E5" s="395"/>
      <c r="F5" s="372"/>
      <c r="G5" s="372"/>
      <c r="H5" s="431">
        <v>2021</v>
      </c>
      <c r="I5" s="375" t="s">
        <v>290</v>
      </c>
      <c r="J5" s="374"/>
      <c r="K5" s="374"/>
      <c r="L5" s="374"/>
      <c r="M5" s="374" t="s">
        <v>282</v>
      </c>
      <c r="N5" s="375" t="s">
        <v>290</v>
      </c>
      <c r="O5" s="374"/>
      <c r="P5" s="374" t="s">
        <v>282</v>
      </c>
      <c r="Q5" s="374"/>
      <c r="R5" s="374"/>
      <c r="S5" s="375" t="s">
        <v>278</v>
      </c>
      <c r="T5" s="374" t="s">
        <v>279</v>
      </c>
      <c r="U5" s="373" t="s">
        <v>280</v>
      </c>
      <c r="V5" s="375"/>
      <c r="W5" s="375"/>
      <c r="X5" s="375"/>
      <c r="Y5" s="374"/>
      <c r="Z5" s="375"/>
      <c r="AA5" s="375"/>
      <c r="AB5" s="375"/>
      <c r="AC5" s="375"/>
      <c r="AD5" s="374"/>
      <c r="AE5" s="375"/>
      <c r="AF5" s="375"/>
      <c r="AG5" s="375"/>
      <c r="AH5" s="375"/>
      <c r="AI5" s="375"/>
      <c r="AJ5" s="375"/>
      <c r="AK5" s="375"/>
      <c r="AL5" s="375"/>
      <c r="AM5" s="375"/>
      <c r="AN5" s="375"/>
      <c r="AO5" s="375"/>
      <c r="AP5" s="375"/>
      <c r="AQ5" s="375"/>
      <c r="AR5" s="375"/>
      <c r="AS5" s="375"/>
      <c r="AT5" s="375"/>
      <c r="AU5" s="375"/>
      <c r="AV5" s="376"/>
    </row>
    <row r="6" spans="1:48" ht="28.8" hidden="1">
      <c r="A6" s="137" t="s">
        <v>291</v>
      </c>
      <c r="B6" s="36" t="s">
        <v>292</v>
      </c>
      <c r="C6" s="36"/>
      <c r="D6" s="35" t="s">
        <v>286</v>
      </c>
      <c r="E6" s="35"/>
      <c r="F6" s="20"/>
      <c r="G6" s="20"/>
      <c r="H6" s="432">
        <v>2021</v>
      </c>
      <c r="I6" s="36" t="s">
        <v>293</v>
      </c>
      <c r="J6" s="94"/>
      <c r="K6" s="94"/>
      <c r="L6" s="94"/>
      <c r="M6" s="94" t="s">
        <v>282</v>
      </c>
      <c r="N6" s="36" t="s">
        <v>293</v>
      </c>
      <c r="O6" s="94"/>
      <c r="P6" s="94" t="s">
        <v>282</v>
      </c>
      <c r="Q6" s="94"/>
      <c r="R6" s="94"/>
      <c r="S6" s="36" t="s">
        <v>278</v>
      </c>
      <c r="T6" s="94" t="s">
        <v>279</v>
      </c>
      <c r="U6" s="380" t="s">
        <v>280</v>
      </c>
      <c r="V6" s="36"/>
      <c r="W6" s="36"/>
      <c r="X6" s="36"/>
      <c r="Y6" s="94"/>
      <c r="Z6" s="36"/>
      <c r="AA6" s="36"/>
      <c r="AB6" s="36"/>
      <c r="AC6" s="36"/>
      <c r="AD6" s="94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81"/>
    </row>
    <row r="7" spans="1:48" ht="28.8" hidden="1">
      <c r="A7" s="394" t="s">
        <v>294</v>
      </c>
      <c r="B7" s="375" t="s">
        <v>295</v>
      </c>
      <c r="C7" s="375"/>
      <c r="D7" s="395" t="s">
        <v>286</v>
      </c>
      <c r="E7" s="395"/>
      <c r="F7" s="372"/>
      <c r="G7" s="372"/>
      <c r="H7" s="431">
        <v>2021</v>
      </c>
      <c r="I7" s="375" t="s">
        <v>296</v>
      </c>
      <c r="J7" s="374"/>
      <c r="K7" s="374"/>
      <c r="L7" s="374"/>
      <c r="M7" s="374" t="s">
        <v>282</v>
      </c>
      <c r="N7" s="375" t="s">
        <v>296</v>
      </c>
      <c r="O7" s="374"/>
      <c r="P7" s="374" t="s">
        <v>282</v>
      </c>
      <c r="Q7" s="374"/>
      <c r="R7" s="374"/>
      <c r="S7" s="375" t="s">
        <v>278</v>
      </c>
      <c r="T7" s="374" t="s">
        <v>279</v>
      </c>
      <c r="U7" s="373" t="s">
        <v>280</v>
      </c>
      <c r="V7" s="375"/>
      <c r="W7" s="375"/>
      <c r="X7" s="375"/>
      <c r="Y7" s="374"/>
      <c r="Z7" s="375"/>
      <c r="AA7" s="375"/>
      <c r="AB7" s="375"/>
      <c r="AC7" s="375"/>
      <c r="AD7" s="374"/>
      <c r="AE7" s="375"/>
      <c r="AF7" s="375"/>
      <c r="AG7" s="375"/>
      <c r="AH7" s="375"/>
      <c r="AI7" s="375"/>
      <c r="AJ7" s="375"/>
      <c r="AK7" s="375"/>
      <c r="AL7" s="375"/>
      <c r="AM7" s="375"/>
      <c r="AN7" s="375"/>
      <c r="AO7" s="375"/>
      <c r="AP7" s="375"/>
      <c r="AQ7" s="375"/>
      <c r="AR7" s="375"/>
      <c r="AS7" s="375"/>
      <c r="AT7" s="375"/>
      <c r="AU7" s="375"/>
      <c r="AV7" s="376"/>
    </row>
    <row r="8" spans="1:48" ht="28.8" hidden="1">
      <c r="A8" s="137" t="s">
        <v>297</v>
      </c>
      <c r="B8" s="36" t="s">
        <v>298</v>
      </c>
      <c r="C8" s="36"/>
      <c r="D8" s="35" t="s">
        <v>286</v>
      </c>
      <c r="E8" s="35"/>
      <c r="F8" s="20"/>
      <c r="G8" s="20"/>
      <c r="H8" s="432">
        <v>2021</v>
      </c>
      <c r="I8" s="36" t="s">
        <v>299</v>
      </c>
      <c r="J8" s="94"/>
      <c r="K8" s="94"/>
      <c r="L8" s="94"/>
      <c r="M8" s="94" t="s">
        <v>282</v>
      </c>
      <c r="N8" s="36" t="s">
        <v>299</v>
      </c>
      <c r="O8" s="94"/>
      <c r="P8" s="94" t="s">
        <v>282</v>
      </c>
      <c r="Q8" s="94"/>
      <c r="R8" s="94"/>
      <c r="S8" s="36" t="s">
        <v>278</v>
      </c>
      <c r="T8" s="94" t="s">
        <v>279</v>
      </c>
      <c r="U8" s="380" t="s">
        <v>280</v>
      </c>
      <c r="V8" s="36"/>
      <c r="W8" s="36"/>
      <c r="X8" s="36"/>
      <c r="Y8" s="94"/>
      <c r="Z8" s="36"/>
      <c r="AA8" s="36"/>
      <c r="AB8" s="36"/>
      <c r="AC8" s="36"/>
      <c r="AD8" s="94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81"/>
    </row>
    <row r="9" spans="1:48" ht="28.8" hidden="1">
      <c r="A9" s="394" t="s">
        <v>300</v>
      </c>
      <c r="B9" s="375" t="s">
        <v>301</v>
      </c>
      <c r="C9" s="375"/>
      <c r="D9" s="395" t="s">
        <v>302</v>
      </c>
      <c r="E9" s="370" t="s">
        <v>303</v>
      </c>
      <c r="F9" s="372"/>
      <c r="G9" s="372"/>
      <c r="H9" s="431">
        <v>2021</v>
      </c>
      <c r="I9" s="375" t="s">
        <v>278</v>
      </c>
      <c r="J9" s="374"/>
      <c r="K9" s="374"/>
      <c r="L9" s="374" t="s">
        <v>279</v>
      </c>
      <c r="M9" s="373" t="s">
        <v>280</v>
      </c>
      <c r="N9" s="375" t="s">
        <v>278</v>
      </c>
      <c r="O9" s="374" t="s">
        <v>279</v>
      </c>
      <c r="P9" s="373" t="s">
        <v>280</v>
      </c>
      <c r="Q9" s="374"/>
      <c r="R9" s="374"/>
      <c r="S9" s="375" t="s">
        <v>281</v>
      </c>
      <c r="T9" s="374"/>
      <c r="U9" s="374" t="s">
        <v>282</v>
      </c>
      <c r="V9" s="375"/>
      <c r="W9" s="375"/>
      <c r="X9" s="375"/>
      <c r="Y9" s="374"/>
      <c r="Z9" s="375"/>
      <c r="AA9" s="375"/>
      <c r="AB9" s="375"/>
      <c r="AC9" s="375"/>
      <c r="AD9" s="374"/>
      <c r="AE9" s="375"/>
      <c r="AF9" s="375"/>
      <c r="AG9" s="375"/>
      <c r="AH9" s="375"/>
      <c r="AI9" s="375"/>
      <c r="AJ9" s="375"/>
      <c r="AK9" s="375"/>
      <c r="AL9" s="375"/>
      <c r="AM9" s="375"/>
      <c r="AN9" s="375"/>
      <c r="AO9" s="375"/>
      <c r="AP9" s="375"/>
      <c r="AQ9" s="375"/>
      <c r="AR9" s="375"/>
      <c r="AS9" s="375"/>
      <c r="AT9" s="375"/>
      <c r="AU9" s="375"/>
      <c r="AV9" s="376"/>
    </row>
    <row r="10" spans="1:48" ht="43.2" hidden="1">
      <c r="A10" s="137" t="s">
        <v>304</v>
      </c>
      <c r="B10" s="36" t="s">
        <v>305</v>
      </c>
      <c r="C10" s="36"/>
      <c r="D10" s="35" t="s">
        <v>306</v>
      </c>
      <c r="E10" s="75" t="s">
        <v>303</v>
      </c>
      <c r="F10" s="20"/>
      <c r="G10" s="20"/>
      <c r="H10" s="432">
        <v>2021</v>
      </c>
      <c r="I10" s="36" t="s">
        <v>307</v>
      </c>
      <c r="J10" s="94"/>
      <c r="K10" s="94"/>
      <c r="L10" s="94"/>
      <c r="M10" s="94" t="s">
        <v>308</v>
      </c>
      <c r="N10" s="36" t="s">
        <v>307</v>
      </c>
      <c r="O10" s="94"/>
      <c r="P10" s="94" t="s">
        <v>308</v>
      </c>
      <c r="Q10" s="94"/>
      <c r="R10" s="94"/>
      <c r="S10" s="36" t="s">
        <v>60</v>
      </c>
      <c r="T10" s="94" t="s">
        <v>309</v>
      </c>
      <c r="U10" s="380" t="s">
        <v>280</v>
      </c>
      <c r="V10" s="36"/>
      <c r="W10" s="36"/>
      <c r="X10" s="36" t="s">
        <v>310</v>
      </c>
      <c r="Y10" s="94"/>
      <c r="Z10" s="36" t="s">
        <v>308</v>
      </c>
      <c r="AA10" s="36"/>
      <c r="AB10" s="36"/>
      <c r="AC10" s="36"/>
      <c r="AD10" s="94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81"/>
    </row>
    <row r="11" spans="1:48" ht="43.2" hidden="1">
      <c r="A11" s="394" t="s">
        <v>311</v>
      </c>
      <c r="B11" s="375" t="s">
        <v>312</v>
      </c>
      <c r="C11" s="375"/>
      <c r="D11" s="395" t="s">
        <v>313</v>
      </c>
      <c r="E11" s="395"/>
      <c r="F11" s="372"/>
      <c r="G11" s="372"/>
      <c r="H11" s="431">
        <v>2021</v>
      </c>
      <c r="I11" s="375" t="s">
        <v>314</v>
      </c>
      <c r="J11" s="374"/>
      <c r="K11" s="374"/>
      <c r="L11" s="374"/>
      <c r="M11" s="374" t="s">
        <v>315</v>
      </c>
      <c r="N11" s="375" t="s">
        <v>60</v>
      </c>
      <c r="O11" s="374" t="s">
        <v>309</v>
      </c>
      <c r="P11" s="373" t="s">
        <v>280</v>
      </c>
      <c r="Q11" s="374"/>
      <c r="R11" s="374"/>
      <c r="S11" s="375" t="s">
        <v>12</v>
      </c>
      <c r="T11" s="374" t="s">
        <v>309</v>
      </c>
      <c r="U11" s="373" t="s">
        <v>280</v>
      </c>
      <c r="V11" s="375"/>
      <c r="W11" s="375"/>
      <c r="X11" s="375" t="s">
        <v>314</v>
      </c>
      <c r="Y11" s="374"/>
      <c r="Z11" s="374" t="s">
        <v>315</v>
      </c>
      <c r="AA11" s="375"/>
      <c r="AB11" s="375"/>
      <c r="AC11" s="375" t="s">
        <v>316</v>
      </c>
      <c r="AD11" s="374"/>
      <c r="AE11" s="374" t="s">
        <v>315</v>
      </c>
      <c r="AF11" s="375"/>
      <c r="AG11" s="375"/>
      <c r="AH11" s="375" t="s">
        <v>317</v>
      </c>
      <c r="AI11" s="375"/>
      <c r="AJ11" s="374" t="s">
        <v>315</v>
      </c>
      <c r="AK11" s="375"/>
      <c r="AL11" s="375"/>
      <c r="AM11" s="375" t="s">
        <v>318</v>
      </c>
      <c r="AN11" s="375"/>
      <c r="AO11" s="374" t="s">
        <v>315</v>
      </c>
      <c r="AP11" s="375"/>
      <c r="AQ11" s="375"/>
      <c r="AR11" s="375"/>
      <c r="AS11" s="375"/>
      <c r="AT11" s="375"/>
      <c r="AU11" s="375"/>
      <c r="AV11" s="376"/>
    </row>
    <row r="12" spans="1:48" ht="28.8" hidden="1">
      <c r="A12" s="137" t="s">
        <v>319</v>
      </c>
      <c r="B12" s="36" t="s">
        <v>320</v>
      </c>
      <c r="C12" s="36"/>
      <c r="D12" s="35" t="s">
        <v>321</v>
      </c>
      <c r="E12" s="75" t="s">
        <v>303</v>
      </c>
      <c r="F12" s="20"/>
      <c r="G12" s="20"/>
      <c r="H12" s="432">
        <v>2021</v>
      </c>
      <c r="I12" s="36"/>
      <c r="J12" s="94"/>
      <c r="K12" s="94"/>
      <c r="L12" s="94"/>
      <c r="M12" s="94"/>
      <c r="N12" s="36" t="s">
        <v>60</v>
      </c>
      <c r="O12" s="94" t="s">
        <v>309</v>
      </c>
      <c r="P12" s="380" t="s">
        <v>280</v>
      </c>
      <c r="Q12" s="94"/>
      <c r="R12" s="94"/>
      <c r="S12" s="36" t="s">
        <v>322</v>
      </c>
      <c r="T12" s="94" t="s">
        <v>309</v>
      </c>
      <c r="U12" s="380" t="s">
        <v>280</v>
      </c>
      <c r="V12" s="36"/>
      <c r="W12" s="36"/>
      <c r="X12" s="36" t="s">
        <v>191</v>
      </c>
      <c r="Y12" s="94" t="s">
        <v>309</v>
      </c>
      <c r="Z12" s="380" t="s">
        <v>280</v>
      </c>
      <c r="AA12" s="36"/>
      <c r="AB12" s="36"/>
      <c r="AC12" s="36" t="s">
        <v>323</v>
      </c>
      <c r="AD12" s="94" t="s">
        <v>309</v>
      </c>
      <c r="AE12" s="380" t="s">
        <v>280</v>
      </c>
      <c r="AF12" s="36"/>
      <c r="AG12" s="36"/>
      <c r="AH12" s="36" t="s">
        <v>324</v>
      </c>
      <c r="AI12" s="94" t="s">
        <v>309</v>
      </c>
      <c r="AJ12" s="380" t="s">
        <v>280</v>
      </c>
      <c r="AK12" s="36"/>
      <c r="AL12" s="36"/>
      <c r="AM12" s="36" t="s">
        <v>325</v>
      </c>
      <c r="AN12" s="94" t="s">
        <v>309</v>
      </c>
      <c r="AO12" s="380" t="s">
        <v>280</v>
      </c>
      <c r="AP12" s="36"/>
      <c r="AQ12" s="36"/>
      <c r="AR12" s="36"/>
      <c r="AS12" s="36"/>
      <c r="AT12" s="36"/>
      <c r="AU12" s="36"/>
      <c r="AV12" s="381"/>
    </row>
    <row r="13" spans="1:48" hidden="1">
      <c r="A13" s="394" t="s">
        <v>326</v>
      </c>
      <c r="B13" s="375" t="s">
        <v>327</v>
      </c>
      <c r="C13" s="375"/>
      <c r="D13" s="395" t="s">
        <v>328</v>
      </c>
      <c r="E13" s="395"/>
      <c r="F13" s="372"/>
      <c r="G13" s="372"/>
      <c r="H13" s="431">
        <v>2021</v>
      </c>
      <c r="I13" s="375"/>
      <c r="J13" s="374"/>
      <c r="K13" s="374"/>
      <c r="L13" s="374"/>
      <c r="M13" s="374"/>
      <c r="N13" s="375" t="s">
        <v>329</v>
      </c>
      <c r="O13" s="374"/>
      <c r="P13" s="374"/>
      <c r="Q13" s="374"/>
      <c r="R13" s="374"/>
      <c r="S13" s="375" t="s">
        <v>330</v>
      </c>
      <c r="T13" s="374"/>
      <c r="U13" s="375"/>
      <c r="V13" s="375"/>
      <c r="W13" s="375"/>
      <c r="X13" s="375" t="s">
        <v>331</v>
      </c>
      <c r="Y13" s="374"/>
      <c r="Z13" s="375"/>
      <c r="AA13" s="375"/>
      <c r="AB13" s="375"/>
      <c r="AC13" s="375" t="s">
        <v>332</v>
      </c>
      <c r="AD13" s="374"/>
      <c r="AE13" s="375"/>
      <c r="AF13" s="375"/>
      <c r="AG13" s="375"/>
      <c r="AH13" s="375" t="s">
        <v>333</v>
      </c>
      <c r="AI13" s="375"/>
      <c r="AJ13" s="375"/>
      <c r="AK13" s="375"/>
      <c r="AL13" s="375"/>
      <c r="AM13" s="375" t="s">
        <v>334</v>
      </c>
      <c r="AN13" s="375"/>
      <c r="AO13" s="375"/>
      <c r="AP13" s="375"/>
      <c r="AQ13" s="375"/>
      <c r="AR13" s="375" t="s">
        <v>26</v>
      </c>
      <c r="AS13" s="374" t="s">
        <v>162</v>
      </c>
      <c r="AT13" s="373" t="s">
        <v>280</v>
      </c>
      <c r="AU13" s="375"/>
      <c r="AV13" s="376"/>
    </row>
    <row r="14" spans="1:48" hidden="1">
      <c r="A14" s="137" t="s">
        <v>335</v>
      </c>
      <c r="B14" s="36" t="s">
        <v>327</v>
      </c>
      <c r="C14" s="36"/>
      <c r="D14" s="35" t="s">
        <v>328</v>
      </c>
      <c r="E14" s="35"/>
      <c r="F14" s="20"/>
      <c r="G14" s="20"/>
      <c r="H14" s="432">
        <v>2021</v>
      </c>
      <c r="I14" s="36"/>
      <c r="J14" s="94"/>
      <c r="K14" s="94"/>
      <c r="L14" s="94"/>
      <c r="M14" s="94"/>
      <c r="N14" s="36" t="s">
        <v>336</v>
      </c>
      <c r="O14" s="94"/>
      <c r="P14" s="94"/>
      <c r="Q14" s="94"/>
      <c r="R14" s="94"/>
      <c r="S14" s="36" t="s">
        <v>337</v>
      </c>
      <c r="T14" s="94"/>
      <c r="U14" s="36"/>
      <c r="V14" s="36"/>
      <c r="W14" s="36"/>
      <c r="X14" s="36" t="s">
        <v>338</v>
      </c>
      <c r="Y14" s="94"/>
      <c r="Z14" s="36"/>
      <c r="AA14" s="36"/>
      <c r="AB14" s="36"/>
      <c r="AC14" s="36" t="s">
        <v>339</v>
      </c>
      <c r="AD14" s="94"/>
      <c r="AE14" s="36"/>
      <c r="AF14" s="36"/>
      <c r="AG14" s="36"/>
      <c r="AH14" s="36" t="s">
        <v>340</v>
      </c>
      <c r="AI14" s="36"/>
      <c r="AJ14" s="36"/>
      <c r="AK14" s="36"/>
      <c r="AL14" s="36"/>
      <c r="AM14" s="36" t="s">
        <v>341</v>
      </c>
      <c r="AN14" s="36"/>
      <c r="AO14" s="36"/>
      <c r="AP14" s="36"/>
      <c r="AQ14" s="36"/>
      <c r="AR14" s="36" t="s">
        <v>26</v>
      </c>
      <c r="AS14" s="94" t="s">
        <v>162</v>
      </c>
      <c r="AT14" s="380" t="s">
        <v>280</v>
      </c>
      <c r="AU14" s="36"/>
      <c r="AV14" s="381"/>
    </row>
    <row r="15" spans="1:48" hidden="1">
      <c r="A15" s="394" t="s">
        <v>342</v>
      </c>
      <c r="B15" s="375" t="s">
        <v>327</v>
      </c>
      <c r="C15" s="375"/>
      <c r="D15" s="395" t="s">
        <v>328</v>
      </c>
      <c r="E15" s="395"/>
      <c r="F15" s="372"/>
      <c r="G15" s="372"/>
      <c r="H15" s="431">
        <v>2021</v>
      </c>
      <c r="I15" s="375"/>
      <c r="J15" s="374"/>
      <c r="K15" s="374"/>
      <c r="L15" s="374"/>
      <c r="M15" s="374"/>
      <c r="N15" s="375" t="s">
        <v>343</v>
      </c>
      <c r="O15" s="374"/>
      <c r="P15" s="374"/>
      <c r="Q15" s="374"/>
      <c r="R15" s="374"/>
      <c r="S15" s="375" t="s">
        <v>344</v>
      </c>
      <c r="T15" s="374"/>
      <c r="U15" s="375"/>
      <c r="V15" s="375"/>
      <c r="W15" s="375"/>
      <c r="X15" s="375" t="s">
        <v>345</v>
      </c>
      <c r="Y15" s="374"/>
      <c r="Z15" s="375"/>
      <c r="AA15" s="375"/>
      <c r="AB15" s="375"/>
      <c r="AC15" s="375" t="s">
        <v>346</v>
      </c>
      <c r="AD15" s="374"/>
      <c r="AE15" s="375"/>
      <c r="AF15" s="375"/>
      <c r="AG15" s="375"/>
      <c r="AH15" s="375" t="s">
        <v>26</v>
      </c>
      <c r="AI15" s="374" t="s">
        <v>162</v>
      </c>
      <c r="AJ15" s="373" t="s">
        <v>280</v>
      </c>
      <c r="AK15" s="375"/>
      <c r="AL15" s="375"/>
      <c r="AM15" s="375" t="s">
        <v>347</v>
      </c>
      <c r="AN15" s="375"/>
      <c r="AO15" s="375"/>
      <c r="AP15" s="375"/>
      <c r="AQ15" s="375"/>
      <c r="AR15" s="375" t="s">
        <v>348</v>
      </c>
      <c r="AS15" s="375"/>
      <c r="AT15" s="375"/>
      <c r="AU15" s="375"/>
      <c r="AV15" s="376"/>
    </row>
    <row r="16" spans="1:48" ht="28.8" hidden="1">
      <c r="A16" s="137" t="s">
        <v>349</v>
      </c>
      <c r="B16" s="36" t="s">
        <v>350</v>
      </c>
      <c r="C16" s="36"/>
      <c r="D16" s="35" t="s">
        <v>321</v>
      </c>
      <c r="E16" s="75" t="s">
        <v>303</v>
      </c>
      <c r="F16" s="20"/>
      <c r="G16" s="20"/>
      <c r="H16" s="432">
        <v>2021</v>
      </c>
      <c r="I16" s="36"/>
      <c r="J16" s="94"/>
      <c r="K16" s="94"/>
      <c r="L16" s="94"/>
      <c r="M16" s="94"/>
      <c r="N16" s="36" t="s">
        <v>26</v>
      </c>
      <c r="O16" s="94" t="s">
        <v>162</v>
      </c>
      <c r="P16" s="380" t="s">
        <v>280</v>
      </c>
      <c r="Q16" s="94"/>
      <c r="R16" s="94"/>
      <c r="S16" s="36" t="s">
        <v>11</v>
      </c>
      <c r="T16" s="94" t="s">
        <v>162</v>
      </c>
      <c r="U16" s="380" t="s">
        <v>280</v>
      </c>
      <c r="V16" s="36"/>
      <c r="W16" s="36"/>
      <c r="X16" s="36" t="s">
        <v>40</v>
      </c>
      <c r="Y16" s="94" t="s">
        <v>351</v>
      </c>
      <c r="Z16" s="380" t="s">
        <v>280</v>
      </c>
      <c r="AA16" s="36"/>
      <c r="AB16" s="36"/>
      <c r="AC16" s="36" t="s">
        <v>352</v>
      </c>
      <c r="AD16" s="94" t="s">
        <v>353</v>
      </c>
      <c r="AE16" s="380" t="s">
        <v>280</v>
      </c>
      <c r="AF16" s="36"/>
      <c r="AG16" s="36"/>
      <c r="AH16" s="36" t="s">
        <v>354</v>
      </c>
      <c r="AI16" s="94" t="s">
        <v>162</v>
      </c>
      <c r="AJ16" s="380" t="s">
        <v>280</v>
      </c>
      <c r="AK16" s="36"/>
      <c r="AL16" s="36"/>
      <c r="AM16" s="36" t="s">
        <v>355</v>
      </c>
      <c r="AN16" s="94" t="s">
        <v>162</v>
      </c>
      <c r="AO16" s="380" t="s">
        <v>280</v>
      </c>
      <c r="AP16" s="36"/>
      <c r="AQ16" s="36"/>
      <c r="AR16" s="36"/>
      <c r="AS16" s="36"/>
      <c r="AT16" s="36"/>
      <c r="AU16" s="36"/>
      <c r="AV16" s="381"/>
    </row>
    <row r="17" spans="1:49" ht="43.2" hidden="1">
      <c r="A17" s="394" t="s">
        <v>356</v>
      </c>
      <c r="B17" s="375" t="s">
        <v>357</v>
      </c>
      <c r="C17" s="375"/>
      <c r="D17" s="395" t="s">
        <v>286</v>
      </c>
      <c r="E17" s="395"/>
      <c r="F17" s="372"/>
      <c r="G17" s="372"/>
      <c r="H17" s="431">
        <v>2021</v>
      </c>
      <c r="I17" s="375" t="s">
        <v>352</v>
      </c>
      <c r="J17" s="374"/>
      <c r="K17" s="374"/>
      <c r="L17" s="374" t="s">
        <v>353</v>
      </c>
      <c r="M17" s="373" t="s">
        <v>280</v>
      </c>
      <c r="N17" s="375" t="s">
        <v>352</v>
      </c>
      <c r="O17" s="374" t="s">
        <v>353</v>
      </c>
      <c r="P17" s="373" t="s">
        <v>280</v>
      </c>
      <c r="Q17" s="374"/>
      <c r="R17" s="374"/>
      <c r="S17" s="375" t="s">
        <v>26</v>
      </c>
      <c r="T17" s="374" t="s">
        <v>162</v>
      </c>
      <c r="U17" s="373" t="s">
        <v>280</v>
      </c>
      <c r="V17" s="375"/>
      <c r="W17" s="375"/>
      <c r="X17" s="375"/>
      <c r="Y17" s="374"/>
      <c r="Z17" s="375"/>
      <c r="AA17" s="375"/>
      <c r="AB17" s="375"/>
      <c r="AC17" s="375"/>
      <c r="AD17" s="374"/>
      <c r="AE17" s="375"/>
      <c r="AF17" s="375"/>
      <c r="AG17" s="375"/>
      <c r="AH17" s="375"/>
      <c r="AI17" s="375"/>
      <c r="AJ17" s="375"/>
      <c r="AK17" s="375"/>
      <c r="AL17" s="375"/>
      <c r="AM17" s="375"/>
      <c r="AN17" s="375"/>
      <c r="AO17" s="375"/>
      <c r="AP17" s="375"/>
      <c r="AQ17" s="375"/>
      <c r="AR17" s="375"/>
      <c r="AS17" s="375"/>
      <c r="AT17" s="375"/>
      <c r="AU17" s="375"/>
      <c r="AV17" s="376"/>
    </row>
    <row r="18" spans="1:49" ht="43.2" hidden="1">
      <c r="A18" s="137" t="s">
        <v>358</v>
      </c>
      <c r="B18" s="36" t="s">
        <v>359</v>
      </c>
      <c r="C18" s="36"/>
      <c r="D18" s="35" t="s">
        <v>321</v>
      </c>
      <c r="E18" s="75" t="s">
        <v>303</v>
      </c>
      <c r="F18" s="20"/>
      <c r="G18" s="20"/>
      <c r="H18" s="432">
        <v>2021</v>
      </c>
      <c r="I18" s="36" t="s">
        <v>26</v>
      </c>
      <c r="J18" s="94"/>
      <c r="K18" s="94"/>
      <c r="L18" s="94" t="s">
        <v>162</v>
      </c>
      <c r="M18" s="380" t="s">
        <v>280</v>
      </c>
      <c r="N18" s="36" t="s">
        <v>26</v>
      </c>
      <c r="O18" s="94" t="s">
        <v>162</v>
      </c>
      <c r="P18" s="380" t="s">
        <v>280</v>
      </c>
      <c r="Q18" s="94"/>
      <c r="R18" s="94"/>
      <c r="S18" s="36" t="s">
        <v>355</v>
      </c>
      <c r="T18" s="94"/>
      <c r="U18" s="380" t="s">
        <v>280</v>
      </c>
      <c r="V18" s="36"/>
      <c r="W18" s="36"/>
      <c r="X18" s="36" t="s">
        <v>360</v>
      </c>
      <c r="Y18" s="94"/>
      <c r="Z18" s="380" t="s">
        <v>280</v>
      </c>
      <c r="AA18" s="36"/>
      <c r="AB18" s="36"/>
      <c r="AC18" s="36"/>
      <c r="AD18" s="94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81"/>
    </row>
    <row r="19" spans="1:49" ht="43.2" hidden="1">
      <c r="A19" s="394" t="s">
        <v>361</v>
      </c>
      <c r="B19" s="375" t="s">
        <v>362</v>
      </c>
      <c r="C19" s="375"/>
      <c r="D19" s="395" t="s">
        <v>286</v>
      </c>
      <c r="E19" s="395"/>
      <c r="F19" s="372"/>
      <c r="G19" s="372"/>
      <c r="H19" s="431">
        <v>2021</v>
      </c>
      <c r="I19" s="375"/>
      <c r="J19" s="374"/>
      <c r="K19" s="374"/>
      <c r="L19" s="374"/>
      <c r="M19" s="374"/>
      <c r="N19" s="375" t="s">
        <v>26</v>
      </c>
      <c r="O19" s="374" t="s">
        <v>162</v>
      </c>
      <c r="P19" s="373" t="s">
        <v>280</v>
      </c>
      <c r="Q19" s="374"/>
      <c r="R19" s="374"/>
      <c r="S19" s="375" t="s">
        <v>363</v>
      </c>
      <c r="T19" s="374"/>
      <c r="U19" s="374" t="s">
        <v>364</v>
      </c>
      <c r="V19" s="375"/>
      <c r="W19" s="375"/>
      <c r="X19" s="375" t="s">
        <v>365</v>
      </c>
      <c r="Y19" s="374"/>
      <c r="Z19" s="373" t="s">
        <v>366</v>
      </c>
      <c r="AA19" s="375"/>
      <c r="AB19" s="375"/>
      <c r="AC19" s="375" t="s">
        <v>11</v>
      </c>
      <c r="AD19" s="374" t="s">
        <v>162</v>
      </c>
      <c r="AE19" s="373" t="s">
        <v>280</v>
      </c>
      <c r="AF19" s="375"/>
      <c r="AG19" s="375"/>
      <c r="AH19" s="375"/>
      <c r="AI19" s="375"/>
      <c r="AJ19" s="375"/>
      <c r="AK19" s="375"/>
      <c r="AL19" s="375"/>
      <c r="AM19" s="375"/>
      <c r="AN19" s="375"/>
      <c r="AO19" s="375"/>
      <c r="AP19" s="375"/>
      <c r="AQ19" s="375"/>
      <c r="AR19" s="375"/>
      <c r="AS19" s="375"/>
      <c r="AT19" s="375"/>
      <c r="AU19" s="375"/>
      <c r="AV19" s="376"/>
    </row>
    <row r="20" spans="1:49" ht="57.6" hidden="1">
      <c r="A20" s="137" t="s">
        <v>367</v>
      </c>
      <c r="B20" s="36" t="s">
        <v>368</v>
      </c>
      <c r="C20" s="36"/>
      <c r="D20" s="35" t="s">
        <v>277</v>
      </c>
      <c r="E20" s="35"/>
      <c r="F20" s="20"/>
      <c r="G20" s="20"/>
      <c r="H20" s="432">
        <v>2021</v>
      </c>
      <c r="I20" s="36"/>
      <c r="J20" s="94"/>
      <c r="K20" s="94"/>
      <c r="L20" s="94"/>
      <c r="M20" s="94"/>
      <c r="N20" s="36" t="s">
        <v>369</v>
      </c>
      <c r="O20" s="94" t="s">
        <v>353</v>
      </c>
      <c r="P20" s="380" t="s">
        <v>280</v>
      </c>
      <c r="Q20" s="94"/>
      <c r="R20" s="94"/>
      <c r="S20" s="36" t="s">
        <v>370</v>
      </c>
      <c r="T20" s="94"/>
      <c r="U20" s="94" t="s">
        <v>371</v>
      </c>
      <c r="V20" s="36"/>
      <c r="W20" s="36"/>
      <c r="X20" s="36"/>
      <c r="Y20" s="94"/>
      <c r="Z20" s="36"/>
      <c r="AA20" s="36"/>
      <c r="AB20" s="36"/>
      <c r="AC20" s="36"/>
      <c r="AD20" s="94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81"/>
    </row>
    <row r="21" spans="1:49" ht="43.2" hidden="1">
      <c r="A21" s="394" t="s">
        <v>372</v>
      </c>
      <c r="B21" s="375" t="s">
        <v>373</v>
      </c>
      <c r="C21" s="375"/>
      <c r="D21" s="395" t="s">
        <v>374</v>
      </c>
      <c r="E21" s="370" t="s">
        <v>303</v>
      </c>
      <c r="F21" s="372"/>
      <c r="G21" s="372"/>
      <c r="H21" s="431">
        <v>2021</v>
      </c>
      <c r="I21" s="375" t="s">
        <v>375</v>
      </c>
      <c r="J21" s="374"/>
      <c r="K21" s="374"/>
      <c r="L21" s="374"/>
      <c r="M21" s="374" t="s">
        <v>376</v>
      </c>
      <c r="N21" s="375" t="s">
        <v>375</v>
      </c>
      <c r="O21" s="374"/>
      <c r="P21" s="374" t="s">
        <v>376</v>
      </c>
      <c r="Q21" s="374"/>
      <c r="R21" s="374"/>
      <c r="S21" s="375" t="s">
        <v>40</v>
      </c>
      <c r="T21" s="374" t="s">
        <v>351</v>
      </c>
      <c r="U21" s="373" t="s">
        <v>280</v>
      </c>
      <c r="V21" s="375"/>
      <c r="W21" s="375"/>
      <c r="X21" s="375" t="s">
        <v>377</v>
      </c>
      <c r="Y21" s="374"/>
      <c r="Z21" s="374" t="s">
        <v>376</v>
      </c>
      <c r="AA21" s="375"/>
      <c r="AB21" s="375"/>
      <c r="AC21" s="375"/>
      <c r="AD21" s="374"/>
      <c r="AE21" s="375"/>
      <c r="AF21" s="375"/>
      <c r="AG21" s="375"/>
      <c r="AH21" s="375"/>
      <c r="AI21" s="375"/>
      <c r="AJ21" s="375"/>
      <c r="AK21" s="375"/>
      <c r="AL21" s="375"/>
      <c r="AM21" s="375"/>
      <c r="AN21" s="375"/>
      <c r="AO21" s="375"/>
      <c r="AP21" s="375"/>
      <c r="AQ21" s="375"/>
      <c r="AR21" s="375"/>
      <c r="AS21" s="375"/>
      <c r="AT21" s="375"/>
      <c r="AU21" s="375"/>
      <c r="AV21" s="376"/>
    </row>
    <row r="22" spans="1:49" ht="43.2" hidden="1">
      <c r="A22" s="137" t="s">
        <v>378</v>
      </c>
      <c r="B22" s="36" t="s">
        <v>379</v>
      </c>
      <c r="C22" s="36"/>
      <c r="D22" s="35" t="s">
        <v>277</v>
      </c>
      <c r="E22" s="35"/>
      <c r="F22" s="20"/>
      <c r="G22" s="20"/>
      <c r="H22" s="432">
        <v>2021</v>
      </c>
      <c r="I22" s="36" t="s">
        <v>40</v>
      </c>
      <c r="J22" s="94"/>
      <c r="K22" s="94"/>
      <c r="L22" s="94" t="s">
        <v>351</v>
      </c>
      <c r="M22" s="380" t="s">
        <v>280</v>
      </c>
      <c r="N22" s="36" t="s">
        <v>40</v>
      </c>
      <c r="O22" s="94" t="s">
        <v>351</v>
      </c>
      <c r="P22" s="380" t="s">
        <v>280</v>
      </c>
      <c r="Q22" s="94"/>
      <c r="R22" s="94"/>
      <c r="S22" s="36" t="s">
        <v>380</v>
      </c>
      <c r="T22" s="94"/>
      <c r="U22" s="94" t="s">
        <v>381</v>
      </c>
      <c r="V22" s="36"/>
      <c r="W22" s="36"/>
      <c r="X22" s="36" t="s">
        <v>382</v>
      </c>
      <c r="Y22" s="94"/>
      <c r="Z22" s="94" t="s">
        <v>381</v>
      </c>
      <c r="AA22" s="36"/>
      <c r="AB22" s="36"/>
      <c r="AC22" s="36"/>
      <c r="AD22" s="94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81"/>
    </row>
    <row r="23" spans="1:49" ht="28.8" hidden="1">
      <c r="A23" s="394" t="s">
        <v>383</v>
      </c>
      <c r="B23" s="375" t="s">
        <v>384</v>
      </c>
      <c r="C23" s="375"/>
      <c r="D23" s="395" t="s">
        <v>306</v>
      </c>
      <c r="E23" s="370" t="s">
        <v>303</v>
      </c>
      <c r="F23" s="372"/>
      <c r="G23" s="372"/>
      <c r="H23" s="431">
        <v>2021</v>
      </c>
      <c r="I23" s="375" t="s">
        <v>40</v>
      </c>
      <c r="J23" s="374"/>
      <c r="K23" s="374"/>
      <c r="L23" s="374" t="s">
        <v>351</v>
      </c>
      <c r="M23" s="373" t="s">
        <v>280</v>
      </c>
      <c r="N23" s="375" t="s">
        <v>40</v>
      </c>
      <c r="O23" s="374" t="s">
        <v>351</v>
      </c>
      <c r="P23" s="373" t="s">
        <v>280</v>
      </c>
      <c r="Q23" s="374"/>
      <c r="R23" s="374"/>
      <c r="S23" s="375" t="s">
        <v>380</v>
      </c>
      <c r="T23" s="374"/>
      <c r="U23" s="374" t="s">
        <v>381</v>
      </c>
      <c r="V23" s="375"/>
      <c r="W23" s="375"/>
      <c r="X23" s="375" t="s">
        <v>382</v>
      </c>
      <c r="Y23" s="374"/>
      <c r="Z23" s="374" t="s">
        <v>381</v>
      </c>
      <c r="AA23" s="375"/>
      <c r="AB23" s="375"/>
      <c r="AC23" s="375"/>
      <c r="AD23" s="374"/>
      <c r="AE23" s="375"/>
      <c r="AF23" s="375"/>
      <c r="AG23" s="375"/>
      <c r="AH23" s="375"/>
      <c r="AI23" s="375"/>
      <c r="AJ23" s="375"/>
      <c r="AK23" s="375"/>
      <c r="AL23" s="375"/>
      <c r="AM23" s="375"/>
      <c r="AN23" s="375"/>
      <c r="AO23" s="375"/>
      <c r="AP23" s="375"/>
      <c r="AQ23" s="375"/>
      <c r="AR23" s="375"/>
      <c r="AS23" s="375"/>
      <c r="AT23" s="375"/>
      <c r="AU23" s="375"/>
      <c r="AV23" s="376"/>
    </row>
    <row r="24" spans="1:49" ht="28.8" hidden="1">
      <c r="A24" s="137" t="s">
        <v>385</v>
      </c>
      <c r="B24" s="36" t="s">
        <v>386</v>
      </c>
      <c r="C24" s="36"/>
      <c r="D24" s="35" t="s">
        <v>313</v>
      </c>
      <c r="E24" s="35"/>
      <c r="F24" s="20"/>
      <c r="G24" s="20"/>
      <c r="H24" s="432">
        <v>2021</v>
      </c>
      <c r="I24" s="36" t="s">
        <v>40</v>
      </c>
      <c r="J24" s="94"/>
      <c r="K24" s="94"/>
      <c r="L24" s="94" t="s">
        <v>351</v>
      </c>
      <c r="M24" s="380" t="s">
        <v>280</v>
      </c>
      <c r="N24" s="36" t="s">
        <v>40</v>
      </c>
      <c r="O24" s="94" t="s">
        <v>351</v>
      </c>
      <c r="P24" s="380" t="s">
        <v>280</v>
      </c>
      <c r="Q24" s="94"/>
      <c r="R24" s="94"/>
      <c r="S24" s="36" t="s">
        <v>387</v>
      </c>
      <c r="T24" s="94"/>
      <c r="U24" s="94" t="s">
        <v>388</v>
      </c>
      <c r="V24" s="36"/>
      <c r="W24" s="36"/>
      <c r="X24" s="36" t="s">
        <v>389</v>
      </c>
      <c r="Y24" s="94"/>
      <c r="Z24" s="94" t="s">
        <v>388</v>
      </c>
      <c r="AA24" s="36"/>
      <c r="AB24" s="36"/>
      <c r="AC24" s="36"/>
      <c r="AD24" s="94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81"/>
    </row>
    <row r="25" spans="1:49" ht="43.2" hidden="1">
      <c r="A25" s="394" t="s">
        <v>390</v>
      </c>
      <c r="B25" s="375" t="s">
        <v>391</v>
      </c>
      <c r="C25" s="375"/>
      <c r="D25" s="395" t="s">
        <v>302</v>
      </c>
      <c r="E25" s="370" t="s">
        <v>303</v>
      </c>
      <c r="F25" s="372"/>
      <c r="G25" s="372"/>
      <c r="H25" s="431">
        <v>2021</v>
      </c>
      <c r="I25" s="375"/>
      <c r="J25" s="374"/>
      <c r="K25" s="374"/>
      <c r="L25" s="374"/>
      <c r="M25" s="374"/>
      <c r="N25" s="375" t="s">
        <v>24</v>
      </c>
      <c r="O25" s="374" t="s">
        <v>351</v>
      </c>
      <c r="P25" s="373" t="s">
        <v>280</v>
      </c>
      <c r="Q25" s="374"/>
      <c r="R25" s="374"/>
      <c r="S25" s="375" t="s">
        <v>8</v>
      </c>
      <c r="T25" s="374" t="s">
        <v>351</v>
      </c>
      <c r="U25" s="373" t="s">
        <v>280</v>
      </c>
      <c r="V25" s="375"/>
      <c r="W25" s="375"/>
      <c r="X25" s="375" t="s">
        <v>40</v>
      </c>
      <c r="Y25" s="374" t="s">
        <v>351</v>
      </c>
      <c r="Z25" s="373" t="s">
        <v>280</v>
      </c>
      <c r="AA25" s="375"/>
      <c r="AB25" s="375"/>
      <c r="AC25" s="375" t="s">
        <v>392</v>
      </c>
      <c r="AD25" s="374" t="s">
        <v>351</v>
      </c>
      <c r="AE25" s="373" t="s">
        <v>280</v>
      </c>
      <c r="AF25" s="375"/>
      <c r="AG25" s="375"/>
      <c r="AH25" s="375"/>
      <c r="AI25" s="375"/>
      <c r="AJ25" s="375"/>
      <c r="AK25" s="375"/>
      <c r="AL25" s="375"/>
      <c r="AM25" s="375"/>
      <c r="AN25" s="375"/>
      <c r="AO25" s="375"/>
      <c r="AP25" s="375"/>
      <c r="AQ25" s="375"/>
      <c r="AR25" s="375"/>
      <c r="AS25" s="375"/>
      <c r="AT25" s="375"/>
      <c r="AU25" s="375"/>
      <c r="AV25" s="376"/>
    </row>
    <row r="26" spans="1:49" ht="28.8" hidden="1">
      <c r="A26" s="137" t="s">
        <v>393</v>
      </c>
      <c r="B26" s="36" t="s">
        <v>394</v>
      </c>
      <c r="C26" s="36"/>
      <c r="D26" s="35" t="s">
        <v>395</v>
      </c>
      <c r="E26" s="35"/>
      <c r="F26" s="20"/>
      <c r="G26" s="20"/>
      <c r="H26" s="432">
        <v>2021</v>
      </c>
      <c r="I26" s="36"/>
      <c r="J26" s="94"/>
      <c r="K26" s="94"/>
      <c r="L26" s="94"/>
      <c r="M26" s="94"/>
      <c r="N26" s="36" t="s">
        <v>396</v>
      </c>
      <c r="O26" s="94"/>
      <c r="P26" s="380" t="s">
        <v>280</v>
      </c>
      <c r="Q26" s="94"/>
      <c r="R26" s="94"/>
      <c r="S26" s="36" t="s">
        <v>397</v>
      </c>
      <c r="T26" s="94"/>
      <c r="U26" s="380" t="s">
        <v>280</v>
      </c>
      <c r="V26" s="36"/>
      <c r="W26" s="36"/>
      <c r="X26" s="36" t="s">
        <v>398</v>
      </c>
      <c r="Y26" s="94"/>
      <c r="Z26" s="380" t="s">
        <v>280</v>
      </c>
      <c r="AA26" s="36"/>
      <c r="AB26" s="36"/>
      <c r="AC26" s="36" t="s">
        <v>40</v>
      </c>
      <c r="AD26" s="94" t="s">
        <v>351</v>
      </c>
      <c r="AE26" s="380" t="s">
        <v>280</v>
      </c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81"/>
    </row>
    <row r="27" spans="1:49" ht="43.2" hidden="1">
      <c r="A27" s="394" t="s">
        <v>399</v>
      </c>
      <c r="B27" s="375" t="s">
        <v>400</v>
      </c>
      <c r="C27" s="375"/>
      <c r="D27" s="395" t="s">
        <v>277</v>
      </c>
      <c r="E27" s="395"/>
      <c r="F27" s="372"/>
      <c r="G27" s="372"/>
      <c r="H27" s="431">
        <v>2021</v>
      </c>
      <c r="I27" s="375"/>
      <c r="J27" s="374"/>
      <c r="K27" s="374"/>
      <c r="L27" s="374"/>
      <c r="M27" s="374"/>
      <c r="N27" s="375" t="s">
        <v>401</v>
      </c>
      <c r="O27" s="374"/>
      <c r="P27" s="374" t="s">
        <v>402</v>
      </c>
      <c r="Q27" s="374"/>
      <c r="R27" s="374"/>
      <c r="S27" s="375" t="s">
        <v>403</v>
      </c>
      <c r="T27" s="374"/>
      <c r="U27" s="374" t="s">
        <v>402</v>
      </c>
      <c r="V27" s="375"/>
      <c r="W27" s="375"/>
      <c r="X27" s="375" t="s">
        <v>404</v>
      </c>
      <c r="Y27" s="374"/>
      <c r="Z27" s="374" t="s">
        <v>402</v>
      </c>
      <c r="AA27" s="375"/>
      <c r="AB27" s="375"/>
      <c r="AC27" s="375" t="s">
        <v>94</v>
      </c>
      <c r="AD27" s="374" t="s">
        <v>279</v>
      </c>
      <c r="AE27" s="373" t="s">
        <v>280</v>
      </c>
      <c r="AF27" s="375"/>
      <c r="AG27" s="375"/>
      <c r="AH27" s="375" t="s">
        <v>405</v>
      </c>
      <c r="AI27" s="375"/>
      <c r="AJ27" s="374" t="s">
        <v>402</v>
      </c>
      <c r="AK27" s="375"/>
      <c r="AL27" s="375"/>
      <c r="AM27" s="375"/>
      <c r="AN27" s="375"/>
      <c r="AO27" s="375"/>
      <c r="AP27" s="375"/>
      <c r="AQ27" s="375"/>
      <c r="AR27" s="375"/>
      <c r="AS27" s="375"/>
      <c r="AT27" s="375"/>
      <c r="AU27" s="375"/>
      <c r="AV27" s="376"/>
    </row>
    <row r="28" spans="1:49" ht="28.8" hidden="1">
      <c r="A28" s="137" t="s">
        <v>406</v>
      </c>
      <c r="B28" s="36" t="s">
        <v>407</v>
      </c>
      <c r="C28" s="36"/>
      <c r="D28" s="35" t="s">
        <v>302</v>
      </c>
      <c r="E28" s="75" t="s">
        <v>303</v>
      </c>
      <c r="F28" s="20"/>
      <c r="G28" s="20"/>
      <c r="H28" s="432">
        <v>2021</v>
      </c>
      <c r="I28" s="36" t="s">
        <v>408</v>
      </c>
      <c r="J28" s="94"/>
      <c r="K28" s="94"/>
      <c r="L28" s="94"/>
      <c r="M28" s="94" t="s">
        <v>402</v>
      </c>
      <c r="N28" s="36" t="s">
        <v>408</v>
      </c>
      <c r="O28" s="94"/>
      <c r="P28" s="94" t="s">
        <v>402</v>
      </c>
      <c r="Q28" s="94"/>
      <c r="R28" s="94"/>
      <c r="S28" s="36" t="s">
        <v>409</v>
      </c>
      <c r="T28" s="94"/>
      <c r="U28" s="94" t="s">
        <v>402</v>
      </c>
      <c r="V28" s="36"/>
      <c r="W28" s="36"/>
      <c r="X28" s="36" t="s">
        <v>94</v>
      </c>
      <c r="Y28" s="94" t="s">
        <v>279</v>
      </c>
      <c r="Z28" s="380" t="s">
        <v>280</v>
      </c>
      <c r="AA28" s="36"/>
      <c r="AB28" s="36"/>
      <c r="AC28" s="36"/>
      <c r="AD28" s="94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81"/>
    </row>
    <row r="29" spans="1:49" s="87" customFormat="1" ht="43.2" hidden="1">
      <c r="A29" s="394" t="s">
        <v>410</v>
      </c>
      <c r="B29" s="375" t="s">
        <v>411</v>
      </c>
      <c r="C29" s="375"/>
      <c r="D29" s="395" t="s">
        <v>306</v>
      </c>
      <c r="E29" s="370" t="s">
        <v>303</v>
      </c>
      <c r="F29" s="372"/>
      <c r="G29" s="372"/>
      <c r="H29" s="431">
        <v>2021</v>
      </c>
      <c r="I29" s="375" t="s">
        <v>412</v>
      </c>
      <c r="J29" s="374"/>
      <c r="K29" s="374"/>
      <c r="L29" s="374" t="s">
        <v>353</v>
      </c>
      <c r="M29" s="373" t="s">
        <v>280</v>
      </c>
      <c r="N29" s="375" t="s">
        <v>412</v>
      </c>
      <c r="O29" s="374" t="s">
        <v>353</v>
      </c>
      <c r="P29" s="373" t="s">
        <v>280</v>
      </c>
      <c r="Q29" s="374"/>
      <c r="R29" s="374"/>
      <c r="S29" s="375" t="s">
        <v>413</v>
      </c>
      <c r="T29" s="374" t="s">
        <v>353</v>
      </c>
      <c r="U29" s="373" t="s">
        <v>280</v>
      </c>
      <c r="V29" s="375"/>
      <c r="W29" s="375"/>
      <c r="X29" s="375" t="s">
        <v>28</v>
      </c>
      <c r="Y29" s="374" t="s">
        <v>353</v>
      </c>
      <c r="Z29" s="373" t="s">
        <v>280</v>
      </c>
      <c r="AA29" s="375"/>
      <c r="AB29" s="375"/>
      <c r="AC29" s="375" t="s">
        <v>30</v>
      </c>
      <c r="AD29" s="374" t="s">
        <v>353</v>
      </c>
      <c r="AE29" s="373" t="s">
        <v>280</v>
      </c>
      <c r="AF29" s="375"/>
      <c r="AG29" s="375"/>
      <c r="AH29" s="375" t="s">
        <v>88</v>
      </c>
      <c r="AI29" s="374" t="s">
        <v>351</v>
      </c>
      <c r="AJ29" s="373" t="s">
        <v>280</v>
      </c>
      <c r="AK29" s="375"/>
      <c r="AL29" s="375"/>
      <c r="AM29" s="375"/>
      <c r="AN29" s="375"/>
      <c r="AO29" s="375"/>
      <c r="AP29" s="375"/>
      <c r="AQ29" s="375"/>
      <c r="AR29" s="375"/>
      <c r="AS29" s="375"/>
      <c r="AT29" s="375"/>
      <c r="AU29" s="375"/>
      <c r="AV29" s="376"/>
      <c r="AW29" s="367"/>
    </row>
    <row r="30" spans="1:49" ht="43.2" hidden="1">
      <c r="A30" s="137" t="s">
        <v>414</v>
      </c>
      <c r="B30" s="36" t="s">
        <v>415</v>
      </c>
      <c r="C30" s="36"/>
      <c r="D30" s="35" t="s">
        <v>416</v>
      </c>
      <c r="E30" s="35"/>
      <c r="F30" s="20"/>
      <c r="G30" s="20"/>
      <c r="H30" s="432">
        <v>2021</v>
      </c>
      <c r="I30" s="36"/>
      <c r="J30" s="94"/>
      <c r="K30" s="94"/>
      <c r="L30" s="94"/>
      <c r="M30" s="94"/>
      <c r="N30" s="36" t="s">
        <v>417</v>
      </c>
      <c r="O30" s="94"/>
      <c r="P30" s="94" t="s">
        <v>418</v>
      </c>
      <c r="Q30" s="94"/>
      <c r="R30" s="94"/>
      <c r="S30" s="36" t="s">
        <v>419</v>
      </c>
      <c r="T30" s="94"/>
      <c r="U30" s="380" t="s">
        <v>420</v>
      </c>
      <c r="V30" s="36"/>
      <c r="W30" s="36"/>
      <c r="X30" s="36" t="s">
        <v>421</v>
      </c>
      <c r="Y30" s="94"/>
      <c r="Z30" s="380" t="s">
        <v>420</v>
      </c>
      <c r="AA30" s="36"/>
      <c r="AB30" s="36"/>
      <c r="AC30" s="36" t="s">
        <v>422</v>
      </c>
      <c r="AD30" s="94"/>
      <c r="AE30" s="94" t="s">
        <v>418</v>
      </c>
      <c r="AF30" s="36"/>
      <c r="AG30" s="36"/>
      <c r="AH30" s="36" t="s">
        <v>28</v>
      </c>
      <c r="AI30" s="94" t="s">
        <v>353</v>
      </c>
      <c r="AJ30" s="380" t="s">
        <v>280</v>
      </c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81"/>
    </row>
    <row r="31" spans="1:49" ht="43.2" hidden="1">
      <c r="A31" s="394" t="s">
        <v>423</v>
      </c>
      <c r="B31" s="375" t="s">
        <v>424</v>
      </c>
      <c r="C31" s="375"/>
      <c r="D31" s="395" t="s">
        <v>313</v>
      </c>
      <c r="E31" s="395"/>
      <c r="F31" s="372"/>
      <c r="G31" s="372"/>
      <c r="H31" s="431">
        <v>2021</v>
      </c>
      <c r="I31" s="375" t="s">
        <v>17</v>
      </c>
      <c r="J31" s="374"/>
      <c r="K31" s="374"/>
      <c r="L31" s="374" t="s">
        <v>353</v>
      </c>
      <c r="M31" s="373" t="s">
        <v>280</v>
      </c>
      <c r="N31" s="375" t="s">
        <v>17</v>
      </c>
      <c r="O31" s="374" t="s">
        <v>353</v>
      </c>
      <c r="P31" s="373" t="s">
        <v>280</v>
      </c>
      <c r="Q31" s="374"/>
      <c r="R31" s="374"/>
      <c r="S31" s="375" t="s">
        <v>421</v>
      </c>
      <c r="T31" s="374"/>
      <c r="U31" s="373" t="s">
        <v>420</v>
      </c>
      <c r="V31" s="375"/>
      <c r="W31" s="375"/>
      <c r="X31" s="375" t="s">
        <v>28</v>
      </c>
      <c r="Y31" s="374" t="s">
        <v>353</v>
      </c>
      <c r="Z31" s="373" t="s">
        <v>280</v>
      </c>
      <c r="AA31" s="375"/>
      <c r="AB31" s="375"/>
      <c r="AC31" s="375" t="s">
        <v>352</v>
      </c>
      <c r="AD31" s="374" t="s">
        <v>353</v>
      </c>
      <c r="AE31" s="373" t="s">
        <v>280</v>
      </c>
      <c r="AF31" s="375"/>
      <c r="AG31" s="375"/>
      <c r="AH31" s="375"/>
      <c r="AI31" s="375"/>
      <c r="AJ31" s="375"/>
      <c r="AK31" s="375"/>
      <c r="AL31" s="375"/>
      <c r="AM31" s="375"/>
      <c r="AN31" s="375"/>
      <c r="AO31" s="375"/>
      <c r="AP31" s="375"/>
      <c r="AQ31" s="375"/>
      <c r="AR31" s="375"/>
      <c r="AS31" s="375"/>
      <c r="AT31" s="375"/>
      <c r="AU31" s="375"/>
      <c r="AV31" s="376"/>
    </row>
    <row r="32" spans="1:49" ht="28.8" hidden="1">
      <c r="A32" s="137" t="s">
        <v>425</v>
      </c>
      <c r="B32" s="36" t="s">
        <v>426</v>
      </c>
      <c r="C32" s="36"/>
      <c r="D32" s="35" t="s">
        <v>321</v>
      </c>
      <c r="E32" s="75" t="s">
        <v>303</v>
      </c>
      <c r="F32" s="20"/>
      <c r="G32" s="20"/>
      <c r="H32" s="432">
        <v>2021</v>
      </c>
      <c r="I32" s="36"/>
      <c r="J32" s="94"/>
      <c r="K32" s="94"/>
      <c r="L32" s="94"/>
      <c r="M32" s="94"/>
      <c r="N32" s="36" t="s">
        <v>88</v>
      </c>
      <c r="O32" s="94" t="s">
        <v>351</v>
      </c>
      <c r="P32" s="380" t="s">
        <v>280</v>
      </c>
      <c r="Q32" s="94"/>
      <c r="R32" s="94"/>
      <c r="S32" s="36" t="s">
        <v>28</v>
      </c>
      <c r="T32" s="94" t="s">
        <v>353</v>
      </c>
      <c r="U32" s="380" t="s">
        <v>280</v>
      </c>
      <c r="V32" s="36"/>
      <c r="W32" s="36"/>
      <c r="X32" s="36" t="s">
        <v>17</v>
      </c>
      <c r="Y32" s="94" t="s">
        <v>353</v>
      </c>
      <c r="Z32" s="380" t="s">
        <v>280</v>
      </c>
      <c r="AA32" s="36"/>
      <c r="AB32" s="36"/>
      <c r="AC32" s="36" t="s">
        <v>427</v>
      </c>
      <c r="AD32" s="94" t="s">
        <v>351</v>
      </c>
      <c r="AE32" s="380" t="s">
        <v>280</v>
      </c>
      <c r="AF32" s="36"/>
      <c r="AG32" s="36"/>
      <c r="AH32" s="36" t="s">
        <v>428</v>
      </c>
      <c r="AI32" s="94" t="s">
        <v>353</v>
      </c>
      <c r="AJ32" s="380" t="s">
        <v>280</v>
      </c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81"/>
    </row>
    <row r="33" spans="1:48" s="47" customFormat="1" ht="43.2" hidden="1">
      <c r="A33" s="394" t="s">
        <v>429</v>
      </c>
      <c r="B33" s="375" t="s">
        <v>430</v>
      </c>
      <c r="C33" s="375"/>
      <c r="D33" s="395" t="s">
        <v>313</v>
      </c>
      <c r="E33" s="395"/>
      <c r="F33" s="372"/>
      <c r="G33" s="372"/>
      <c r="H33" s="431">
        <v>2021</v>
      </c>
      <c r="I33" s="375" t="s">
        <v>431</v>
      </c>
      <c r="J33" s="374"/>
      <c r="K33" s="374"/>
      <c r="L33" s="374" t="s">
        <v>353</v>
      </c>
      <c r="M33" s="373" t="s">
        <v>280</v>
      </c>
      <c r="N33" s="375" t="s">
        <v>431</v>
      </c>
      <c r="O33" s="374" t="s">
        <v>353</v>
      </c>
      <c r="P33" s="373" t="s">
        <v>280</v>
      </c>
      <c r="Q33" s="374"/>
      <c r="R33" s="374"/>
      <c r="S33" s="375" t="s">
        <v>432</v>
      </c>
      <c r="T33" s="374" t="s">
        <v>353</v>
      </c>
      <c r="U33" s="373" t="s">
        <v>280</v>
      </c>
      <c r="V33" s="375"/>
      <c r="W33" s="375"/>
      <c r="X33" s="375" t="s">
        <v>433</v>
      </c>
      <c r="Y33" s="374" t="s">
        <v>353</v>
      </c>
      <c r="Z33" s="373" t="s">
        <v>280</v>
      </c>
      <c r="AA33" s="375"/>
      <c r="AB33" s="375"/>
      <c r="AC33" s="375" t="s">
        <v>434</v>
      </c>
      <c r="AD33" s="374" t="s">
        <v>353</v>
      </c>
      <c r="AE33" s="373" t="s">
        <v>280</v>
      </c>
      <c r="AF33" s="375"/>
      <c r="AG33" s="375"/>
      <c r="AH33" s="375" t="s">
        <v>435</v>
      </c>
      <c r="AI33" s="374" t="s">
        <v>353</v>
      </c>
      <c r="AJ33" s="373" t="s">
        <v>280</v>
      </c>
      <c r="AK33" s="375"/>
      <c r="AL33" s="375"/>
      <c r="AM33" s="375" t="s">
        <v>436</v>
      </c>
      <c r="AN33" s="374" t="s">
        <v>353</v>
      </c>
      <c r="AO33" s="373" t="s">
        <v>280</v>
      </c>
      <c r="AP33" s="375"/>
      <c r="AQ33" s="375"/>
      <c r="AR33" s="375" t="s">
        <v>28</v>
      </c>
      <c r="AS33" s="374" t="s">
        <v>353</v>
      </c>
      <c r="AT33" s="373" t="s">
        <v>280</v>
      </c>
      <c r="AU33" s="375"/>
      <c r="AV33" s="376"/>
    </row>
    <row r="34" spans="1:48" ht="43.2" hidden="1">
      <c r="A34" s="137" t="s">
        <v>437</v>
      </c>
      <c r="B34" s="36" t="s">
        <v>438</v>
      </c>
      <c r="C34" s="36"/>
      <c r="D34" s="35" t="s">
        <v>313</v>
      </c>
      <c r="E34" s="35"/>
      <c r="F34" s="20"/>
      <c r="G34" s="20"/>
      <c r="H34" s="432">
        <v>2021</v>
      </c>
      <c r="I34" s="36" t="s">
        <v>412</v>
      </c>
      <c r="J34" s="94"/>
      <c r="K34" s="94"/>
      <c r="L34" s="94" t="s">
        <v>353</v>
      </c>
      <c r="M34" s="380" t="s">
        <v>280</v>
      </c>
      <c r="N34" s="36" t="s">
        <v>412</v>
      </c>
      <c r="O34" s="94" t="s">
        <v>353</v>
      </c>
      <c r="P34" s="380" t="s">
        <v>280</v>
      </c>
      <c r="Q34" s="94"/>
      <c r="R34" s="94"/>
      <c r="S34" s="36" t="s">
        <v>439</v>
      </c>
      <c r="T34" s="94" t="s">
        <v>353</v>
      </c>
      <c r="U34" s="380" t="s">
        <v>280</v>
      </c>
      <c r="V34" s="36"/>
      <c r="W34" s="36"/>
      <c r="X34" s="36" t="s">
        <v>440</v>
      </c>
      <c r="Y34" s="94" t="s">
        <v>353</v>
      </c>
      <c r="Z34" s="380" t="s">
        <v>280</v>
      </c>
      <c r="AA34" s="36"/>
      <c r="AB34" s="36"/>
      <c r="AC34" s="36" t="s">
        <v>441</v>
      </c>
      <c r="AD34" s="94" t="s">
        <v>353</v>
      </c>
      <c r="AE34" s="380" t="s">
        <v>280</v>
      </c>
      <c r="AF34" s="36"/>
      <c r="AG34" s="36"/>
      <c r="AH34" s="36" t="s">
        <v>442</v>
      </c>
      <c r="AI34" s="94" t="s">
        <v>353</v>
      </c>
      <c r="AJ34" s="380" t="s">
        <v>280</v>
      </c>
      <c r="AK34" s="36"/>
      <c r="AL34" s="36"/>
      <c r="AM34" s="36" t="s">
        <v>443</v>
      </c>
      <c r="AN34" s="94" t="s">
        <v>353</v>
      </c>
      <c r="AO34" s="380" t="s">
        <v>280</v>
      </c>
      <c r="AP34" s="36"/>
      <c r="AQ34" s="36"/>
      <c r="AR34" s="36" t="s">
        <v>28</v>
      </c>
      <c r="AS34" s="94" t="s">
        <v>353</v>
      </c>
      <c r="AT34" s="380" t="s">
        <v>280</v>
      </c>
      <c r="AU34" s="36"/>
      <c r="AV34" s="381"/>
    </row>
    <row r="35" spans="1:48" ht="43.2" hidden="1">
      <c r="A35" s="394" t="s">
        <v>444</v>
      </c>
      <c r="B35" s="375" t="s">
        <v>445</v>
      </c>
      <c r="C35" s="375"/>
      <c r="D35" s="395" t="s">
        <v>286</v>
      </c>
      <c r="E35" s="395"/>
      <c r="F35" s="372"/>
      <c r="G35" s="372"/>
      <c r="H35" s="431">
        <v>2021</v>
      </c>
      <c r="I35" s="375"/>
      <c r="J35" s="374"/>
      <c r="K35" s="374"/>
      <c r="L35" s="374"/>
      <c r="M35" s="374"/>
      <c r="N35" s="375" t="s">
        <v>28</v>
      </c>
      <c r="O35" s="374" t="s">
        <v>353</v>
      </c>
      <c r="P35" s="373" t="s">
        <v>280</v>
      </c>
      <c r="Q35" s="374"/>
      <c r="R35" s="374"/>
      <c r="S35" s="375" t="s">
        <v>417</v>
      </c>
      <c r="T35" s="374"/>
      <c r="U35" s="374" t="s">
        <v>418</v>
      </c>
      <c r="V35" s="375"/>
      <c r="W35" s="375"/>
      <c r="X35" s="375" t="s">
        <v>446</v>
      </c>
      <c r="Y35" s="374"/>
      <c r="Z35" s="374" t="s">
        <v>418</v>
      </c>
      <c r="AA35" s="375"/>
      <c r="AB35" s="375"/>
      <c r="AC35" s="375"/>
      <c r="AD35" s="374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6"/>
    </row>
    <row r="36" spans="1:48" ht="43.2" hidden="1">
      <c r="A36" s="137" t="s">
        <v>447</v>
      </c>
      <c r="B36" s="36" t="s">
        <v>448</v>
      </c>
      <c r="C36" s="36"/>
      <c r="D36" s="35" t="s">
        <v>277</v>
      </c>
      <c r="E36" s="35"/>
      <c r="F36" s="20"/>
      <c r="G36" s="20"/>
      <c r="H36" s="432">
        <v>2021</v>
      </c>
      <c r="I36" s="36"/>
      <c r="J36" s="94"/>
      <c r="K36" s="94"/>
      <c r="L36" s="94"/>
      <c r="M36" s="94"/>
      <c r="N36" s="36" t="s">
        <v>163</v>
      </c>
      <c r="O36" s="94" t="s">
        <v>449</v>
      </c>
      <c r="P36" s="380" t="s">
        <v>280</v>
      </c>
      <c r="Q36" s="94"/>
      <c r="R36" s="94"/>
      <c r="S36" s="36" t="s">
        <v>450</v>
      </c>
      <c r="T36" s="94"/>
      <c r="U36" s="94" t="s">
        <v>451</v>
      </c>
      <c r="V36" s="36"/>
      <c r="W36" s="36"/>
      <c r="X36" s="36" t="s">
        <v>452</v>
      </c>
      <c r="Y36" s="94"/>
      <c r="Z36" s="94" t="s">
        <v>451</v>
      </c>
      <c r="AA36" s="36"/>
      <c r="AB36" s="36"/>
      <c r="AC36" s="36" t="s">
        <v>453</v>
      </c>
      <c r="AD36" s="94"/>
      <c r="AE36" s="94" t="s">
        <v>451</v>
      </c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81"/>
    </row>
    <row r="37" spans="1:48" ht="57.6" hidden="1">
      <c r="A37" s="394" t="s">
        <v>454</v>
      </c>
      <c r="B37" s="375" t="s">
        <v>455</v>
      </c>
      <c r="C37" s="375"/>
      <c r="D37" s="395" t="s">
        <v>277</v>
      </c>
      <c r="E37" s="395"/>
      <c r="F37" s="372"/>
      <c r="G37" s="372"/>
      <c r="H37" s="431">
        <v>2021</v>
      </c>
      <c r="I37" s="375"/>
      <c r="J37" s="374"/>
      <c r="K37" s="374"/>
      <c r="L37" s="374"/>
      <c r="M37" s="374"/>
      <c r="N37" s="375" t="s">
        <v>163</v>
      </c>
      <c r="O37" s="374" t="s">
        <v>449</v>
      </c>
      <c r="P37" s="373" t="s">
        <v>280</v>
      </c>
      <c r="Q37" s="374"/>
      <c r="R37" s="374"/>
      <c r="S37" s="375" t="s">
        <v>456</v>
      </c>
      <c r="T37" s="374"/>
      <c r="U37" s="374" t="s">
        <v>451</v>
      </c>
      <c r="V37" s="375"/>
      <c r="W37" s="375"/>
      <c r="X37" s="375" t="s">
        <v>452</v>
      </c>
      <c r="Y37" s="374"/>
      <c r="Z37" s="374" t="s">
        <v>451</v>
      </c>
      <c r="AA37" s="375"/>
      <c r="AB37" s="375"/>
      <c r="AC37" s="375" t="s">
        <v>453</v>
      </c>
      <c r="AD37" s="374"/>
      <c r="AE37" s="374" t="s">
        <v>451</v>
      </c>
      <c r="AF37" s="375"/>
      <c r="AG37" s="375"/>
      <c r="AH37" s="375"/>
      <c r="AI37" s="375"/>
      <c r="AJ37" s="375"/>
      <c r="AK37" s="375"/>
      <c r="AL37" s="375"/>
      <c r="AM37" s="375"/>
      <c r="AN37" s="375"/>
      <c r="AO37" s="375"/>
      <c r="AP37" s="375"/>
      <c r="AQ37" s="375"/>
      <c r="AR37" s="375"/>
      <c r="AS37" s="375"/>
      <c r="AT37" s="375"/>
      <c r="AU37" s="375"/>
      <c r="AV37" s="376"/>
    </row>
    <row r="38" spans="1:48" ht="57.6" hidden="1">
      <c r="A38" s="137" t="s">
        <v>457</v>
      </c>
      <c r="B38" s="36" t="s">
        <v>458</v>
      </c>
      <c r="C38" s="36"/>
      <c r="D38" s="35" t="s">
        <v>277</v>
      </c>
      <c r="E38" s="35"/>
      <c r="F38" s="20"/>
      <c r="G38" s="20"/>
      <c r="H38" s="432">
        <v>2021</v>
      </c>
      <c r="I38" s="36"/>
      <c r="J38" s="94"/>
      <c r="K38" s="94"/>
      <c r="L38" s="94"/>
      <c r="M38" s="94"/>
      <c r="N38" s="36" t="s">
        <v>456</v>
      </c>
      <c r="O38" s="94"/>
      <c r="P38" s="94" t="s">
        <v>451</v>
      </c>
      <c r="Q38" s="94"/>
      <c r="R38" s="94"/>
      <c r="S38" s="36" t="s">
        <v>163</v>
      </c>
      <c r="T38" s="94" t="s">
        <v>449</v>
      </c>
      <c r="U38" s="380" t="s">
        <v>280</v>
      </c>
      <c r="V38" s="36"/>
      <c r="W38" s="36"/>
      <c r="X38" s="36" t="s">
        <v>459</v>
      </c>
      <c r="Y38" s="94"/>
      <c r="Z38" s="94" t="s">
        <v>451</v>
      </c>
      <c r="AA38" s="36"/>
      <c r="AB38" s="36"/>
      <c r="AC38" s="36" t="s">
        <v>452</v>
      </c>
      <c r="AD38" s="94"/>
      <c r="AE38" s="94" t="s">
        <v>451</v>
      </c>
      <c r="AF38" s="36"/>
      <c r="AG38" s="36"/>
      <c r="AH38" s="36" t="s">
        <v>453</v>
      </c>
      <c r="AI38" s="94"/>
      <c r="AJ38" s="94" t="s">
        <v>451</v>
      </c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81"/>
    </row>
    <row r="39" spans="1:48" ht="43.2" hidden="1">
      <c r="A39" s="394" t="s">
        <v>460</v>
      </c>
      <c r="B39" s="375" t="s">
        <v>461</v>
      </c>
      <c r="C39" s="375"/>
      <c r="D39" s="395" t="s">
        <v>306</v>
      </c>
      <c r="E39" s="370" t="s">
        <v>303</v>
      </c>
      <c r="F39" s="372"/>
      <c r="G39" s="372"/>
      <c r="H39" s="431">
        <v>2021</v>
      </c>
      <c r="I39" s="375" t="s">
        <v>462</v>
      </c>
      <c r="J39" s="374"/>
      <c r="K39" s="374"/>
      <c r="L39" s="374" t="s">
        <v>309</v>
      </c>
      <c r="M39" s="373" t="s">
        <v>280</v>
      </c>
      <c r="N39" s="375" t="s">
        <v>462</v>
      </c>
      <c r="O39" s="374" t="s">
        <v>309</v>
      </c>
      <c r="P39" s="373" t="s">
        <v>280</v>
      </c>
      <c r="Q39" s="374"/>
      <c r="R39" s="374"/>
      <c r="S39" s="375" t="s">
        <v>463</v>
      </c>
      <c r="T39" s="374"/>
      <c r="U39" s="374" t="s">
        <v>464</v>
      </c>
      <c r="V39" s="375"/>
      <c r="W39" s="375"/>
      <c r="X39" s="375" t="s">
        <v>163</v>
      </c>
      <c r="Y39" s="374" t="s">
        <v>449</v>
      </c>
      <c r="Z39" s="373" t="s">
        <v>280</v>
      </c>
      <c r="AA39" s="375"/>
      <c r="AB39" s="375"/>
      <c r="AC39" s="375"/>
      <c r="AD39" s="374"/>
      <c r="AE39" s="375"/>
      <c r="AF39" s="375"/>
      <c r="AG39" s="375"/>
      <c r="AH39" s="375"/>
      <c r="AI39" s="375"/>
      <c r="AJ39" s="375"/>
      <c r="AK39" s="375"/>
      <c r="AL39" s="375"/>
      <c r="AM39" s="375"/>
      <c r="AN39" s="375"/>
      <c r="AO39" s="375"/>
      <c r="AP39" s="375"/>
      <c r="AQ39" s="375"/>
      <c r="AR39" s="375"/>
      <c r="AS39" s="375"/>
      <c r="AT39" s="375"/>
      <c r="AU39" s="375"/>
      <c r="AV39" s="376"/>
    </row>
    <row r="40" spans="1:48" ht="43.2" hidden="1">
      <c r="A40" s="137" t="s">
        <v>465</v>
      </c>
      <c r="B40" s="36" t="s">
        <v>466</v>
      </c>
      <c r="C40" s="36"/>
      <c r="D40" s="35" t="s">
        <v>277</v>
      </c>
      <c r="E40" s="35"/>
      <c r="F40" s="20"/>
      <c r="G40" s="20"/>
      <c r="H40" s="432">
        <v>2021</v>
      </c>
      <c r="I40" s="36" t="s">
        <v>467</v>
      </c>
      <c r="J40" s="94"/>
      <c r="K40" s="94"/>
      <c r="L40" s="94"/>
      <c r="M40" s="380" t="s">
        <v>420</v>
      </c>
      <c r="N40" s="36" t="s">
        <v>467</v>
      </c>
      <c r="O40" s="94"/>
      <c r="P40" s="380" t="s">
        <v>420</v>
      </c>
      <c r="Q40" s="94"/>
      <c r="R40" s="94"/>
      <c r="S40" s="36" t="s">
        <v>19</v>
      </c>
      <c r="T40" s="94" t="s">
        <v>309</v>
      </c>
      <c r="U40" s="380" t="s">
        <v>280</v>
      </c>
      <c r="V40" s="36"/>
      <c r="W40" s="36"/>
      <c r="X40" s="36" t="s">
        <v>468</v>
      </c>
      <c r="Y40" s="94"/>
      <c r="Z40" s="94" t="s">
        <v>469</v>
      </c>
      <c r="AA40" s="36"/>
      <c r="AB40" s="36"/>
      <c r="AC40" s="36" t="s">
        <v>470</v>
      </c>
      <c r="AD40" s="94"/>
      <c r="AE40" s="380" t="s">
        <v>420</v>
      </c>
      <c r="AF40" s="36"/>
      <c r="AG40" s="36"/>
      <c r="AH40" s="36" t="s">
        <v>471</v>
      </c>
      <c r="AI40" s="36"/>
      <c r="AJ40" s="380" t="s">
        <v>420</v>
      </c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81"/>
    </row>
    <row r="41" spans="1:48" ht="28.8" hidden="1">
      <c r="A41" s="394" t="s">
        <v>472</v>
      </c>
      <c r="B41" s="375" t="s">
        <v>473</v>
      </c>
      <c r="C41" s="375"/>
      <c r="D41" s="395" t="s">
        <v>302</v>
      </c>
      <c r="E41" s="370" t="s">
        <v>303</v>
      </c>
      <c r="F41" s="372"/>
      <c r="G41" s="372"/>
      <c r="H41" s="431">
        <v>2021</v>
      </c>
      <c r="I41" s="375" t="s">
        <v>19</v>
      </c>
      <c r="J41" s="374"/>
      <c r="K41" s="374"/>
      <c r="L41" s="374" t="s">
        <v>309</v>
      </c>
      <c r="M41" s="373" t="s">
        <v>280</v>
      </c>
      <c r="N41" s="375" t="s">
        <v>19</v>
      </c>
      <c r="O41" s="374" t="s">
        <v>309</v>
      </c>
      <c r="P41" s="373" t="s">
        <v>280</v>
      </c>
      <c r="Q41" s="374"/>
      <c r="R41" s="374"/>
      <c r="S41" s="375" t="s">
        <v>18</v>
      </c>
      <c r="T41" s="374" t="s">
        <v>449</v>
      </c>
      <c r="U41" s="373" t="s">
        <v>280</v>
      </c>
      <c r="V41" s="375"/>
      <c r="W41" s="375"/>
      <c r="X41" s="375" t="s">
        <v>27</v>
      </c>
      <c r="Y41" s="374" t="s">
        <v>279</v>
      </c>
      <c r="Z41" s="373" t="s">
        <v>280</v>
      </c>
      <c r="AA41" s="375"/>
      <c r="AB41" s="375"/>
      <c r="AC41" s="375" t="s">
        <v>14</v>
      </c>
      <c r="AD41" s="374" t="s">
        <v>279</v>
      </c>
      <c r="AE41" s="373" t="s">
        <v>280</v>
      </c>
      <c r="AF41" s="375"/>
      <c r="AG41" s="375"/>
      <c r="AH41" s="375" t="s">
        <v>10</v>
      </c>
      <c r="AI41" s="374" t="s">
        <v>279</v>
      </c>
      <c r="AJ41" s="373" t="s">
        <v>280</v>
      </c>
      <c r="AK41" s="375"/>
      <c r="AL41" s="375"/>
      <c r="AM41" s="375"/>
      <c r="AN41" s="375"/>
      <c r="AO41" s="375"/>
      <c r="AP41" s="375"/>
      <c r="AQ41" s="375"/>
      <c r="AR41" s="375"/>
      <c r="AS41" s="375"/>
      <c r="AT41" s="375"/>
      <c r="AU41" s="375"/>
      <c r="AV41" s="376"/>
    </row>
    <row r="42" spans="1:48" ht="43.2" hidden="1">
      <c r="A42" s="137" t="s">
        <v>474</v>
      </c>
      <c r="B42" s="36" t="s">
        <v>475</v>
      </c>
      <c r="C42" s="36"/>
      <c r="D42" s="35" t="s">
        <v>306</v>
      </c>
      <c r="E42" s="75" t="s">
        <v>303</v>
      </c>
      <c r="F42" s="20"/>
      <c r="G42" s="20"/>
      <c r="H42" s="432">
        <v>2021</v>
      </c>
      <c r="I42" s="36" t="s">
        <v>12</v>
      </c>
      <c r="J42" s="94"/>
      <c r="K42" s="94"/>
      <c r="L42" s="94" t="s">
        <v>309</v>
      </c>
      <c r="M42" s="380" t="s">
        <v>280</v>
      </c>
      <c r="N42" s="36" t="s">
        <v>12</v>
      </c>
      <c r="O42" s="94" t="s">
        <v>309</v>
      </c>
      <c r="P42" s="380" t="s">
        <v>280</v>
      </c>
      <c r="Q42" s="94"/>
      <c r="R42" s="94"/>
      <c r="S42" s="36" t="s">
        <v>19</v>
      </c>
      <c r="T42" s="94" t="s">
        <v>309</v>
      </c>
      <c r="U42" s="380" t="s">
        <v>280</v>
      </c>
      <c r="V42" s="36"/>
      <c r="W42" s="36"/>
      <c r="X42" s="36" t="s">
        <v>10</v>
      </c>
      <c r="Y42" s="94" t="s">
        <v>279</v>
      </c>
      <c r="Z42" s="380" t="s">
        <v>280</v>
      </c>
      <c r="AA42" s="36"/>
      <c r="AB42" s="36"/>
      <c r="AC42" s="36" t="s">
        <v>476</v>
      </c>
      <c r="AD42" s="94"/>
      <c r="AE42" s="380" t="s">
        <v>280</v>
      </c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81"/>
    </row>
    <row r="43" spans="1:48" ht="28.8" hidden="1">
      <c r="A43" s="394" t="s">
        <v>477</v>
      </c>
      <c r="B43" s="375" t="s">
        <v>478</v>
      </c>
      <c r="C43" s="375"/>
      <c r="D43" s="395" t="s">
        <v>277</v>
      </c>
      <c r="E43" s="395"/>
      <c r="F43" s="372"/>
      <c r="G43" s="372"/>
      <c r="H43" s="431">
        <v>2021</v>
      </c>
      <c r="I43" s="375"/>
      <c r="J43" s="374"/>
      <c r="K43" s="374"/>
      <c r="L43" s="374"/>
      <c r="M43" s="374"/>
      <c r="N43" s="375" t="s">
        <v>19</v>
      </c>
      <c r="O43" s="374" t="s">
        <v>309</v>
      </c>
      <c r="P43" s="373" t="s">
        <v>280</v>
      </c>
      <c r="Q43" s="374"/>
      <c r="R43" s="374"/>
      <c r="S43" s="375" t="s">
        <v>479</v>
      </c>
      <c r="T43" s="374"/>
      <c r="U43" s="373" t="s">
        <v>420</v>
      </c>
      <c r="V43" s="375"/>
      <c r="W43" s="375"/>
      <c r="X43" s="375" t="s">
        <v>480</v>
      </c>
      <c r="Y43" s="374"/>
      <c r="Z43" s="373" t="s">
        <v>420</v>
      </c>
      <c r="AA43" s="375"/>
      <c r="AB43" s="375"/>
      <c r="AC43" s="375" t="s">
        <v>481</v>
      </c>
      <c r="AD43" s="374"/>
      <c r="AE43" s="373" t="s">
        <v>420</v>
      </c>
      <c r="AF43" s="375"/>
      <c r="AG43" s="375"/>
      <c r="AH43" s="375" t="s">
        <v>482</v>
      </c>
      <c r="AI43" s="375"/>
      <c r="AJ43" s="375" t="s">
        <v>483</v>
      </c>
      <c r="AK43" s="375"/>
      <c r="AL43" s="375"/>
      <c r="AM43" s="375" t="s">
        <v>484</v>
      </c>
      <c r="AN43" s="375"/>
      <c r="AO43" s="373" t="s">
        <v>420</v>
      </c>
      <c r="AP43" s="375"/>
      <c r="AQ43" s="375"/>
      <c r="AR43" s="375"/>
      <c r="AS43" s="375"/>
      <c r="AT43" s="375"/>
      <c r="AU43" s="375"/>
      <c r="AV43" s="376"/>
    </row>
    <row r="44" spans="1:48" ht="28.8" hidden="1">
      <c r="A44" s="137" t="s">
        <v>485</v>
      </c>
      <c r="B44" s="36" t="s">
        <v>486</v>
      </c>
      <c r="C44" s="36"/>
      <c r="D44" s="35" t="s">
        <v>306</v>
      </c>
      <c r="E44" s="75" t="s">
        <v>303</v>
      </c>
      <c r="F44" s="20"/>
      <c r="G44" s="20"/>
      <c r="H44" s="432">
        <v>2021</v>
      </c>
      <c r="I44" s="36" t="s">
        <v>19</v>
      </c>
      <c r="J44" s="94"/>
      <c r="K44" s="94"/>
      <c r="L44" s="94" t="s">
        <v>309</v>
      </c>
      <c r="M44" s="380" t="s">
        <v>280</v>
      </c>
      <c r="N44" s="36" t="s">
        <v>19</v>
      </c>
      <c r="O44" s="94" t="s">
        <v>309</v>
      </c>
      <c r="P44" s="380" t="s">
        <v>280</v>
      </c>
      <c r="Q44" s="94"/>
      <c r="R44" s="94"/>
      <c r="S44" s="36" t="s">
        <v>487</v>
      </c>
      <c r="T44" s="94"/>
      <c r="U44" s="380" t="s">
        <v>280</v>
      </c>
      <c r="V44" s="36"/>
      <c r="W44" s="36"/>
      <c r="X44" s="36" t="s">
        <v>10</v>
      </c>
      <c r="Y44" s="94" t="s">
        <v>279</v>
      </c>
      <c r="Z44" s="380" t="s">
        <v>280</v>
      </c>
      <c r="AA44" s="36"/>
      <c r="AB44" s="36"/>
      <c r="AC44" s="36" t="s">
        <v>12</v>
      </c>
      <c r="AD44" s="94" t="s">
        <v>309</v>
      </c>
      <c r="AE44" s="380" t="s">
        <v>280</v>
      </c>
      <c r="AF44" s="36"/>
      <c r="AG44" s="36"/>
      <c r="AH44" s="36" t="s">
        <v>488</v>
      </c>
      <c r="AI44" s="94" t="s">
        <v>309</v>
      </c>
      <c r="AJ44" s="380" t="s">
        <v>280</v>
      </c>
      <c r="AK44" s="36"/>
      <c r="AL44" s="36"/>
      <c r="AM44" s="36" t="s">
        <v>489</v>
      </c>
      <c r="AN44" s="36"/>
      <c r="AO44" s="380" t="s">
        <v>280</v>
      </c>
      <c r="AP44" s="36"/>
      <c r="AQ44" s="36"/>
      <c r="AR44" s="36" t="s">
        <v>490</v>
      </c>
      <c r="AS44" s="36"/>
      <c r="AT44" s="380" t="s">
        <v>280</v>
      </c>
      <c r="AU44" s="36"/>
      <c r="AV44" s="381"/>
    </row>
    <row r="45" spans="1:48" ht="43.2" hidden="1">
      <c r="A45" s="394" t="s">
        <v>491</v>
      </c>
      <c r="B45" s="375" t="s">
        <v>492</v>
      </c>
      <c r="C45" s="375"/>
      <c r="D45" s="395" t="s">
        <v>313</v>
      </c>
      <c r="E45" s="395"/>
      <c r="F45" s="372"/>
      <c r="G45" s="372"/>
      <c r="H45" s="431">
        <v>2021</v>
      </c>
      <c r="I45" s="375" t="s">
        <v>493</v>
      </c>
      <c r="J45" s="374"/>
      <c r="K45" s="374"/>
      <c r="L45" s="374" t="s">
        <v>494</v>
      </c>
      <c r="M45" s="373" t="s">
        <v>280</v>
      </c>
      <c r="N45" s="375" t="s">
        <v>493</v>
      </c>
      <c r="O45" s="374" t="s">
        <v>494</v>
      </c>
      <c r="P45" s="373" t="s">
        <v>280</v>
      </c>
      <c r="Q45" s="374"/>
      <c r="R45" s="374"/>
      <c r="S45" s="375" t="s">
        <v>10</v>
      </c>
      <c r="T45" s="374" t="s">
        <v>279</v>
      </c>
      <c r="U45" s="373" t="s">
        <v>280</v>
      </c>
      <c r="V45" s="375"/>
      <c r="W45" s="375"/>
      <c r="X45" s="375" t="s">
        <v>19</v>
      </c>
      <c r="Y45" s="374" t="s">
        <v>309</v>
      </c>
      <c r="Z45" s="373" t="s">
        <v>280</v>
      </c>
      <c r="AA45" s="375"/>
      <c r="AB45" s="375"/>
      <c r="AC45" s="375"/>
      <c r="AD45" s="374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6"/>
    </row>
    <row r="46" spans="1:48" ht="28.8" hidden="1">
      <c r="A46" s="137" t="s">
        <v>495</v>
      </c>
      <c r="B46" s="36" t="s">
        <v>496</v>
      </c>
      <c r="C46" s="36"/>
      <c r="D46" s="35" t="s">
        <v>328</v>
      </c>
      <c r="E46" s="35"/>
      <c r="F46" s="20"/>
      <c r="G46" s="20"/>
      <c r="H46" s="432">
        <v>2021</v>
      </c>
      <c r="I46" s="36"/>
      <c r="J46" s="94"/>
      <c r="K46" s="94"/>
      <c r="L46" s="94"/>
      <c r="M46" s="94"/>
      <c r="N46" s="36" t="s">
        <v>497</v>
      </c>
      <c r="O46" s="94"/>
      <c r="P46" s="94" t="s">
        <v>498</v>
      </c>
      <c r="Q46" s="94"/>
      <c r="R46" s="94"/>
      <c r="S46" s="36" t="s">
        <v>499</v>
      </c>
      <c r="T46" s="94"/>
      <c r="U46" s="94" t="s">
        <v>498</v>
      </c>
      <c r="V46" s="36"/>
      <c r="W46" s="36"/>
      <c r="X46" s="36" t="s">
        <v>22</v>
      </c>
      <c r="Y46" s="94" t="s">
        <v>494</v>
      </c>
      <c r="Z46" s="380" t="s">
        <v>280</v>
      </c>
      <c r="AA46" s="36"/>
      <c r="AB46" s="36"/>
      <c r="AC46" s="36"/>
      <c r="AD46" s="94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81"/>
    </row>
    <row r="47" spans="1:48" ht="43.2" hidden="1">
      <c r="A47" s="394" t="s">
        <v>500</v>
      </c>
      <c r="B47" s="375" t="s">
        <v>501</v>
      </c>
      <c r="C47" s="375"/>
      <c r="D47" s="395" t="s">
        <v>502</v>
      </c>
      <c r="E47" s="395"/>
      <c r="F47" s="372"/>
      <c r="G47" s="372"/>
      <c r="H47" s="431">
        <v>2021</v>
      </c>
      <c r="I47" s="375" t="s">
        <v>497</v>
      </c>
      <c r="J47" s="374"/>
      <c r="K47" s="374"/>
      <c r="L47" s="374"/>
      <c r="M47" s="374" t="s">
        <v>498</v>
      </c>
      <c r="N47" s="375" t="s">
        <v>497</v>
      </c>
      <c r="O47" s="374"/>
      <c r="P47" s="374" t="s">
        <v>498</v>
      </c>
      <c r="Q47" s="374"/>
      <c r="R47" s="374"/>
      <c r="S47" s="375" t="s">
        <v>503</v>
      </c>
      <c r="T47" s="374"/>
      <c r="U47" s="374" t="s">
        <v>498</v>
      </c>
      <c r="V47" s="375"/>
      <c r="W47" s="375"/>
      <c r="X47" s="375" t="s">
        <v>504</v>
      </c>
      <c r="Y47" s="374"/>
      <c r="Z47" s="374" t="s">
        <v>498</v>
      </c>
      <c r="AA47" s="375"/>
      <c r="AB47" s="375"/>
      <c r="AC47" s="375" t="s">
        <v>22</v>
      </c>
      <c r="AD47" s="374" t="s">
        <v>494</v>
      </c>
      <c r="AE47" s="373" t="s">
        <v>280</v>
      </c>
      <c r="AF47" s="375"/>
      <c r="AG47" s="375"/>
      <c r="AH47" s="375" t="s">
        <v>505</v>
      </c>
      <c r="AI47" s="375"/>
      <c r="AJ47" s="374" t="s">
        <v>498</v>
      </c>
      <c r="AK47" s="375"/>
      <c r="AL47" s="375"/>
      <c r="AM47" s="375" t="s">
        <v>506</v>
      </c>
      <c r="AN47" s="375"/>
      <c r="AO47" s="374" t="s">
        <v>498</v>
      </c>
      <c r="AP47" s="375"/>
      <c r="AQ47" s="375"/>
      <c r="AR47" s="375"/>
      <c r="AS47" s="375"/>
      <c r="AT47" s="375"/>
      <c r="AU47" s="375"/>
      <c r="AV47" s="376"/>
    </row>
    <row r="48" spans="1:48" s="47" customFormat="1" ht="28.8" hidden="1">
      <c r="A48" s="137" t="s">
        <v>507</v>
      </c>
      <c r="B48" s="36" t="s">
        <v>508</v>
      </c>
      <c r="C48" s="36"/>
      <c r="D48" s="35" t="s">
        <v>502</v>
      </c>
      <c r="E48" s="35"/>
      <c r="F48" s="20"/>
      <c r="G48" s="20"/>
      <c r="H48" s="432">
        <v>2021</v>
      </c>
      <c r="I48" s="36" t="s">
        <v>503</v>
      </c>
      <c r="J48" s="94"/>
      <c r="K48" s="94"/>
      <c r="L48" s="94"/>
      <c r="M48" s="94" t="s">
        <v>498</v>
      </c>
      <c r="N48" s="36" t="s">
        <v>503</v>
      </c>
      <c r="O48" s="94"/>
      <c r="P48" s="94" t="s">
        <v>498</v>
      </c>
      <c r="Q48" s="94"/>
      <c r="R48" s="94"/>
      <c r="S48" s="36" t="s">
        <v>509</v>
      </c>
      <c r="T48" s="94"/>
      <c r="U48" s="94" t="s">
        <v>498</v>
      </c>
      <c r="V48" s="36"/>
      <c r="W48" s="36"/>
      <c r="X48" s="36" t="s">
        <v>510</v>
      </c>
      <c r="Y48" s="94"/>
      <c r="Z48" s="94" t="s">
        <v>498</v>
      </c>
      <c r="AA48" s="36"/>
      <c r="AB48" s="36"/>
      <c r="AC48" s="36" t="s">
        <v>497</v>
      </c>
      <c r="AD48" s="94"/>
      <c r="AE48" s="94" t="s">
        <v>498</v>
      </c>
      <c r="AF48" s="36"/>
      <c r="AG48" s="36"/>
      <c r="AH48" s="36" t="s">
        <v>504</v>
      </c>
      <c r="AI48" s="36"/>
      <c r="AJ48" s="94" t="s">
        <v>498</v>
      </c>
      <c r="AK48" s="36"/>
      <c r="AL48" s="36"/>
      <c r="AM48" s="36" t="s">
        <v>22</v>
      </c>
      <c r="AN48" s="94" t="s">
        <v>494</v>
      </c>
      <c r="AO48" s="380" t="s">
        <v>280</v>
      </c>
      <c r="AP48" s="36"/>
      <c r="AQ48" s="36"/>
      <c r="AR48" s="36"/>
      <c r="AS48" s="36"/>
      <c r="AT48" s="36"/>
      <c r="AU48" s="36"/>
      <c r="AV48" s="381"/>
    </row>
    <row r="49" spans="1:48" hidden="1">
      <c r="A49" s="394" t="s">
        <v>511</v>
      </c>
      <c r="B49" s="375" t="s">
        <v>512</v>
      </c>
      <c r="C49" s="375"/>
      <c r="D49" s="395" t="s">
        <v>321</v>
      </c>
      <c r="E49" s="370" t="s">
        <v>303</v>
      </c>
      <c r="F49" s="372"/>
      <c r="G49" s="372"/>
      <c r="H49" s="431">
        <v>2021</v>
      </c>
      <c r="I49" s="375"/>
      <c r="J49" s="374"/>
      <c r="K49" s="374"/>
      <c r="L49" s="374"/>
      <c r="M49" s="374"/>
      <c r="N49" s="374" t="s">
        <v>513</v>
      </c>
      <c r="O49" s="374"/>
      <c r="P49" s="373" t="s">
        <v>514</v>
      </c>
      <c r="Q49" s="374"/>
      <c r="R49" s="374"/>
      <c r="S49" s="375" t="s">
        <v>22</v>
      </c>
      <c r="T49" s="374" t="s">
        <v>494</v>
      </c>
      <c r="U49" s="373" t="s">
        <v>280</v>
      </c>
      <c r="V49" s="375"/>
      <c r="W49" s="375"/>
      <c r="X49" s="375" t="s">
        <v>515</v>
      </c>
      <c r="Y49" s="374"/>
      <c r="Z49" s="373" t="s">
        <v>514</v>
      </c>
      <c r="AA49" s="375"/>
      <c r="AB49" s="375"/>
      <c r="AC49" s="375"/>
      <c r="AD49" s="374"/>
      <c r="AE49" s="375"/>
      <c r="AF49" s="375"/>
      <c r="AG49" s="375"/>
      <c r="AH49" s="375"/>
      <c r="AI49" s="375"/>
      <c r="AJ49" s="375"/>
      <c r="AK49" s="375"/>
      <c r="AL49" s="375"/>
      <c r="AM49" s="375"/>
      <c r="AN49" s="375"/>
      <c r="AO49" s="375"/>
      <c r="AP49" s="375"/>
      <c r="AQ49" s="375"/>
      <c r="AR49" s="375"/>
      <c r="AS49" s="375"/>
      <c r="AT49" s="375"/>
      <c r="AU49" s="375"/>
      <c r="AV49" s="376"/>
    </row>
    <row r="50" spans="1:48" s="47" customFormat="1" ht="28.8" hidden="1">
      <c r="A50" s="137" t="s">
        <v>516</v>
      </c>
      <c r="B50" s="36" t="s">
        <v>517</v>
      </c>
      <c r="C50" s="36"/>
      <c r="D50" s="35" t="s">
        <v>302</v>
      </c>
      <c r="E50" s="75" t="s">
        <v>303</v>
      </c>
      <c r="F50" s="20"/>
      <c r="G50" s="20"/>
      <c r="H50" s="432">
        <v>2021</v>
      </c>
      <c r="I50" s="36"/>
      <c r="J50" s="94"/>
      <c r="K50" s="94"/>
      <c r="L50" s="94"/>
      <c r="M50" s="94"/>
      <c r="N50" s="94" t="s">
        <v>513</v>
      </c>
      <c r="O50" s="94"/>
      <c r="P50" s="380" t="s">
        <v>514</v>
      </c>
      <c r="Q50" s="94"/>
      <c r="R50" s="94"/>
      <c r="S50" s="36" t="s">
        <v>22</v>
      </c>
      <c r="T50" s="94" t="s">
        <v>494</v>
      </c>
      <c r="U50" s="380" t="s">
        <v>280</v>
      </c>
      <c r="V50" s="36"/>
      <c r="W50" s="36"/>
      <c r="X50" s="36" t="s">
        <v>518</v>
      </c>
      <c r="Y50" s="94"/>
      <c r="Z50" s="380" t="s">
        <v>514</v>
      </c>
      <c r="AA50" s="36"/>
      <c r="AB50" s="36"/>
      <c r="AC50" s="36"/>
      <c r="AD50" s="94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81"/>
    </row>
    <row r="51" spans="1:48" ht="28.8" hidden="1">
      <c r="A51" s="394" t="s">
        <v>519</v>
      </c>
      <c r="B51" s="375" t="s">
        <v>520</v>
      </c>
      <c r="C51" s="375"/>
      <c r="D51" s="395" t="s">
        <v>313</v>
      </c>
      <c r="E51" s="395"/>
      <c r="F51" s="372"/>
      <c r="G51" s="372"/>
      <c r="H51" s="431">
        <v>2021</v>
      </c>
      <c r="I51" s="374" t="s">
        <v>513</v>
      </c>
      <c r="J51" s="374"/>
      <c r="K51" s="374"/>
      <c r="L51" s="374"/>
      <c r="M51" s="373" t="s">
        <v>514</v>
      </c>
      <c r="N51" s="374" t="s">
        <v>513</v>
      </c>
      <c r="O51" s="374"/>
      <c r="P51" s="373" t="s">
        <v>514</v>
      </c>
      <c r="Q51" s="374"/>
      <c r="R51" s="374"/>
      <c r="S51" s="375" t="s">
        <v>521</v>
      </c>
      <c r="T51" s="374"/>
      <c r="U51" s="373" t="s">
        <v>420</v>
      </c>
      <c r="V51" s="375"/>
      <c r="W51" s="375"/>
      <c r="X51" s="375" t="s">
        <v>22</v>
      </c>
      <c r="Y51" s="374" t="s">
        <v>494</v>
      </c>
      <c r="Z51" s="373" t="s">
        <v>280</v>
      </c>
      <c r="AA51" s="375"/>
      <c r="AB51" s="375"/>
      <c r="AC51" s="375"/>
      <c r="AD51" s="374"/>
      <c r="AE51" s="375"/>
      <c r="AF51" s="375"/>
      <c r="AG51" s="375"/>
      <c r="AH51" s="375"/>
      <c r="AI51" s="375"/>
      <c r="AJ51" s="375"/>
      <c r="AK51" s="375"/>
      <c r="AL51" s="375"/>
      <c r="AM51" s="375"/>
      <c r="AN51" s="375"/>
      <c r="AO51" s="375"/>
      <c r="AP51" s="375"/>
      <c r="AQ51" s="375"/>
      <c r="AR51" s="375"/>
      <c r="AS51" s="375"/>
      <c r="AT51" s="375"/>
      <c r="AU51" s="375"/>
      <c r="AV51" s="376"/>
    </row>
    <row r="52" spans="1:48" ht="43.2" hidden="1">
      <c r="A52" s="137" t="s">
        <v>522</v>
      </c>
      <c r="B52" s="36" t="s">
        <v>523</v>
      </c>
      <c r="C52" s="36"/>
      <c r="D52" s="35" t="s">
        <v>416</v>
      </c>
      <c r="E52" s="35"/>
      <c r="F52" s="20"/>
      <c r="G52" s="20"/>
      <c r="H52" s="432">
        <v>2021</v>
      </c>
      <c r="I52" s="36" t="s">
        <v>22</v>
      </c>
      <c r="J52" s="94"/>
      <c r="K52" s="94"/>
      <c r="L52" s="94" t="s">
        <v>494</v>
      </c>
      <c r="M52" s="380" t="s">
        <v>280</v>
      </c>
      <c r="N52" s="36" t="s">
        <v>22</v>
      </c>
      <c r="O52" s="94" t="s">
        <v>494</v>
      </c>
      <c r="P52" s="380" t="s">
        <v>280</v>
      </c>
      <c r="Q52" s="94"/>
      <c r="R52" s="94"/>
      <c r="S52" s="94" t="s">
        <v>513</v>
      </c>
      <c r="T52" s="94"/>
      <c r="U52" s="380" t="s">
        <v>514</v>
      </c>
      <c r="V52" s="36"/>
      <c r="W52" s="36"/>
      <c r="X52" s="36" t="s">
        <v>524</v>
      </c>
      <c r="Y52" s="94" t="s">
        <v>494</v>
      </c>
      <c r="Z52" s="380" t="s">
        <v>280</v>
      </c>
      <c r="AA52" s="36"/>
      <c r="AB52" s="36"/>
      <c r="AC52" s="36" t="s">
        <v>525</v>
      </c>
      <c r="AD52" s="94" t="s">
        <v>494</v>
      </c>
      <c r="AE52" s="380" t="s">
        <v>280</v>
      </c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81"/>
    </row>
    <row r="53" spans="1:48" ht="43.2" hidden="1">
      <c r="A53" s="394" t="s">
        <v>526</v>
      </c>
      <c r="B53" s="375" t="s">
        <v>527</v>
      </c>
      <c r="C53" s="375"/>
      <c r="D53" s="395" t="s">
        <v>528</v>
      </c>
      <c r="E53" s="395"/>
      <c r="F53" s="372"/>
      <c r="G53" s="372"/>
      <c r="H53" s="431">
        <v>2021</v>
      </c>
      <c r="I53" s="375" t="s">
        <v>529</v>
      </c>
      <c r="J53" s="374"/>
      <c r="K53" s="374"/>
      <c r="L53" s="374" t="s">
        <v>162</v>
      </c>
      <c r="M53" s="373" t="s">
        <v>280</v>
      </c>
      <c r="N53" s="375" t="s">
        <v>529</v>
      </c>
      <c r="O53" s="374" t="s">
        <v>162</v>
      </c>
      <c r="P53" s="373" t="s">
        <v>280</v>
      </c>
      <c r="Q53" s="374"/>
      <c r="R53" s="374"/>
      <c r="S53" s="375" t="s">
        <v>530</v>
      </c>
      <c r="T53" s="374"/>
      <c r="U53" s="373" t="s">
        <v>420</v>
      </c>
      <c r="V53" s="375"/>
      <c r="W53" s="375"/>
      <c r="X53" s="375"/>
      <c r="Y53" s="374"/>
      <c r="Z53" s="375"/>
      <c r="AA53" s="375"/>
      <c r="AB53" s="375"/>
      <c r="AC53" s="375"/>
      <c r="AD53" s="374"/>
      <c r="AE53" s="375"/>
      <c r="AF53" s="375"/>
      <c r="AG53" s="375"/>
      <c r="AH53" s="375"/>
      <c r="AI53" s="375"/>
      <c r="AJ53" s="375"/>
      <c r="AK53" s="375"/>
      <c r="AL53" s="375"/>
      <c r="AM53" s="375"/>
      <c r="AN53" s="375"/>
      <c r="AO53" s="375"/>
      <c r="AP53" s="375"/>
      <c r="AQ53" s="375"/>
      <c r="AR53" s="375"/>
      <c r="AS53" s="375"/>
      <c r="AT53" s="375"/>
      <c r="AU53" s="375"/>
      <c r="AV53" s="376"/>
    </row>
    <row r="54" spans="1:48" ht="43.2" hidden="1">
      <c r="A54" s="137" t="s">
        <v>531</v>
      </c>
      <c r="B54" s="36" t="s">
        <v>532</v>
      </c>
      <c r="C54" s="36"/>
      <c r="D54" s="35" t="s">
        <v>277</v>
      </c>
      <c r="E54" s="35"/>
      <c r="F54" s="20"/>
      <c r="G54" s="20"/>
      <c r="H54" s="432">
        <v>2021</v>
      </c>
      <c r="I54" s="36"/>
      <c r="J54" s="94"/>
      <c r="K54" s="94"/>
      <c r="L54" s="94"/>
      <c r="M54" s="94"/>
      <c r="N54" s="36" t="s">
        <v>529</v>
      </c>
      <c r="O54" s="94" t="s">
        <v>162</v>
      </c>
      <c r="P54" s="380" t="s">
        <v>280</v>
      </c>
      <c r="Q54" s="94"/>
      <c r="R54" s="94"/>
      <c r="S54" s="36" t="s">
        <v>530</v>
      </c>
      <c r="T54" s="94"/>
      <c r="U54" s="380" t="s">
        <v>420</v>
      </c>
      <c r="V54" s="36"/>
      <c r="W54" s="36"/>
      <c r="X54" s="36" t="s">
        <v>533</v>
      </c>
      <c r="Y54" s="94"/>
      <c r="Z54" s="380" t="s">
        <v>420</v>
      </c>
      <c r="AA54" s="36"/>
      <c r="AB54" s="36"/>
      <c r="AC54" s="36"/>
      <c r="AD54" s="94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81"/>
    </row>
    <row r="55" spans="1:48" ht="28.8" hidden="1">
      <c r="A55" s="394" t="s">
        <v>534</v>
      </c>
      <c r="B55" s="375" t="s">
        <v>535</v>
      </c>
      <c r="C55" s="375"/>
      <c r="D55" s="395" t="s">
        <v>306</v>
      </c>
      <c r="E55" s="370" t="s">
        <v>303</v>
      </c>
      <c r="F55" s="372"/>
      <c r="G55" s="372"/>
      <c r="H55" s="431">
        <v>2021</v>
      </c>
      <c r="I55" s="375" t="s">
        <v>529</v>
      </c>
      <c r="J55" s="374"/>
      <c r="K55" s="374"/>
      <c r="L55" s="374" t="s">
        <v>162</v>
      </c>
      <c r="M55" s="373" t="s">
        <v>280</v>
      </c>
      <c r="N55" s="369" t="s">
        <v>20</v>
      </c>
      <c r="O55" s="373" t="s">
        <v>449</v>
      </c>
      <c r="P55" s="373" t="s">
        <v>280</v>
      </c>
      <c r="Q55" s="374"/>
      <c r="R55" s="374"/>
      <c r="S55" s="375" t="s">
        <v>529</v>
      </c>
      <c r="T55" s="374" t="s">
        <v>162</v>
      </c>
      <c r="U55" s="373" t="s">
        <v>280</v>
      </c>
      <c r="V55" s="375"/>
      <c r="W55" s="375"/>
      <c r="X55" s="375" t="s">
        <v>38</v>
      </c>
      <c r="Y55" s="374" t="s">
        <v>162</v>
      </c>
      <c r="Z55" s="373" t="s">
        <v>280</v>
      </c>
      <c r="AA55" s="375"/>
      <c r="AB55" s="375"/>
      <c r="AC55" s="375"/>
      <c r="AD55" s="374"/>
      <c r="AE55" s="375"/>
      <c r="AF55" s="375"/>
      <c r="AG55" s="375"/>
      <c r="AH55" s="375"/>
      <c r="AI55" s="375"/>
      <c r="AJ55" s="375"/>
      <c r="AK55" s="375"/>
      <c r="AL55" s="375"/>
      <c r="AM55" s="375"/>
      <c r="AN55" s="375"/>
      <c r="AO55" s="375"/>
      <c r="AP55" s="375"/>
      <c r="AQ55" s="375"/>
      <c r="AR55" s="375"/>
      <c r="AS55" s="375"/>
      <c r="AT55" s="375"/>
      <c r="AU55" s="375"/>
      <c r="AV55" s="376"/>
    </row>
    <row r="56" spans="1:48" ht="28.8" hidden="1">
      <c r="A56" s="137" t="s">
        <v>536</v>
      </c>
      <c r="B56" s="36" t="s">
        <v>537</v>
      </c>
      <c r="C56" s="36"/>
      <c r="D56" s="35" t="s">
        <v>306</v>
      </c>
      <c r="E56" s="75" t="s">
        <v>303</v>
      </c>
      <c r="F56" s="20"/>
      <c r="G56" s="20"/>
      <c r="H56" s="432">
        <v>2021</v>
      </c>
      <c r="I56" s="36" t="s">
        <v>30</v>
      </c>
      <c r="J56" s="94"/>
      <c r="K56" s="94"/>
      <c r="L56" s="94" t="s">
        <v>353</v>
      </c>
      <c r="M56" s="380" t="s">
        <v>280</v>
      </c>
      <c r="N56" s="36"/>
      <c r="O56" s="94" t="s">
        <v>353</v>
      </c>
      <c r="P56" s="380" t="s">
        <v>280</v>
      </c>
      <c r="Q56" s="94"/>
      <c r="R56" s="94"/>
      <c r="S56" s="36"/>
      <c r="T56" s="94"/>
      <c r="U56" s="36"/>
      <c r="V56" s="36"/>
      <c r="W56" s="36"/>
      <c r="X56" s="36"/>
      <c r="Y56" s="94"/>
      <c r="Z56" s="36"/>
      <c r="AA56" s="36"/>
      <c r="AB56" s="36"/>
      <c r="AC56" s="36"/>
      <c r="AD56" s="94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81"/>
    </row>
    <row r="57" spans="1:48" ht="28.8" hidden="1">
      <c r="A57" s="394" t="s">
        <v>538</v>
      </c>
      <c r="B57" s="375" t="s">
        <v>539</v>
      </c>
      <c r="C57" s="375"/>
      <c r="D57" s="395" t="s">
        <v>277</v>
      </c>
      <c r="E57" s="395"/>
      <c r="F57" s="372"/>
      <c r="G57" s="372"/>
      <c r="H57" s="431">
        <v>2021</v>
      </c>
      <c r="I57" s="375"/>
      <c r="J57" s="374"/>
      <c r="K57" s="374"/>
      <c r="L57" s="374"/>
      <c r="M57" s="374"/>
      <c r="N57" s="375" t="s">
        <v>540</v>
      </c>
      <c r="O57" s="374"/>
      <c r="P57" s="374" t="s">
        <v>541</v>
      </c>
      <c r="Q57" s="374"/>
      <c r="R57" s="374"/>
      <c r="S57" s="375" t="s">
        <v>542</v>
      </c>
      <c r="T57" s="374"/>
      <c r="U57" s="374" t="s">
        <v>541</v>
      </c>
      <c r="V57" s="375"/>
      <c r="W57" s="375"/>
      <c r="X57" s="375" t="s">
        <v>77</v>
      </c>
      <c r="Y57" s="374" t="s">
        <v>309</v>
      </c>
      <c r="Z57" s="373" t="s">
        <v>280</v>
      </c>
      <c r="AA57" s="375"/>
      <c r="AB57" s="375"/>
      <c r="AC57" s="375" t="s">
        <v>543</v>
      </c>
      <c r="AD57" s="374"/>
      <c r="AE57" s="374" t="s">
        <v>541</v>
      </c>
      <c r="AF57" s="375"/>
      <c r="AG57" s="375"/>
      <c r="AH57" s="375" t="s">
        <v>544</v>
      </c>
      <c r="AI57" s="375"/>
      <c r="AJ57" s="374" t="s">
        <v>541</v>
      </c>
      <c r="AK57" s="375"/>
      <c r="AL57" s="375"/>
      <c r="AM57" s="375" t="s">
        <v>545</v>
      </c>
      <c r="AN57" s="375"/>
      <c r="AO57" s="374" t="s">
        <v>541</v>
      </c>
      <c r="AP57" s="375"/>
      <c r="AQ57" s="375"/>
      <c r="AR57" s="375"/>
      <c r="AS57" s="375"/>
      <c r="AT57" s="375"/>
      <c r="AU57" s="375"/>
      <c r="AV57" s="376"/>
    </row>
    <row r="58" spans="1:48" ht="72" hidden="1">
      <c r="A58" s="137" t="s">
        <v>546</v>
      </c>
      <c r="B58" s="36" t="s">
        <v>547</v>
      </c>
      <c r="C58" s="36"/>
      <c r="D58" s="35" t="s">
        <v>277</v>
      </c>
      <c r="E58" s="35"/>
      <c r="F58" s="20"/>
      <c r="G58" s="20"/>
      <c r="H58" s="432">
        <v>2021</v>
      </c>
      <c r="I58" s="36"/>
      <c r="J58" s="94"/>
      <c r="K58" s="94"/>
      <c r="L58" s="94"/>
      <c r="M58" s="94"/>
      <c r="N58" s="36" t="s">
        <v>77</v>
      </c>
      <c r="O58" s="94" t="s">
        <v>309</v>
      </c>
      <c r="P58" s="380" t="s">
        <v>280</v>
      </c>
      <c r="Q58" s="94"/>
      <c r="R58" s="94"/>
      <c r="S58" s="36" t="s">
        <v>540</v>
      </c>
      <c r="T58" s="94"/>
      <c r="U58" s="94" t="s">
        <v>541</v>
      </c>
      <c r="V58" s="36"/>
      <c r="W58" s="36"/>
      <c r="X58" s="36" t="s">
        <v>543</v>
      </c>
      <c r="Y58" s="94"/>
      <c r="Z58" s="94" t="s">
        <v>541</v>
      </c>
      <c r="AA58" s="36"/>
      <c r="AB58" s="36"/>
      <c r="AC58" s="36" t="s">
        <v>544</v>
      </c>
      <c r="AD58" s="36"/>
      <c r="AE58" s="94" t="s">
        <v>541</v>
      </c>
      <c r="AF58" s="36"/>
      <c r="AG58" s="36"/>
      <c r="AH58" s="36" t="s">
        <v>545</v>
      </c>
      <c r="AI58" s="36"/>
      <c r="AJ58" s="94" t="s">
        <v>541</v>
      </c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81"/>
    </row>
    <row r="59" spans="1:48" ht="28.8" hidden="1">
      <c r="A59" s="394" t="s">
        <v>548</v>
      </c>
      <c r="B59" s="375" t="s">
        <v>549</v>
      </c>
      <c r="C59" s="375"/>
      <c r="D59" s="395" t="s">
        <v>306</v>
      </c>
      <c r="E59" s="370" t="s">
        <v>303</v>
      </c>
      <c r="F59" s="372"/>
      <c r="G59" s="372"/>
      <c r="H59" s="431">
        <v>2021</v>
      </c>
      <c r="I59" s="375" t="s">
        <v>92</v>
      </c>
      <c r="J59" s="374"/>
      <c r="K59" s="374"/>
      <c r="L59" s="374" t="s">
        <v>279</v>
      </c>
      <c r="M59" s="373" t="s">
        <v>280</v>
      </c>
      <c r="N59" s="375" t="s">
        <v>92</v>
      </c>
      <c r="O59" s="374" t="s">
        <v>279</v>
      </c>
      <c r="P59" s="373" t="s">
        <v>280</v>
      </c>
      <c r="Q59" s="374"/>
      <c r="R59" s="374"/>
      <c r="S59" s="375" t="s">
        <v>21</v>
      </c>
      <c r="T59" s="374" t="s">
        <v>309</v>
      </c>
      <c r="U59" s="373" t="s">
        <v>280</v>
      </c>
      <c r="V59" s="375"/>
      <c r="W59" s="375"/>
      <c r="X59" s="375" t="s">
        <v>550</v>
      </c>
      <c r="Y59" s="374" t="s">
        <v>279</v>
      </c>
      <c r="Z59" s="373" t="s">
        <v>280</v>
      </c>
      <c r="AA59" s="375"/>
      <c r="AB59" s="375"/>
      <c r="AC59" s="375"/>
      <c r="AD59" s="374"/>
      <c r="AE59" s="375"/>
      <c r="AF59" s="375"/>
      <c r="AG59" s="375"/>
      <c r="AH59" s="375"/>
      <c r="AI59" s="375"/>
      <c r="AJ59" s="375"/>
      <c r="AK59" s="375"/>
      <c r="AL59" s="375"/>
      <c r="AM59" s="375"/>
      <c r="AN59" s="375"/>
      <c r="AO59" s="375"/>
      <c r="AP59" s="375"/>
      <c r="AQ59" s="375"/>
      <c r="AR59" s="375"/>
      <c r="AS59" s="375"/>
      <c r="AT59" s="375"/>
      <c r="AU59" s="375"/>
      <c r="AV59" s="376"/>
    </row>
    <row r="60" spans="1:48" ht="43.2" hidden="1">
      <c r="A60" s="137" t="s">
        <v>551</v>
      </c>
      <c r="B60" s="36" t="s">
        <v>552</v>
      </c>
      <c r="C60" s="36"/>
      <c r="D60" s="35" t="s">
        <v>528</v>
      </c>
      <c r="E60" s="35"/>
      <c r="F60" s="20"/>
      <c r="G60" s="20"/>
      <c r="H60" s="432">
        <v>2021</v>
      </c>
      <c r="I60" s="36" t="s">
        <v>553</v>
      </c>
      <c r="J60" s="94"/>
      <c r="K60" s="94"/>
      <c r="L60" s="94"/>
      <c r="M60" s="94" t="s">
        <v>554</v>
      </c>
      <c r="N60" s="36" t="s">
        <v>553</v>
      </c>
      <c r="O60" s="94"/>
      <c r="P60" s="94" t="s">
        <v>554</v>
      </c>
      <c r="Q60" s="94"/>
      <c r="R60" s="94"/>
      <c r="S60" s="36" t="s">
        <v>555</v>
      </c>
      <c r="T60" s="94"/>
      <c r="U60" s="94" t="s">
        <v>556</v>
      </c>
      <c r="V60" s="36"/>
      <c r="W60" s="36"/>
      <c r="X60" s="36" t="s">
        <v>8</v>
      </c>
      <c r="Y60" s="94" t="s">
        <v>351</v>
      </c>
      <c r="Z60" s="380" t="s">
        <v>280</v>
      </c>
      <c r="AA60" s="36"/>
      <c r="AB60" s="36"/>
      <c r="AC60" s="36"/>
      <c r="AD60" s="94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81"/>
    </row>
    <row r="61" spans="1:48" ht="28.8" hidden="1">
      <c r="A61" s="394" t="s">
        <v>557</v>
      </c>
      <c r="B61" s="375" t="s">
        <v>558</v>
      </c>
      <c r="C61" s="375"/>
      <c r="D61" s="395" t="s">
        <v>395</v>
      </c>
      <c r="E61" s="395"/>
      <c r="F61" s="372"/>
      <c r="G61" s="372"/>
      <c r="H61" s="431">
        <v>2021</v>
      </c>
      <c r="I61" s="375"/>
      <c r="J61" s="374"/>
      <c r="K61" s="374"/>
      <c r="L61" s="374"/>
      <c r="M61" s="374"/>
      <c r="N61" s="375" t="s">
        <v>559</v>
      </c>
      <c r="O61" s="374"/>
      <c r="P61" s="373" t="s">
        <v>280</v>
      </c>
      <c r="Q61" s="374"/>
      <c r="R61" s="374"/>
      <c r="S61" s="375" t="s">
        <v>560</v>
      </c>
      <c r="T61" s="374"/>
      <c r="U61" s="373" t="s">
        <v>280</v>
      </c>
      <c r="V61" s="375"/>
      <c r="W61" s="375"/>
      <c r="X61" s="375" t="s">
        <v>561</v>
      </c>
      <c r="Y61" s="374"/>
      <c r="Z61" s="373" t="s">
        <v>280</v>
      </c>
      <c r="AA61" s="375"/>
      <c r="AB61" s="375"/>
      <c r="AC61" s="375" t="s">
        <v>8</v>
      </c>
      <c r="AD61" s="374" t="s">
        <v>351</v>
      </c>
      <c r="AE61" s="373" t="s">
        <v>280</v>
      </c>
      <c r="AF61" s="375"/>
      <c r="AG61" s="375"/>
      <c r="AH61" s="375"/>
      <c r="AI61" s="375"/>
      <c r="AJ61" s="375"/>
      <c r="AK61" s="375"/>
      <c r="AL61" s="375"/>
      <c r="AM61" s="375"/>
      <c r="AN61" s="375"/>
      <c r="AO61" s="375"/>
      <c r="AP61" s="375"/>
      <c r="AQ61" s="375"/>
      <c r="AR61" s="375"/>
      <c r="AS61" s="375"/>
      <c r="AT61" s="375"/>
      <c r="AU61" s="375"/>
      <c r="AV61" s="376"/>
    </row>
    <row r="62" spans="1:48" ht="43.2" hidden="1">
      <c r="A62" s="137" t="s">
        <v>562</v>
      </c>
      <c r="B62" s="36" t="s">
        <v>563</v>
      </c>
      <c r="C62" s="36"/>
      <c r="D62" s="35" t="s">
        <v>416</v>
      </c>
      <c r="E62" s="35"/>
      <c r="F62" s="20"/>
      <c r="G62" s="20"/>
      <c r="H62" s="432">
        <v>2021</v>
      </c>
      <c r="I62" s="36" t="s">
        <v>564</v>
      </c>
      <c r="J62" s="94"/>
      <c r="K62" s="94"/>
      <c r="L62" s="94"/>
      <c r="M62" s="380" t="s">
        <v>565</v>
      </c>
      <c r="N62" s="36" t="s">
        <v>564</v>
      </c>
      <c r="O62" s="94"/>
      <c r="P62" s="380" t="s">
        <v>565</v>
      </c>
      <c r="Q62" s="94"/>
      <c r="R62" s="94"/>
      <c r="S62" s="36" t="s">
        <v>8</v>
      </c>
      <c r="T62" s="94" t="s">
        <v>351</v>
      </c>
      <c r="U62" s="380" t="s">
        <v>280</v>
      </c>
      <c r="V62" s="36"/>
      <c r="W62" s="36"/>
      <c r="X62" s="36"/>
      <c r="Y62" s="94"/>
      <c r="Z62" s="36"/>
      <c r="AA62" s="36"/>
      <c r="AB62" s="36"/>
      <c r="AC62" s="36"/>
      <c r="AD62" s="94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81"/>
    </row>
    <row r="63" spans="1:48" ht="43.2" hidden="1">
      <c r="A63" s="394" t="s">
        <v>566</v>
      </c>
      <c r="B63" s="375" t="s">
        <v>567</v>
      </c>
      <c r="C63" s="375"/>
      <c r="D63" s="395" t="s">
        <v>568</v>
      </c>
      <c r="E63" s="395"/>
      <c r="F63" s="372"/>
      <c r="G63" s="372"/>
      <c r="H63" s="431">
        <v>2021</v>
      </c>
      <c r="I63" s="375"/>
      <c r="J63" s="374"/>
      <c r="K63" s="374"/>
      <c r="L63" s="374"/>
      <c r="M63" s="374"/>
      <c r="N63" s="375" t="s">
        <v>564</v>
      </c>
      <c r="O63" s="374"/>
      <c r="P63" s="373" t="s">
        <v>565</v>
      </c>
      <c r="Q63" s="374"/>
      <c r="R63" s="374"/>
      <c r="S63" s="375" t="s">
        <v>8</v>
      </c>
      <c r="T63" s="374" t="s">
        <v>351</v>
      </c>
      <c r="U63" s="373" t="s">
        <v>280</v>
      </c>
      <c r="V63" s="375"/>
      <c r="W63" s="375"/>
      <c r="X63" s="375"/>
      <c r="Y63" s="374"/>
      <c r="Z63" s="375"/>
      <c r="AA63" s="375"/>
      <c r="AB63" s="375"/>
      <c r="AC63" s="375"/>
      <c r="AD63" s="374"/>
      <c r="AE63" s="375"/>
      <c r="AF63" s="375"/>
      <c r="AG63" s="375"/>
      <c r="AH63" s="375"/>
      <c r="AI63" s="375"/>
      <c r="AJ63" s="375"/>
      <c r="AK63" s="375"/>
      <c r="AL63" s="375"/>
      <c r="AM63" s="375"/>
      <c r="AN63" s="375"/>
      <c r="AO63" s="375"/>
      <c r="AP63" s="375"/>
      <c r="AQ63" s="375"/>
      <c r="AR63" s="375"/>
      <c r="AS63" s="375"/>
      <c r="AT63" s="375"/>
      <c r="AU63" s="375"/>
      <c r="AV63" s="376"/>
    </row>
    <row r="64" spans="1:48" ht="43.2" hidden="1">
      <c r="A64" s="137" t="s">
        <v>569</v>
      </c>
      <c r="B64" s="36" t="s">
        <v>570</v>
      </c>
      <c r="C64" s="36"/>
      <c r="D64" s="35" t="s">
        <v>502</v>
      </c>
      <c r="E64" s="35"/>
      <c r="F64" s="20"/>
      <c r="G64" s="20"/>
      <c r="H64" s="432">
        <v>2021</v>
      </c>
      <c r="I64" s="36"/>
      <c r="J64" s="94"/>
      <c r="K64" s="94"/>
      <c r="L64" s="94"/>
      <c r="M64" s="94"/>
      <c r="N64" s="36" t="s">
        <v>571</v>
      </c>
      <c r="O64" s="94"/>
      <c r="P64" s="380" t="s">
        <v>366</v>
      </c>
      <c r="Q64" s="94"/>
      <c r="R64" s="94"/>
      <c r="S64" s="36" t="s">
        <v>572</v>
      </c>
      <c r="T64" s="94"/>
      <c r="U64" s="380" t="s">
        <v>573</v>
      </c>
      <c r="V64" s="36"/>
      <c r="W64" s="36"/>
      <c r="X64" s="36" t="s">
        <v>83</v>
      </c>
      <c r="Y64" s="94" t="s">
        <v>309</v>
      </c>
      <c r="Z64" s="380" t="s">
        <v>280</v>
      </c>
      <c r="AA64" s="36"/>
      <c r="AB64" s="36"/>
      <c r="AC64" s="36"/>
      <c r="AD64" s="94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81"/>
    </row>
    <row r="65" spans="1:48" ht="28.8" hidden="1">
      <c r="A65" s="394" t="s">
        <v>574</v>
      </c>
      <c r="B65" s="375" t="s">
        <v>575</v>
      </c>
      <c r="C65" s="375"/>
      <c r="D65" s="395" t="s">
        <v>306</v>
      </c>
      <c r="E65" s="370" t="s">
        <v>303</v>
      </c>
      <c r="F65" s="372"/>
      <c r="G65" s="372"/>
      <c r="H65" s="431">
        <v>2021</v>
      </c>
      <c r="I65" s="375" t="s">
        <v>576</v>
      </c>
      <c r="J65" s="374"/>
      <c r="K65" s="374"/>
      <c r="L65" s="374"/>
      <c r="M65" s="373" t="s">
        <v>366</v>
      </c>
      <c r="N65" s="375" t="s">
        <v>576</v>
      </c>
      <c r="O65" s="374"/>
      <c r="P65" s="373" t="s">
        <v>366</v>
      </c>
      <c r="Q65" s="374"/>
      <c r="R65" s="374"/>
      <c r="S65" s="375" t="s">
        <v>69</v>
      </c>
      <c r="T65" s="374"/>
      <c r="U65" s="373" t="s">
        <v>366</v>
      </c>
      <c r="V65" s="375"/>
      <c r="W65" s="375"/>
      <c r="X65" s="375" t="s">
        <v>577</v>
      </c>
      <c r="Y65" s="374"/>
      <c r="Z65" s="373" t="s">
        <v>366</v>
      </c>
      <c r="AA65" s="375"/>
      <c r="AB65" s="375"/>
      <c r="AC65" s="375" t="s">
        <v>17</v>
      </c>
      <c r="AD65" s="374" t="s">
        <v>353</v>
      </c>
      <c r="AE65" s="373" t="s">
        <v>280</v>
      </c>
      <c r="AF65" s="375"/>
      <c r="AG65" s="375"/>
      <c r="AH65" s="375"/>
      <c r="AI65" s="375"/>
      <c r="AJ65" s="375"/>
      <c r="AK65" s="375"/>
      <c r="AL65" s="375"/>
      <c r="AM65" s="375"/>
      <c r="AN65" s="375"/>
      <c r="AO65" s="375"/>
      <c r="AP65" s="375"/>
      <c r="AQ65" s="375"/>
      <c r="AR65" s="375"/>
      <c r="AS65" s="375"/>
      <c r="AT65" s="375"/>
      <c r="AU65" s="375"/>
      <c r="AV65" s="376"/>
    </row>
    <row r="66" spans="1:48" ht="28.8" hidden="1">
      <c r="A66" s="137" t="s">
        <v>578</v>
      </c>
      <c r="B66" s="36" t="s">
        <v>579</v>
      </c>
      <c r="C66" s="36"/>
      <c r="D66" s="35" t="s">
        <v>321</v>
      </c>
      <c r="E66" s="75" t="s">
        <v>303</v>
      </c>
      <c r="F66" s="20"/>
      <c r="G66" s="20"/>
      <c r="H66" s="432">
        <v>2021</v>
      </c>
      <c r="I66" s="36"/>
      <c r="J66" s="94"/>
      <c r="K66" s="94"/>
      <c r="L66" s="94"/>
      <c r="M66" s="94"/>
      <c r="N66" s="378" t="s">
        <v>6</v>
      </c>
      <c r="O66" s="380" t="s">
        <v>351</v>
      </c>
      <c r="P66" s="380" t="s">
        <v>280</v>
      </c>
      <c r="Q66" s="94"/>
      <c r="R66" s="94"/>
      <c r="S66" s="36" t="s">
        <v>580</v>
      </c>
      <c r="T66" s="380" t="s">
        <v>351</v>
      </c>
      <c r="U66" s="380" t="s">
        <v>280</v>
      </c>
      <c r="V66" s="36"/>
      <c r="W66" s="36"/>
      <c r="X66" s="36" t="s">
        <v>17</v>
      </c>
      <c r="Y66" s="94" t="s">
        <v>353</v>
      </c>
      <c r="Z66" s="380" t="s">
        <v>280</v>
      </c>
      <c r="AA66" s="36"/>
      <c r="AB66" s="36"/>
      <c r="AC66" s="36"/>
      <c r="AD66" s="94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81"/>
    </row>
    <row r="67" spans="1:48" ht="57.6" hidden="1">
      <c r="A67" s="394" t="s">
        <v>581</v>
      </c>
      <c r="B67" s="375" t="s">
        <v>582</v>
      </c>
      <c r="C67" s="375"/>
      <c r="D67" s="395" t="s">
        <v>416</v>
      </c>
      <c r="E67" s="395"/>
      <c r="F67" s="372"/>
      <c r="G67" s="372"/>
      <c r="H67" s="431">
        <v>2021</v>
      </c>
      <c r="I67" s="375" t="s">
        <v>583</v>
      </c>
      <c r="J67" s="374"/>
      <c r="K67" s="374"/>
      <c r="L67" s="374"/>
      <c r="M67" s="374" t="s">
        <v>584</v>
      </c>
      <c r="N67" s="375" t="s">
        <v>583</v>
      </c>
      <c r="O67" s="374"/>
      <c r="P67" s="374" t="s">
        <v>585</v>
      </c>
      <c r="Q67" s="374"/>
      <c r="R67" s="374"/>
      <c r="S67" s="375" t="s">
        <v>586</v>
      </c>
      <c r="T67" s="374"/>
      <c r="U67" s="374" t="s">
        <v>585</v>
      </c>
      <c r="V67" s="375"/>
      <c r="W67" s="375"/>
      <c r="X67" s="375" t="s">
        <v>587</v>
      </c>
      <c r="Y67" s="374"/>
      <c r="Z67" s="374" t="s">
        <v>585</v>
      </c>
      <c r="AA67" s="375"/>
      <c r="AB67" s="375"/>
      <c r="AC67" s="375" t="s">
        <v>12</v>
      </c>
      <c r="AD67" s="374" t="s">
        <v>309</v>
      </c>
      <c r="AE67" s="373" t="s">
        <v>280</v>
      </c>
      <c r="AF67" s="375"/>
      <c r="AG67" s="375"/>
      <c r="AH67" s="375" t="s">
        <v>588</v>
      </c>
      <c r="AI67" s="375"/>
      <c r="AJ67" s="374" t="s">
        <v>585</v>
      </c>
      <c r="AK67" s="375"/>
      <c r="AL67" s="375"/>
      <c r="AM67" s="375" t="s">
        <v>589</v>
      </c>
      <c r="AN67" s="375"/>
      <c r="AO67" s="374" t="s">
        <v>585</v>
      </c>
      <c r="AP67" s="375"/>
      <c r="AQ67" s="375"/>
      <c r="AR67" s="375" t="s">
        <v>590</v>
      </c>
      <c r="AS67" s="375"/>
      <c r="AT67" s="374" t="s">
        <v>585</v>
      </c>
      <c r="AU67" s="375"/>
      <c r="AV67" s="376"/>
    </row>
    <row r="68" spans="1:48" ht="43.2" hidden="1">
      <c r="A68" s="137" t="s">
        <v>591</v>
      </c>
      <c r="B68" s="36" t="s">
        <v>592</v>
      </c>
      <c r="C68" s="36"/>
      <c r="D68" s="35" t="s">
        <v>416</v>
      </c>
      <c r="E68" s="35"/>
      <c r="F68" s="20"/>
      <c r="G68" s="20"/>
      <c r="H68" s="432">
        <v>2021</v>
      </c>
      <c r="I68" s="36" t="s">
        <v>586</v>
      </c>
      <c r="J68" s="94"/>
      <c r="K68" s="94"/>
      <c r="L68" s="94"/>
      <c r="M68" s="94" t="s">
        <v>584</v>
      </c>
      <c r="N68" s="36" t="s">
        <v>12</v>
      </c>
      <c r="O68" s="94" t="s">
        <v>309</v>
      </c>
      <c r="P68" s="380" t="s">
        <v>280</v>
      </c>
      <c r="Q68" s="94"/>
      <c r="R68" s="94"/>
      <c r="S68" s="36" t="s">
        <v>586</v>
      </c>
      <c r="T68" s="94"/>
      <c r="U68" s="94" t="s">
        <v>585</v>
      </c>
      <c r="V68" s="36"/>
      <c r="W68" s="36"/>
      <c r="X68" s="36" t="s">
        <v>588</v>
      </c>
      <c r="Y68" s="36"/>
      <c r="Z68" s="94" t="s">
        <v>585</v>
      </c>
      <c r="AA68" s="36"/>
      <c r="AB68" s="36"/>
      <c r="AC68" s="36" t="s">
        <v>168</v>
      </c>
      <c r="AD68" s="94"/>
      <c r="AE68" s="94" t="s">
        <v>585</v>
      </c>
      <c r="AF68" s="36"/>
      <c r="AG68" s="36"/>
      <c r="AH68" s="36" t="s">
        <v>583</v>
      </c>
      <c r="AI68" s="94"/>
      <c r="AJ68" s="94" t="s">
        <v>585</v>
      </c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81"/>
    </row>
    <row r="69" spans="1:48" ht="43.2" hidden="1">
      <c r="A69" s="394" t="s">
        <v>593</v>
      </c>
      <c r="B69" s="375" t="s">
        <v>594</v>
      </c>
      <c r="C69" s="375"/>
      <c r="D69" s="395" t="s">
        <v>277</v>
      </c>
      <c r="E69" s="395"/>
      <c r="F69" s="372"/>
      <c r="G69" s="372"/>
      <c r="H69" s="431">
        <v>2021</v>
      </c>
      <c r="I69" s="375"/>
      <c r="J69" s="374"/>
      <c r="K69" s="374"/>
      <c r="L69" s="374"/>
      <c r="M69" s="374"/>
      <c r="N69" s="375" t="s">
        <v>586</v>
      </c>
      <c r="O69" s="374"/>
      <c r="P69" s="374" t="s">
        <v>584</v>
      </c>
      <c r="Q69" s="374"/>
      <c r="R69" s="374"/>
      <c r="S69" s="375" t="s">
        <v>12</v>
      </c>
      <c r="T69" s="374" t="s">
        <v>309</v>
      </c>
      <c r="U69" s="373" t="s">
        <v>280</v>
      </c>
      <c r="V69" s="375"/>
      <c r="W69" s="375"/>
      <c r="X69" s="375"/>
      <c r="Y69" s="374"/>
      <c r="Z69" s="375"/>
      <c r="AA69" s="375"/>
      <c r="AB69" s="375"/>
      <c r="AC69" s="375"/>
      <c r="AD69" s="374"/>
      <c r="AE69" s="375"/>
      <c r="AF69" s="375"/>
      <c r="AG69" s="375"/>
      <c r="AH69" s="375"/>
      <c r="AI69" s="375"/>
      <c r="AJ69" s="375"/>
      <c r="AK69" s="375"/>
      <c r="AL69" s="375"/>
      <c r="AM69" s="375"/>
      <c r="AN69" s="375"/>
      <c r="AO69" s="375"/>
      <c r="AP69" s="375"/>
      <c r="AQ69" s="375"/>
      <c r="AR69" s="375"/>
      <c r="AS69" s="375"/>
      <c r="AT69" s="375"/>
      <c r="AU69" s="375"/>
      <c r="AV69" s="376"/>
    </row>
    <row r="70" spans="1:48" ht="28.8" hidden="1">
      <c r="A70" s="137" t="s">
        <v>595</v>
      </c>
      <c r="B70" s="36" t="s">
        <v>596</v>
      </c>
      <c r="C70" s="36"/>
      <c r="D70" s="35" t="s">
        <v>395</v>
      </c>
      <c r="E70" s="35"/>
      <c r="F70" s="20"/>
      <c r="G70" s="20"/>
      <c r="H70" s="432">
        <v>2021</v>
      </c>
      <c r="I70" s="36"/>
      <c r="J70" s="94"/>
      <c r="K70" s="94"/>
      <c r="L70" s="94"/>
      <c r="M70" s="94"/>
      <c r="N70" s="36" t="s">
        <v>597</v>
      </c>
      <c r="O70" s="94"/>
      <c r="P70" s="380" t="s">
        <v>280</v>
      </c>
      <c r="Q70" s="94"/>
      <c r="R70" s="94"/>
      <c r="S70" s="36" t="s">
        <v>325</v>
      </c>
      <c r="T70" s="94"/>
      <c r="U70" s="380" t="s">
        <v>280</v>
      </c>
      <c r="V70" s="36"/>
      <c r="W70" s="36"/>
      <c r="X70" s="36" t="s">
        <v>12</v>
      </c>
      <c r="Y70" s="94" t="s">
        <v>309</v>
      </c>
      <c r="Z70" s="380" t="s">
        <v>280</v>
      </c>
      <c r="AA70" s="36"/>
      <c r="AB70" s="36"/>
      <c r="AC70" s="36"/>
      <c r="AD70" s="94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81"/>
    </row>
    <row r="71" spans="1:48" ht="43.2" hidden="1">
      <c r="A71" s="394" t="s">
        <v>598</v>
      </c>
      <c r="B71" s="375" t="s">
        <v>492</v>
      </c>
      <c r="C71" s="375"/>
      <c r="D71" s="395" t="s">
        <v>313</v>
      </c>
      <c r="E71" s="395"/>
      <c r="F71" s="372"/>
      <c r="G71" s="372"/>
      <c r="H71" s="431">
        <v>2021</v>
      </c>
      <c r="I71" s="375" t="s">
        <v>12</v>
      </c>
      <c r="J71" s="374"/>
      <c r="K71" s="374"/>
      <c r="L71" s="374" t="s">
        <v>309</v>
      </c>
      <c r="M71" s="373" t="s">
        <v>280</v>
      </c>
      <c r="N71" s="375" t="s">
        <v>12</v>
      </c>
      <c r="O71" s="374" t="s">
        <v>309</v>
      </c>
      <c r="P71" s="373" t="s">
        <v>280</v>
      </c>
      <c r="Q71" s="374"/>
      <c r="R71" s="374"/>
      <c r="S71" s="375"/>
      <c r="T71" s="374"/>
      <c r="U71" s="375"/>
      <c r="V71" s="375"/>
      <c r="W71" s="375"/>
      <c r="X71" s="375"/>
      <c r="Y71" s="374"/>
      <c r="Z71" s="375"/>
      <c r="AA71" s="375"/>
      <c r="AB71" s="375"/>
      <c r="AC71" s="375"/>
      <c r="AD71" s="374"/>
      <c r="AE71" s="375"/>
      <c r="AF71" s="375"/>
      <c r="AG71" s="375"/>
      <c r="AH71" s="375"/>
      <c r="AI71" s="375"/>
      <c r="AJ71" s="375"/>
      <c r="AK71" s="375"/>
      <c r="AL71" s="375"/>
      <c r="AM71" s="375"/>
      <c r="AN71" s="375"/>
      <c r="AO71" s="375"/>
      <c r="AP71" s="375"/>
      <c r="AQ71" s="375"/>
      <c r="AR71" s="375"/>
      <c r="AS71" s="375"/>
      <c r="AT71" s="375"/>
      <c r="AU71" s="375"/>
      <c r="AV71" s="376"/>
    </row>
    <row r="72" spans="1:48" ht="28.8" hidden="1">
      <c r="A72" s="137" t="s">
        <v>599</v>
      </c>
      <c r="B72" s="36" t="s">
        <v>600</v>
      </c>
      <c r="C72" s="36"/>
      <c r="D72" s="35" t="s">
        <v>328</v>
      </c>
      <c r="E72" s="35"/>
      <c r="F72" s="20"/>
      <c r="G72" s="20"/>
      <c r="H72" s="432">
        <v>2021</v>
      </c>
      <c r="I72" s="36"/>
      <c r="J72" s="94"/>
      <c r="K72" s="94"/>
      <c r="L72" s="94"/>
      <c r="M72" s="94"/>
      <c r="N72" s="36" t="s">
        <v>9</v>
      </c>
      <c r="O72" s="94" t="s">
        <v>449</v>
      </c>
      <c r="P72" s="380" t="s">
        <v>280</v>
      </c>
      <c r="Q72" s="94"/>
      <c r="R72" s="94"/>
      <c r="S72" s="36" t="s">
        <v>15</v>
      </c>
      <c r="T72" s="94" t="s">
        <v>449</v>
      </c>
      <c r="U72" s="380" t="s">
        <v>280</v>
      </c>
      <c r="V72" s="36"/>
      <c r="W72" s="36"/>
      <c r="X72" s="36"/>
      <c r="Y72" s="94"/>
      <c r="Z72" s="36"/>
      <c r="AA72" s="36"/>
      <c r="AB72" s="36"/>
      <c r="AC72" s="36"/>
      <c r="AD72" s="94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81"/>
    </row>
    <row r="73" spans="1:48" ht="57.6" hidden="1">
      <c r="A73" s="394" t="s">
        <v>601</v>
      </c>
      <c r="B73" s="375" t="s">
        <v>602</v>
      </c>
      <c r="C73" s="375"/>
      <c r="D73" s="395" t="s">
        <v>277</v>
      </c>
      <c r="E73" s="395"/>
      <c r="F73" s="372"/>
      <c r="G73" s="372"/>
      <c r="H73" s="431">
        <v>2021</v>
      </c>
      <c r="I73" s="375"/>
      <c r="J73" s="374"/>
      <c r="K73" s="374"/>
      <c r="L73" s="374"/>
      <c r="M73" s="374"/>
      <c r="N73" s="375" t="s">
        <v>603</v>
      </c>
      <c r="O73" s="374"/>
      <c r="P73" s="373" t="s">
        <v>604</v>
      </c>
      <c r="Q73" s="374"/>
      <c r="R73" s="374"/>
      <c r="S73" s="375" t="s">
        <v>605</v>
      </c>
      <c r="T73" s="374"/>
      <c r="U73" s="373" t="s">
        <v>604</v>
      </c>
      <c r="V73" s="375"/>
      <c r="W73" s="375"/>
      <c r="X73" s="375" t="s">
        <v>606</v>
      </c>
      <c r="Y73" s="374"/>
      <c r="Z73" s="373" t="s">
        <v>607</v>
      </c>
      <c r="AA73" s="375"/>
      <c r="AB73" s="375"/>
      <c r="AC73" s="375" t="s">
        <v>15</v>
      </c>
      <c r="AD73" s="374" t="s">
        <v>449</v>
      </c>
      <c r="AE73" s="373" t="s">
        <v>280</v>
      </c>
      <c r="AF73" s="375"/>
      <c r="AG73" s="375"/>
      <c r="AH73" s="375"/>
      <c r="AI73" s="375"/>
      <c r="AJ73" s="375"/>
      <c r="AK73" s="375"/>
      <c r="AL73" s="375"/>
      <c r="AM73" s="375"/>
      <c r="AN73" s="375"/>
      <c r="AO73" s="375"/>
      <c r="AP73" s="375"/>
      <c r="AQ73" s="375"/>
      <c r="AR73" s="375"/>
      <c r="AS73" s="375"/>
      <c r="AT73" s="375"/>
      <c r="AU73" s="375"/>
      <c r="AV73" s="376"/>
    </row>
    <row r="74" spans="1:48" ht="43.2" hidden="1">
      <c r="A74" s="137" t="s">
        <v>608</v>
      </c>
      <c r="B74" s="36" t="s">
        <v>609</v>
      </c>
      <c r="C74" s="36"/>
      <c r="D74" s="35" t="s">
        <v>277</v>
      </c>
      <c r="E74" s="35"/>
      <c r="F74" s="20"/>
      <c r="G74" s="20"/>
      <c r="H74" s="432">
        <v>2021</v>
      </c>
      <c r="I74" s="36"/>
      <c r="J74" s="94"/>
      <c r="K74" s="94"/>
      <c r="L74" s="94"/>
      <c r="M74" s="94"/>
      <c r="N74" s="36" t="s">
        <v>15</v>
      </c>
      <c r="O74" s="94" t="s">
        <v>449</v>
      </c>
      <c r="P74" s="380" t="s">
        <v>280</v>
      </c>
      <c r="Q74" s="94"/>
      <c r="R74" s="94"/>
      <c r="S74" s="36" t="s">
        <v>9</v>
      </c>
      <c r="T74" s="94" t="s">
        <v>449</v>
      </c>
      <c r="U74" s="380" t="s">
        <v>280</v>
      </c>
      <c r="V74" s="36"/>
      <c r="W74" s="36"/>
      <c r="X74" s="36" t="s">
        <v>93</v>
      </c>
      <c r="Y74" s="94" t="s">
        <v>449</v>
      </c>
      <c r="Z74" s="380" t="s">
        <v>280</v>
      </c>
      <c r="AA74" s="36"/>
      <c r="AB74" s="36"/>
      <c r="AC74" s="36" t="s">
        <v>610</v>
      </c>
      <c r="AD74" s="94" t="s">
        <v>449</v>
      </c>
      <c r="AE74" s="380" t="s">
        <v>280</v>
      </c>
      <c r="AF74" s="36"/>
      <c r="AG74" s="36"/>
      <c r="AH74" s="36" t="s">
        <v>611</v>
      </c>
      <c r="AI74" s="94" t="s">
        <v>449</v>
      </c>
      <c r="AJ74" s="380" t="s">
        <v>280</v>
      </c>
      <c r="AK74" s="36"/>
      <c r="AL74" s="36"/>
      <c r="AM74" s="36" t="s">
        <v>612</v>
      </c>
      <c r="AN74" s="94" t="s">
        <v>449</v>
      </c>
      <c r="AO74" s="380" t="s">
        <v>280</v>
      </c>
      <c r="AP74" s="36"/>
      <c r="AQ74" s="36"/>
      <c r="AR74" s="36"/>
      <c r="AS74" s="36"/>
      <c r="AT74" s="36"/>
      <c r="AU74" s="36"/>
      <c r="AV74" s="381"/>
    </row>
    <row r="75" spans="1:48" ht="28.8" hidden="1">
      <c r="A75" s="394" t="s">
        <v>613</v>
      </c>
      <c r="B75" s="375" t="s">
        <v>614</v>
      </c>
      <c r="C75" s="375"/>
      <c r="D75" s="395" t="s">
        <v>395</v>
      </c>
      <c r="E75" s="395"/>
      <c r="F75" s="372"/>
      <c r="G75" s="372"/>
      <c r="H75" s="431">
        <v>2021</v>
      </c>
      <c r="I75" s="375"/>
      <c r="J75" s="374"/>
      <c r="K75" s="374"/>
      <c r="L75" s="374"/>
      <c r="M75" s="374"/>
      <c r="N75" s="375" t="s">
        <v>615</v>
      </c>
      <c r="O75" s="374"/>
      <c r="P75" s="373" t="s">
        <v>280</v>
      </c>
      <c r="Q75" s="374"/>
      <c r="R75" s="374"/>
      <c r="S75" s="375" t="s">
        <v>616</v>
      </c>
      <c r="T75" s="374"/>
      <c r="U75" s="373" t="s">
        <v>280</v>
      </c>
      <c r="V75" s="375"/>
      <c r="W75" s="375"/>
      <c r="X75" s="375" t="s">
        <v>617</v>
      </c>
      <c r="Y75" s="374"/>
      <c r="Z75" s="373" t="s">
        <v>280</v>
      </c>
      <c r="AA75" s="375"/>
      <c r="AB75" s="375"/>
      <c r="AC75" s="375" t="s">
        <v>29</v>
      </c>
      <c r="AD75" s="374" t="s">
        <v>351</v>
      </c>
      <c r="AE75" s="373" t="s">
        <v>280</v>
      </c>
      <c r="AF75" s="375"/>
      <c r="AG75" s="375"/>
      <c r="AH75" s="375"/>
      <c r="AI75" s="375"/>
      <c r="AJ75" s="375"/>
      <c r="AK75" s="375"/>
      <c r="AL75" s="375"/>
      <c r="AM75" s="375"/>
      <c r="AN75" s="375"/>
      <c r="AO75" s="375"/>
      <c r="AP75" s="375"/>
      <c r="AQ75" s="375"/>
      <c r="AR75" s="375"/>
      <c r="AS75" s="375"/>
      <c r="AT75" s="375"/>
      <c r="AU75" s="375"/>
      <c r="AV75" s="376"/>
    </row>
    <row r="76" spans="1:48" ht="43.2" hidden="1">
      <c r="A76" s="137" t="s">
        <v>618</v>
      </c>
      <c r="B76" s="36" t="s">
        <v>357</v>
      </c>
      <c r="C76" s="36"/>
      <c r="D76" s="35" t="s">
        <v>286</v>
      </c>
      <c r="E76" s="35"/>
      <c r="F76" s="20"/>
      <c r="G76" s="20"/>
      <c r="H76" s="432">
        <v>2021</v>
      </c>
      <c r="I76" s="36"/>
      <c r="J76" s="94"/>
      <c r="K76" s="94"/>
      <c r="L76" s="94"/>
      <c r="M76" s="94"/>
      <c r="N76" s="36" t="s">
        <v>619</v>
      </c>
      <c r="O76" s="94"/>
      <c r="P76" s="380" t="s">
        <v>280</v>
      </c>
      <c r="Q76" s="94"/>
      <c r="R76" s="94"/>
      <c r="S76" s="36" t="s">
        <v>29</v>
      </c>
      <c r="T76" s="94" t="s">
        <v>351</v>
      </c>
      <c r="U76" s="380" t="s">
        <v>280</v>
      </c>
      <c r="V76" s="36"/>
      <c r="W76" s="36"/>
      <c r="X76" s="36" t="s">
        <v>71</v>
      </c>
      <c r="Y76" s="94" t="s">
        <v>620</v>
      </c>
      <c r="Z76" s="380" t="s">
        <v>280</v>
      </c>
      <c r="AA76" s="36"/>
      <c r="AB76" s="36"/>
      <c r="AC76" s="36" t="s">
        <v>93</v>
      </c>
      <c r="AD76" s="94" t="s">
        <v>449</v>
      </c>
      <c r="AE76" s="380" t="s">
        <v>280</v>
      </c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81"/>
    </row>
    <row r="77" spans="1:48" ht="43.2" hidden="1">
      <c r="A77" s="394" t="s">
        <v>621</v>
      </c>
      <c r="B77" s="375" t="s">
        <v>622</v>
      </c>
      <c r="C77" s="375"/>
      <c r="D77" s="395" t="s">
        <v>313</v>
      </c>
      <c r="E77" s="395"/>
      <c r="F77" s="372"/>
      <c r="G77" s="372"/>
      <c r="H77" s="431">
        <v>2021</v>
      </c>
      <c r="I77" s="375" t="s">
        <v>203</v>
      </c>
      <c r="J77" s="374"/>
      <c r="K77" s="374"/>
      <c r="L77" s="374" t="s">
        <v>351</v>
      </c>
      <c r="M77" s="373" t="s">
        <v>280</v>
      </c>
      <c r="N77" s="375" t="s">
        <v>203</v>
      </c>
      <c r="O77" s="374" t="s">
        <v>351</v>
      </c>
      <c r="P77" s="373" t="s">
        <v>280</v>
      </c>
      <c r="Q77" s="374"/>
      <c r="R77" s="374"/>
      <c r="S77" s="375" t="s">
        <v>29</v>
      </c>
      <c r="T77" s="374" t="s">
        <v>351</v>
      </c>
      <c r="U77" s="373" t="s">
        <v>280</v>
      </c>
      <c r="V77" s="375"/>
      <c r="W77" s="375"/>
      <c r="X77" s="375"/>
      <c r="Y77" s="374"/>
      <c r="Z77" s="375"/>
      <c r="AA77" s="375"/>
      <c r="AB77" s="375"/>
      <c r="AC77" s="375"/>
      <c r="AD77" s="374"/>
      <c r="AE77" s="375"/>
      <c r="AF77" s="375"/>
      <c r="AG77" s="375"/>
      <c r="AH77" s="375"/>
      <c r="AI77" s="375"/>
      <c r="AJ77" s="375"/>
      <c r="AK77" s="375"/>
      <c r="AL77" s="375"/>
      <c r="AM77" s="375"/>
      <c r="AN77" s="375"/>
      <c r="AO77" s="375"/>
      <c r="AP77" s="375"/>
      <c r="AQ77" s="375"/>
      <c r="AR77" s="375"/>
      <c r="AS77" s="375"/>
      <c r="AT77" s="375"/>
      <c r="AU77" s="375"/>
      <c r="AV77" s="376"/>
    </row>
    <row r="78" spans="1:48" ht="28.8" hidden="1">
      <c r="A78" s="137" t="s">
        <v>623</v>
      </c>
      <c r="B78" s="36" t="s">
        <v>624</v>
      </c>
      <c r="C78" s="36"/>
      <c r="D78" s="35" t="s">
        <v>313</v>
      </c>
      <c r="E78" s="35"/>
      <c r="F78" s="20"/>
      <c r="G78" s="20"/>
      <c r="H78" s="432">
        <v>2021</v>
      </c>
      <c r="I78" s="36" t="s">
        <v>29</v>
      </c>
      <c r="J78" s="94"/>
      <c r="K78" s="94"/>
      <c r="L78" s="94" t="s">
        <v>351</v>
      </c>
      <c r="M78" s="380" t="s">
        <v>280</v>
      </c>
      <c r="N78" s="36" t="s">
        <v>29</v>
      </c>
      <c r="O78" s="94" t="s">
        <v>351</v>
      </c>
      <c r="P78" s="380" t="s">
        <v>280</v>
      </c>
      <c r="Q78" s="94"/>
      <c r="R78" s="94"/>
      <c r="S78" s="36" t="s">
        <v>48</v>
      </c>
      <c r="T78" s="94" t="s">
        <v>449</v>
      </c>
      <c r="U78" s="380" t="s">
        <v>280</v>
      </c>
      <c r="V78" s="36"/>
      <c r="W78" s="36"/>
      <c r="X78" s="36"/>
      <c r="Y78" s="94"/>
      <c r="Z78" s="36"/>
      <c r="AA78" s="36"/>
      <c r="AB78" s="36"/>
      <c r="AC78" s="36"/>
      <c r="AD78" s="94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81"/>
    </row>
    <row r="79" spans="1:48" ht="28.8" hidden="1">
      <c r="A79" s="394" t="s">
        <v>625</v>
      </c>
      <c r="B79" s="375" t="s">
        <v>626</v>
      </c>
      <c r="C79" s="375"/>
      <c r="D79" s="395" t="s">
        <v>395</v>
      </c>
      <c r="E79" s="395"/>
      <c r="F79" s="372"/>
      <c r="G79" s="372"/>
      <c r="H79" s="431">
        <v>2021</v>
      </c>
      <c r="I79" s="375"/>
      <c r="J79" s="374"/>
      <c r="K79" s="374"/>
      <c r="L79" s="374"/>
      <c r="M79" s="374"/>
      <c r="N79" s="375" t="s">
        <v>627</v>
      </c>
      <c r="O79" s="374"/>
      <c r="P79" s="373" t="s">
        <v>280</v>
      </c>
      <c r="Q79" s="374"/>
      <c r="R79" s="374"/>
      <c r="S79" s="375" t="s">
        <v>628</v>
      </c>
      <c r="T79" s="374"/>
      <c r="U79" s="373" t="s">
        <v>280</v>
      </c>
      <c r="V79" s="375"/>
      <c r="W79" s="375"/>
      <c r="X79" s="375" t="s">
        <v>629</v>
      </c>
      <c r="Y79" s="374"/>
      <c r="Z79" s="373" t="s">
        <v>280</v>
      </c>
      <c r="AA79" s="375"/>
      <c r="AB79" s="375"/>
      <c r="AC79" s="375" t="s">
        <v>29</v>
      </c>
      <c r="AD79" s="374" t="s">
        <v>351</v>
      </c>
      <c r="AE79" s="373" t="s">
        <v>280</v>
      </c>
      <c r="AF79" s="375"/>
      <c r="AG79" s="375"/>
      <c r="AH79" s="375"/>
      <c r="AI79" s="375"/>
      <c r="AJ79" s="375"/>
      <c r="AK79" s="375"/>
      <c r="AL79" s="375"/>
      <c r="AM79" s="375"/>
      <c r="AN79" s="375"/>
      <c r="AO79" s="375"/>
      <c r="AP79" s="375"/>
      <c r="AQ79" s="375"/>
      <c r="AR79" s="375"/>
      <c r="AS79" s="375"/>
      <c r="AT79" s="375"/>
      <c r="AU79" s="375"/>
      <c r="AV79" s="376"/>
    </row>
    <row r="80" spans="1:48" ht="43.2" hidden="1">
      <c r="A80" s="137" t="s">
        <v>630</v>
      </c>
      <c r="B80" s="36" t="s">
        <v>631</v>
      </c>
      <c r="C80" s="36"/>
      <c r="D80" s="35" t="s">
        <v>302</v>
      </c>
      <c r="E80" s="75" t="s">
        <v>303</v>
      </c>
      <c r="F80" s="20"/>
      <c r="G80" s="20"/>
      <c r="H80" s="432">
        <v>2021</v>
      </c>
      <c r="I80" s="36"/>
      <c r="J80" s="94"/>
      <c r="K80" s="94"/>
      <c r="L80" s="94"/>
      <c r="M80" s="94"/>
      <c r="N80" s="36" t="s">
        <v>10</v>
      </c>
      <c r="O80" s="94" t="s">
        <v>279</v>
      </c>
      <c r="P80" s="380" t="s">
        <v>280</v>
      </c>
      <c r="Q80" s="94"/>
      <c r="R80" s="94"/>
      <c r="S80" s="36" t="s">
        <v>16</v>
      </c>
      <c r="T80" s="94" t="s">
        <v>494</v>
      </c>
      <c r="U80" s="380" t="s">
        <v>280</v>
      </c>
      <c r="V80" s="36"/>
      <c r="W80" s="36"/>
      <c r="X80" s="36" t="s">
        <v>23</v>
      </c>
      <c r="Y80" s="94" t="s">
        <v>494</v>
      </c>
      <c r="Z80" s="380" t="s">
        <v>280</v>
      </c>
      <c r="AA80" s="36"/>
      <c r="AB80" s="36"/>
      <c r="AC80" s="36"/>
      <c r="AD80" s="94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81"/>
    </row>
    <row r="81" spans="1:48" ht="57.6" hidden="1">
      <c r="A81" s="394" t="s">
        <v>632</v>
      </c>
      <c r="B81" s="375" t="s">
        <v>633</v>
      </c>
      <c r="C81" s="375"/>
      <c r="D81" s="395" t="s">
        <v>277</v>
      </c>
      <c r="E81" s="395"/>
      <c r="F81" s="372"/>
      <c r="G81" s="372"/>
      <c r="H81" s="431">
        <v>2021</v>
      </c>
      <c r="I81" s="375"/>
      <c r="J81" s="374"/>
      <c r="K81" s="374"/>
      <c r="L81" s="374"/>
      <c r="M81" s="374"/>
      <c r="N81" s="375" t="s">
        <v>634</v>
      </c>
      <c r="O81" s="374"/>
      <c r="P81" s="374" t="s">
        <v>635</v>
      </c>
      <c r="Q81" s="374"/>
      <c r="R81" s="374"/>
      <c r="S81" s="375" t="s">
        <v>636</v>
      </c>
      <c r="T81" s="374" t="s">
        <v>279</v>
      </c>
      <c r="U81" s="373" t="s">
        <v>280</v>
      </c>
      <c r="V81" s="375"/>
      <c r="W81" s="375"/>
      <c r="X81" s="375" t="s">
        <v>637</v>
      </c>
      <c r="Y81" s="374"/>
      <c r="Z81" s="374" t="s">
        <v>635</v>
      </c>
      <c r="AA81" s="375"/>
      <c r="AB81" s="375"/>
      <c r="AC81" s="375"/>
      <c r="AD81" s="374"/>
      <c r="AE81" s="375"/>
      <c r="AF81" s="375"/>
      <c r="AG81" s="375"/>
      <c r="AH81" s="375"/>
      <c r="AI81" s="375"/>
      <c r="AJ81" s="375"/>
      <c r="AK81" s="375"/>
      <c r="AL81" s="375"/>
      <c r="AM81" s="375"/>
      <c r="AN81" s="375"/>
      <c r="AO81" s="375"/>
      <c r="AP81" s="375"/>
      <c r="AQ81" s="375"/>
      <c r="AR81" s="375"/>
      <c r="AS81" s="375"/>
      <c r="AT81" s="375"/>
      <c r="AU81" s="375"/>
      <c r="AV81" s="376"/>
    </row>
    <row r="82" spans="1:48" ht="43.2" hidden="1">
      <c r="A82" s="137" t="s">
        <v>638</v>
      </c>
      <c r="B82" s="36" t="s">
        <v>639</v>
      </c>
      <c r="C82" s="36"/>
      <c r="D82" s="35" t="s">
        <v>277</v>
      </c>
      <c r="E82" s="35"/>
      <c r="F82" s="20"/>
      <c r="G82" s="20"/>
      <c r="H82" s="432">
        <v>2021</v>
      </c>
      <c r="I82" s="36"/>
      <c r="J82" s="94"/>
      <c r="K82" s="94"/>
      <c r="L82" s="94"/>
      <c r="M82" s="94"/>
      <c r="N82" s="36" t="s">
        <v>636</v>
      </c>
      <c r="O82" s="94" t="s">
        <v>279</v>
      </c>
      <c r="P82" s="380" t="s">
        <v>280</v>
      </c>
      <c r="Q82" s="94"/>
      <c r="R82" s="94"/>
      <c r="S82" s="36" t="s">
        <v>640</v>
      </c>
      <c r="T82" s="94"/>
      <c r="U82" s="380" t="s">
        <v>641</v>
      </c>
      <c r="V82" s="36"/>
      <c r="W82" s="36"/>
      <c r="X82" s="36" t="s">
        <v>642</v>
      </c>
      <c r="Y82" s="94"/>
      <c r="Z82" s="94" t="s">
        <v>635</v>
      </c>
      <c r="AA82" s="36"/>
      <c r="AB82" s="36"/>
      <c r="AC82" s="36" t="s">
        <v>637</v>
      </c>
      <c r="AD82" s="94"/>
      <c r="AE82" s="94" t="s">
        <v>635</v>
      </c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81"/>
    </row>
    <row r="83" spans="1:48" ht="43.2" hidden="1">
      <c r="A83" s="394" t="s">
        <v>643</v>
      </c>
      <c r="B83" s="375" t="s">
        <v>644</v>
      </c>
      <c r="C83" s="375"/>
      <c r="D83" s="395" t="s">
        <v>277</v>
      </c>
      <c r="E83" s="395"/>
      <c r="F83" s="372"/>
      <c r="G83" s="372"/>
      <c r="H83" s="431">
        <v>2021</v>
      </c>
      <c r="I83" s="375"/>
      <c r="J83" s="374"/>
      <c r="K83" s="374"/>
      <c r="L83" s="374"/>
      <c r="M83" s="374"/>
      <c r="N83" s="375" t="s">
        <v>636</v>
      </c>
      <c r="O83" s="374" t="s">
        <v>279</v>
      </c>
      <c r="P83" s="373" t="s">
        <v>280</v>
      </c>
      <c r="Q83" s="374"/>
      <c r="R83" s="374"/>
      <c r="S83" s="375" t="s">
        <v>637</v>
      </c>
      <c r="T83" s="374"/>
      <c r="U83" s="374" t="s">
        <v>635</v>
      </c>
      <c r="V83" s="375"/>
      <c r="W83" s="375"/>
      <c r="X83" s="375"/>
      <c r="Y83" s="374"/>
      <c r="Z83" s="375"/>
      <c r="AA83" s="375"/>
      <c r="AB83" s="375"/>
      <c r="AC83" s="375"/>
      <c r="AD83" s="374"/>
      <c r="AE83" s="375"/>
      <c r="AF83" s="375"/>
      <c r="AG83" s="375"/>
      <c r="AH83" s="375"/>
      <c r="AI83" s="375"/>
      <c r="AJ83" s="375"/>
      <c r="AK83" s="375"/>
      <c r="AL83" s="375"/>
      <c r="AM83" s="375"/>
      <c r="AN83" s="375"/>
      <c r="AO83" s="375"/>
      <c r="AP83" s="375"/>
      <c r="AQ83" s="375"/>
      <c r="AR83" s="375"/>
      <c r="AS83" s="375"/>
      <c r="AT83" s="375"/>
      <c r="AU83" s="375"/>
      <c r="AV83" s="376"/>
    </row>
    <row r="84" spans="1:48" ht="28.8" hidden="1">
      <c r="A84" s="137" t="s">
        <v>645</v>
      </c>
      <c r="B84" s="36" t="s">
        <v>646</v>
      </c>
      <c r="C84" s="36"/>
      <c r="D84" s="35" t="s">
        <v>306</v>
      </c>
      <c r="E84" s="75" t="s">
        <v>303</v>
      </c>
      <c r="F84" s="20"/>
      <c r="G84" s="20"/>
      <c r="H84" s="432">
        <v>2021</v>
      </c>
      <c r="I84" s="36"/>
      <c r="J84" s="94"/>
      <c r="K84" s="94"/>
      <c r="L84" s="94"/>
      <c r="M84" s="94"/>
      <c r="N84" s="36" t="s">
        <v>48</v>
      </c>
      <c r="O84" s="94" t="s">
        <v>449</v>
      </c>
      <c r="P84" s="380" t="s">
        <v>280</v>
      </c>
      <c r="Q84" s="94"/>
      <c r="R84" s="94"/>
      <c r="S84" s="378" t="s">
        <v>20</v>
      </c>
      <c r="T84" s="380" t="s">
        <v>449</v>
      </c>
      <c r="U84" s="380" t="s">
        <v>280</v>
      </c>
      <c r="V84" s="36"/>
      <c r="W84" s="36"/>
      <c r="X84" s="378" t="s">
        <v>647</v>
      </c>
      <c r="Y84" s="380" t="s">
        <v>449</v>
      </c>
      <c r="Z84" s="380" t="s">
        <v>280</v>
      </c>
      <c r="AA84" s="36"/>
      <c r="AB84" s="36"/>
      <c r="AC84" s="36"/>
      <c r="AD84" s="94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81"/>
    </row>
    <row r="85" spans="1:48" ht="28.8" hidden="1">
      <c r="A85" s="394" t="s">
        <v>648</v>
      </c>
      <c r="B85" s="375" t="s">
        <v>649</v>
      </c>
      <c r="C85" s="375"/>
      <c r="D85" s="395" t="s">
        <v>395</v>
      </c>
      <c r="E85" s="395"/>
      <c r="F85" s="372"/>
      <c r="G85" s="372"/>
      <c r="H85" s="431">
        <v>2021</v>
      </c>
      <c r="I85" s="375"/>
      <c r="J85" s="374"/>
      <c r="K85" s="374"/>
      <c r="L85" s="374"/>
      <c r="M85" s="374"/>
      <c r="N85" s="375" t="s">
        <v>650</v>
      </c>
      <c r="O85" s="374"/>
      <c r="P85" s="373" t="s">
        <v>280</v>
      </c>
      <c r="Q85" s="374"/>
      <c r="R85" s="374"/>
      <c r="S85" s="375" t="s">
        <v>651</v>
      </c>
      <c r="T85" s="374"/>
      <c r="U85" s="373" t="s">
        <v>280</v>
      </c>
      <c r="V85" s="375"/>
      <c r="W85" s="375"/>
      <c r="X85" s="375" t="s">
        <v>652</v>
      </c>
      <c r="Y85" s="374"/>
      <c r="Z85" s="373" t="s">
        <v>280</v>
      </c>
      <c r="AA85" s="375"/>
      <c r="AB85" s="375"/>
      <c r="AC85" s="375" t="s">
        <v>48</v>
      </c>
      <c r="AD85" s="374" t="s">
        <v>449</v>
      </c>
      <c r="AE85" s="373" t="s">
        <v>280</v>
      </c>
      <c r="AF85" s="375"/>
      <c r="AG85" s="375"/>
      <c r="AH85" s="375"/>
      <c r="AI85" s="375"/>
      <c r="AJ85" s="375"/>
      <c r="AK85" s="375"/>
      <c r="AL85" s="375"/>
      <c r="AM85" s="375"/>
      <c r="AN85" s="375"/>
      <c r="AO85" s="375"/>
      <c r="AP85" s="375"/>
      <c r="AQ85" s="375"/>
      <c r="AR85" s="375"/>
      <c r="AS85" s="375"/>
      <c r="AT85" s="375"/>
      <c r="AU85" s="375"/>
      <c r="AV85" s="376"/>
    </row>
    <row r="86" spans="1:48" ht="57.6" hidden="1">
      <c r="A86" s="137" t="s">
        <v>653</v>
      </c>
      <c r="B86" s="36" t="s">
        <v>654</v>
      </c>
      <c r="C86" s="36"/>
      <c r="D86" s="35" t="s">
        <v>277</v>
      </c>
      <c r="E86" s="35"/>
      <c r="F86" s="20"/>
      <c r="G86" s="20"/>
      <c r="H86" s="432">
        <v>2021</v>
      </c>
      <c r="I86" s="36" t="s">
        <v>655</v>
      </c>
      <c r="J86" s="94"/>
      <c r="K86" s="94"/>
      <c r="L86" s="94"/>
      <c r="M86" s="94" t="s">
        <v>656</v>
      </c>
      <c r="N86" s="36" t="s">
        <v>655</v>
      </c>
      <c r="O86" s="94"/>
      <c r="P86" s="94" t="s">
        <v>656</v>
      </c>
      <c r="Q86" s="94"/>
      <c r="R86" s="94"/>
      <c r="S86" s="36" t="s">
        <v>657</v>
      </c>
      <c r="T86" s="94"/>
      <c r="U86" s="94" t="s">
        <v>656</v>
      </c>
      <c r="V86" s="36"/>
      <c r="W86" s="36"/>
      <c r="X86" s="36" t="s">
        <v>49</v>
      </c>
      <c r="Y86" s="94" t="s">
        <v>162</v>
      </c>
      <c r="Z86" s="380" t="s">
        <v>280</v>
      </c>
      <c r="AA86" s="36"/>
      <c r="AB86" s="36"/>
      <c r="AC86" s="36" t="s">
        <v>658</v>
      </c>
      <c r="AD86" s="94"/>
      <c r="AE86" s="36" t="s">
        <v>659</v>
      </c>
      <c r="AF86" s="36"/>
      <c r="AG86" s="36"/>
      <c r="AH86" s="36" t="s">
        <v>660</v>
      </c>
      <c r="AI86" s="36"/>
      <c r="AJ86" s="36" t="s">
        <v>661</v>
      </c>
      <c r="AK86" s="36"/>
      <c r="AL86" s="36"/>
      <c r="AM86" s="36" t="s">
        <v>660</v>
      </c>
      <c r="AN86" s="36"/>
      <c r="AO86" s="36" t="s">
        <v>661</v>
      </c>
      <c r="AP86" s="36"/>
      <c r="AQ86" s="36"/>
      <c r="AR86" s="36" t="s">
        <v>662</v>
      </c>
      <c r="AS86" s="36"/>
      <c r="AT86" s="36" t="s">
        <v>663</v>
      </c>
      <c r="AU86" s="36"/>
      <c r="AV86" s="381"/>
    </row>
    <row r="87" spans="1:48" ht="28.8" hidden="1">
      <c r="A87" s="394" t="s">
        <v>664</v>
      </c>
      <c r="B87" s="375" t="s">
        <v>665</v>
      </c>
      <c r="C87" s="375"/>
      <c r="D87" s="395" t="s">
        <v>277</v>
      </c>
      <c r="E87" s="395"/>
      <c r="F87" s="372"/>
      <c r="G87" s="372"/>
      <c r="H87" s="431">
        <v>2021</v>
      </c>
      <c r="I87" s="375"/>
      <c r="J87" s="374"/>
      <c r="K87" s="374"/>
      <c r="L87" s="374"/>
      <c r="M87" s="374"/>
      <c r="N87" s="375" t="s">
        <v>666</v>
      </c>
      <c r="O87" s="374" t="s">
        <v>494</v>
      </c>
      <c r="P87" s="373" t="s">
        <v>280</v>
      </c>
      <c r="Q87" s="374"/>
      <c r="R87" s="374"/>
      <c r="S87" s="375" t="s">
        <v>667</v>
      </c>
      <c r="T87" s="374"/>
      <c r="U87" s="375" t="s">
        <v>668</v>
      </c>
      <c r="V87" s="375"/>
      <c r="W87" s="375"/>
      <c r="X87" s="375" t="s">
        <v>669</v>
      </c>
      <c r="Y87" s="374"/>
      <c r="Z87" s="373" t="s">
        <v>420</v>
      </c>
      <c r="AA87" s="375"/>
      <c r="AB87" s="375"/>
      <c r="AC87" s="375" t="s">
        <v>670</v>
      </c>
      <c r="AD87" s="374"/>
      <c r="AE87" s="375" t="s">
        <v>668</v>
      </c>
      <c r="AF87" s="375"/>
      <c r="AG87" s="375"/>
      <c r="AH87" s="375"/>
      <c r="AI87" s="375"/>
      <c r="AJ87" s="375"/>
      <c r="AK87" s="375"/>
      <c r="AL87" s="375"/>
      <c r="AM87" s="375"/>
      <c r="AN87" s="375"/>
      <c r="AO87" s="375"/>
      <c r="AP87" s="375"/>
      <c r="AQ87" s="375"/>
      <c r="AR87" s="375"/>
      <c r="AS87" s="375"/>
      <c r="AT87" s="375"/>
      <c r="AU87" s="375"/>
      <c r="AV87" s="376"/>
    </row>
    <row r="88" spans="1:48" ht="28.8" hidden="1">
      <c r="A88" s="137" t="s">
        <v>671</v>
      </c>
      <c r="B88" s="36" t="s">
        <v>672</v>
      </c>
      <c r="C88" s="36"/>
      <c r="D88" s="35" t="s">
        <v>302</v>
      </c>
      <c r="E88" s="75" t="s">
        <v>303</v>
      </c>
      <c r="F88" s="20"/>
      <c r="G88" s="20"/>
      <c r="H88" s="432">
        <v>2021</v>
      </c>
      <c r="I88" s="36" t="s">
        <v>673</v>
      </c>
      <c r="J88" s="94"/>
      <c r="K88" s="94"/>
      <c r="L88" s="94"/>
      <c r="M88" s="94" t="s">
        <v>674</v>
      </c>
      <c r="N88" s="36" t="s">
        <v>673</v>
      </c>
      <c r="O88" s="94"/>
      <c r="P88" s="94" t="s">
        <v>675</v>
      </c>
      <c r="Q88" s="94"/>
      <c r="R88" s="94"/>
      <c r="S88" s="36" t="s">
        <v>666</v>
      </c>
      <c r="T88" s="94" t="s">
        <v>494</v>
      </c>
      <c r="U88" s="380" t="s">
        <v>280</v>
      </c>
      <c r="V88" s="36"/>
      <c r="W88" s="36"/>
      <c r="X88" s="36" t="s">
        <v>676</v>
      </c>
      <c r="Y88" s="94"/>
      <c r="Z88" s="380" t="s">
        <v>420</v>
      </c>
      <c r="AA88" s="36"/>
      <c r="AB88" s="36"/>
      <c r="AC88" s="36" t="s">
        <v>669</v>
      </c>
      <c r="AD88" s="94"/>
      <c r="AE88" s="380" t="s">
        <v>420</v>
      </c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81"/>
    </row>
    <row r="89" spans="1:48" ht="28.8" hidden="1">
      <c r="A89" s="394" t="s">
        <v>677</v>
      </c>
      <c r="B89" s="375" t="s">
        <v>678</v>
      </c>
      <c r="C89" s="375"/>
      <c r="D89" s="395" t="s">
        <v>528</v>
      </c>
      <c r="E89" s="395"/>
      <c r="F89" s="372"/>
      <c r="G89" s="372"/>
      <c r="H89" s="431">
        <v>2021</v>
      </c>
      <c r="I89" s="375" t="s">
        <v>669</v>
      </c>
      <c r="J89" s="374"/>
      <c r="K89" s="374"/>
      <c r="L89" s="374"/>
      <c r="M89" s="373" t="s">
        <v>420</v>
      </c>
      <c r="N89" s="375" t="s">
        <v>666</v>
      </c>
      <c r="O89" s="374" t="s">
        <v>494</v>
      </c>
      <c r="P89" s="373" t="s">
        <v>280</v>
      </c>
      <c r="Q89" s="374"/>
      <c r="R89" s="374"/>
      <c r="S89" s="375" t="s">
        <v>667</v>
      </c>
      <c r="T89" s="374"/>
      <c r="U89" s="375" t="s">
        <v>668</v>
      </c>
      <c r="V89" s="375"/>
      <c r="W89" s="375"/>
      <c r="X89" s="375" t="s">
        <v>669</v>
      </c>
      <c r="Y89" s="374"/>
      <c r="Z89" s="373" t="s">
        <v>420</v>
      </c>
      <c r="AA89" s="375"/>
      <c r="AB89" s="375"/>
      <c r="AC89" s="375"/>
      <c r="AD89" s="374"/>
      <c r="AE89" s="375"/>
      <c r="AF89" s="375"/>
      <c r="AG89" s="375"/>
      <c r="AH89" s="375"/>
      <c r="AI89" s="375"/>
      <c r="AJ89" s="375"/>
      <c r="AK89" s="375"/>
      <c r="AL89" s="375"/>
      <c r="AM89" s="375"/>
      <c r="AN89" s="375"/>
      <c r="AO89" s="375"/>
      <c r="AP89" s="375"/>
      <c r="AQ89" s="375"/>
      <c r="AR89" s="375"/>
      <c r="AS89" s="375"/>
      <c r="AT89" s="375"/>
      <c r="AU89" s="375"/>
      <c r="AV89" s="376"/>
    </row>
    <row r="90" spans="1:48" ht="28.8" hidden="1">
      <c r="A90" s="137" t="s">
        <v>679</v>
      </c>
      <c r="B90" s="36" t="s">
        <v>680</v>
      </c>
      <c r="C90" s="36"/>
      <c r="D90" s="35" t="s">
        <v>681</v>
      </c>
      <c r="E90" s="35"/>
      <c r="F90" s="20"/>
      <c r="G90" s="20"/>
      <c r="H90" s="432">
        <v>2021</v>
      </c>
      <c r="I90" s="36" t="s">
        <v>666</v>
      </c>
      <c r="J90" s="94"/>
      <c r="K90" s="94"/>
      <c r="L90" s="94" t="s">
        <v>494</v>
      </c>
      <c r="M90" s="380" t="s">
        <v>280</v>
      </c>
      <c r="N90" s="36" t="s">
        <v>666</v>
      </c>
      <c r="O90" s="94" t="s">
        <v>494</v>
      </c>
      <c r="P90" s="380" t="s">
        <v>280</v>
      </c>
      <c r="Q90" s="94"/>
      <c r="R90" s="94"/>
      <c r="S90" s="36"/>
      <c r="T90" s="94"/>
      <c r="U90" s="36"/>
      <c r="V90" s="36"/>
      <c r="W90" s="36"/>
      <c r="X90" s="36"/>
      <c r="Y90" s="94"/>
      <c r="Z90" s="36"/>
      <c r="AA90" s="36"/>
      <c r="AB90" s="36"/>
      <c r="AC90" s="36"/>
      <c r="AD90" s="94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81"/>
    </row>
    <row r="91" spans="1:48" ht="28.8" hidden="1">
      <c r="A91" s="394" t="s">
        <v>682</v>
      </c>
      <c r="B91" s="375" t="s">
        <v>683</v>
      </c>
      <c r="C91" s="375"/>
      <c r="D91" s="395" t="s">
        <v>374</v>
      </c>
      <c r="E91" s="370" t="s">
        <v>303</v>
      </c>
      <c r="F91" s="372"/>
      <c r="G91" s="372"/>
      <c r="H91" s="431">
        <v>2021</v>
      </c>
      <c r="I91" s="375" t="s">
        <v>684</v>
      </c>
      <c r="J91" s="374"/>
      <c r="K91" s="374"/>
      <c r="L91" s="374"/>
      <c r="M91" s="374" t="s">
        <v>685</v>
      </c>
      <c r="N91" s="375" t="s">
        <v>684</v>
      </c>
      <c r="O91" s="374"/>
      <c r="P91" s="374" t="s">
        <v>685</v>
      </c>
      <c r="Q91" s="374"/>
      <c r="R91" s="374"/>
      <c r="S91" s="375" t="s">
        <v>96</v>
      </c>
      <c r="T91" s="374" t="s">
        <v>686</v>
      </c>
      <c r="U91" s="373" t="s">
        <v>280</v>
      </c>
      <c r="V91" s="375"/>
      <c r="W91" s="375"/>
      <c r="X91" s="372" t="s">
        <v>687</v>
      </c>
      <c r="Y91" s="374"/>
      <c r="Z91" s="374" t="s">
        <v>685</v>
      </c>
      <c r="AA91" s="375"/>
      <c r="AB91" s="375"/>
      <c r="AC91" s="375"/>
      <c r="AD91" s="374"/>
      <c r="AE91" s="375"/>
      <c r="AF91" s="375"/>
      <c r="AG91" s="375"/>
      <c r="AH91" s="375"/>
      <c r="AI91" s="375"/>
      <c r="AJ91" s="375"/>
      <c r="AK91" s="375"/>
      <c r="AL91" s="375"/>
      <c r="AM91" s="375"/>
      <c r="AN91" s="375"/>
      <c r="AO91" s="375"/>
      <c r="AP91" s="375"/>
      <c r="AQ91" s="375"/>
      <c r="AR91" s="375"/>
      <c r="AS91" s="375"/>
      <c r="AT91" s="375"/>
      <c r="AU91" s="375"/>
      <c r="AV91" s="376"/>
    </row>
    <row r="92" spans="1:48" ht="28.8" hidden="1">
      <c r="A92" s="137" t="s">
        <v>688</v>
      </c>
      <c r="B92" s="36" t="s">
        <v>689</v>
      </c>
      <c r="C92" s="36"/>
      <c r="D92" s="35" t="s">
        <v>374</v>
      </c>
      <c r="E92" s="75" t="s">
        <v>303</v>
      </c>
      <c r="F92" s="20"/>
      <c r="G92" s="20"/>
      <c r="H92" s="432">
        <v>2021</v>
      </c>
      <c r="I92" s="36" t="s">
        <v>690</v>
      </c>
      <c r="J92" s="94"/>
      <c r="K92" s="94"/>
      <c r="L92" s="94"/>
      <c r="M92" s="94" t="s">
        <v>685</v>
      </c>
      <c r="N92" s="36" t="s">
        <v>690</v>
      </c>
      <c r="O92" s="94"/>
      <c r="P92" s="94" t="s">
        <v>685</v>
      </c>
      <c r="Q92" s="94"/>
      <c r="R92" s="94"/>
      <c r="S92" s="36" t="s">
        <v>96</v>
      </c>
      <c r="T92" s="94" t="s">
        <v>686</v>
      </c>
      <c r="U92" s="380" t="s">
        <v>280</v>
      </c>
      <c r="V92" s="36"/>
      <c r="W92" s="36"/>
      <c r="X92" s="36" t="s">
        <v>691</v>
      </c>
      <c r="Y92" s="94"/>
      <c r="Z92" s="94" t="s">
        <v>685</v>
      </c>
      <c r="AA92" s="36"/>
      <c r="AB92" s="36"/>
      <c r="AC92" s="36" t="s">
        <v>692</v>
      </c>
      <c r="AD92" s="94"/>
      <c r="AE92" s="94" t="s">
        <v>685</v>
      </c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81"/>
    </row>
    <row r="93" spans="1:48" ht="43.2" hidden="1">
      <c r="A93" s="394" t="s">
        <v>693</v>
      </c>
      <c r="B93" s="375" t="s">
        <v>683</v>
      </c>
      <c r="C93" s="375"/>
      <c r="D93" s="395" t="s">
        <v>374</v>
      </c>
      <c r="E93" s="370" t="s">
        <v>303</v>
      </c>
      <c r="F93" s="372"/>
      <c r="G93" s="372"/>
      <c r="H93" s="431">
        <v>2021</v>
      </c>
      <c r="I93" s="375" t="s">
        <v>96</v>
      </c>
      <c r="J93" s="374"/>
      <c r="K93" s="374"/>
      <c r="L93" s="374" t="s">
        <v>686</v>
      </c>
      <c r="M93" s="373" t="s">
        <v>280</v>
      </c>
      <c r="N93" s="375" t="s">
        <v>96</v>
      </c>
      <c r="O93" s="374" t="s">
        <v>686</v>
      </c>
      <c r="P93" s="373" t="s">
        <v>280</v>
      </c>
      <c r="Q93" s="374"/>
      <c r="R93" s="374"/>
      <c r="S93" s="375" t="s">
        <v>691</v>
      </c>
      <c r="T93" s="374"/>
      <c r="U93" s="374" t="s">
        <v>685</v>
      </c>
      <c r="V93" s="375"/>
      <c r="W93" s="375"/>
      <c r="X93" s="372" t="s">
        <v>687</v>
      </c>
      <c r="Y93" s="374"/>
      <c r="Z93" s="374" t="s">
        <v>685</v>
      </c>
      <c r="AA93" s="375"/>
      <c r="AB93" s="375"/>
      <c r="AC93" s="375"/>
      <c r="AD93" s="374"/>
      <c r="AE93" s="375"/>
      <c r="AF93" s="375"/>
      <c r="AG93" s="375"/>
      <c r="AH93" s="375"/>
      <c r="AI93" s="375"/>
      <c r="AJ93" s="375"/>
      <c r="AK93" s="375"/>
      <c r="AL93" s="375"/>
      <c r="AM93" s="375"/>
      <c r="AN93" s="375"/>
      <c r="AO93" s="375"/>
      <c r="AP93" s="375"/>
      <c r="AQ93" s="375"/>
      <c r="AR93" s="375"/>
      <c r="AS93" s="375"/>
      <c r="AT93" s="375"/>
      <c r="AU93" s="375"/>
      <c r="AV93" s="376"/>
    </row>
    <row r="94" spans="1:48" ht="57.6" hidden="1">
      <c r="A94" s="137" t="s">
        <v>694</v>
      </c>
      <c r="B94" s="36" t="s">
        <v>683</v>
      </c>
      <c r="C94" s="36"/>
      <c r="D94" s="35" t="s">
        <v>374</v>
      </c>
      <c r="E94" s="75" t="s">
        <v>303</v>
      </c>
      <c r="F94" s="20"/>
      <c r="G94" s="20"/>
      <c r="H94" s="432">
        <v>2021</v>
      </c>
      <c r="I94" s="36" t="s">
        <v>695</v>
      </c>
      <c r="J94" s="94"/>
      <c r="K94" s="94"/>
      <c r="L94" s="94"/>
      <c r="M94" s="94" t="s">
        <v>685</v>
      </c>
      <c r="N94" s="36" t="s">
        <v>695</v>
      </c>
      <c r="O94" s="94"/>
      <c r="P94" s="94" t="s">
        <v>685</v>
      </c>
      <c r="Q94" s="94"/>
      <c r="R94" s="94"/>
      <c r="S94" s="36" t="s">
        <v>96</v>
      </c>
      <c r="T94" s="94" t="s">
        <v>686</v>
      </c>
      <c r="U94" s="380" t="s">
        <v>280</v>
      </c>
      <c r="V94" s="36"/>
      <c r="W94" s="36"/>
      <c r="X94" s="36" t="s">
        <v>696</v>
      </c>
      <c r="Y94" s="94"/>
      <c r="Z94" s="94" t="s">
        <v>697</v>
      </c>
      <c r="AA94" s="36"/>
      <c r="AB94" s="36"/>
      <c r="AC94" s="36"/>
      <c r="AD94" s="94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81"/>
    </row>
    <row r="95" spans="1:48" ht="43.2" hidden="1">
      <c r="A95" s="394" t="s">
        <v>698</v>
      </c>
      <c r="B95" s="375" t="s">
        <v>699</v>
      </c>
      <c r="C95" s="375"/>
      <c r="D95" s="395" t="s">
        <v>302</v>
      </c>
      <c r="E95" s="370" t="s">
        <v>303</v>
      </c>
      <c r="F95" s="372"/>
      <c r="G95" s="372"/>
      <c r="H95" s="431">
        <v>2021</v>
      </c>
      <c r="I95" s="375" t="s">
        <v>700</v>
      </c>
      <c r="J95" s="374"/>
      <c r="K95" s="374"/>
      <c r="L95" s="374"/>
      <c r="M95" s="374" t="s">
        <v>685</v>
      </c>
      <c r="N95" s="375" t="s">
        <v>700</v>
      </c>
      <c r="O95" s="374"/>
      <c r="P95" s="374" t="s">
        <v>685</v>
      </c>
      <c r="Q95" s="374"/>
      <c r="R95" s="374"/>
      <c r="S95" s="375" t="s">
        <v>96</v>
      </c>
      <c r="T95" s="374" t="s">
        <v>686</v>
      </c>
      <c r="U95" s="373" t="s">
        <v>280</v>
      </c>
      <c r="V95" s="375"/>
      <c r="W95" s="375"/>
      <c r="X95" s="375"/>
      <c r="Y95" s="374"/>
      <c r="Z95" s="375"/>
      <c r="AA95" s="375"/>
      <c r="AB95" s="375"/>
      <c r="AC95" s="375"/>
      <c r="AD95" s="374"/>
      <c r="AE95" s="375"/>
      <c r="AF95" s="375"/>
      <c r="AG95" s="375"/>
      <c r="AH95" s="375"/>
      <c r="AI95" s="375"/>
      <c r="AJ95" s="375"/>
      <c r="AK95" s="375"/>
      <c r="AL95" s="375"/>
      <c r="AM95" s="375"/>
      <c r="AN95" s="375"/>
      <c r="AO95" s="375"/>
      <c r="AP95" s="375"/>
      <c r="AQ95" s="375"/>
      <c r="AR95" s="375"/>
      <c r="AS95" s="375"/>
      <c r="AT95" s="375"/>
      <c r="AU95" s="375"/>
      <c r="AV95" s="376"/>
    </row>
    <row r="96" spans="1:48" ht="43.2" hidden="1">
      <c r="A96" s="137" t="s">
        <v>701</v>
      </c>
      <c r="B96" s="36" t="s">
        <v>702</v>
      </c>
      <c r="C96" s="36"/>
      <c r="D96" s="35" t="s">
        <v>313</v>
      </c>
      <c r="E96" s="35"/>
      <c r="F96" s="20"/>
      <c r="G96" s="20"/>
      <c r="H96" s="432">
        <v>2021</v>
      </c>
      <c r="I96" s="36" t="s">
        <v>703</v>
      </c>
      <c r="J96" s="94"/>
      <c r="K96" s="94"/>
      <c r="L96" s="94"/>
      <c r="M96" s="380" t="s">
        <v>366</v>
      </c>
      <c r="N96" s="36" t="s">
        <v>704</v>
      </c>
      <c r="O96" s="94" t="s">
        <v>279</v>
      </c>
      <c r="P96" s="380" t="s">
        <v>280</v>
      </c>
      <c r="Q96" s="94"/>
      <c r="R96" s="94"/>
      <c r="S96" s="36" t="s">
        <v>705</v>
      </c>
      <c r="T96" s="94"/>
      <c r="U96" s="380" t="s">
        <v>366</v>
      </c>
      <c r="V96" s="36"/>
      <c r="W96" s="36"/>
      <c r="X96" s="36" t="s">
        <v>703</v>
      </c>
      <c r="Y96" s="94"/>
      <c r="Z96" s="380" t="s">
        <v>366</v>
      </c>
      <c r="AA96" s="36"/>
      <c r="AB96" s="36"/>
      <c r="AC96" s="36"/>
      <c r="AD96" s="94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81"/>
    </row>
    <row r="97" spans="1:48" ht="43.2" hidden="1">
      <c r="A97" s="394" t="s">
        <v>706</v>
      </c>
      <c r="B97" s="375" t="s">
        <v>707</v>
      </c>
      <c r="C97" s="375"/>
      <c r="D97" s="395" t="s">
        <v>277</v>
      </c>
      <c r="E97" s="395"/>
      <c r="F97" s="372"/>
      <c r="G97" s="372"/>
      <c r="H97" s="431">
        <v>2021</v>
      </c>
      <c r="I97" s="375"/>
      <c r="J97" s="374"/>
      <c r="K97" s="374"/>
      <c r="L97" s="374"/>
      <c r="M97" s="374"/>
      <c r="N97" s="375" t="s">
        <v>703</v>
      </c>
      <c r="O97" s="374"/>
      <c r="P97" s="373" t="s">
        <v>366</v>
      </c>
      <c r="Q97" s="374"/>
      <c r="R97" s="374"/>
      <c r="S97" s="375" t="s">
        <v>708</v>
      </c>
      <c r="T97" s="374"/>
      <c r="U97" s="373" t="s">
        <v>366</v>
      </c>
      <c r="V97" s="375"/>
      <c r="W97" s="375"/>
      <c r="X97" s="375" t="s">
        <v>709</v>
      </c>
      <c r="Y97" s="374"/>
      <c r="Z97" s="373" t="s">
        <v>366</v>
      </c>
      <c r="AA97" s="375"/>
      <c r="AB97" s="375"/>
      <c r="AC97" s="375" t="s">
        <v>710</v>
      </c>
      <c r="AD97" s="374"/>
      <c r="AE97" s="373" t="s">
        <v>366</v>
      </c>
      <c r="AF97" s="375"/>
      <c r="AG97" s="375"/>
      <c r="AH97" s="375" t="s">
        <v>711</v>
      </c>
      <c r="AI97" s="375"/>
      <c r="AJ97" s="373" t="s">
        <v>366</v>
      </c>
      <c r="AK97" s="375"/>
      <c r="AL97" s="375"/>
      <c r="AM97" s="375" t="s">
        <v>704</v>
      </c>
      <c r="AN97" s="374" t="s">
        <v>279</v>
      </c>
      <c r="AO97" s="373" t="s">
        <v>280</v>
      </c>
      <c r="AP97" s="375"/>
      <c r="AQ97" s="375"/>
      <c r="AR97" s="375"/>
      <c r="AS97" s="375"/>
      <c r="AT97" s="375"/>
      <c r="AU97" s="375"/>
      <c r="AV97" s="376"/>
    </row>
    <row r="98" spans="1:48" ht="60" hidden="1" customHeight="1">
      <c r="A98" s="137" t="s">
        <v>712</v>
      </c>
      <c r="B98" s="36" t="s">
        <v>713</v>
      </c>
      <c r="C98" s="36"/>
      <c r="D98" s="35" t="s">
        <v>321</v>
      </c>
      <c r="E98" s="75" t="s">
        <v>303</v>
      </c>
      <c r="F98" s="20"/>
      <c r="G98" s="20"/>
      <c r="H98" s="432">
        <v>2021</v>
      </c>
      <c r="I98" s="36" t="s">
        <v>704</v>
      </c>
      <c r="J98" s="94"/>
      <c r="K98" s="94"/>
      <c r="L98" s="94" t="s">
        <v>279</v>
      </c>
      <c r="M98" s="380" t="s">
        <v>280</v>
      </c>
      <c r="N98" s="36" t="s">
        <v>704</v>
      </c>
      <c r="O98" s="94" t="s">
        <v>279</v>
      </c>
      <c r="P98" s="380" t="s">
        <v>280</v>
      </c>
      <c r="Q98" s="94"/>
      <c r="R98" s="94"/>
      <c r="S98" s="36" t="s">
        <v>710</v>
      </c>
      <c r="T98" s="94"/>
      <c r="U98" s="380" t="s">
        <v>366</v>
      </c>
      <c r="V98" s="36"/>
      <c r="W98" s="36"/>
      <c r="X98" s="36" t="s">
        <v>714</v>
      </c>
      <c r="Y98" s="94"/>
      <c r="Z98" s="380" t="s">
        <v>366</v>
      </c>
      <c r="AA98" s="36"/>
      <c r="AB98" s="36"/>
      <c r="AC98" s="36"/>
      <c r="AD98" s="94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81"/>
    </row>
    <row r="99" spans="1:48" ht="28.8" hidden="1">
      <c r="A99" s="394" t="s">
        <v>715</v>
      </c>
      <c r="B99" s="375" t="s">
        <v>716</v>
      </c>
      <c r="C99" s="375"/>
      <c r="D99" s="395" t="s">
        <v>321</v>
      </c>
      <c r="E99" s="370" t="s">
        <v>303</v>
      </c>
      <c r="F99" s="372"/>
      <c r="G99" s="372"/>
      <c r="H99" s="431">
        <v>2021</v>
      </c>
      <c r="I99" s="375" t="s">
        <v>704</v>
      </c>
      <c r="J99" s="374"/>
      <c r="K99" s="374"/>
      <c r="L99" s="374" t="s">
        <v>279</v>
      </c>
      <c r="M99" s="373" t="s">
        <v>280</v>
      </c>
      <c r="N99" s="375" t="s">
        <v>704</v>
      </c>
      <c r="O99" s="374" t="s">
        <v>279</v>
      </c>
      <c r="P99" s="373" t="s">
        <v>280</v>
      </c>
      <c r="Q99" s="374"/>
      <c r="R99" s="374"/>
      <c r="S99" s="375" t="s">
        <v>717</v>
      </c>
      <c r="T99" s="374"/>
      <c r="U99" s="373" t="s">
        <v>366</v>
      </c>
      <c r="V99" s="375"/>
      <c r="W99" s="375"/>
      <c r="X99" s="375"/>
      <c r="Y99" s="374"/>
      <c r="Z99" s="375"/>
      <c r="AA99" s="375"/>
      <c r="AB99" s="375"/>
      <c r="AC99" s="375"/>
      <c r="AD99" s="374"/>
      <c r="AE99" s="375"/>
      <c r="AF99" s="375"/>
      <c r="AG99" s="375"/>
      <c r="AH99" s="375"/>
      <c r="AI99" s="375"/>
      <c r="AJ99" s="375"/>
      <c r="AK99" s="375"/>
      <c r="AL99" s="375"/>
      <c r="AM99" s="375"/>
      <c r="AN99" s="375"/>
      <c r="AO99" s="375"/>
      <c r="AP99" s="375"/>
      <c r="AQ99" s="375"/>
      <c r="AR99" s="375"/>
      <c r="AS99" s="375"/>
      <c r="AT99" s="375"/>
      <c r="AU99" s="375"/>
      <c r="AV99" s="376"/>
    </row>
    <row r="100" spans="1:48" s="48" customFormat="1" ht="43.2" hidden="1">
      <c r="A100" s="137" t="s">
        <v>718</v>
      </c>
      <c r="B100" s="36" t="s">
        <v>719</v>
      </c>
      <c r="C100" s="36"/>
      <c r="D100" s="35" t="s">
        <v>302</v>
      </c>
      <c r="E100" s="75" t="s">
        <v>303</v>
      </c>
      <c r="F100" s="20"/>
      <c r="G100" s="20"/>
      <c r="H100" s="432">
        <v>2021</v>
      </c>
      <c r="I100" s="36"/>
      <c r="J100" s="94"/>
      <c r="K100" s="94"/>
      <c r="L100" s="94"/>
      <c r="M100" s="94"/>
      <c r="N100" s="36" t="s">
        <v>720</v>
      </c>
      <c r="O100" s="94"/>
      <c r="P100" s="380" t="s">
        <v>366</v>
      </c>
      <c r="Q100" s="94"/>
      <c r="R100" s="94"/>
      <c r="S100" s="36" t="s">
        <v>721</v>
      </c>
      <c r="T100" s="94"/>
      <c r="U100" s="380" t="s">
        <v>366</v>
      </c>
      <c r="V100" s="36"/>
      <c r="W100" s="36"/>
      <c r="X100" s="36" t="s">
        <v>704</v>
      </c>
      <c r="Y100" s="94" t="s">
        <v>279</v>
      </c>
      <c r="Z100" s="380" t="s">
        <v>280</v>
      </c>
      <c r="AA100" s="36"/>
      <c r="AB100" s="36"/>
      <c r="AC100" s="36"/>
      <c r="AD100" s="94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81"/>
    </row>
    <row r="101" spans="1:48" s="48" customFormat="1" ht="28.8" hidden="1">
      <c r="A101" s="394" t="s">
        <v>722</v>
      </c>
      <c r="B101" s="375" t="s">
        <v>723</v>
      </c>
      <c r="C101" s="375"/>
      <c r="D101" s="395" t="s">
        <v>321</v>
      </c>
      <c r="E101" s="370" t="s">
        <v>303</v>
      </c>
      <c r="F101" s="372"/>
      <c r="G101" s="372"/>
      <c r="H101" s="431">
        <v>2021</v>
      </c>
      <c r="I101" s="375" t="s">
        <v>703</v>
      </c>
      <c r="J101" s="374"/>
      <c r="K101" s="374"/>
      <c r="L101" s="374"/>
      <c r="M101" s="373" t="s">
        <v>366</v>
      </c>
      <c r="N101" s="375" t="s">
        <v>703</v>
      </c>
      <c r="O101" s="374"/>
      <c r="P101" s="373" t="s">
        <v>366</v>
      </c>
      <c r="Q101" s="374"/>
      <c r="R101" s="374"/>
      <c r="S101" s="375" t="s">
        <v>710</v>
      </c>
      <c r="T101" s="374"/>
      <c r="U101" s="373" t="s">
        <v>366</v>
      </c>
      <c r="V101" s="375"/>
      <c r="W101" s="375"/>
      <c r="X101" s="375" t="s">
        <v>704</v>
      </c>
      <c r="Y101" s="374" t="s">
        <v>279</v>
      </c>
      <c r="Z101" s="373" t="s">
        <v>280</v>
      </c>
      <c r="AA101" s="375"/>
      <c r="AB101" s="375"/>
      <c r="AC101" s="375"/>
      <c r="AD101" s="374"/>
      <c r="AE101" s="375"/>
      <c r="AF101" s="375"/>
      <c r="AG101" s="375"/>
      <c r="AH101" s="375"/>
      <c r="AI101" s="375"/>
      <c r="AJ101" s="375"/>
      <c r="AK101" s="375"/>
      <c r="AL101" s="375"/>
      <c r="AM101" s="375"/>
      <c r="AN101" s="375"/>
      <c r="AO101" s="375"/>
      <c r="AP101" s="375"/>
      <c r="AQ101" s="375"/>
      <c r="AR101" s="375"/>
      <c r="AS101" s="375"/>
      <c r="AT101" s="375"/>
      <c r="AU101" s="375"/>
      <c r="AV101" s="376"/>
    </row>
    <row r="102" spans="1:48" s="48" customFormat="1" ht="28.8" hidden="1">
      <c r="A102" s="137" t="s">
        <v>724</v>
      </c>
      <c r="B102" s="36" t="s">
        <v>725</v>
      </c>
      <c r="C102" s="36"/>
      <c r="D102" s="35" t="s">
        <v>321</v>
      </c>
      <c r="E102" s="75" t="s">
        <v>303</v>
      </c>
      <c r="F102" s="20"/>
      <c r="G102" s="20"/>
      <c r="H102" s="432">
        <v>2021</v>
      </c>
      <c r="I102" s="36" t="s">
        <v>704</v>
      </c>
      <c r="J102" s="94"/>
      <c r="K102" s="94"/>
      <c r="L102" s="94" t="s">
        <v>279</v>
      </c>
      <c r="M102" s="380" t="s">
        <v>280</v>
      </c>
      <c r="N102" s="36" t="s">
        <v>704</v>
      </c>
      <c r="O102" s="94" t="s">
        <v>279</v>
      </c>
      <c r="P102" s="380" t="s">
        <v>280</v>
      </c>
      <c r="Q102" s="94"/>
      <c r="R102" s="94"/>
      <c r="S102" s="36" t="s">
        <v>717</v>
      </c>
      <c r="T102" s="94"/>
      <c r="U102" s="380" t="s">
        <v>366</v>
      </c>
      <c r="V102" s="36"/>
      <c r="W102" s="36"/>
      <c r="X102" s="36"/>
      <c r="Y102" s="94"/>
      <c r="Z102" s="36"/>
      <c r="AA102" s="36"/>
      <c r="AB102" s="36"/>
      <c r="AC102" s="36"/>
      <c r="AD102" s="94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81"/>
    </row>
    <row r="103" spans="1:48" ht="28.8" hidden="1">
      <c r="A103" s="394" t="s">
        <v>726</v>
      </c>
      <c r="B103" s="375" t="s">
        <v>727</v>
      </c>
      <c r="C103" s="375"/>
      <c r="D103" s="395" t="s">
        <v>321</v>
      </c>
      <c r="E103" s="370" t="s">
        <v>303</v>
      </c>
      <c r="F103" s="372"/>
      <c r="G103" s="372"/>
      <c r="H103" s="431">
        <v>2021</v>
      </c>
      <c r="I103" s="375" t="s">
        <v>704</v>
      </c>
      <c r="J103" s="374"/>
      <c r="K103" s="374"/>
      <c r="L103" s="374" t="s">
        <v>279</v>
      </c>
      <c r="M103" s="373" t="s">
        <v>280</v>
      </c>
      <c r="N103" s="375" t="s">
        <v>704</v>
      </c>
      <c r="O103" s="374" t="s">
        <v>279</v>
      </c>
      <c r="P103" s="373" t="s">
        <v>280</v>
      </c>
      <c r="Q103" s="374"/>
      <c r="R103" s="374"/>
      <c r="S103" s="375" t="s">
        <v>717</v>
      </c>
      <c r="T103" s="374"/>
      <c r="U103" s="373" t="s">
        <v>366</v>
      </c>
      <c r="V103" s="375"/>
      <c r="W103" s="375"/>
      <c r="X103" s="375"/>
      <c r="Y103" s="374"/>
      <c r="Z103" s="375"/>
      <c r="AA103" s="375"/>
      <c r="AB103" s="375"/>
      <c r="AC103" s="375"/>
      <c r="AD103" s="374"/>
      <c r="AE103" s="375"/>
      <c r="AF103" s="375"/>
      <c r="AG103" s="375"/>
      <c r="AH103" s="375"/>
      <c r="AI103" s="375"/>
      <c r="AJ103" s="375"/>
      <c r="AK103" s="375"/>
      <c r="AL103" s="375"/>
      <c r="AM103" s="375"/>
      <c r="AN103" s="375"/>
      <c r="AO103" s="375"/>
      <c r="AP103" s="375"/>
      <c r="AQ103" s="375"/>
      <c r="AR103" s="375"/>
      <c r="AS103" s="375"/>
      <c r="AT103" s="375"/>
      <c r="AU103" s="375"/>
      <c r="AV103" s="376"/>
    </row>
    <row r="104" spans="1:48" ht="43.2" hidden="1">
      <c r="A104" s="137" t="s">
        <v>728</v>
      </c>
      <c r="B104" s="36" t="s">
        <v>729</v>
      </c>
      <c r="C104" s="36"/>
      <c r="D104" s="35" t="s">
        <v>313</v>
      </c>
      <c r="E104" s="35"/>
      <c r="F104" s="20"/>
      <c r="G104" s="20"/>
      <c r="H104" s="432">
        <v>2021</v>
      </c>
      <c r="I104" s="36" t="s">
        <v>352</v>
      </c>
      <c r="J104" s="94"/>
      <c r="K104" s="94"/>
      <c r="L104" s="94" t="s">
        <v>353</v>
      </c>
      <c r="M104" s="380" t="s">
        <v>280</v>
      </c>
      <c r="N104" s="36" t="s">
        <v>352</v>
      </c>
      <c r="O104" s="94" t="s">
        <v>353</v>
      </c>
      <c r="P104" s="380" t="s">
        <v>280</v>
      </c>
      <c r="Q104" s="94"/>
      <c r="R104" s="94"/>
      <c r="S104" s="36" t="s">
        <v>730</v>
      </c>
      <c r="T104" s="94"/>
      <c r="U104" s="380" t="s">
        <v>731</v>
      </c>
      <c r="V104" s="36"/>
      <c r="W104" s="36"/>
      <c r="X104" s="36" t="s">
        <v>732</v>
      </c>
      <c r="Y104" s="94"/>
      <c r="Z104" s="380" t="s">
        <v>733</v>
      </c>
      <c r="AA104" s="36"/>
      <c r="AB104" s="36"/>
      <c r="AC104" s="36" t="s">
        <v>734</v>
      </c>
      <c r="AD104" s="94"/>
      <c r="AE104" s="380" t="s">
        <v>420</v>
      </c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81"/>
    </row>
    <row r="105" spans="1:48" s="48" customFormat="1" ht="43.2" hidden="1">
      <c r="A105" s="394" t="s">
        <v>735</v>
      </c>
      <c r="B105" s="375" t="s">
        <v>736</v>
      </c>
      <c r="C105" s="375"/>
      <c r="D105" s="395" t="s">
        <v>313</v>
      </c>
      <c r="E105" s="395"/>
      <c r="F105" s="372"/>
      <c r="G105" s="372"/>
      <c r="H105" s="431">
        <v>2021</v>
      </c>
      <c r="I105" s="375" t="s">
        <v>25</v>
      </c>
      <c r="J105" s="374"/>
      <c r="K105" s="374"/>
      <c r="L105" s="374" t="s">
        <v>353</v>
      </c>
      <c r="M105" s="373" t="s">
        <v>280</v>
      </c>
      <c r="N105" s="375" t="s">
        <v>25</v>
      </c>
      <c r="O105" s="374" t="s">
        <v>353</v>
      </c>
      <c r="P105" s="373" t="s">
        <v>280</v>
      </c>
      <c r="Q105" s="374"/>
      <c r="R105" s="374"/>
      <c r="S105" s="375"/>
      <c r="T105" s="374"/>
      <c r="U105" s="375"/>
      <c r="V105" s="375"/>
      <c r="W105" s="375"/>
      <c r="X105" s="375"/>
      <c r="Y105" s="374"/>
      <c r="Z105" s="375"/>
      <c r="AA105" s="375"/>
      <c r="AB105" s="375"/>
      <c r="AC105" s="375"/>
      <c r="AD105" s="374"/>
      <c r="AE105" s="375"/>
      <c r="AF105" s="375"/>
      <c r="AG105" s="375"/>
      <c r="AH105" s="375"/>
      <c r="AI105" s="375"/>
      <c r="AJ105" s="375"/>
      <c r="AK105" s="375"/>
      <c r="AL105" s="375"/>
      <c r="AM105" s="375"/>
      <c r="AN105" s="375"/>
      <c r="AO105" s="375"/>
      <c r="AP105" s="375"/>
      <c r="AQ105" s="375"/>
      <c r="AR105" s="375"/>
      <c r="AS105" s="375"/>
      <c r="AT105" s="375"/>
      <c r="AU105" s="375"/>
      <c r="AV105" s="376"/>
    </row>
    <row r="106" spans="1:48" s="48" customFormat="1" ht="28.8" hidden="1">
      <c r="A106" s="137" t="s">
        <v>737</v>
      </c>
      <c r="B106" s="36" t="s">
        <v>738</v>
      </c>
      <c r="C106" s="36"/>
      <c r="D106" s="35" t="s">
        <v>321</v>
      </c>
      <c r="E106" s="75" t="s">
        <v>303</v>
      </c>
      <c r="F106" s="20"/>
      <c r="G106" s="20"/>
      <c r="H106" s="432">
        <v>2021</v>
      </c>
      <c r="I106" s="36"/>
      <c r="J106" s="94"/>
      <c r="K106" s="94"/>
      <c r="L106" s="94"/>
      <c r="M106" s="94"/>
      <c r="N106" s="36" t="s">
        <v>739</v>
      </c>
      <c r="O106" s="94" t="s">
        <v>353</v>
      </c>
      <c r="P106" s="380" t="s">
        <v>280</v>
      </c>
      <c r="Q106" s="94"/>
      <c r="R106" s="94"/>
      <c r="S106" s="36" t="s">
        <v>25</v>
      </c>
      <c r="T106" s="94" t="s">
        <v>353</v>
      </c>
      <c r="U106" s="380" t="s">
        <v>280</v>
      </c>
      <c r="V106" s="36"/>
      <c r="W106" s="36"/>
      <c r="X106" s="36" t="s">
        <v>442</v>
      </c>
      <c r="Y106" s="94" t="s">
        <v>353</v>
      </c>
      <c r="Z106" s="380" t="s">
        <v>280</v>
      </c>
      <c r="AA106" s="36"/>
      <c r="AB106" s="36"/>
      <c r="AC106" s="36" t="s">
        <v>740</v>
      </c>
      <c r="AD106" s="94" t="s">
        <v>353</v>
      </c>
      <c r="AE106" s="380" t="s">
        <v>280</v>
      </c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81"/>
    </row>
    <row r="107" spans="1:48" ht="57.6" hidden="1">
      <c r="A107" s="394" t="s">
        <v>741</v>
      </c>
      <c r="B107" s="375" t="s">
        <v>742</v>
      </c>
      <c r="C107" s="375"/>
      <c r="D107" s="395" t="s">
        <v>277</v>
      </c>
      <c r="E107" s="395"/>
      <c r="F107" s="372"/>
      <c r="G107" s="372"/>
      <c r="H107" s="431">
        <v>2021</v>
      </c>
      <c r="I107" s="375" t="s">
        <v>743</v>
      </c>
      <c r="J107" s="374"/>
      <c r="K107" s="374"/>
      <c r="L107" s="374"/>
      <c r="M107" s="373" t="s">
        <v>744</v>
      </c>
      <c r="N107" s="375" t="s">
        <v>743</v>
      </c>
      <c r="O107" s="374"/>
      <c r="P107" s="373" t="s">
        <v>744</v>
      </c>
      <c r="Q107" s="374"/>
      <c r="R107" s="374"/>
      <c r="S107" s="375" t="s">
        <v>34</v>
      </c>
      <c r="T107" s="374" t="s">
        <v>620</v>
      </c>
      <c r="U107" s="373" t="s">
        <v>280</v>
      </c>
      <c r="V107" s="375"/>
      <c r="W107" s="375"/>
      <c r="X107" s="372" t="s">
        <v>745</v>
      </c>
      <c r="Y107" s="374"/>
      <c r="Z107" s="373" t="s">
        <v>744</v>
      </c>
      <c r="AA107" s="375"/>
      <c r="AB107" s="375"/>
      <c r="AC107" s="375" t="s">
        <v>746</v>
      </c>
      <c r="AD107" s="374"/>
      <c r="AE107" s="373" t="s">
        <v>747</v>
      </c>
      <c r="AF107" s="375"/>
      <c r="AG107" s="375"/>
      <c r="AH107" s="375" t="s">
        <v>748</v>
      </c>
      <c r="AI107" s="375"/>
      <c r="AJ107" s="374" t="s">
        <v>749</v>
      </c>
      <c r="AK107" s="375"/>
      <c r="AL107" s="375"/>
      <c r="AM107" s="375"/>
      <c r="AN107" s="375"/>
      <c r="AO107" s="375"/>
      <c r="AP107" s="375"/>
      <c r="AQ107" s="375"/>
      <c r="AR107" s="375"/>
      <c r="AS107" s="375"/>
      <c r="AT107" s="375"/>
      <c r="AU107" s="375"/>
      <c r="AV107" s="376"/>
    </row>
    <row r="108" spans="1:48" ht="43.2" hidden="1">
      <c r="A108" s="137" t="s">
        <v>750</v>
      </c>
      <c r="B108" s="36" t="s">
        <v>751</v>
      </c>
      <c r="C108" s="36"/>
      <c r="D108" s="35" t="s">
        <v>528</v>
      </c>
      <c r="E108" s="35"/>
      <c r="F108" s="20"/>
      <c r="G108" s="20"/>
      <c r="H108" s="432">
        <v>2021</v>
      </c>
      <c r="I108" s="36" t="s">
        <v>743</v>
      </c>
      <c r="J108" s="94"/>
      <c r="K108" s="94"/>
      <c r="L108" s="94"/>
      <c r="M108" s="380" t="s">
        <v>744</v>
      </c>
      <c r="N108" s="36" t="s">
        <v>743</v>
      </c>
      <c r="O108" s="94"/>
      <c r="P108" s="380" t="s">
        <v>744</v>
      </c>
      <c r="Q108" s="94"/>
      <c r="R108" s="94"/>
      <c r="S108" s="36" t="s">
        <v>34</v>
      </c>
      <c r="T108" s="94" t="s">
        <v>620</v>
      </c>
      <c r="U108" s="380" t="s">
        <v>280</v>
      </c>
      <c r="V108" s="36"/>
      <c r="W108" s="36"/>
      <c r="X108" s="36" t="s">
        <v>746</v>
      </c>
      <c r="Y108" s="94"/>
      <c r="Z108" s="380" t="s">
        <v>747</v>
      </c>
      <c r="AA108" s="36"/>
      <c r="AB108" s="36"/>
      <c r="AC108" s="36" t="s">
        <v>752</v>
      </c>
      <c r="AD108" s="94"/>
      <c r="AE108" s="380" t="s">
        <v>753</v>
      </c>
      <c r="AF108" s="36"/>
      <c r="AG108" s="36"/>
      <c r="AH108" s="36" t="s">
        <v>754</v>
      </c>
      <c r="AI108" s="36"/>
      <c r="AJ108" s="94" t="s">
        <v>755</v>
      </c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81"/>
    </row>
    <row r="109" spans="1:48" ht="43.2" hidden="1">
      <c r="A109" s="394" t="s">
        <v>756</v>
      </c>
      <c r="B109" s="375" t="s">
        <v>757</v>
      </c>
      <c r="C109" s="375"/>
      <c r="D109" s="395" t="s">
        <v>306</v>
      </c>
      <c r="E109" s="370" t="s">
        <v>303</v>
      </c>
      <c r="F109" s="372"/>
      <c r="G109" s="372"/>
      <c r="H109" s="431">
        <v>2021</v>
      </c>
      <c r="I109" s="375" t="s">
        <v>44</v>
      </c>
      <c r="J109" s="374"/>
      <c r="K109" s="374"/>
      <c r="L109" s="374" t="s">
        <v>758</v>
      </c>
      <c r="M109" s="373" t="s">
        <v>280</v>
      </c>
      <c r="N109" s="375" t="s">
        <v>34</v>
      </c>
      <c r="O109" s="374" t="s">
        <v>620</v>
      </c>
      <c r="P109" s="373" t="s">
        <v>280</v>
      </c>
      <c r="Q109" s="374"/>
      <c r="R109" s="374"/>
      <c r="S109" s="375" t="s">
        <v>174</v>
      </c>
      <c r="T109" s="374" t="s">
        <v>686</v>
      </c>
      <c r="U109" s="373" t="s">
        <v>280</v>
      </c>
      <c r="V109" s="375"/>
      <c r="W109" s="375"/>
      <c r="X109" s="375" t="s">
        <v>44</v>
      </c>
      <c r="Y109" s="374" t="s">
        <v>758</v>
      </c>
      <c r="Z109" s="373" t="s">
        <v>280</v>
      </c>
      <c r="AA109" s="375"/>
      <c r="AB109" s="375"/>
      <c r="AC109" s="375" t="s">
        <v>38</v>
      </c>
      <c r="AD109" s="374" t="s">
        <v>620</v>
      </c>
      <c r="AE109" s="373" t="s">
        <v>280</v>
      </c>
      <c r="AF109" s="375"/>
      <c r="AG109" s="375"/>
      <c r="AH109" s="375"/>
      <c r="AI109" s="375"/>
      <c r="AJ109" s="375"/>
      <c r="AK109" s="375"/>
      <c r="AL109" s="375"/>
      <c r="AM109" s="375"/>
      <c r="AN109" s="375"/>
      <c r="AO109" s="375"/>
      <c r="AP109" s="375"/>
      <c r="AQ109" s="375"/>
      <c r="AR109" s="375"/>
      <c r="AS109" s="375"/>
      <c r="AT109" s="375"/>
      <c r="AU109" s="375"/>
      <c r="AV109" s="376"/>
    </row>
    <row r="110" spans="1:48" ht="43.2" hidden="1">
      <c r="A110" s="137" t="s">
        <v>759</v>
      </c>
      <c r="B110" s="36" t="s">
        <v>760</v>
      </c>
      <c r="C110" s="36"/>
      <c r="D110" s="35" t="s">
        <v>286</v>
      </c>
      <c r="E110" s="35"/>
      <c r="F110" s="20"/>
      <c r="G110" s="20"/>
      <c r="H110" s="432">
        <v>2021</v>
      </c>
      <c r="I110" s="36" t="s">
        <v>761</v>
      </c>
      <c r="J110" s="94"/>
      <c r="K110" s="94"/>
      <c r="L110" s="94" t="s">
        <v>758</v>
      </c>
      <c r="M110" s="380" t="s">
        <v>280</v>
      </c>
      <c r="N110" s="36" t="s">
        <v>762</v>
      </c>
      <c r="O110" s="94" t="s">
        <v>758</v>
      </c>
      <c r="P110" s="380" t="s">
        <v>280</v>
      </c>
      <c r="Q110" s="94"/>
      <c r="R110" s="94"/>
      <c r="S110" s="36" t="s">
        <v>763</v>
      </c>
      <c r="T110" s="94" t="s">
        <v>758</v>
      </c>
      <c r="U110" s="380" t="s">
        <v>280</v>
      </c>
      <c r="V110" s="36"/>
      <c r="W110" s="36"/>
      <c r="X110" s="36" t="s">
        <v>44</v>
      </c>
      <c r="Y110" s="94" t="s">
        <v>758</v>
      </c>
      <c r="Z110" s="380" t="s">
        <v>280</v>
      </c>
      <c r="AA110" s="36"/>
      <c r="AB110" s="36"/>
      <c r="AC110" s="36"/>
      <c r="AD110" s="94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81"/>
    </row>
    <row r="111" spans="1:48" ht="28.8" hidden="1">
      <c r="A111" s="394" t="s">
        <v>764</v>
      </c>
      <c r="B111" s="375" t="s">
        <v>765</v>
      </c>
      <c r="C111" s="375"/>
      <c r="D111" s="395" t="s">
        <v>766</v>
      </c>
      <c r="E111" s="395"/>
      <c r="F111" s="372"/>
      <c r="G111" s="372"/>
      <c r="H111" s="431">
        <v>2021</v>
      </c>
      <c r="I111" s="375" t="s">
        <v>71</v>
      </c>
      <c r="J111" s="374"/>
      <c r="K111" s="374"/>
      <c r="L111" s="374" t="s">
        <v>620</v>
      </c>
      <c r="M111" s="373" t="s">
        <v>280</v>
      </c>
      <c r="N111" s="375" t="s">
        <v>71</v>
      </c>
      <c r="O111" s="374" t="s">
        <v>620</v>
      </c>
      <c r="P111" s="373" t="s">
        <v>280</v>
      </c>
      <c r="Q111" s="374"/>
      <c r="R111" s="374"/>
      <c r="S111" s="375"/>
      <c r="T111" s="374"/>
      <c r="U111" s="375"/>
      <c r="V111" s="375"/>
      <c r="W111" s="375"/>
      <c r="X111" s="375"/>
      <c r="Y111" s="374"/>
      <c r="Z111" s="375"/>
      <c r="AA111" s="375"/>
      <c r="AB111" s="375"/>
      <c r="AC111" s="375"/>
      <c r="AD111" s="374"/>
      <c r="AE111" s="375"/>
      <c r="AF111" s="375"/>
      <c r="AG111" s="375"/>
      <c r="AH111" s="375"/>
      <c r="AI111" s="375"/>
      <c r="AJ111" s="375"/>
      <c r="AK111" s="375"/>
      <c r="AL111" s="375"/>
      <c r="AM111" s="375"/>
      <c r="AN111" s="375"/>
      <c r="AO111" s="375"/>
      <c r="AP111" s="375"/>
      <c r="AQ111" s="375"/>
      <c r="AR111" s="375"/>
      <c r="AS111" s="375"/>
      <c r="AT111" s="375"/>
      <c r="AU111" s="375"/>
      <c r="AV111" s="376"/>
    </row>
    <row r="112" spans="1:48" ht="28.8" hidden="1">
      <c r="A112" s="137" t="s">
        <v>767</v>
      </c>
      <c r="B112" s="36" t="s">
        <v>768</v>
      </c>
      <c r="C112" s="36"/>
      <c r="D112" s="35" t="s">
        <v>416</v>
      </c>
      <c r="E112" s="35" t="s">
        <v>769</v>
      </c>
      <c r="F112" s="20"/>
      <c r="G112" s="20"/>
      <c r="H112" s="432">
        <v>2021</v>
      </c>
      <c r="I112" s="36" t="s">
        <v>770</v>
      </c>
      <c r="J112" s="94"/>
      <c r="K112" s="94"/>
      <c r="L112" s="94"/>
      <c r="M112" s="380" t="s">
        <v>420</v>
      </c>
      <c r="N112" s="36" t="s">
        <v>770</v>
      </c>
      <c r="O112" s="94"/>
      <c r="P112" s="380" t="s">
        <v>420</v>
      </c>
      <c r="Q112" s="94"/>
      <c r="R112" s="94"/>
      <c r="S112" s="36" t="s">
        <v>44</v>
      </c>
      <c r="T112" s="94" t="s">
        <v>758</v>
      </c>
      <c r="U112" s="380" t="s">
        <v>280</v>
      </c>
      <c r="V112" s="36"/>
      <c r="W112" s="36"/>
      <c r="X112" s="36" t="s">
        <v>771</v>
      </c>
      <c r="Y112" s="94"/>
      <c r="Z112" s="380" t="s">
        <v>420</v>
      </c>
      <c r="AA112" s="36"/>
      <c r="AB112" s="36"/>
      <c r="AC112" s="36" t="s">
        <v>772</v>
      </c>
      <c r="AD112" s="94"/>
      <c r="AE112" s="380" t="s">
        <v>420</v>
      </c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81"/>
    </row>
    <row r="113" spans="1:48" ht="28.8" hidden="1">
      <c r="A113" s="394" t="s">
        <v>773</v>
      </c>
      <c r="B113" s="375" t="s">
        <v>774</v>
      </c>
      <c r="C113" s="375"/>
      <c r="D113" s="395" t="s">
        <v>302</v>
      </c>
      <c r="E113" s="370" t="s">
        <v>303</v>
      </c>
      <c r="F113" s="372"/>
      <c r="G113" s="372"/>
      <c r="H113" s="431">
        <v>2021</v>
      </c>
      <c r="I113" s="375" t="s">
        <v>775</v>
      </c>
      <c r="J113" s="374"/>
      <c r="K113" s="374"/>
      <c r="L113" s="374" t="s">
        <v>686</v>
      </c>
      <c r="M113" s="373" t="s">
        <v>280</v>
      </c>
      <c r="N113" s="375" t="s">
        <v>775</v>
      </c>
      <c r="O113" s="374" t="s">
        <v>686</v>
      </c>
      <c r="P113" s="373" t="s">
        <v>280</v>
      </c>
      <c r="Q113" s="374"/>
      <c r="R113" s="374"/>
      <c r="S113" s="375" t="s">
        <v>776</v>
      </c>
      <c r="T113" s="374"/>
      <c r="U113" s="373" t="s">
        <v>777</v>
      </c>
      <c r="V113" s="375"/>
      <c r="W113" s="375"/>
      <c r="X113" s="375"/>
      <c r="Y113" s="374"/>
      <c r="Z113" s="375"/>
      <c r="AA113" s="375"/>
      <c r="AB113" s="375"/>
      <c r="AC113" s="375"/>
      <c r="AD113" s="374"/>
      <c r="AE113" s="375"/>
      <c r="AF113" s="375"/>
      <c r="AG113" s="375"/>
      <c r="AH113" s="375"/>
      <c r="AI113" s="375"/>
      <c r="AJ113" s="375"/>
      <c r="AK113" s="375"/>
      <c r="AL113" s="375"/>
      <c r="AM113" s="375"/>
      <c r="AN113" s="375"/>
      <c r="AO113" s="375"/>
      <c r="AP113" s="375"/>
      <c r="AQ113" s="375"/>
      <c r="AR113" s="375"/>
      <c r="AS113" s="375"/>
      <c r="AT113" s="375"/>
      <c r="AU113" s="375"/>
      <c r="AV113" s="376"/>
    </row>
    <row r="114" spans="1:48" ht="28.8" hidden="1">
      <c r="A114" s="137" t="s">
        <v>778</v>
      </c>
      <c r="B114" s="36" t="s">
        <v>779</v>
      </c>
      <c r="C114" s="36"/>
      <c r="D114" s="35" t="s">
        <v>313</v>
      </c>
      <c r="E114" s="35"/>
      <c r="F114" s="20"/>
      <c r="G114" s="20"/>
      <c r="H114" s="432">
        <v>2021</v>
      </c>
      <c r="I114" s="36"/>
      <c r="J114" s="94"/>
      <c r="K114" s="94"/>
      <c r="L114" s="94"/>
      <c r="M114" s="94"/>
      <c r="N114" s="36" t="s">
        <v>775</v>
      </c>
      <c r="O114" s="94" t="s">
        <v>686</v>
      </c>
      <c r="P114" s="380" t="s">
        <v>280</v>
      </c>
      <c r="Q114" s="94"/>
      <c r="R114" s="94"/>
      <c r="S114" s="36" t="s">
        <v>776</v>
      </c>
      <c r="T114" s="94"/>
      <c r="U114" s="380" t="s">
        <v>777</v>
      </c>
      <c r="V114" s="36"/>
      <c r="W114" s="36"/>
      <c r="X114" s="36"/>
      <c r="Y114" s="94"/>
      <c r="Z114" s="36"/>
      <c r="AA114" s="36"/>
      <c r="AB114" s="36"/>
      <c r="AC114" s="36"/>
      <c r="AD114" s="94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81"/>
    </row>
    <row r="115" spans="1:48" ht="28.8" hidden="1">
      <c r="A115" s="394" t="s">
        <v>780</v>
      </c>
      <c r="B115" s="375" t="s">
        <v>781</v>
      </c>
      <c r="C115" s="375"/>
      <c r="D115" s="395" t="s">
        <v>782</v>
      </c>
      <c r="E115" s="370" t="s">
        <v>303</v>
      </c>
      <c r="F115" s="372"/>
      <c r="G115" s="372"/>
      <c r="H115" s="431">
        <v>2021</v>
      </c>
      <c r="I115" s="375"/>
      <c r="J115" s="374"/>
      <c r="K115" s="374"/>
      <c r="L115" s="374"/>
      <c r="M115" s="374"/>
      <c r="N115" s="375" t="s">
        <v>775</v>
      </c>
      <c r="O115" s="374" t="s">
        <v>686</v>
      </c>
      <c r="P115" s="373" t="s">
        <v>280</v>
      </c>
      <c r="Q115" s="374"/>
      <c r="R115" s="374"/>
      <c r="S115" s="375" t="s">
        <v>776</v>
      </c>
      <c r="T115" s="374"/>
      <c r="U115" s="373" t="s">
        <v>777</v>
      </c>
      <c r="V115" s="375"/>
      <c r="W115" s="375"/>
      <c r="X115" s="375"/>
      <c r="Y115" s="374"/>
      <c r="Z115" s="375"/>
      <c r="AA115" s="375"/>
      <c r="AB115" s="375"/>
      <c r="AC115" s="375"/>
      <c r="AD115" s="374"/>
      <c r="AE115" s="375"/>
      <c r="AF115" s="375"/>
      <c r="AG115" s="375"/>
      <c r="AH115" s="375"/>
      <c r="AI115" s="375"/>
      <c r="AJ115" s="375"/>
      <c r="AK115" s="375"/>
      <c r="AL115" s="375"/>
      <c r="AM115" s="375"/>
      <c r="AN115" s="375"/>
      <c r="AO115" s="375"/>
      <c r="AP115" s="375"/>
      <c r="AQ115" s="375"/>
      <c r="AR115" s="375"/>
      <c r="AS115" s="375"/>
      <c r="AT115" s="375"/>
      <c r="AU115" s="375"/>
      <c r="AV115" s="376"/>
    </row>
    <row r="116" spans="1:48" ht="43.2" hidden="1">
      <c r="A116" s="137" t="s">
        <v>783</v>
      </c>
      <c r="B116" s="36" t="s">
        <v>784</v>
      </c>
      <c r="C116" s="36"/>
      <c r="D116" s="35" t="s">
        <v>277</v>
      </c>
      <c r="E116" s="35"/>
      <c r="F116" s="20"/>
      <c r="G116" s="20"/>
      <c r="H116" s="432">
        <v>2021</v>
      </c>
      <c r="I116" s="36"/>
      <c r="J116" s="94"/>
      <c r="K116" s="94"/>
      <c r="L116" s="94"/>
      <c r="M116" s="94"/>
      <c r="N116" s="36" t="s">
        <v>87</v>
      </c>
      <c r="O116" s="94" t="s">
        <v>494</v>
      </c>
      <c r="P116" s="380" t="s">
        <v>280</v>
      </c>
      <c r="Q116" s="94"/>
      <c r="R116" s="94"/>
      <c r="S116" s="36" t="s">
        <v>785</v>
      </c>
      <c r="T116" s="94"/>
      <c r="U116" s="380" t="s">
        <v>565</v>
      </c>
      <c r="V116" s="36"/>
      <c r="W116" s="36"/>
      <c r="X116" s="36" t="s">
        <v>786</v>
      </c>
      <c r="Y116" s="94"/>
      <c r="Z116" s="380" t="s">
        <v>565</v>
      </c>
      <c r="AA116" s="36"/>
      <c r="AB116" s="36"/>
      <c r="AC116" s="36"/>
      <c r="AD116" s="94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81"/>
    </row>
    <row r="117" spans="1:48" ht="28.8" hidden="1">
      <c r="A117" s="394" t="s">
        <v>787</v>
      </c>
      <c r="B117" s="375" t="s">
        <v>788</v>
      </c>
      <c r="C117" s="375"/>
      <c r="D117" s="395" t="s">
        <v>302</v>
      </c>
      <c r="E117" s="370" t="s">
        <v>303</v>
      </c>
      <c r="F117" s="372"/>
      <c r="G117" s="372"/>
      <c r="H117" s="431">
        <v>2021</v>
      </c>
      <c r="I117" s="375" t="s">
        <v>421</v>
      </c>
      <c r="J117" s="374"/>
      <c r="K117" s="374"/>
      <c r="L117" s="374"/>
      <c r="M117" s="373" t="s">
        <v>420</v>
      </c>
      <c r="N117" s="375" t="s">
        <v>421</v>
      </c>
      <c r="O117" s="374"/>
      <c r="P117" s="373" t="s">
        <v>420</v>
      </c>
      <c r="Q117" s="374"/>
      <c r="R117" s="374"/>
      <c r="S117" s="375" t="s">
        <v>789</v>
      </c>
      <c r="T117" s="374"/>
      <c r="U117" s="373" t="s">
        <v>420</v>
      </c>
      <c r="V117" s="375"/>
      <c r="W117" s="375"/>
      <c r="X117" s="375" t="s">
        <v>790</v>
      </c>
      <c r="Y117" s="374"/>
      <c r="Z117" s="373" t="s">
        <v>420</v>
      </c>
      <c r="AA117" s="375"/>
      <c r="AB117" s="375"/>
      <c r="AC117" s="375" t="s">
        <v>791</v>
      </c>
      <c r="AD117" s="374"/>
      <c r="AE117" s="373" t="s">
        <v>420</v>
      </c>
      <c r="AF117" s="375"/>
      <c r="AG117" s="375"/>
      <c r="AH117" s="375" t="s">
        <v>792</v>
      </c>
      <c r="AI117" s="375"/>
      <c r="AJ117" s="373" t="s">
        <v>420</v>
      </c>
      <c r="AK117" s="375"/>
      <c r="AL117" s="375"/>
      <c r="AM117" s="369" t="s">
        <v>179</v>
      </c>
      <c r="AN117" s="373" t="s">
        <v>353</v>
      </c>
      <c r="AO117" s="373" t="s">
        <v>280</v>
      </c>
      <c r="AP117" s="375"/>
      <c r="AQ117" s="375"/>
      <c r="AR117" s="375"/>
      <c r="AS117" s="375"/>
      <c r="AT117" s="375"/>
      <c r="AU117" s="375"/>
      <c r="AV117" s="376"/>
    </row>
    <row r="118" spans="1:48" ht="28.8" hidden="1">
      <c r="A118" s="137" t="s">
        <v>793</v>
      </c>
      <c r="B118" s="36" t="s">
        <v>794</v>
      </c>
      <c r="C118" s="36"/>
      <c r="D118" s="35" t="s">
        <v>277</v>
      </c>
      <c r="E118" s="35"/>
      <c r="F118" s="20"/>
      <c r="G118" s="20"/>
      <c r="H118" s="432">
        <v>2021</v>
      </c>
      <c r="I118" s="36" t="s">
        <v>421</v>
      </c>
      <c r="J118" s="94"/>
      <c r="K118" s="94"/>
      <c r="L118" s="94"/>
      <c r="M118" s="380" t="s">
        <v>420</v>
      </c>
      <c r="N118" s="36" t="s">
        <v>791</v>
      </c>
      <c r="O118" s="94"/>
      <c r="P118" s="380" t="s">
        <v>420</v>
      </c>
      <c r="Q118" s="94"/>
      <c r="R118" s="94"/>
      <c r="S118" s="36" t="s">
        <v>421</v>
      </c>
      <c r="T118" s="94"/>
      <c r="U118" s="380" t="s">
        <v>420</v>
      </c>
      <c r="V118" s="36"/>
      <c r="W118" s="36"/>
      <c r="X118" s="378" t="s">
        <v>179</v>
      </c>
      <c r="Y118" s="380" t="s">
        <v>353</v>
      </c>
      <c r="Z118" s="380" t="s">
        <v>280</v>
      </c>
      <c r="AA118" s="36"/>
      <c r="AB118" s="36"/>
      <c r="AC118" s="36"/>
      <c r="AD118" s="94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81"/>
    </row>
    <row r="119" spans="1:48" ht="28.8" hidden="1">
      <c r="A119" s="394" t="s">
        <v>795</v>
      </c>
      <c r="B119" s="375" t="s">
        <v>796</v>
      </c>
      <c r="C119" s="375"/>
      <c r="D119" s="395" t="s">
        <v>277</v>
      </c>
      <c r="E119" s="395"/>
      <c r="F119" s="372"/>
      <c r="G119" s="372"/>
      <c r="H119" s="431">
        <v>2021</v>
      </c>
      <c r="I119" s="375" t="s">
        <v>421</v>
      </c>
      <c r="J119" s="374"/>
      <c r="K119" s="374"/>
      <c r="L119" s="374"/>
      <c r="M119" s="373" t="s">
        <v>420</v>
      </c>
      <c r="N119" s="375" t="s">
        <v>790</v>
      </c>
      <c r="O119" s="374"/>
      <c r="P119" s="373" t="s">
        <v>420</v>
      </c>
      <c r="Q119" s="374"/>
      <c r="R119" s="374"/>
      <c r="S119" s="375" t="s">
        <v>421</v>
      </c>
      <c r="T119" s="374"/>
      <c r="U119" s="373" t="s">
        <v>420</v>
      </c>
      <c r="V119" s="375"/>
      <c r="W119" s="375"/>
      <c r="X119" s="369" t="s">
        <v>179</v>
      </c>
      <c r="Y119" s="373" t="s">
        <v>353</v>
      </c>
      <c r="Z119" s="373" t="s">
        <v>280</v>
      </c>
      <c r="AA119" s="375"/>
      <c r="AB119" s="375"/>
      <c r="AC119" s="375"/>
      <c r="AD119" s="374"/>
      <c r="AE119" s="375"/>
      <c r="AF119" s="375"/>
      <c r="AG119" s="375"/>
      <c r="AH119" s="375"/>
      <c r="AI119" s="375"/>
      <c r="AJ119" s="375"/>
      <c r="AK119" s="375"/>
      <c r="AL119" s="375"/>
      <c r="AM119" s="375"/>
      <c r="AN119" s="375"/>
      <c r="AO119" s="375"/>
      <c r="AP119" s="375"/>
      <c r="AQ119" s="375"/>
      <c r="AR119" s="375"/>
      <c r="AS119" s="375"/>
      <c r="AT119" s="375"/>
      <c r="AU119" s="375"/>
      <c r="AV119" s="376"/>
    </row>
    <row r="120" spans="1:48" ht="28.8" hidden="1">
      <c r="A120" s="137" t="s">
        <v>797</v>
      </c>
      <c r="B120" s="36" t="s">
        <v>798</v>
      </c>
      <c r="C120" s="36"/>
      <c r="D120" s="35" t="s">
        <v>277</v>
      </c>
      <c r="E120" s="35"/>
      <c r="F120" s="20"/>
      <c r="G120" s="20"/>
      <c r="H120" s="432">
        <v>2021</v>
      </c>
      <c r="I120" s="36" t="s">
        <v>421</v>
      </c>
      <c r="J120" s="94"/>
      <c r="K120" s="94"/>
      <c r="L120" s="94"/>
      <c r="M120" s="380" t="s">
        <v>420</v>
      </c>
      <c r="N120" s="378" t="s">
        <v>179</v>
      </c>
      <c r="O120" s="380" t="s">
        <v>353</v>
      </c>
      <c r="P120" s="380" t="s">
        <v>280</v>
      </c>
      <c r="Q120" s="94"/>
      <c r="R120" s="94"/>
      <c r="S120" s="36" t="s">
        <v>421</v>
      </c>
      <c r="T120" s="94"/>
      <c r="U120" s="380" t="s">
        <v>420</v>
      </c>
      <c r="V120" s="36"/>
      <c r="W120" s="36"/>
      <c r="X120" s="36" t="s">
        <v>790</v>
      </c>
      <c r="Y120" s="94"/>
      <c r="Z120" s="380" t="s">
        <v>420</v>
      </c>
      <c r="AA120" s="36"/>
      <c r="AB120" s="36"/>
      <c r="AC120" s="36" t="s">
        <v>791</v>
      </c>
      <c r="AD120" s="94"/>
      <c r="AE120" s="380" t="s">
        <v>420</v>
      </c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81"/>
    </row>
    <row r="121" spans="1:48" ht="43.2" hidden="1">
      <c r="A121" s="394" t="s">
        <v>799</v>
      </c>
      <c r="B121" s="375" t="s">
        <v>800</v>
      </c>
      <c r="C121" s="375"/>
      <c r="D121" s="395" t="s">
        <v>277</v>
      </c>
      <c r="E121" s="395"/>
      <c r="F121" s="372"/>
      <c r="G121" s="372"/>
      <c r="H121" s="431">
        <v>2021</v>
      </c>
      <c r="I121" s="375" t="s">
        <v>801</v>
      </c>
      <c r="J121" s="374"/>
      <c r="K121" s="374"/>
      <c r="L121" s="374" t="s">
        <v>758</v>
      </c>
      <c r="M121" s="373" t="s">
        <v>280</v>
      </c>
      <c r="N121" s="375" t="s">
        <v>801</v>
      </c>
      <c r="O121" s="374" t="s">
        <v>758</v>
      </c>
      <c r="P121" s="373" t="s">
        <v>280</v>
      </c>
      <c r="Q121" s="374"/>
      <c r="R121" s="374"/>
      <c r="S121" s="375" t="s">
        <v>802</v>
      </c>
      <c r="T121" s="374"/>
      <c r="U121" s="374" t="s">
        <v>803</v>
      </c>
      <c r="V121" s="375"/>
      <c r="W121" s="375"/>
      <c r="X121" s="375"/>
      <c r="Y121" s="374"/>
      <c r="Z121" s="375"/>
      <c r="AA121" s="375"/>
      <c r="AB121" s="375"/>
      <c r="AC121" s="375"/>
      <c r="AD121" s="374"/>
      <c r="AE121" s="375"/>
      <c r="AF121" s="375"/>
      <c r="AG121" s="375"/>
      <c r="AH121" s="375"/>
      <c r="AI121" s="375"/>
      <c r="AJ121" s="375"/>
      <c r="AK121" s="375"/>
      <c r="AL121" s="375"/>
      <c r="AM121" s="375"/>
      <c r="AN121" s="375"/>
      <c r="AO121" s="375"/>
      <c r="AP121" s="375"/>
      <c r="AQ121" s="375"/>
      <c r="AR121" s="375"/>
      <c r="AS121" s="375"/>
      <c r="AT121" s="375"/>
      <c r="AU121" s="375"/>
      <c r="AV121" s="376"/>
    </row>
    <row r="122" spans="1:48" ht="28.8" hidden="1">
      <c r="A122" s="137" t="s">
        <v>804</v>
      </c>
      <c r="B122" s="36" t="s">
        <v>805</v>
      </c>
      <c r="C122" s="36"/>
      <c r="D122" s="35" t="s">
        <v>502</v>
      </c>
      <c r="E122" s="35" t="s">
        <v>769</v>
      </c>
      <c r="F122" s="20"/>
      <c r="G122" s="20"/>
      <c r="H122" s="432">
        <v>2021</v>
      </c>
      <c r="I122" s="36"/>
      <c r="J122" s="94"/>
      <c r="K122" s="94"/>
      <c r="L122" s="94"/>
      <c r="M122" s="94"/>
      <c r="N122" s="36" t="s">
        <v>806</v>
      </c>
      <c r="O122" s="94"/>
      <c r="P122" s="380" t="s">
        <v>420</v>
      </c>
      <c r="Q122" s="94"/>
      <c r="R122" s="94"/>
      <c r="S122" s="36" t="s">
        <v>807</v>
      </c>
      <c r="T122" s="94"/>
      <c r="U122" s="380" t="s">
        <v>420</v>
      </c>
      <c r="V122" s="36"/>
      <c r="W122" s="36"/>
      <c r="X122" s="36" t="s">
        <v>808</v>
      </c>
      <c r="Y122" s="94"/>
      <c r="Z122" s="380" t="s">
        <v>420</v>
      </c>
      <c r="AA122" s="36"/>
      <c r="AB122" s="36"/>
      <c r="AC122" s="378" t="s">
        <v>79</v>
      </c>
      <c r="AD122" s="380" t="s">
        <v>809</v>
      </c>
      <c r="AE122" s="380" t="s">
        <v>280</v>
      </c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81"/>
    </row>
    <row r="123" spans="1:48" ht="28.8" hidden="1">
      <c r="A123" s="394" t="s">
        <v>810</v>
      </c>
      <c r="B123" s="375" t="s">
        <v>811</v>
      </c>
      <c r="C123" s="375"/>
      <c r="D123" s="395" t="s">
        <v>306</v>
      </c>
      <c r="E123" s="370" t="s">
        <v>303</v>
      </c>
      <c r="F123" s="372"/>
      <c r="G123" s="372"/>
      <c r="H123" s="431">
        <v>2021</v>
      </c>
      <c r="I123" s="375" t="s">
        <v>79</v>
      </c>
      <c r="J123" s="374"/>
      <c r="K123" s="374"/>
      <c r="L123" s="374" t="s">
        <v>809</v>
      </c>
      <c r="M123" s="374" t="s">
        <v>280</v>
      </c>
      <c r="N123" s="375" t="s">
        <v>79</v>
      </c>
      <c r="O123" s="374" t="s">
        <v>809</v>
      </c>
      <c r="P123" s="374" t="s">
        <v>280</v>
      </c>
      <c r="Q123" s="374"/>
      <c r="R123" s="374"/>
      <c r="S123" s="375" t="s">
        <v>806</v>
      </c>
      <c r="T123" s="374"/>
      <c r="U123" s="373" t="s">
        <v>420</v>
      </c>
      <c r="V123" s="375"/>
      <c r="W123" s="375"/>
      <c r="X123" s="375" t="s">
        <v>808</v>
      </c>
      <c r="Y123" s="374"/>
      <c r="Z123" s="373" t="s">
        <v>420</v>
      </c>
      <c r="AA123" s="375"/>
      <c r="AB123" s="375"/>
      <c r="AC123" s="375"/>
      <c r="AD123" s="374"/>
      <c r="AE123" s="375"/>
      <c r="AF123" s="375"/>
      <c r="AG123" s="375"/>
      <c r="AH123" s="375"/>
      <c r="AI123" s="375"/>
      <c r="AJ123" s="375"/>
      <c r="AK123" s="375"/>
      <c r="AL123" s="375"/>
      <c r="AM123" s="375"/>
      <c r="AN123" s="375"/>
      <c r="AO123" s="375"/>
      <c r="AP123" s="375"/>
      <c r="AQ123" s="375"/>
      <c r="AR123" s="375"/>
      <c r="AS123" s="375"/>
      <c r="AT123" s="375"/>
      <c r="AU123" s="375"/>
      <c r="AV123" s="376"/>
    </row>
    <row r="124" spans="1:48" ht="28.8" hidden="1">
      <c r="A124" s="137" t="s">
        <v>812</v>
      </c>
      <c r="B124" s="36" t="s">
        <v>813</v>
      </c>
      <c r="C124" s="36"/>
      <c r="D124" s="35" t="s">
        <v>568</v>
      </c>
      <c r="E124" s="35" t="s">
        <v>769</v>
      </c>
      <c r="F124" s="20"/>
      <c r="G124" s="20"/>
      <c r="H124" s="432">
        <v>2021</v>
      </c>
      <c r="I124" s="36" t="s">
        <v>814</v>
      </c>
      <c r="J124" s="94"/>
      <c r="K124" s="94"/>
      <c r="L124" s="94" t="s">
        <v>809</v>
      </c>
      <c r="M124" s="94" t="s">
        <v>280</v>
      </c>
      <c r="N124" s="36" t="s">
        <v>815</v>
      </c>
      <c r="O124" s="94"/>
      <c r="P124" s="380" t="s">
        <v>420</v>
      </c>
      <c r="Q124" s="94"/>
      <c r="R124" s="94"/>
      <c r="S124" s="36" t="s">
        <v>814</v>
      </c>
      <c r="T124" s="94" t="s">
        <v>809</v>
      </c>
      <c r="U124" s="94" t="s">
        <v>280</v>
      </c>
      <c r="V124" s="36"/>
      <c r="W124" s="36"/>
      <c r="X124" s="36" t="s">
        <v>816</v>
      </c>
      <c r="Y124" s="94"/>
      <c r="Z124" s="380" t="s">
        <v>420</v>
      </c>
      <c r="AA124" s="36"/>
      <c r="AB124" s="36"/>
      <c r="AC124" s="378" t="s">
        <v>79</v>
      </c>
      <c r="AD124" s="380" t="s">
        <v>809</v>
      </c>
      <c r="AE124" s="380" t="s">
        <v>280</v>
      </c>
      <c r="AF124" s="36"/>
      <c r="AG124" s="36"/>
      <c r="AH124" s="36" t="s">
        <v>817</v>
      </c>
      <c r="AI124" s="36"/>
      <c r="AJ124" s="380" t="s">
        <v>420</v>
      </c>
      <c r="AK124" s="36"/>
      <c r="AL124" s="36"/>
      <c r="AM124" s="36" t="s">
        <v>808</v>
      </c>
      <c r="AN124" s="36"/>
      <c r="AO124" s="380" t="s">
        <v>420</v>
      </c>
      <c r="AP124" s="36"/>
      <c r="AQ124" s="36"/>
      <c r="AR124" s="36" t="s">
        <v>818</v>
      </c>
      <c r="AS124" s="36"/>
      <c r="AT124" s="36" t="s">
        <v>819</v>
      </c>
      <c r="AU124" s="36"/>
      <c r="AV124" s="381"/>
    </row>
    <row r="125" spans="1:48" ht="28.8" hidden="1">
      <c r="A125" s="394" t="s">
        <v>820</v>
      </c>
      <c r="B125" s="375" t="s">
        <v>821</v>
      </c>
      <c r="C125" s="375"/>
      <c r="D125" s="395" t="s">
        <v>277</v>
      </c>
      <c r="E125" s="395"/>
      <c r="F125" s="372"/>
      <c r="G125" s="372"/>
      <c r="H125" s="431">
        <v>2021</v>
      </c>
      <c r="I125" s="375"/>
      <c r="J125" s="374"/>
      <c r="K125" s="374"/>
      <c r="L125" s="374"/>
      <c r="M125" s="374"/>
      <c r="N125" s="375" t="s">
        <v>56</v>
      </c>
      <c r="O125" s="374" t="s">
        <v>351</v>
      </c>
      <c r="P125" s="374" t="s">
        <v>280</v>
      </c>
      <c r="Q125" s="374"/>
      <c r="R125" s="374"/>
      <c r="S125" s="375" t="s">
        <v>822</v>
      </c>
      <c r="T125" s="374"/>
      <c r="U125" s="374" t="s">
        <v>823</v>
      </c>
      <c r="V125" s="375"/>
      <c r="W125" s="375"/>
      <c r="X125" s="375" t="s">
        <v>824</v>
      </c>
      <c r="Y125" s="374"/>
      <c r="Z125" s="374" t="s">
        <v>823</v>
      </c>
      <c r="AA125" s="375"/>
      <c r="AB125" s="375"/>
      <c r="AC125" s="375" t="s">
        <v>825</v>
      </c>
      <c r="AD125" s="374"/>
      <c r="AE125" s="374" t="s">
        <v>823</v>
      </c>
      <c r="AF125" s="375"/>
      <c r="AG125" s="375"/>
      <c r="AH125" s="375" t="s">
        <v>826</v>
      </c>
      <c r="AI125" s="375"/>
      <c r="AJ125" s="374" t="s">
        <v>823</v>
      </c>
      <c r="AK125" s="375"/>
      <c r="AL125" s="375"/>
      <c r="AM125" s="375" t="s">
        <v>827</v>
      </c>
      <c r="AN125" s="375"/>
      <c r="AO125" s="374" t="s">
        <v>823</v>
      </c>
      <c r="AP125" s="375"/>
      <c r="AQ125" s="375"/>
      <c r="AR125" s="375"/>
      <c r="AS125" s="375"/>
      <c r="AT125" s="375"/>
      <c r="AU125" s="375"/>
      <c r="AV125" s="376"/>
    </row>
    <row r="126" spans="1:48" ht="57.6" hidden="1">
      <c r="A126" s="137" t="s">
        <v>828</v>
      </c>
      <c r="B126" s="36" t="s">
        <v>829</v>
      </c>
      <c r="C126" s="36"/>
      <c r="D126" s="35" t="s">
        <v>277</v>
      </c>
      <c r="E126" s="35"/>
      <c r="F126" s="20"/>
      <c r="G126" s="20"/>
      <c r="H126" s="432">
        <v>2021</v>
      </c>
      <c r="I126" s="36"/>
      <c r="J126" s="94"/>
      <c r="K126" s="94"/>
      <c r="L126" s="94"/>
      <c r="M126" s="94"/>
      <c r="N126" s="36" t="s">
        <v>56</v>
      </c>
      <c r="O126" s="94" t="s">
        <v>351</v>
      </c>
      <c r="P126" s="94" t="s">
        <v>280</v>
      </c>
      <c r="Q126" s="94"/>
      <c r="R126" s="94"/>
      <c r="S126" s="36" t="s">
        <v>826</v>
      </c>
      <c r="T126" s="94"/>
      <c r="U126" s="94" t="s">
        <v>823</v>
      </c>
      <c r="V126" s="36"/>
      <c r="W126" s="36"/>
      <c r="X126" s="36" t="s">
        <v>830</v>
      </c>
      <c r="Y126" s="94"/>
      <c r="Z126" s="94" t="s">
        <v>823</v>
      </c>
      <c r="AA126" s="36"/>
      <c r="AB126" s="36"/>
      <c r="AC126" s="36" t="s">
        <v>827</v>
      </c>
      <c r="AD126" s="36"/>
      <c r="AE126" s="94" t="s">
        <v>823</v>
      </c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81"/>
    </row>
    <row r="127" spans="1:48" ht="43.2" hidden="1">
      <c r="A127" s="394" t="s">
        <v>831</v>
      </c>
      <c r="B127" s="375" t="s">
        <v>832</v>
      </c>
      <c r="C127" s="375"/>
      <c r="D127" s="395" t="s">
        <v>277</v>
      </c>
      <c r="E127" s="395"/>
      <c r="F127" s="372"/>
      <c r="G127" s="372"/>
      <c r="H127" s="431">
        <v>2021</v>
      </c>
      <c r="I127" s="375"/>
      <c r="J127" s="374"/>
      <c r="K127" s="374"/>
      <c r="L127" s="374"/>
      <c r="M127" s="374"/>
      <c r="N127" s="375" t="s">
        <v>833</v>
      </c>
      <c r="O127" s="374" t="s">
        <v>449</v>
      </c>
      <c r="P127" s="374" t="s">
        <v>280</v>
      </c>
      <c r="Q127" s="374"/>
      <c r="R127" s="374"/>
      <c r="S127" s="375" t="s">
        <v>834</v>
      </c>
      <c r="T127" s="374"/>
      <c r="U127" s="375" t="s">
        <v>451</v>
      </c>
      <c r="V127" s="375"/>
      <c r="W127" s="375"/>
      <c r="X127" s="375" t="s">
        <v>835</v>
      </c>
      <c r="Y127" s="374"/>
      <c r="Z127" s="375" t="s">
        <v>451</v>
      </c>
      <c r="AA127" s="375"/>
      <c r="AB127" s="375"/>
      <c r="AC127" s="375" t="s">
        <v>836</v>
      </c>
      <c r="AD127" s="374"/>
      <c r="AE127" s="375" t="s">
        <v>451</v>
      </c>
      <c r="AF127" s="375"/>
      <c r="AG127" s="375"/>
      <c r="AH127" s="375" t="s">
        <v>837</v>
      </c>
      <c r="AI127" s="375"/>
      <c r="AJ127" s="375" t="s">
        <v>451</v>
      </c>
      <c r="AK127" s="375"/>
      <c r="AL127" s="375"/>
      <c r="AM127" s="375"/>
      <c r="AN127" s="375"/>
      <c r="AO127" s="375"/>
      <c r="AP127" s="375"/>
      <c r="AQ127" s="375"/>
      <c r="AR127" s="375"/>
      <c r="AS127" s="375"/>
      <c r="AT127" s="375"/>
      <c r="AU127" s="375"/>
      <c r="AV127" s="376"/>
    </row>
    <row r="128" spans="1:48" ht="43.2" hidden="1">
      <c r="A128" s="137" t="s">
        <v>838</v>
      </c>
      <c r="B128" s="36" t="s">
        <v>839</v>
      </c>
      <c r="C128" s="36"/>
      <c r="D128" s="35" t="s">
        <v>286</v>
      </c>
      <c r="E128" s="35"/>
      <c r="F128" s="20"/>
      <c r="G128" s="20"/>
      <c r="H128" s="432">
        <v>2021</v>
      </c>
      <c r="I128" s="36"/>
      <c r="J128" s="94"/>
      <c r="K128" s="94"/>
      <c r="L128" s="94"/>
      <c r="M128" s="94"/>
      <c r="N128" s="36" t="s">
        <v>833</v>
      </c>
      <c r="O128" s="94" t="s">
        <v>449</v>
      </c>
      <c r="P128" s="94" t="s">
        <v>280</v>
      </c>
      <c r="Q128" s="94"/>
      <c r="R128" s="94"/>
      <c r="S128" s="36" t="s">
        <v>840</v>
      </c>
      <c r="T128" s="94"/>
      <c r="U128" s="36" t="s">
        <v>451</v>
      </c>
      <c r="V128" s="36"/>
      <c r="W128" s="36"/>
      <c r="X128" s="36" t="s">
        <v>841</v>
      </c>
      <c r="Y128" s="94"/>
      <c r="Z128" s="36" t="s">
        <v>451</v>
      </c>
      <c r="AA128" s="36"/>
      <c r="AB128" s="36"/>
      <c r="AC128" s="36" t="s">
        <v>836</v>
      </c>
      <c r="AD128" s="94"/>
      <c r="AE128" s="36" t="s">
        <v>451</v>
      </c>
      <c r="AF128" s="36"/>
      <c r="AG128" s="36"/>
      <c r="AH128" s="36" t="s">
        <v>837</v>
      </c>
      <c r="AI128" s="36"/>
      <c r="AJ128" s="36" t="s">
        <v>451</v>
      </c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81"/>
    </row>
    <row r="129" spans="1:48" ht="43.2" hidden="1">
      <c r="A129" s="394" t="s">
        <v>842</v>
      </c>
      <c r="B129" s="375" t="s">
        <v>843</v>
      </c>
      <c r="C129" s="375"/>
      <c r="D129" s="395" t="s">
        <v>286</v>
      </c>
      <c r="E129" s="395"/>
      <c r="F129" s="372"/>
      <c r="G129" s="372"/>
      <c r="H129" s="431">
        <v>2021</v>
      </c>
      <c r="I129" s="375" t="s">
        <v>837</v>
      </c>
      <c r="J129" s="374"/>
      <c r="K129" s="374"/>
      <c r="L129" s="374"/>
      <c r="M129" s="374" t="s">
        <v>451</v>
      </c>
      <c r="N129" s="375" t="s">
        <v>833</v>
      </c>
      <c r="O129" s="374" t="s">
        <v>449</v>
      </c>
      <c r="P129" s="374" t="s">
        <v>280</v>
      </c>
      <c r="Q129" s="374"/>
      <c r="R129" s="374"/>
      <c r="S129" s="375" t="s">
        <v>841</v>
      </c>
      <c r="T129" s="374"/>
      <c r="U129" s="375" t="s">
        <v>451</v>
      </c>
      <c r="V129" s="375"/>
      <c r="W129" s="375"/>
      <c r="X129" s="375" t="s">
        <v>836</v>
      </c>
      <c r="Y129" s="374"/>
      <c r="Z129" s="375" t="s">
        <v>451</v>
      </c>
      <c r="AA129" s="375"/>
      <c r="AB129" s="375"/>
      <c r="AC129" s="375" t="s">
        <v>837</v>
      </c>
      <c r="AD129" s="375"/>
      <c r="AE129" s="375" t="s">
        <v>451</v>
      </c>
      <c r="AF129" s="375"/>
      <c r="AG129" s="375"/>
      <c r="AH129" s="375"/>
      <c r="AI129" s="375"/>
      <c r="AJ129" s="375"/>
      <c r="AK129" s="375"/>
      <c r="AL129" s="375"/>
      <c r="AM129" s="375"/>
      <c r="AN129" s="375"/>
      <c r="AO129" s="375"/>
      <c r="AP129" s="375"/>
      <c r="AQ129" s="375"/>
      <c r="AR129" s="375"/>
      <c r="AS129" s="375"/>
      <c r="AT129" s="375"/>
      <c r="AU129" s="375"/>
      <c r="AV129" s="376"/>
    </row>
    <row r="130" spans="1:48" ht="43.2" hidden="1">
      <c r="A130" s="137" t="s">
        <v>844</v>
      </c>
      <c r="B130" s="36" t="s">
        <v>845</v>
      </c>
      <c r="C130" s="36"/>
      <c r="D130" s="35" t="s">
        <v>416</v>
      </c>
      <c r="E130" s="35" t="s">
        <v>769</v>
      </c>
      <c r="F130" s="20"/>
      <c r="G130" s="20"/>
      <c r="H130" s="432">
        <v>2021</v>
      </c>
      <c r="I130" s="36"/>
      <c r="J130" s="94"/>
      <c r="K130" s="94"/>
      <c r="L130" s="94"/>
      <c r="M130" s="94"/>
      <c r="N130" s="36" t="s">
        <v>833</v>
      </c>
      <c r="O130" s="94" t="s">
        <v>449</v>
      </c>
      <c r="P130" s="94" t="s">
        <v>280</v>
      </c>
      <c r="Q130" s="94"/>
      <c r="R130" s="94"/>
      <c r="S130" s="36" t="s">
        <v>836</v>
      </c>
      <c r="T130" s="94"/>
      <c r="U130" s="36" t="s">
        <v>451</v>
      </c>
      <c r="V130" s="36"/>
      <c r="W130" s="36"/>
      <c r="X130" s="36" t="s">
        <v>837</v>
      </c>
      <c r="Y130" s="36"/>
      <c r="Z130" s="36" t="s">
        <v>451</v>
      </c>
      <c r="AA130" s="36"/>
      <c r="AB130" s="36"/>
      <c r="AC130" s="36"/>
      <c r="AD130" s="94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81"/>
    </row>
    <row r="131" spans="1:48" ht="43.2" hidden="1">
      <c r="A131" s="394" t="s">
        <v>846</v>
      </c>
      <c r="B131" s="375" t="s">
        <v>847</v>
      </c>
      <c r="C131" s="375"/>
      <c r="D131" s="395" t="s">
        <v>277</v>
      </c>
      <c r="E131" s="395"/>
      <c r="F131" s="372"/>
      <c r="G131" s="372"/>
      <c r="H131" s="431">
        <v>2021</v>
      </c>
      <c r="I131" s="375"/>
      <c r="J131" s="374"/>
      <c r="K131" s="374"/>
      <c r="L131" s="374"/>
      <c r="M131" s="374"/>
      <c r="N131" s="375" t="s">
        <v>836</v>
      </c>
      <c r="O131" s="374"/>
      <c r="P131" s="375" t="s">
        <v>451</v>
      </c>
      <c r="Q131" s="374"/>
      <c r="R131" s="374"/>
      <c r="S131" s="375" t="s">
        <v>848</v>
      </c>
      <c r="T131" s="374"/>
      <c r="U131" s="375" t="s">
        <v>451</v>
      </c>
      <c r="V131" s="375"/>
      <c r="W131" s="375"/>
      <c r="X131" s="375" t="s">
        <v>833</v>
      </c>
      <c r="Y131" s="374" t="s">
        <v>449</v>
      </c>
      <c r="Z131" s="374" t="s">
        <v>280</v>
      </c>
      <c r="AA131" s="375"/>
      <c r="AB131" s="375"/>
      <c r="AC131" s="375" t="s">
        <v>849</v>
      </c>
      <c r="AD131" s="374"/>
      <c r="AE131" s="375" t="s">
        <v>451</v>
      </c>
      <c r="AF131" s="375"/>
      <c r="AG131" s="375"/>
      <c r="AH131" s="375" t="s">
        <v>837</v>
      </c>
      <c r="AI131" s="375"/>
      <c r="AJ131" s="375" t="s">
        <v>451</v>
      </c>
      <c r="AK131" s="375"/>
      <c r="AL131" s="375"/>
      <c r="AM131" s="375"/>
      <c r="AN131" s="375"/>
      <c r="AO131" s="375"/>
      <c r="AP131" s="375"/>
      <c r="AQ131" s="375"/>
      <c r="AR131" s="375"/>
      <c r="AS131" s="375"/>
      <c r="AT131" s="375"/>
      <c r="AU131" s="375"/>
      <c r="AV131" s="376"/>
    </row>
    <row r="132" spans="1:48" ht="43.2" hidden="1">
      <c r="A132" s="137" t="s">
        <v>850</v>
      </c>
      <c r="B132" s="36" t="s">
        <v>851</v>
      </c>
      <c r="C132" s="36"/>
      <c r="D132" s="35" t="s">
        <v>286</v>
      </c>
      <c r="E132" s="35"/>
      <c r="F132" s="20"/>
      <c r="G132" s="20"/>
      <c r="H132" s="432">
        <v>2021</v>
      </c>
      <c r="I132" s="36"/>
      <c r="J132" s="94"/>
      <c r="K132" s="94"/>
      <c r="L132" s="94"/>
      <c r="M132" s="94"/>
      <c r="N132" s="36" t="s">
        <v>833</v>
      </c>
      <c r="O132" s="94" t="s">
        <v>449</v>
      </c>
      <c r="P132" s="94" t="s">
        <v>280</v>
      </c>
      <c r="Q132" s="94"/>
      <c r="R132" s="94"/>
      <c r="S132" s="36" t="s">
        <v>836</v>
      </c>
      <c r="T132" s="94"/>
      <c r="U132" s="36" t="s">
        <v>451</v>
      </c>
      <c r="V132" s="36"/>
      <c r="W132" s="36"/>
      <c r="X132" s="36" t="s">
        <v>837</v>
      </c>
      <c r="Y132" s="36"/>
      <c r="Z132" s="36" t="s">
        <v>451</v>
      </c>
      <c r="AA132" s="36"/>
      <c r="AB132" s="36"/>
      <c r="AC132" s="36"/>
      <c r="AD132" s="94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81"/>
    </row>
    <row r="133" spans="1:48" ht="43.2" hidden="1">
      <c r="A133" s="394" t="s">
        <v>852</v>
      </c>
      <c r="B133" s="375" t="s">
        <v>853</v>
      </c>
      <c r="C133" s="375"/>
      <c r="D133" s="395" t="s">
        <v>277</v>
      </c>
      <c r="E133" s="395"/>
      <c r="F133" s="372"/>
      <c r="G133" s="372"/>
      <c r="H133" s="431">
        <v>2021</v>
      </c>
      <c r="I133" s="375" t="s">
        <v>833</v>
      </c>
      <c r="J133" s="374"/>
      <c r="K133" s="374"/>
      <c r="L133" s="374" t="s">
        <v>449</v>
      </c>
      <c r="M133" s="374" t="s">
        <v>280</v>
      </c>
      <c r="N133" s="375" t="s">
        <v>833</v>
      </c>
      <c r="O133" s="374" t="s">
        <v>449</v>
      </c>
      <c r="P133" s="374" t="s">
        <v>280</v>
      </c>
      <c r="Q133" s="374"/>
      <c r="R133" s="374"/>
      <c r="S133" s="375" t="s">
        <v>854</v>
      </c>
      <c r="T133" s="374"/>
      <c r="U133" s="375" t="s">
        <v>565</v>
      </c>
      <c r="V133" s="375"/>
      <c r="W133" s="375"/>
      <c r="X133" s="375" t="s">
        <v>855</v>
      </c>
      <c r="Y133" s="374"/>
      <c r="Z133" s="375" t="s">
        <v>565</v>
      </c>
      <c r="AA133" s="375"/>
      <c r="AB133" s="375"/>
      <c r="AC133" s="375"/>
      <c r="AD133" s="374"/>
      <c r="AE133" s="375"/>
      <c r="AF133" s="375"/>
      <c r="AG133" s="375"/>
      <c r="AH133" s="375"/>
      <c r="AI133" s="375"/>
      <c r="AJ133" s="375"/>
      <c r="AK133" s="375"/>
      <c r="AL133" s="375"/>
      <c r="AM133" s="375"/>
      <c r="AN133" s="375"/>
      <c r="AO133" s="375"/>
      <c r="AP133" s="375"/>
      <c r="AQ133" s="375"/>
      <c r="AR133" s="375"/>
      <c r="AS133" s="375"/>
      <c r="AT133" s="375"/>
      <c r="AU133" s="375"/>
      <c r="AV133" s="376"/>
    </row>
    <row r="134" spans="1:48" ht="28.8" hidden="1">
      <c r="A134" s="137" t="s">
        <v>856</v>
      </c>
      <c r="B134" s="36" t="s">
        <v>857</v>
      </c>
      <c r="C134" s="36"/>
      <c r="D134" s="35" t="s">
        <v>277</v>
      </c>
      <c r="E134" s="35" t="s">
        <v>858</v>
      </c>
      <c r="F134" s="20"/>
      <c r="G134" s="20"/>
      <c r="H134" s="432">
        <v>2021</v>
      </c>
      <c r="I134" s="36" t="s">
        <v>421</v>
      </c>
      <c r="J134" s="94"/>
      <c r="K134" s="94"/>
      <c r="L134" s="94"/>
      <c r="M134" s="94" t="s">
        <v>420</v>
      </c>
      <c r="N134" s="36" t="s">
        <v>178</v>
      </c>
      <c r="O134" s="94" t="s">
        <v>353</v>
      </c>
      <c r="P134" s="94" t="s">
        <v>280</v>
      </c>
      <c r="Q134" s="94"/>
      <c r="R134" s="94"/>
      <c r="S134" s="36" t="s">
        <v>421</v>
      </c>
      <c r="T134" s="94"/>
      <c r="U134" s="94" t="s">
        <v>420</v>
      </c>
      <c r="V134" s="36"/>
      <c r="W134" s="36"/>
      <c r="X134" s="36"/>
      <c r="Y134" s="94"/>
      <c r="Z134" s="36"/>
      <c r="AA134" s="36"/>
      <c r="AB134" s="36"/>
      <c r="AC134" s="36"/>
      <c r="AD134" s="94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81"/>
    </row>
    <row r="135" spans="1:48" ht="63.75" hidden="1" customHeight="1">
      <c r="A135" s="394" t="s">
        <v>859</v>
      </c>
      <c r="B135" s="375" t="s">
        <v>860</v>
      </c>
      <c r="C135" s="375"/>
      <c r="D135" s="395" t="s">
        <v>277</v>
      </c>
      <c r="E135" s="395"/>
      <c r="F135" s="372"/>
      <c r="G135" s="372"/>
      <c r="H135" s="431">
        <v>2021</v>
      </c>
      <c r="I135" s="375"/>
      <c r="J135" s="374"/>
      <c r="K135" s="374"/>
      <c r="L135" s="374"/>
      <c r="M135" s="374"/>
      <c r="N135" s="375" t="s">
        <v>861</v>
      </c>
      <c r="O135" s="374"/>
      <c r="P135" s="374" t="s">
        <v>744</v>
      </c>
      <c r="Q135" s="374"/>
      <c r="R135" s="374"/>
      <c r="S135" s="375" t="s">
        <v>862</v>
      </c>
      <c r="T135" s="374"/>
      <c r="U135" s="374" t="s">
        <v>744</v>
      </c>
      <c r="V135" s="375"/>
      <c r="W135" s="375"/>
      <c r="X135" s="375" t="s">
        <v>33</v>
      </c>
      <c r="Y135" s="374" t="s">
        <v>353</v>
      </c>
      <c r="Z135" s="374" t="s">
        <v>280</v>
      </c>
      <c r="AA135" s="375"/>
      <c r="AB135" s="375"/>
      <c r="AC135" s="375" t="s">
        <v>863</v>
      </c>
      <c r="AD135" s="374"/>
      <c r="AE135" s="374" t="s">
        <v>744</v>
      </c>
      <c r="AF135" s="375"/>
      <c r="AG135" s="375"/>
      <c r="AH135" s="375"/>
      <c r="AI135" s="375"/>
      <c r="AJ135" s="375"/>
      <c r="AK135" s="375"/>
      <c r="AL135" s="375"/>
      <c r="AM135" s="375"/>
      <c r="AN135" s="375"/>
      <c r="AO135" s="375"/>
      <c r="AP135" s="375"/>
      <c r="AQ135" s="375"/>
      <c r="AR135" s="375"/>
      <c r="AS135" s="375"/>
      <c r="AT135" s="375"/>
      <c r="AU135" s="375"/>
      <c r="AV135" s="376"/>
    </row>
    <row r="136" spans="1:48" ht="43.2" hidden="1">
      <c r="A136" s="137" t="s">
        <v>864</v>
      </c>
      <c r="B136" s="36" t="s">
        <v>860</v>
      </c>
      <c r="C136" s="36"/>
      <c r="D136" s="35" t="s">
        <v>277</v>
      </c>
      <c r="E136" s="35"/>
      <c r="F136" s="20"/>
      <c r="G136" s="20"/>
      <c r="H136" s="432">
        <v>2021</v>
      </c>
      <c r="I136" s="36"/>
      <c r="J136" s="94"/>
      <c r="K136" s="94"/>
      <c r="L136" s="94"/>
      <c r="M136" s="94"/>
      <c r="N136" s="36" t="s">
        <v>33</v>
      </c>
      <c r="O136" s="94" t="s">
        <v>353</v>
      </c>
      <c r="P136" s="94" t="s">
        <v>280</v>
      </c>
      <c r="Q136" s="94"/>
      <c r="R136" s="94"/>
      <c r="S136" s="36" t="s">
        <v>865</v>
      </c>
      <c r="T136" s="94"/>
      <c r="U136" s="94" t="s">
        <v>744</v>
      </c>
      <c r="V136" s="36"/>
      <c r="W136" s="36"/>
      <c r="X136" s="36" t="s">
        <v>866</v>
      </c>
      <c r="Y136" s="94"/>
      <c r="Z136" s="94" t="s">
        <v>744</v>
      </c>
      <c r="AA136" s="36"/>
      <c r="AB136" s="36"/>
      <c r="AC136" s="36"/>
      <c r="AD136" s="94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81"/>
    </row>
    <row r="137" spans="1:48" ht="43.2" hidden="1">
      <c r="A137" s="394" t="s">
        <v>867</v>
      </c>
      <c r="B137" s="375" t="s">
        <v>868</v>
      </c>
      <c r="C137" s="375"/>
      <c r="D137" s="395" t="s">
        <v>277</v>
      </c>
      <c r="E137" s="395"/>
      <c r="F137" s="372"/>
      <c r="G137" s="372"/>
      <c r="H137" s="431">
        <v>2021</v>
      </c>
      <c r="I137" s="375"/>
      <c r="J137" s="374"/>
      <c r="K137" s="374"/>
      <c r="L137" s="374"/>
      <c r="M137" s="374"/>
      <c r="N137" s="375" t="s">
        <v>114</v>
      </c>
      <c r="O137" s="374" t="s">
        <v>449</v>
      </c>
      <c r="P137" s="374" t="s">
        <v>280</v>
      </c>
      <c r="Q137" s="374"/>
      <c r="R137" s="374"/>
      <c r="S137" s="375" t="s">
        <v>869</v>
      </c>
      <c r="T137" s="374"/>
      <c r="U137" s="374" t="s">
        <v>420</v>
      </c>
      <c r="V137" s="375"/>
      <c r="W137" s="375"/>
      <c r="X137" s="375"/>
      <c r="Y137" s="374"/>
      <c r="Z137" s="375"/>
      <c r="AA137" s="375"/>
      <c r="AB137" s="375"/>
      <c r="AC137" s="375"/>
      <c r="AD137" s="374"/>
      <c r="AE137" s="375"/>
      <c r="AF137" s="375"/>
      <c r="AG137" s="375"/>
      <c r="AH137" s="375"/>
      <c r="AI137" s="375"/>
      <c r="AJ137" s="375"/>
      <c r="AK137" s="375"/>
      <c r="AL137" s="375"/>
      <c r="AM137" s="375"/>
      <c r="AN137" s="375"/>
      <c r="AO137" s="375"/>
      <c r="AP137" s="375"/>
      <c r="AQ137" s="375"/>
      <c r="AR137" s="375"/>
      <c r="AS137" s="375"/>
      <c r="AT137" s="375"/>
      <c r="AU137" s="375"/>
      <c r="AV137" s="376"/>
    </row>
    <row r="138" spans="1:48" ht="28.8" hidden="1">
      <c r="A138" s="137" t="s">
        <v>870</v>
      </c>
      <c r="B138" s="36" t="s">
        <v>871</v>
      </c>
      <c r="C138" s="36"/>
      <c r="D138" s="35" t="s">
        <v>277</v>
      </c>
      <c r="E138" s="35"/>
      <c r="F138" s="20"/>
      <c r="G138" s="20"/>
      <c r="H138" s="432">
        <v>2021</v>
      </c>
      <c r="I138" s="36" t="s">
        <v>421</v>
      </c>
      <c r="J138" s="94"/>
      <c r="K138" s="94"/>
      <c r="L138" s="94"/>
      <c r="M138" s="94" t="s">
        <v>420</v>
      </c>
      <c r="N138" s="36" t="s">
        <v>872</v>
      </c>
      <c r="O138" s="94"/>
      <c r="P138" s="94" t="s">
        <v>420</v>
      </c>
      <c r="Q138" s="94"/>
      <c r="R138" s="94"/>
      <c r="S138" s="36" t="s">
        <v>421</v>
      </c>
      <c r="T138" s="94"/>
      <c r="U138" s="94" t="s">
        <v>420</v>
      </c>
      <c r="V138" s="36"/>
      <c r="W138" s="36"/>
      <c r="X138" s="36" t="s">
        <v>873</v>
      </c>
      <c r="Y138" s="94" t="s">
        <v>353</v>
      </c>
      <c r="Z138" s="94" t="s">
        <v>280</v>
      </c>
      <c r="AA138" s="36"/>
      <c r="AB138" s="36"/>
      <c r="AC138" s="36"/>
      <c r="AD138" s="94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81"/>
    </row>
    <row r="139" spans="1:48" ht="28.8" hidden="1">
      <c r="A139" s="394" t="s">
        <v>874</v>
      </c>
      <c r="B139" s="375" t="s">
        <v>875</v>
      </c>
      <c r="C139" s="375"/>
      <c r="D139" s="395" t="s">
        <v>416</v>
      </c>
      <c r="E139" s="395"/>
      <c r="F139" s="372"/>
      <c r="G139" s="372"/>
      <c r="H139" s="431">
        <v>2021</v>
      </c>
      <c r="I139" s="375" t="s">
        <v>876</v>
      </c>
      <c r="J139" s="374"/>
      <c r="K139" s="374"/>
      <c r="L139" s="374"/>
      <c r="M139" s="375" t="s">
        <v>565</v>
      </c>
      <c r="N139" s="375" t="s">
        <v>876</v>
      </c>
      <c r="O139" s="374"/>
      <c r="P139" s="375" t="s">
        <v>565</v>
      </c>
      <c r="Q139" s="374"/>
      <c r="R139" s="374"/>
      <c r="S139" s="375" t="s">
        <v>139</v>
      </c>
      <c r="T139" s="374" t="s">
        <v>686</v>
      </c>
      <c r="U139" s="374" t="s">
        <v>280</v>
      </c>
      <c r="V139" s="375"/>
      <c r="W139" s="375"/>
      <c r="X139" s="375" t="s">
        <v>877</v>
      </c>
      <c r="Y139" s="374"/>
      <c r="Z139" s="375" t="s">
        <v>565</v>
      </c>
      <c r="AA139" s="375"/>
      <c r="AB139" s="375"/>
      <c r="AC139" s="375"/>
      <c r="AD139" s="374"/>
      <c r="AE139" s="375"/>
      <c r="AF139" s="375"/>
      <c r="AG139" s="375"/>
      <c r="AH139" s="375"/>
      <c r="AI139" s="375"/>
      <c r="AJ139" s="375"/>
      <c r="AK139" s="375"/>
      <c r="AL139" s="375"/>
      <c r="AM139" s="375"/>
      <c r="AN139" s="375"/>
      <c r="AO139" s="375"/>
      <c r="AP139" s="375"/>
      <c r="AQ139" s="375"/>
      <c r="AR139" s="375"/>
      <c r="AS139" s="375"/>
      <c r="AT139" s="375"/>
      <c r="AU139" s="375"/>
      <c r="AV139" s="376"/>
    </row>
    <row r="140" spans="1:48" ht="43.2" hidden="1">
      <c r="A140" s="137" t="s">
        <v>878</v>
      </c>
      <c r="B140" s="36" t="s">
        <v>879</v>
      </c>
      <c r="C140" s="36"/>
      <c r="D140" s="35" t="s">
        <v>277</v>
      </c>
      <c r="E140" s="35"/>
      <c r="F140" s="20"/>
      <c r="G140" s="20"/>
      <c r="H140" s="432">
        <v>2021</v>
      </c>
      <c r="I140" s="36" t="s">
        <v>139</v>
      </c>
      <c r="J140" s="94"/>
      <c r="K140" s="94"/>
      <c r="L140" s="94" t="s">
        <v>686</v>
      </c>
      <c r="M140" s="94" t="s">
        <v>280</v>
      </c>
      <c r="N140" s="36" t="s">
        <v>139</v>
      </c>
      <c r="O140" s="94" t="s">
        <v>686</v>
      </c>
      <c r="P140" s="94" t="s">
        <v>280</v>
      </c>
      <c r="Q140" s="94"/>
      <c r="R140" s="94"/>
      <c r="S140" s="36" t="s">
        <v>880</v>
      </c>
      <c r="T140" s="94"/>
      <c r="U140" s="36" t="s">
        <v>565</v>
      </c>
      <c r="V140" s="36"/>
      <c r="W140" s="36"/>
      <c r="X140" s="36" t="s">
        <v>881</v>
      </c>
      <c r="Y140" s="94"/>
      <c r="Z140" s="36" t="s">
        <v>565</v>
      </c>
      <c r="AA140" s="36"/>
      <c r="AB140" s="36"/>
      <c r="AC140" s="36"/>
      <c r="AD140" s="94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81"/>
    </row>
    <row r="141" spans="1:48" ht="28.8" hidden="1">
      <c r="A141" s="394" t="s">
        <v>882</v>
      </c>
      <c r="B141" s="375" t="s">
        <v>883</v>
      </c>
      <c r="C141" s="375"/>
      <c r="D141" s="395" t="s">
        <v>286</v>
      </c>
      <c r="E141" s="395" t="s">
        <v>858</v>
      </c>
      <c r="F141" s="372"/>
      <c r="G141" s="372"/>
      <c r="H141" s="431">
        <v>2021</v>
      </c>
      <c r="I141" s="375" t="s">
        <v>37</v>
      </c>
      <c r="J141" s="374"/>
      <c r="K141" s="374"/>
      <c r="L141" s="374" t="s">
        <v>353</v>
      </c>
      <c r="M141" s="374" t="s">
        <v>280</v>
      </c>
      <c r="N141" s="375" t="s">
        <v>37</v>
      </c>
      <c r="O141" s="374" t="s">
        <v>353</v>
      </c>
      <c r="P141" s="374" t="s">
        <v>280</v>
      </c>
      <c r="Q141" s="374"/>
      <c r="R141" s="374"/>
      <c r="S141" s="375" t="s">
        <v>884</v>
      </c>
      <c r="T141" s="374"/>
      <c r="U141" s="375" t="s">
        <v>885</v>
      </c>
      <c r="V141" s="375"/>
      <c r="W141" s="375"/>
      <c r="X141" s="375" t="s">
        <v>886</v>
      </c>
      <c r="Y141" s="374"/>
      <c r="Z141" s="375" t="s">
        <v>885</v>
      </c>
      <c r="AA141" s="375"/>
      <c r="AB141" s="375"/>
      <c r="AC141" s="375"/>
      <c r="AD141" s="374"/>
      <c r="AE141" s="375"/>
      <c r="AF141" s="375"/>
      <c r="AG141" s="375"/>
      <c r="AH141" s="375"/>
      <c r="AI141" s="375"/>
      <c r="AJ141" s="375"/>
      <c r="AK141" s="375"/>
      <c r="AL141" s="375"/>
      <c r="AM141" s="375"/>
      <c r="AN141" s="375"/>
      <c r="AO141" s="375"/>
      <c r="AP141" s="375"/>
      <c r="AQ141" s="375"/>
      <c r="AR141" s="375"/>
      <c r="AS141" s="375"/>
      <c r="AT141" s="375"/>
      <c r="AU141" s="375"/>
      <c r="AV141" s="376"/>
    </row>
    <row r="142" spans="1:48" ht="28.8" hidden="1">
      <c r="A142" s="137" t="s">
        <v>887</v>
      </c>
      <c r="B142" s="36" t="s">
        <v>888</v>
      </c>
      <c r="C142" s="36"/>
      <c r="D142" s="35" t="s">
        <v>277</v>
      </c>
      <c r="E142" s="35"/>
      <c r="F142" s="20"/>
      <c r="G142" s="20"/>
      <c r="H142" s="432">
        <v>2021</v>
      </c>
      <c r="I142" s="36" t="s">
        <v>889</v>
      </c>
      <c r="J142" s="94"/>
      <c r="K142" s="94"/>
      <c r="L142" s="94"/>
      <c r="M142" s="94" t="s">
        <v>420</v>
      </c>
      <c r="N142" s="36" t="s">
        <v>889</v>
      </c>
      <c r="O142" s="94"/>
      <c r="P142" s="94" t="s">
        <v>420</v>
      </c>
      <c r="Q142" s="94"/>
      <c r="R142" s="94"/>
      <c r="S142" s="36" t="s">
        <v>890</v>
      </c>
      <c r="T142" s="94"/>
      <c r="U142" s="94" t="s">
        <v>420</v>
      </c>
      <c r="V142" s="36"/>
      <c r="W142" s="36"/>
      <c r="X142" s="36" t="s">
        <v>41</v>
      </c>
      <c r="Y142" s="94" t="s">
        <v>353</v>
      </c>
      <c r="Z142" s="94" t="s">
        <v>280</v>
      </c>
      <c r="AA142" s="36"/>
      <c r="AB142" s="36"/>
      <c r="AC142" s="36"/>
      <c r="AD142" s="94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81"/>
    </row>
    <row r="143" spans="1:48" ht="43.2" hidden="1">
      <c r="A143" s="394" t="s">
        <v>891</v>
      </c>
      <c r="B143" s="375" t="s">
        <v>892</v>
      </c>
      <c r="C143" s="375"/>
      <c r="D143" s="395" t="s">
        <v>277</v>
      </c>
      <c r="E143" s="395"/>
      <c r="F143" s="372"/>
      <c r="G143" s="372"/>
      <c r="H143" s="431">
        <v>2021</v>
      </c>
      <c r="I143" s="375"/>
      <c r="J143" s="374"/>
      <c r="K143" s="374"/>
      <c r="L143" s="374"/>
      <c r="M143" s="374"/>
      <c r="N143" s="375" t="s">
        <v>893</v>
      </c>
      <c r="O143" s="374"/>
      <c r="P143" s="374"/>
      <c r="Q143" s="374"/>
      <c r="R143" s="374"/>
      <c r="S143" s="375" t="s">
        <v>41</v>
      </c>
      <c r="T143" s="374" t="s">
        <v>353</v>
      </c>
      <c r="U143" s="374" t="s">
        <v>280</v>
      </c>
      <c r="V143" s="375"/>
      <c r="W143" s="375"/>
      <c r="X143" s="375" t="s">
        <v>894</v>
      </c>
      <c r="Y143" s="374"/>
      <c r="Z143" s="375"/>
      <c r="AA143" s="375"/>
      <c r="AB143" s="375"/>
      <c r="AC143" s="375" t="s">
        <v>895</v>
      </c>
      <c r="AD143" s="374"/>
      <c r="AE143" s="375"/>
      <c r="AF143" s="375"/>
      <c r="AG143" s="375"/>
      <c r="AH143" s="375" t="s">
        <v>896</v>
      </c>
      <c r="AI143" s="375"/>
      <c r="AJ143" s="375"/>
      <c r="AK143" s="375"/>
      <c r="AL143" s="375"/>
      <c r="AM143" s="375"/>
      <c r="AN143" s="375"/>
      <c r="AO143" s="375"/>
      <c r="AP143" s="375"/>
      <c r="AQ143" s="375"/>
      <c r="AR143" s="375"/>
      <c r="AS143" s="375"/>
      <c r="AT143" s="375"/>
      <c r="AU143" s="375"/>
      <c r="AV143" s="376"/>
    </row>
    <row r="144" spans="1:48" ht="43.2" hidden="1">
      <c r="A144" s="137" t="s">
        <v>897</v>
      </c>
      <c r="B144" s="36" t="s">
        <v>892</v>
      </c>
      <c r="C144" s="36"/>
      <c r="D144" s="35" t="s">
        <v>277</v>
      </c>
      <c r="E144" s="35"/>
      <c r="F144" s="20"/>
      <c r="G144" s="20"/>
      <c r="H144" s="432">
        <v>2021</v>
      </c>
      <c r="I144" s="36"/>
      <c r="J144" s="94"/>
      <c r="K144" s="94"/>
      <c r="L144" s="94"/>
      <c r="M144" s="94"/>
      <c r="N144" s="36" t="s">
        <v>898</v>
      </c>
      <c r="O144" s="94"/>
      <c r="P144" s="94"/>
      <c r="Q144" s="94"/>
      <c r="R144" s="94"/>
      <c r="S144" s="36" t="s">
        <v>899</v>
      </c>
      <c r="T144" s="94"/>
      <c r="U144" s="36"/>
      <c r="V144" s="36"/>
      <c r="W144" s="36"/>
      <c r="X144" s="36" t="s">
        <v>900</v>
      </c>
      <c r="Y144" s="94"/>
      <c r="Z144" s="36"/>
      <c r="AA144" s="36"/>
      <c r="AB144" s="36"/>
      <c r="AC144" s="36" t="s">
        <v>41</v>
      </c>
      <c r="AD144" s="94" t="s">
        <v>353</v>
      </c>
      <c r="AE144" s="94" t="s">
        <v>280</v>
      </c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81"/>
    </row>
    <row r="145" spans="1:48" ht="43.2" hidden="1">
      <c r="A145" s="394" t="s">
        <v>901</v>
      </c>
      <c r="B145" s="375" t="s">
        <v>892</v>
      </c>
      <c r="C145" s="375"/>
      <c r="D145" s="395" t="s">
        <v>277</v>
      </c>
      <c r="E145" s="395"/>
      <c r="F145" s="372"/>
      <c r="G145" s="372"/>
      <c r="H145" s="431">
        <v>2021</v>
      </c>
      <c r="I145" s="375"/>
      <c r="J145" s="374"/>
      <c r="K145" s="374"/>
      <c r="L145" s="374"/>
      <c r="M145" s="374"/>
      <c r="N145" s="375" t="s">
        <v>902</v>
      </c>
      <c r="O145" s="374"/>
      <c r="P145" s="374"/>
      <c r="Q145" s="374"/>
      <c r="R145" s="374"/>
      <c r="S145" s="375" t="s">
        <v>41</v>
      </c>
      <c r="T145" s="374" t="s">
        <v>353</v>
      </c>
      <c r="U145" s="374" t="s">
        <v>280</v>
      </c>
      <c r="V145" s="375"/>
      <c r="W145" s="375"/>
      <c r="X145" s="375"/>
      <c r="Y145" s="374"/>
      <c r="Z145" s="375"/>
      <c r="AA145" s="375"/>
      <c r="AB145" s="375"/>
      <c r="AC145" s="375"/>
      <c r="AD145" s="374"/>
      <c r="AE145" s="375"/>
      <c r="AF145" s="375"/>
      <c r="AG145" s="375"/>
      <c r="AH145" s="375"/>
      <c r="AI145" s="375"/>
      <c r="AJ145" s="375"/>
      <c r="AK145" s="375"/>
      <c r="AL145" s="375"/>
      <c r="AM145" s="375"/>
      <c r="AN145" s="375"/>
      <c r="AO145" s="375"/>
      <c r="AP145" s="375"/>
      <c r="AQ145" s="375"/>
      <c r="AR145" s="375"/>
      <c r="AS145" s="375"/>
      <c r="AT145" s="375"/>
      <c r="AU145" s="375"/>
      <c r="AV145" s="376"/>
    </row>
    <row r="146" spans="1:48" ht="43.2" hidden="1">
      <c r="A146" s="137" t="s">
        <v>903</v>
      </c>
      <c r="B146" s="36" t="s">
        <v>892</v>
      </c>
      <c r="C146" s="36"/>
      <c r="D146" s="35" t="s">
        <v>277</v>
      </c>
      <c r="E146" s="35"/>
      <c r="F146" s="20"/>
      <c r="G146" s="20"/>
      <c r="H146" s="432">
        <v>2021</v>
      </c>
      <c r="I146" s="36"/>
      <c r="J146" s="94"/>
      <c r="K146" s="94"/>
      <c r="L146" s="94"/>
      <c r="M146" s="94"/>
      <c r="N146" s="36" t="s">
        <v>904</v>
      </c>
      <c r="O146" s="94"/>
      <c r="P146" s="94"/>
      <c r="Q146" s="94"/>
      <c r="R146" s="94"/>
      <c r="S146" s="36" t="s">
        <v>905</v>
      </c>
      <c r="T146" s="94"/>
      <c r="U146" s="36"/>
      <c r="V146" s="36"/>
      <c r="W146" s="36"/>
      <c r="X146" s="36" t="s">
        <v>906</v>
      </c>
      <c r="Y146" s="94"/>
      <c r="Z146" s="36"/>
      <c r="AA146" s="36"/>
      <c r="AB146" s="36"/>
      <c r="AC146" s="36" t="s">
        <v>41</v>
      </c>
      <c r="AD146" s="94" t="s">
        <v>353</v>
      </c>
      <c r="AE146" s="94" t="s">
        <v>280</v>
      </c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81"/>
    </row>
    <row r="147" spans="1:48" ht="43.2" hidden="1">
      <c r="A147" s="394" t="s">
        <v>907</v>
      </c>
      <c r="B147" s="375" t="s">
        <v>908</v>
      </c>
      <c r="C147" s="375"/>
      <c r="D147" s="395" t="s">
        <v>277</v>
      </c>
      <c r="E147" s="395"/>
      <c r="F147" s="372"/>
      <c r="G147" s="372"/>
      <c r="H147" s="431">
        <v>2021</v>
      </c>
      <c r="I147" s="375" t="s">
        <v>190</v>
      </c>
      <c r="J147" s="374"/>
      <c r="K147" s="374"/>
      <c r="L147" s="374" t="s">
        <v>279</v>
      </c>
      <c r="M147" s="374" t="s">
        <v>280</v>
      </c>
      <c r="N147" s="375" t="s">
        <v>190</v>
      </c>
      <c r="O147" s="374" t="s">
        <v>279</v>
      </c>
      <c r="P147" s="374" t="s">
        <v>280</v>
      </c>
      <c r="Q147" s="374"/>
      <c r="R147" s="374"/>
      <c r="S147" s="375" t="s">
        <v>909</v>
      </c>
      <c r="T147" s="374"/>
      <c r="U147" s="374" t="s">
        <v>910</v>
      </c>
      <c r="V147" s="375"/>
      <c r="W147" s="375"/>
      <c r="X147" s="375" t="s">
        <v>911</v>
      </c>
      <c r="Y147" s="374"/>
      <c r="Z147" s="374" t="s">
        <v>910</v>
      </c>
      <c r="AA147" s="375"/>
      <c r="AB147" s="375"/>
      <c r="AC147" s="375" t="s">
        <v>912</v>
      </c>
      <c r="AD147" s="374"/>
      <c r="AE147" s="374" t="s">
        <v>910</v>
      </c>
      <c r="AF147" s="375"/>
      <c r="AG147" s="375"/>
      <c r="AH147" s="375" t="s">
        <v>913</v>
      </c>
      <c r="AI147" s="375"/>
      <c r="AJ147" s="374" t="s">
        <v>910</v>
      </c>
      <c r="AK147" s="375"/>
      <c r="AL147" s="375"/>
      <c r="AM147" s="375" t="s">
        <v>914</v>
      </c>
      <c r="AN147" s="375"/>
      <c r="AO147" s="374" t="s">
        <v>910</v>
      </c>
      <c r="AP147" s="375"/>
      <c r="AQ147" s="375"/>
      <c r="AR147" s="375"/>
      <c r="AS147" s="375"/>
      <c r="AT147" s="375"/>
      <c r="AU147" s="375"/>
      <c r="AV147" s="376"/>
    </row>
    <row r="148" spans="1:48" ht="43.2" hidden="1">
      <c r="A148" s="137" t="s">
        <v>915</v>
      </c>
      <c r="B148" s="36" t="s">
        <v>916</v>
      </c>
      <c r="C148" s="36"/>
      <c r="D148" s="35" t="s">
        <v>313</v>
      </c>
      <c r="E148" s="35"/>
      <c r="F148" s="20"/>
      <c r="G148" s="20"/>
      <c r="H148" s="432">
        <v>2021</v>
      </c>
      <c r="I148" s="36"/>
      <c r="J148" s="94"/>
      <c r="K148" s="94"/>
      <c r="L148" s="94"/>
      <c r="M148" s="94"/>
      <c r="N148" s="36" t="s">
        <v>190</v>
      </c>
      <c r="O148" s="94" t="s">
        <v>279</v>
      </c>
      <c r="P148" s="94" t="s">
        <v>280</v>
      </c>
      <c r="Q148" s="94"/>
      <c r="R148" s="94"/>
      <c r="S148" s="36" t="s">
        <v>909</v>
      </c>
      <c r="T148" s="94"/>
      <c r="U148" s="94" t="s">
        <v>910</v>
      </c>
      <c r="V148" s="36"/>
      <c r="W148" s="36"/>
      <c r="X148" s="36" t="s">
        <v>911</v>
      </c>
      <c r="Y148" s="94"/>
      <c r="Z148" s="94" t="s">
        <v>910</v>
      </c>
      <c r="AA148" s="36"/>
      <c r="AB148" s="36"/>
      <c r="AC148" s="36" t="s">
        <v>912</v>
      </c>
      <c r="AD148" s="94"/>
      <c r="AE148" s="94" t="s">
        <v>910</v>
      </c>
      <c r="AF148" s="36"/>
      <c r="AG148" s="36"/>
      <c r="AH148" s="36" t="s">
        <v>914</v>
      </c>
      <c r="AI148" s="36"/>
      <c r="AJ148" s="94" t="s">
        <v>910</v>
      </c>
      <c r="AK148" s="36"/>
      <c r="AL148" s="36"/>
      <c r="AM148" s="36" t="s">
        <v>917</v>
      </c>
      <c r="AN148" s="36"/>
      <c r="AO148" s="36" t="s">
        <v>918</v>
      </c>
      <c r="AP148" s="36"/>
      <c r="AQ148" s="36"/>
      <c r="AR148" s="36"/>
      <c r="AS148" s="36"/>
      <c r="AT148" s="36"/>
      <c r="AU148" s="36"/>
      <c r="AV148" s="381"/>
    </row>
    <row r="149" spans="1:48" ht="28.8" hidden="1">
      <c r="A149" s="394" t="s">
        <v>919</v>
      </c>
      <c r="B149" s="375" t="s">
        <v>920</v>
      </c>
      <c r="C149" s="375"/>
      <c r="D149" s="395" t="s">
        <v>277</v>
      </c>
      <c r="E149" s="395"/>
      <c r="F149" s="372"/>
      <c r="G149" s="372"/>
      <c r="H149" s="431">
        <v>2021</v>
      </c>
      <c r="I149" s="375"/>
      <c r="J149" s="374"/>
      <c r="K149" s="374"/>
      <c r="L149" s="374"/>
      <c r="M149" s="374"/>
      <c r="N149" s="375" t="s">
        <v>921</v>
      </c>
      <c r="O149" s="374"/>
      <c r="P149" s="374" t="s">
        <v>641</v>
      </c>
      <c r="Q149" s="374"/>
      <c r="R149" s="374"/>
      <c r="S149" s="375" t="s">
        <v>922</v>
      </c>
      <c r="T149" s="374"/>
      <c r="U149" s="374" t="s">
        <v>641</v>
      </c>
      <c r="V149" s="375"/>
      <c r="W149" s="375"/>
      <c r="X149" s="375" t="s">
        <v>923</v>
      </c>
      <c r="Y149" s="374"/>
      <c r="Z149" s="374" t="s">
        <v>641</v>
      </c>
      <c r="AA149" s="375"/>
      <c r="AB149" s="375"/>
      <c r="AC149" s="375" t="s">
        <v>190</v>
      </c>
      <c r="AD149" s="374" t="s">
        <v>279</v>
      </c>
      <c r="AE149" s="374" t="s">
        <v>280</v>
      </c>
      <c r="AF149" s="375"/>
      <c r="AG149" s="375"/>
      <c r="AH149" s="375"/>
      <c r="AI149" s="375"/>
      <c r="AJ149" s="375"/>
      <c r="AK149" s="375"/>
      <c r="AL149" s="375"/>
      <c r="AM149" s="375"/>
      <c r="AN149" s="375"/>
      <c r="AO149" s="375"/>
      <c r="AP149" s="375"/>
      <c r="AQ149" s="375"/>
      <c r="AR149" s="375"/>
      <c r="AS149" s="375"/>
      <c r="AT149" s="375"/>
      <c r="AU149" s="375"/>
      <c r="AV149" s="376"/>
    </row>
    <row r="150" spans="1:48" ht="43.2" hidden="1">
      <c r="A150" s="137" t="s">
        <v>924</v>
      </c>
      <c r="B150" s="36" t="s">
        <v>925</v>
      </c>
      <c r="C150" s="36"/>
      <c r="D150" s="35" t="s">
        <v>766</v>
      </c>
      <c r="E150" s="35"/>
      <c r="F150" s="20"/>
      <c r="G150" s="20"/>
      <c r="H150" s="432">
        <v>2021</v>
      </c>
      <c r="I150" s="36" t="s">
        <v>190</v>
      </c>
      <c r="J150" s="94"/>
      <c r="K150" s="94"/>
      <c r="L150" s="94" t="s">
        <v>279</v>
      </c>
      <c r="M150" s="94" t="s">
        <v>280</v>
      </c>
      <c r="N150" s="36" t="s">
        <v>190</v>
      </c>
      <c r="O150" s="94" t="s">
        <v>279</v>
      </c>
      <c r="P150" s="94" t="s">
        <v>280</v>
      </c>
      <c r="Q150" s="94"/>
      <c r="R150" s="94"/>
      <c r="S150" s="36"/>
      <c r="T150" s="94"/>
      <c r="U150" s="36"/>
      <c r="V150" s="36"/>
      <c r="W150" s="36"/>
      <c r="X150" s="36"/>
      <c r="Y150" s="94"/>
      <c r="Z150" s="36"/>
      <c r="AA150" s="36"/>
      <c r="AB150" s="36"/>
      <c r="AC150" s="36"/>
      <c r="AD150" s="94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81"/>
    </row>
    <row r="151" spans="1:48" ht="43.2" hidden="1">
      <c r="A151" s="394" t="s">
        <v>926</v>
      </c>
      <c r="B151" s="375" t="s">
        <v>927</v>
      </c>
      <c r="C151" s="375"/>
      <c r="D151" s="395" t="s">
        <v>277</v>
      </c>
      <c r="E151" s="395"/>
      <c r="F151" s="372"/>
      <c r="G151" s="372"/>
      <c r="H151" s="431">
        <v>2021</v>
      </c>
      <c r="I151" s="375" t="s">
        <v>912</v>
      </c>
      <c r="J151" s="374"/>
      <c r="K151" s="374"/>
      <c r="L151" s="374"/>
      <c r="M151" s="374" t="s">
        <v>910</v>
      </c>
      <c r="N151" s="375" t="s">
        <v>912</v>
      </c>
      <c r="O151" s="374"/>
      <c r="P151" s="374" t="s">
        <v>910</v>
      </c>
      <c r="Q151" s="374"/>
      <c r="R151" s="374"/>
      <c r="S151" s="375" t="s">
        <v>909</v>
      </c>
      <c r="T151" s="374"/>
      <c r="U151" s="374" t="s">
        <v>910</v>
      </c>
      <c r="V151" s="375"/>
      <c r="W151" s="375"/>
      <c r="X151" s="375" t="s">
        <v>190</v>
      </c>
      <c r="Y151" s="374" t="s">
        <v>279</v>
      </c>
      <c r="Z151" s="374" t="s">
        <v>280</v>
      </c>
      <c r="AA151" s="375"/>
      <c r="AB151" s="375"/>
      <c r="AC151" s="375" t="s">
        <v>911</v>
      </c>
      <c r="AD151" s="374"/>
      <c r="AE151" s="374" t="s">
        <v>910</v>
      </c>
      <c r="AF151" s="375"/>
      <c r="AG151" s="375"/>
      <c r="AH151" s="375" t="s">
        <v>913</v>
      </c>
      <c r="AI151" s="375"/>
      <c r="AJ151" s="374" t="s">
        <v>910</v>
      </c>
      <c r="AK151" s="375"/>
      <c r="AL151" s="375"/>
      <c r="AM151" s="375" t="s">
        <v>914</v>
      </c>
      <c r="AN151" s="375"/>
      <c r="AO151" s="374" t="s">
        <v>910</v>
      </c>
      <c r="AP151" s="375"/>
      <c r="AQ151" s="375"/>
      <c r="AR151" s="375"/>
      <c r="AS151" s="375"/>
      <c r="AT151" s="375"/>
      <c r="AU151" s="375"/>
      <c r="AV151" s="376"/>
    </row>
    <row r="152" spans="1:48" ht="57.6" hidden="1">
      <c r="A152" s="137" t="s">
        <v>928</v>
      </c>
      <c r="B152" s="36" t="s">
        <v>929</v>
      </c>
      <c r="C152" s="36"/>
      <c r="D152" s="35" t="s">
        <v>277</v>
      </c>
      <c r="E152" s="35" t="s">
        <v>930</v>
      </c>
      <c r="F152" s="20"/>
      <c r="G152" s="20"/>
      <c r="H152" s="432">
        <v>2021</v>
      </c>
      <c r="I152" s="36"/>
      <c r="J152" s="94"/>
      <c r="K152" s="94"/>
      <c r="L152" s="94"/>
      <c r="M152" s="94"/>
      <c r="N152" s="36" t="s">
        <v>931</v>
      </c>
      <c r="O152" s="94"/>
      <c r="P152" s="94" t="s">
        <v>910</v>
      </c>
      <c r="Q152" s="94"/>
      <c r="R152" s="94"/>
      <c r="S152" s="36" t="s">
        <v>932</v>
      </c>
      <c r="T152" s="94"/>
      <c r="U152" s="94" t="s">
        <v>910</v>
      </c>
      <c r="V152" s="36"/>
      <c r="W152" s="36"/>
      <c r="X152" s="36" t="s">
        <v>909</v>
      </c>
      <c r="Y152" s="94"/>
      <c r="Z152" s="94" t="s">
        <v>910</v>
      </c>
      <c r="AA152" s="36"/>
      <c r="AB152" s="36"/>
      <c r="AC152" s="36" t="s">
        <v>190</v>
      </c>
      <c r="AD152" s="94" t="s">
        <v>279</v>
      </c>
      <c r="AE152" s="94" t="s">
        <v>280</v>
      </c>
      <c r="AF152" s="36"/>
      <c r="AG152" s="36"/>
      <c r="AH152" s="36" t="s">
        <v>912</v>
      </c>
      <c r="AI152" s="94"/>
      <c r="AJ152" s="94" t="s">
        <v>910</v>
      </c>
      <c r="AK152" s="36"/>
      <c r="AL152" s="36"/>
      <c r="AM152" s="36" t="s">
        <v>911</v>
      </c>
      <c r="AN152" s="94"/>
      <c r="AO152" s="94" t="s">
        <v>910</v>
      </c>
      <c r="AP152" s="36"/>
      <c r="AQ152" s="36"/>
      <c r="AR152" s="36"/>
      <c r="AS152" s="36"/>
      <c r="AT152" s="36"/>
      <c r="AU152" s="36"/>
      <c r="AV152" s="381"/>
    </row>
    <row r="153" spans="1:48" ht="57.6" hidden="1">
      <c r="A153" s="394" t="s">
        <v>933</v>
      </c>
      <c r="B153" s="375" t="s">
        <v>934</v>
      </c>
      <c r="C153" s="375"/>
      <c r="D153" s="395" t="s">
        <v>277</v>
      </c>
      <c r="E153" s="395" t="s">
        <v>930</v>
      </c>
      <c r="F153" s="372"/>
      <c r="G153" s="372"/>
      <c r="H153" s="431">
        <v>2021</v>
      </c>
      <c r="I153" s="375"/>
      <c r="J153" s="374"/>
      <c r="K153" s="374"/>
      <c r="L153" s="374"/>
      <c r="M153" s="374"/>
      <c r="N153" s="375" t="s">
        <v>931</v>
      </c>
      <c r="O153" s="374"/>
      <c r="P153" s="374" t="s">
        <v>910</v>
      </c>
      <c r="Q153" s="374"/>
      <c r="R153" s="374"/>
      <c r="S153" s="375" t="s">
        <v>909</v>
      </c>
      <c r="T153" s="374"/>
      <c r="U153" s="374" t="s">
        <v>910</v>
      </c>
      <c r="V153" s="375"/>
      <c r="W153" s="375"/>
      <c r="X153" s="375" t="s">
        <v>190</v>
      </c>
      <c r="Y153" s="374" t="s">
        <v>279</v>
      </c>
      <c r="Z153" s="374" t="s">
        <v>280</v>
      </c>
      <c r="AA153" s="375"/>
      <c r="AB153" s="375"/>
      <c r="AC153" s="375" t="s">
        <v>912</v>
      </c>
      <c r="AD153" s="374"/>
      <c r="AE153" s="374" t="s">
        <v>910</v>
      </c>
      <c r="AF153" s="375"/>
      <c r="AG153" s="375"/>
      <c r="AH153" s="375" t="s">
        <v>911</v>
      </c>
      <c r="AI153" s="374"/>
      <c r="AJ153" s="374" t="s">
        <v>910</v>
      </c>
      <c r="AK153" s="375"/>
      <c r="AL153" s="375"/>
      <c r="AM153" s="375" t="s">
        <v>914</v>
      </c>
      <c r="AN153" s="375"/>
      <c r="AO153" s="374" t="s">
        <v>910</v>
      </c>
      <c r="AP153" s="375"/>
      <c r="AQ153" s="375"/>
      <c r="AR153" s="375"/>
      <c r="AS153" s="375"/>
      <c r="AT153" s="375"/>
      <c r="AU153" s="375"/>
      <c r="AV153" s="376"/>
    </row>
    <row r="154" spans="1:48" ht="28.8" hidden="1">
      <c r="A154" s="137" t="s">
        <v>935</v>
      </c>
      <c r="B154" s="36" t="s">
        <v>908</v>
      </c>
      <c r="C154" s="36"/>
      <c r="D154" s="35" t="s">
        <v>277</v>
      </c>
      <c r="E154" s="35"/>
      <c r="F154" s="20"/>
      <c r="G154" s="20"/>
      <c r="H154" s="432">
        <v>2021</v>
      </c>
      <c r="I154" s="36" t="s">
        <v>913</v>
      </c>
      <c r="J154" s="36"/>
      <c r="K154" s="94"/>
      <c r="L154" s="94"/>
      <c r="M154" s="94" t="s">
        <v>910</v>
      </c>
      <c r="N154" s="36" t="s">
        <v>913</v>
      </c>
      <c r="O154" s="94"/>
      <c r="P154" s="94" t="s">
        <v>910</v>
      </c>
      <c r="Q154" s="94"/>
      <c r="R154" s="94"/>
      <c r="S154" s="36" t="s">
        <v>909</v>
      </c>
      <c r="T154" s="94"/>
      <c r="U154" s="94" t="s">
        <v>910</v>
      </c>
      <c r="V154" s="36"/>
      <c r="W154" s="36"/>
      <c r="X154" s="36" t="s">
        <v>912</v>
      </c>
      <c r="Y154" s="94"/>
      <c r="Z154" s="94" t="s">
        <v>910</v>
      </c>
      <c r="AA154" s="36"/>
      <c r="AB154" s="36"/>
      <c r="AC154" s="36" t="s">
        <v>190</v>
      </c>
      <c r="AD154" s="94" t="s">
        <v>279</v>
      </c>
      <c r="AE154" s="94" t="s">
        <v>280</v>
      </c>
      <c r="AF154" s="36"/>
      <c r="AG154" s="36"/>
      <c r="AH154" s="36" t="s">
        <v>911</v>
      </c>
      <c r="AI154" s="94"/>
      <c r="AJ154" s="94" t="s">
        <v>910</v>
      </c>
      <c r="AK154" s="36"/>
      <c r="AL154" s="36"/>
      <c r="AM154" s="36" t="s">
        <v>931</v>
      </c>
      <c r="AN154" s="94"/>
      <c r="AO154" s="94" t="s">
        <v>910</v>
      </c>
      <c r="AP154" s="36"/>
      <c r="AQ154" s="36"/>
      <c r="AR154" s="36" t="s">
        <v>914</v>
      </c>
      <c r="AS154" s="36"/>
      <c r="AT154" s="94" t="s">
        <v>910</v>
      </c>
      <c r="AU154" s="36"/>
      <c r="AV154" s="381"/>
    </row>
    <row r="155" spans="1:48" ht="28.8" hidden="1">
      <c r="A155" s="394" t="s">
        <v>936</v>
      </c>
      <c r="B155" s="375" t="s">
        <v>908</v>
      </c>
      <c r="C155" s="375"/>
      <c r="D155" s="395" t="s">
        <v>277</v>
      </c>
      <c r="E155" s="395"/>
      <c r="F155" s="372"/>
      <c r="G155" s="372"/>
      <c r="H155" s="431">
        <v>2021</v>
      </c>
      <c r="I155" s="375" t="s">
        <v>912</v>
      </c>
      <c r="J155" s="374"/>
      <c r="K155" s="374"/>
      <c r="L155" s="374"/>
      <c r="M155" s="374" t="s">
        <v>910</v>
      </c>
      <c r="N155" s="375" t="s">
        <v>912</v>
      </c>
      <c r="O155" s="374"/>
      <c r="P155" s="374" t="s">
        <v>910</v>
      </c>
      <c r="Q155" s="374"/>
      <c r="R155" s="374"/>
      <c r="S155" s="375" t="s">
        <v>909</v>
      </c>
      <c r="T155" s="374"/>
      <c r="U155" s="374" t="s">
        <v>910</v>
      </c>
      <c r="V155" s="375"/>
      <c r="W155" s="375"/>
      <c r="X155" s="375" t="s">
        <v>190</v>
      </c>
      <c r="Y155" s="374" t="s">
        <v>279</v>
      </c>
      <c r="Z155" s="374" t="s">
        <v>280</v>
      </c>
      <c r="AA155" s="375"/>
      <c r="AB155" s="375"/>
      <c r="AC155" s="375" t="s">
        <v>911</v>
      </c>
      <c r="AD155" s="374"/>
      <c r="AE155" s="374" t="s">
        <v>910</v>
      </c>
      <c r="AF155" s="375"/>
      <c r="AG155" s="375"/>
      <c r="AH155" s="375" t="s">
        <v>913</v>
      </c>
      <c r="AI155" s="375"/>
      <c r="AJ155" s="374" t="s">
        <v>910</v>
      </c>
      <c r="AK155" s="375"/>
      <c r="AL155" s="375"/>
      <c r="AM155" s="375" t="s">
        <v>914</v>
      </c>
      <c r="AN155" s="375"/>
      <c r="AO155" s="374" t="s">
        <v>910</v>
      </c>
      <c r="AP155" s="375"/>
      <c r="AQ155" s="375"/>
      <c r="AR155" s="375"/>
      <c r="AS155" s="375"/>
      <c r="AT155" s="375"/>
      <c r="AU155" s="375"/>
      <c r="AV155" s="376"/>
    </row>
    <row r="156" spans="1:48" ht="43.2" hidden="1">
      <c r="A156" s="137" t="s">
        <v>937</v>
      </c>
      <c r="B156" s="36" t="s">
        <v>938</v>
      </c>
      <c r="C156" s="36"/>
      <c r="D156" s="35" t="s">
        <v>568</v>
      </c>
      <c r="E156" s="35" t="s">
        <v>769</v>
      </c>
      <c r="F156" s="20"/>
      <c r="G156" s="20"/>
      <c r="H156" s="432">
        <v>2021</v>
      </c>
      <c r="I156" s="36"/>
      <c r="J156" s="94"/>
      <c r="K156" s="94"/>
      <c r="L156" s="94"/>
      <c r="M156" s="94"/>
      <c r="N156" s="36" t="s">
        <v>912</v>
      </c>
      <c r="O156" s="94"/>
      <c r="P156" s="94" t="s">
        <v>910</v>
      </c>
      <c r="Q156" s="94"/>
      <c r="R156" s="94"/>
      <c r="S156" s="36" t="s">
        <v>909</v>
      </c>
      <c r="T156" s="94"/>
      <c r="U156" s="94" t="s">
        <v>910</v>
      </c>
      <c r="V156" s="36"/>
      <c r="W156" s="36"/>
      <c r="X156" s="36" t="s">
        <v>190</v>
      </c>
      <c r="Y156" s="94" t="s">
        <v>279</v>
      </c>
      <c r="Z156" s="94" t="s">
        <v>280</v>
      </c>
      <c r="AA156" s="36"/>
      <c r="AB156" s="36"/>
      <c r="AC156" s="36" t="s">
        <v>911</v>
      </c>
      <c r="AD156" s="94"/>
      <c r="AE156" s="94" t="s">
        <v>910</v>
      </c>
      <c r="AF156" s="36"/>
      <c r="AG156" s="36"/>
      <c r="AH156" s="36" t="s">
        <v>931</v>
      </c>
      <c r="AI156" s="94"/>
      <c r="AJ156" s="94" t="s">
        <v>910</v>
      </c>
      <c r="AK156" s="36"/>
      <c r="AL156" s="36"/>
      <c r="AM156" s="36" t="s">
        <v>914</v>
      </c>
      <c r="AN156" s="36"/>
      <c r="AO156" s="94" t="s">
        <v>910</v>
      </c>
      <c r="AP156" s="36"/>
      <c r="AQ156" s="36"/>
      <c r="AR156" s="36" t="s">
        <v>917</v>
      </c>
      <c r="AS156" s="36"/>
      <c r="AT156" s="36" t="s">
        <v>918</v>
      </c>
      <c r="AU156" s="36"/>
      <c r="AV156" s="381"/>
    </row>
    <row r="157" spans="1:48" ht="39.6" hidden="1">
      <c r="A157" s="377" t="s">
        <v>939</v>
      </c>
      <c r="B157" s="378" t="s">
        <v>940</v>
      </c>
      <c r="C157" s="378"/>
      <c r="D157" s="75" t="s">
        <v>277</v>
      </c>
      <c r="E157" s="75"/>
      <c r="F157" s="379"/>
      <c r="G157" s="20"/>
      <c r="H157" s="432">
        <v>2022</v>
      </c>
      <c r="I157" s="378"/>
      <c r="J157" s="380"/>
      <c r="K157" s="380"/>
      <c r="L157" s="380"/>
      <c r="M157" s="380"/>
      <c r="N157" s="378" t="s">
        <v>941</v>
      </c>
      <c r="O157" s="380" t="s">
        <v>449</v>
      </c>
      <c r="P157" s="380" t="s">
        <v>280</v>
      </c>
      <c r="Q157" s="380" t="s">
        <v>942</v>
      </c>
      <c r="R157" s="380">
        <v>1202180008</v>
      </c>
      <c r="S157" s="378" t="s">
        <v>93</v>
      </c>
      <c r="T157" s="380" t="s">
        <v>449</v>
      </c>
      <c r="U157" s="380" t="s">
        <v>280</v>
      </c>
      <c r="V157" s="378">
        <v>6680726</v>
      </c>
      <c r="W157" s="378" t="s">
        <v>943</v>
      </c>
      <c r="X157" s="378" t="s">
        <v>20</v>
      </c>
      <c r="Y157" s="380" t="s">
        <v>449</v>
      </c>
      <c r="Z157" s="380" t="s">
        <v>280</v>
      </c>
      <c r="AA157" s="36">
        <v>6682174</v>
      </c>
      <c r="AB157" s="36" t="s">
        <v>944</v>
      </c>
      <c r="AC157" s="36"/>
      <c r="AD157" s="94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81"/>
    </row>
    <row r="158" spans="1:48" ht="26.4" hidden="1">
      <c r="A158" s="368" t="s">
        <v>945</v>
      </c>
      <c r="B158" s="369" t="s">
        <v>946</v>
      </c>
      <c r="C158" s="369"/>
      <c r="D158" s="370" t="s">
        <v>277</v>
      </c>
      <c r="E158" s="370"/>
      <c r="F158" s="371"/>
      <c r="G158" s="372"/>
      <c r="H158" s="431">
        <v>2022</v>
      </c>
      <c r="I158" s="369" t="s">
        <v>79</v>
      </c>
      <c r="J158" s="373"/>
      <c r="K158" s="373"/>
      <c r="L158" s="373" t="s">
        <v>809</v>
      </c>
      <c r="M158" s="373" t="s">
        <v>280</v>
      </c>
      <c r="N158" s="369" t="s">
        <v>79</v>
      </c>
      <c r="O158" s="373" t="s">
        <v>809</v>
      </c>
      <c r="P158" s="373" t="s">
        <v>280</v>
      </c>
      <c r="Q158" s="373">
        <v>6793410</v>
      </c>
      <c r="R158" s="373" t="s">
        <v>947</v>
      </c>
      <c r="S158" s="375" t="s">
        <v>75</v>
      </c>
      <c r="T158" s="373" t="s">
        <v>809</v>
      </c>
      <c r="U158" s="373" t="s">
        <v>280</v>
      </c>
      <c r="V158" s="369">
        <v>6760392</v>
      </c>
      <c r="W158" s="369" t="s">
        <v>948</v>
      </c>
      <c r="X158" s="369" t="s">
        <v>949</v>
      </c>
      <c r="Y158" s="373" t="s">
        <v>809</v>
      </c>
      <c r="Z158" s="373" t="s">
        <v>280</v>
      </c>
      <c r="AA158" s="375">
        <v>6756318</v>
      </c>
      <c r="AB158" s="375" t="s">
        <v>950</v>
      </c>
      <c r="AC158" s="375" t="s">
        <v>808</v>
      </c>
      <c r="AD158" s="374" t="s">
        <v>951</v>
      </c>
      <c r="AE158" s="373" t="s">
        <v>420</v>
      </c>
      <c r="AF158" s="375">
        <v>5978220</v>
      </c>
      <c r="AG158" s="375" t="s">
        <v>952</v>
      </c>
      <c r="AH158" s="375"/>
      <c r="AI158" s="375"/>
      <c r="AJ158" s="375"/>
      <c r="AK158" s="375"/>
      <c r="AL158" s="375"/>
      <c r="AM158" s="375"/>
      <c r="AN158" s="375"/>
      <c r="AO158" s="375"/>
      <c r="AP158" s="375"/>
      <c r="AQ158" s="375"/>
      <c r="AR158" s="375"/>
      <c r="AS158" s="375"/>
      <c r="AT158" s="375"/>
      <c r="AU158" s="375"/>
      <c r="AV158" s="376"/>
    </row>
    <row r="159" spans="1:48" ht="26.4" hidden="1">
      <c r="A159" s="377" t="s">
        <v>953</v>
      </c>
      <c r="B159" s="378" t="s">
        <v>954</v>
      </c>
      <c r="C159" s="378"/>
      <c r="D159" s="75" t="s">
        <v>306</v>
      </c>
      <c r="E159" s="75" t="s">
        <v>303</v>
      </c>
      <c r="F159" s="379"/>
      <c r="G159" s="20"/>
      <c r="H159" s="432">
        <v>2022</v>
      </c>
      <c r="I159" s="378" t="s">
        <v>484</v>
      </c>
      <c r="J159" s="380">
        <v>6005015</v>
      </c>
      <c r="K159" s="380" t="s">
        <v>955</v>
      </c>
      <c r="L159" s="380" t="s">
        <v>279</v>
      </c>
      <c r="M159" s="380" t="s">
        <v>420</v>
      </c>
      <c r="N159" s="378" t="s">
        <v>956</v>
      </c>
      <c r="O159" s="380" t="s">
        <v>309</v>
      </c>
      <c r="P159" s="380" t="s">
        <v>420</v>
      </c>
      <c r="Q159" s="380" t="s">
        <v>942</v>
      </c>
      <c r="R159" s="380" t="s">
        <v>957</v>
      </c>
      <c r="S159" s="378" t="s">
        <v>958</v>
      </c>
      <c r="T159" s="380" t="s">
        <v>449</v>
      </c>
      <c r="U159" s="380" t="s">
        <v>280</v>
      </c>
      <c r="V159" s="378"/>
      <c r="W159" s="378" t="s">
        <v>959</v>
      </c>
      <c r="X159" s="36" t="s">
        <v>19</v>
      </c>
      <c r="Y159" s="380" t="s">
        <v>309</v>
      </c>
      <c r="Z159" s="380" t="s">
        <v>280</v>
      </c>
      <c r="AA159" s="36">
        <v>6680612</v>
      </c>
      <c r="AB159" s="36" t="s">
        <v>960</v>
      </c>
      <c r="AC159" s="36" t="s">
        <v>479</v>
      </c>
      <c r="AD159" s="94" t="s">
        <v>309</v>
      </c>
      <c r="AE159" s="380" t="s">
        <v>420</v>
      </c>
      <c r="AF159" s="36">
        <v>6165227</v>
      </c>
      <c r="AG159" s="36" t="s">
        <v>961</v>
      </c>
      <c r="AH159" s="36" t="s">
        <v>484</v>
      </c>
      <c r="AI159" s="380" t="s">
        <v>279</v>
      </c>
      <c r="AJ159" s="380" t="s">
        <v>420</v>
      </c>
      <c r="AK159" s="378">
        <v>6005015</v>
      </c>
      <c r="AL159" s="378" t="s">
        <v>955</v>
      </c>
      <c r="AM159" s="36"/>
      <c r="AN159" s="36"/>
      <c r="AO159" s="36"/>
      <c r="AP159" s="36"/>
      <c r="AQ159" s="36"/>
      <c r="AR159" s="36"/>
      <c r="AS159" s="36"/>
      <c r="AT159" s="36"/>
      <c r="AU159" s="36"/>
      <c r="AV159" s="381"/>
    </row>
    <row r="160" spans="1:48" ht="39.6" hidden="1">
      <c r="A160" s="368" t="s">
        <v>962</v>
      </c>
      <c r="B160" s="369" t="s">
        <v>963</v>
      </c>
      <c r="C160" s="369"/>
      <c r="D160" s="370" t="s">
        <v>277</v>
      </c>
      <c r="E160" s="370"/>
      <c r="F160" s="371"/>
      <c r="G160" s="372"/>
      <c r="H160" s="431">
        <v>2022</v>
      </c>
      <c r="I160" s="369"/>
      <c r="J160" s="373"/>
      <c r="K160" s="373"/>
      <c r="L160" s="373"/>
      <c r="M160" s="373"/>
      <c r="N160" s="369" t="s">
        <v>79</v>
      </c>
      <c r="O160" s="373" t="s">
        <v>809</v>
      </c>
      <c r="P160" s="373" t="s">
        <v>280</v>
      </c>
      <c r="Q160" s="373">
        <v>6793410</v>
      </c>
      <c r="R160" s="373" t="s">
        <v>947</v>
      </c>
      <c r="S160" s="369" t="s">
        <v>807</v>
      </c>
      <c r="T160" s="373" t="s">
        <v>951</v>
      </c>
      <c r="U160" s="373" t="s">
        <v>420</v>
      </c>
      <c r="V160" s="375">
        <v>5978399</v>
      </c>
      <c r="W160" s="375" t="s">
        <v>964</v>
      </c>
      <c r="X160" s="369" t="s">
        <v>808</v>
      </c>
      <c r="Y160" s="374" t="s">
        <v>951</v>
      </c>
      <c r="Z160" s="373" t="s">
        <v>420</v>
      </c>
      <c r="AA160" s="375">
        <v>5978220</v>
      </c>
      <c r="AB160" s="375" t="s">
        <v>952</v>
      </c>
      <c r="AC160" s="375" t="s">
        <v>965</v>
      </c>
      <c r="AD160" s="374" t="s">
        <v>942</v>
      </c>
      <c r="AE160" s="374" t="s">
        <v>966</v>
      </c>
      <c r="AF160" s="375" t="s">
        <v>942</v>
      </c>
      <c r="AG160" s="375" t="s">
        <v>942</v>
      </c>
      <c r="AH160" s="375" t="s">
        <v>967</v>
      </c>
      <c r="AI160" s="373" t="s">
        <v>951</v>
      </c>
      <c r="AJ160" s="373" t="s">
        <v>420</v>
      </c>
      <c r="AK160" s="369">
        <v>5986317</v>
      </c>
      <c r="AL160" s="369" t="s">
        <v>968</v>
      </c>
      <c r="AM160" s="375"/>
      <c r="AN160" s="375"/>
      <c r="AO160" s="375"/>
      <c r="AP160" s="375"/>
      <c r="AQ160" s="375"/>
      <c r="AR160" s="375"/>
      <c r="AS160" s="375"/>
      <c r="AT160" s="375"/>
      <c r="AU160" s="375"/>
      <c r="AV160" s="376"/>
    </row>
    <row r="161" spans="1:48" ht="26.4" hidden="1">
      <c r="A161" s="377" t="s">
        <v>969</v>
      </c>
      <c r="B161" s="378" t="s">
        <v>970</v>
      </c>
      <c r="C161" s="378"/>
      <c r="D161" s="75" t="s">
        <v>321</v>
      </c>
      <c r="E161" s="75" t="s">
        <v>303</v>
      </c>
      <c r="F161" s="379"/>
      <c r="G161" s="20"/>
      <c r="H161" s="432">
        <v>2022</v>
      </c>
      <c r="I161" s="378" t="s">
        <v>704</v>
      </c>
      <c r="J161" s="380">
        <v>6731906</v>
      </c>
      <c r="K161" s="380" t="s">
        <v>971</v>
      </c>
      <c r="L161" s="380" t="s">
        <v>279</v>
      </c>
      <c r="M161" s="380" t="s">
        <v>280</v>
      </c>
      <c r="N161" s="378" t="s">
        <v>704</v>
      </c>
      <c r="O161" s="380" t="s">
        <v>279</v>
      </c>
      <c r="P161" s="380" t="s">
        <v>280</v>
      </c>
      <c r="Q161" s="380">
        <v>6731906</v>
      </c>
      <c r="R161" s="380" t="s">
        <v>971</v>
      </c>
      <c r="S161" s="378" t="s">
        <v>972</v>
      </c>
      <c r="T161" s="380" t="s">
        <v>494</v>
      </c>
      <c r="U161" s="380" t="s">
        <v>366</v>
      </c>
      <c r="V161" s="378" t="s">
        <v>942</v>
      </c>
      <c r="W161" s="378">
        <v>18101186</v>
      </c>
      <c r="X161" s="378" t="s">
        <v>973</v>
      </c>
      <c r="Y161" s="94" t="s">
        <v>494</v>
      </c>
      <c r="Z161" s="380" t="s">
        <v>366</v>
      </c>
      <c r="AA161" s="36">
        <v>6001369</v>
      </c>
      <c r="AB161" s="36" t="s">
        <v>974</v>
      </c>
      <c r="AC161" s="36"/>
      <c r="AD161" s="94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81"/>
    </row>
    <row r="162" spans="1:48" ht="39.6" hidden="1">
      <c r="A162" s="368" t="s">
        <v>975</v>
      </c>
      <c r="B162" s="369" t="s">
        <v>976</v>
      </c>
      <c r="C162" s="369"/>
      <c r="D162" s="370" t="s">
        <v>277</v>
      </c>
      <c r="E162" s="370"/>
      <c r="F162" s="371"/>
      <c r="G162" s="372"/>
      <c r="H162" s="431">
        <v>2022</v>
      </c>
      <c r="I162" s="369" t="s">
        <v>148</v>
      </c>
      <c r="J162" s="373">
        <v>6099359</v>
      </c>
      <c r="K162" s="373" t="s">
        <v>977</v>
      </c>
      <c r="L162" s="373" t="s">
        <v>353</v>
      </c>
      <c r="M162" s="373" t="s">
        <v>280</v>
      </c>
      <c r="N162" s="369" t="s">
        <v>148</v>
      </c>
      <c r="O162" s="373" t="s">
        <v>353</v>
      </c>
      <c r="P162" s="373" t="s">
        <v>280</v>
      </c>
      <c r="Q162" s="373">
        <v>6099359</v>
      </c>
      <c r="R162" s="373" t="s">
        <v>977</v>
      </c>
      <c r="S162" s="369" t="s">
        <v>178</v>
      </c>
      <c r="T162" s="373" t="s">
        <v>353</v>
      </c>
      <c r="U162" s="373" t="s">
        <v>280</v>
      </c>
      <c r="V162" s="369">
        <v>6802117</v>
      </c>
      <c r="W162" s="369" t="s">
        <v>978</v>
      </c>
      <c r="X162" s="369" t="s">
        <v>71</v>
      </c>
      <c r="Y162" s="373" t="s">
        <v>620</v>
      </c>
      <c r="Z162" s="373" t="s">
        <v>280</v>
      </c>
      <c r="AA162" s="375">
        <v>6778837</v>
      </c>
      <c r="AB162" s="375" t="s">
        <v>979</v>
      </c>
      <c r="AC162" s="375"/>
      <c r="AD162" s="374"/>
      <c r="AE162" s="375"/>
      <c r="AF162" s="375"/>
      <c r="AG162" s="375"/>
      <c r="AH162" s="375"/>
      <c r="AI162" s="375"/>
      <c r="AJ162" s="375"/>
      <c r="AK162" s="375"/>
      <c r="AL162" s="375"/>
      <c r="AM162" s="375"/>
      <c r="AN162" s="375"/>
      <c r="AO162" s="375"/>
      <c r="AP162" s="375"/>
      <c r="AQ162" s="375"/>
      <c r="AR162" s="375"/>
      <c r="AS162" s="375"/>
      <c r="AT162" s="375"/>
      <c r="AU162" s="375"/>
      <c r="AV162" s="376"/>
    </row>
    <row r="163" spans="1:48" ht="28.8" hidden="1">
      <c r="A163" s="137" t="s">
        <v>980</v>
      </c>
      <c r="B163" s="36" t="s">
        <v>981</v>
      </c>
      <c r="C163" s="36"/>
      <c r="D163" s="35" t="s">
        <v>277</v>
      </c>
      <c r="E163" s="35"/>
      <c r="F163" s="20"/>
      <c r="G163" s="20"/>
      <c r="H163" s="432">
        <v>2022</v>
      </c>
      <c r="I163" s="378" t="s">
        <v>26</v>
      </c>
      <c r="J163" s="378">
        <v>259781</v>
      </c>
      <c r="K163" s="378" t="s">
        <v>982</v>
      </c>
      <c r="L163" s="380" t="s">
        <v>162</v>
      </c>
      <c r="M163" s="380" t="s">
        <v>280</v>
      </c>
      <c r="N163" s="378" t="s">
        <v>26</v>
      </c>
      <c r="O163" s="380" t="s">
        <v>162</v>
      </c>
      <c r="P163" s="380" t="s">
        <v>280</v>
      </c>
      <c r="Q163" s="378">
        <v>259781</v>
      </c>
      <c r="R163" s="378" t="s">
        <v>982</v>
      </c>
      <c r="S163" s="378" t="s">
        <v>11</v>
      </c>
      <c r="T163" s="380" t="s">
        <v>162</v>
      </c>
      <c r="U163" s="380" t="s">
        <v>280</v>
      </c>
      <c r="V163" s="380">
        <v>6680622</v>
      </c>
      <c r="W163" s="380" t="s">
        <v>983</v>
      </c>
      <c r="X163" s="378" t="s">
        <v>40</v>
      </c>
      <c r="Y163" s="380" t="s">
        <v>351</v>
      </c>
      <c r="Z163" s="380" t="s">
        <v>280</v>
      </c>
      <c r="AA163" s="380">
        <v>6658545</v>
      </c>
      <c r="AB163" s="380" t="s">
        <v>984</v>
      </c>
      <c r="AC163" s="36" t="s">
        <v>352</v>
      </c>
      <c r="AD163" s="380" t="s">
        <v>353</v>
      </c>
      <c r="AE163" s="380" t="s">
        <v>280</v>
      </c>
      <c r="AF163" s="378">
        <v>6744406</v>
      </c>
      <c r="AG163" s="378" t="s">
        <v>985</v>
      </c>
      <c r="AH163" s="36" t="s">
        <v>354</v>
      </c>
      <c r="AI163" s="380" t="s">
        <v>162</v>
      </c>
      <c r="AJ163" s="380" t="s">
        <v>280</v>
      </c>
      <c r="AK163" s="36" t="s">
        <v>942</v>
      </c>
      <c r="AL163" s="36">
        <v>1201190023</v>
      </c>
      <c r="AM163" s="36" t="s">
        <v>355</v>
      </c>
      <c r="AN163" s="380" t="s">
        <v>162</v>
      </c>
      <c r="AO163" s="380" t="s">
        <v>280</v>
      </c>
      <c r="AP163" s="36" t="s">
        <v>942</v>
      </c>
      <c r="AQ163" s="36">
        <v>1201190013</v>
      </c>
      <c r="AR163" s="36"/>
      <c r="AS163" s="36"/>
      <c r="AT163" s="36"/>
      <c r="AU163" s="36"/>
      <c r="AV163" s="381"/>
    </row>
    <row r="164" spans="1:48" ht="28.8" hidden="1">
      <c r="A164" s="394" t="s">
        <v>986</v>
      </c>
      <c r="B164" s="375" t="s">
        <v>987</v>
      </c>
      <c r="C164" s="375"/>
      <c r="D164" s="395" t="s">
        <v>302</v>
      </c>
      <c r="E164" s="370" t="s">
        <v>303</v>
      </c>
      <c r="F164" s="372"/>
      <c r="G164" s="372"/>
      <c r="H164" s="431">
        <v>2022</v>
      </c>
      <c r="I164" s="375"/>
      <c r="J164" s="374"/>
      <c r="K164" s="374"/>
      <c r="L164" s="374"/>
      <c r="M164" s="374"/>
      <c r="N164" s="375" t="s">
        <v>352</v>
      </c>
      <c r="O164" s="373" t="s">
        <v>353</v>
      </c>
      <c r="P164" s="373" t="s">
        <v>280</v>
      </c>
      <c r="Q164" s="369">
        <v>6744406</v>
      </c>
      <c r="R164" s="369" t="s">
        <v>985</v>
      </c>
      <c r="S164" s="375" t="s">
        <v>732</v>
      </c>
      <c r="T164" s="374"/>
      <c r="U164" s="374" t="s">
        <v>988</v>
      </c>
      <c r="V164" s="375"/>
      <c r="W164" s="375"/>
      <c r="X164" s="375" t="s">
        <v>47</v>
      </c>
      <c r="Y164" s="373" t="s">
        <v>353</v>
      </c>
      <c r="Z164" s="373" t="s">
        <v>280</v>
      </c>
      <c r="AA164" s="373">
        <v>6680634</v>
      </c>
      <c r="AB164" s="373" t="s">
        <v>989</v>
      </c>
      <c r="AC164" s="369" t="s">
        <v>26</v>
      </c>
      <c r="AD164" s="373" t="s">
        <v>162</v>
      </c>
      <c r="AE164" s="373" t="s">
        <v>280</v>
      </c>
      <c r="AF164" s="369">
        <v>259781</v>
      </c>
      <c r="AG164" s="369" t="s">
        <v>982</v>
      </c>
      <c r="AH164" s="375"/>
      <c r="AI164" s="375"/>
      <c r="AJ164" s="375"/>
      <c r="AK164" s="375"/>
      <c r="AL164" s="375"/>
      <c r="AM164" s="375"/>
      <c r="AN164" s="375"/>
      <c r="AO164" s="375"/>
      <c r="AP164" s="375"/>
      <c r="AQ164" s="375"/>
      <c r="AR164" s="375"/>
      <c r="AS164" s="375"/>
      <c r="AT164" s="375"/>
      <c r="AU164" s="375"/>
      <c r="AV164" s="376"/>
    </row>
    <row r="165" spans="1:48" ht="28.8" hidden="1">
      <c r="A165" s="137" t="s">
        <v>990</v>
      </c>
      <c r="B165" s="36" t="s">
        <v>991</v>
      </c>
      <c r="C165" s="36"/>
      <c r="D165" s="35" t="s">
        <v>302</v>
      </c>
      <c r="E165" s="75" t="s">
        <v>303</v>
      </c>
      <c r="F165" s="20"/>
      <c r="G165" s="20"/>
      <c r="H165" s="432">
        <v>2022</v>
      </c>
      <c r="I165" s="378" t="s">
        <v>26</v>
      </c>
      <c r="J165" s="378">
        <v>259781</v>
      </c>
      <c r="K165" s="378" t="s">
        <v>982</v>
      </c>
      <c r="L165" s="380" t="s">
        <v>162</v>
      </c>
      <c r="M165" s="380" t="s">
        <v>280</v>
      </c>
      <c r="N165" s="378" t="s">
        <v>11</v>
      </c>
      <c r="O165" s="380" t="s">
        <v>162</v>
      </c>
      <c r="P165" s="380" t="s">
        <v>280</v>
      </c>
      <c r="Q165" s="380">
        <v>6680622</v>
      </c>
      <c r="R165" s="380" t="s">
        <v>983</v>
      </c>
      <c r="S165" s="378" t="s">
        <v>26</v>
      </c>
      <c r="T165" s="380" t="s">
        <v>162</v>
      </c>
      <c r="U165" s="380" t="s">
        <v>280</v>
      </c>
      <c r="V165" s="378">
        <v>259781</v>
      </c>
      <c r="W165" s="378" t="s">
        <v>982</v>
      </c>
      <c r="X165" s="36" t="s">
        <v>992</v>
      </c>
      <c r="Y165" s="380" t="s">
        <v>162</v>
      </c>
      <c r="Z165" s="380" t="s">
        <v>280</v>
      </c>
      <c r="AA165" s="36" t="s">
        <v>942</v>
      </c>
      <c r="AB165" s="36">
        <v>1201190007</v>
      </c>
      <c r="AC165" s="36" t="s">
        <v>993</v>
      </c>
      <c r="AD165" s="380" t="s">
        <v>162</v>
      </c>
      <c r="AE165" s="380" t="s">
        <v>280</v>
      </c>
      <c r="AF165" s="36" t="s">
        <v>942</v>
      </c>
      <c r="AG165" s="36">
        <v>1201190039</v>
      </c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81"/>
    </row>
    <row r="166" spans="1:48" hidden="1">
      <c r="A166" s="396" t="s">
        <v>994</v>
      </c>
      <c r="B166" s="397" t="s">
        <v>995</v>
      </c>
      <c r="C166" s="397"/>
      <c r="D166" s="398" t="s">
        <v>328</v>
      </c>
      <c r="E166" s="398"/>
      <c r="F166" s="399"/>
      <c r="G166" s="399"/>
      <c r="H166" s="433">
        <v>2022</v>
      </c>
      <c r="I166" s="397"/>
      <c r="J166" s="400"/>
      <c r="K166" s="400"/>
      <c r="L166" s="400"/>
      <c r="M166" s="400"/>
      <c r="N166" s="397"/>
      <c r="O166" s="400"/>
      <c r="P166" s="400"/>
      <c r="Q166" s="400"/>
      <c r="R166" s="400"/>
      <c r="S166" s="397"/>
      <c r="T166" s="400"/>
      <c r="U166" s="397"/>
      <c r="V166" s="397"/>
      <c r="W166" s="397"/>
      <c r="X166" s="397"/>
      <c r="Y166" s="400"/>
      <c r="Z166" s="397"/>
      <c r="AA166" s="397"/>
      <c r="AB166" s="397"/>
      <c r="AC166" s="397"/>
      <c r="AD166" s="400"/>
      <c r="AE166" s="397"/>
      <c r="AF166" s="397"/>
      <c r="AG166" s="397"/>
      <c r="AH166" s="397"/>
      <c r="AI166" s="397"/>
      <c r="AJ166" s="397"/>
      <c r="AK166" s="397"/>
      <c r="AL166" s="397"/>
      <c r="AM166" s="397"/>
      <c r="AN166" s="397"/>
      <c r="AO166" s="397"/>
      <c r="AP166" s="397"/>
      <c r="AQ166" s="397"/>
      <c r="AR166" s="401" t="s">
        <v>26</v>
      </c>
      <c r="AS166" s="402" t="s">
        <v>162</v>
      </c>
      <c r="AT166" s="402" t="s">
        <v>280</v>
      </c>
      <c r="AU166" s="397"/>
      <c r="AV166" s="403"/>
    </row>
    <row r="167" spans="1:48" hidden="1">
      <c r="A167" s="396" t="s">
        <v>996</v>
      </c>
      <c r="B167" s="397" t="s">
        <v>997</v>
      </c>
      <c r="C167" s="397"/>
      <c r="D167" s="398" t="s">
        <v>328</v>
      </c>
      <c r="E167" s="398"/>
      <c r="F167" s="399"/>
      <c r="G167" s="399"/>
      <c r="H167" s="433">
        <v>2022</v>
      </c>
      <c r="I167" s="397"/>
      <c r="J167" s="400"/>
      <c r="K167" s="400"/>
      <c r="L167" s="400"/>
      <c r="M167" s="400"/>
      <c r="N167" s="397"/>
      <c r="O167" s="400"/>
      <c r="P167" s="400"/>
      <c r="Q167" s="400"/>
      <c r="R167" s="400"/>
      <c r="S167" s="397"/>
      <c r="T167" s="400"/>
      <c r="U167" s="397"/>
      <c r="V167" s="397"/>
      <c r="W167" s="397"/>
      <c r="X167" s="397"/>
      <c r="Y167" s="400"/>
      <c r="Z167" s="397"/>
      <c r="AA167" s="397"/>
      <c r="AB167" s="397"/>
      <c r="AC167" s="397"/>
      <c r="AD167" s="400"/>
      <c r="AE167" s="397"/>
      <c r="AF167" s="397"/>
      <c r="AG167" s="397"/>
      <c r="AH167" s="397"/>
      <c r="AI167" s="397"/>
      <c r="AJ167" s="397"/>
      <c r="AK167" s="397"/>
      <c r="AL167" s="397"/>
      <c r="AM167" s="397"/>
      <c r="AN167" s="397"/>
      <c r="AO167" s="397"/>
      <c r="AP167" s="397"/>
      <c r="AQ167" s="397"/>
      <c r="AR167" s="401" t="s">
        <v>26</v>
      </c>
      <c r="AS167" s="402" t="s">
        <v>162</v>
      </c>
      <c r="AT167" s="402" t="s">
        <v>280</v>
      </c>
      <c r="AU167" s="397"/>
      <c r="AV167" s="403"/>
    </row>
    <row r="168" spans="1:48" ht="26.4" hidden="1">
      <c r="A168" s="396" t="s">
        <v>998</v>
      </c>
      <c r="B168" s="397" t="s">
        <v>995</v>
      </c>
      <c r="C168" s="397"/>
      <c r="D168" s="398" t="s">
        <v>999</v>
      </c>
      <c r="E168" s="398"/>
      <c r="F168" s="399"/>
      <c r="G168" s="399"/>
      <c r="H168" s="433">
        <v>2022</v>
      </c>
      <c r="I168" s="397"/>
      <c r="J168" s="400"/>
      <c r="K168" s="400"/>
      <c r="L168" s="400"/>
      <c r="M168" s="400"/>
      <c r="N168" s="397"/>
      <c r="O168" s="400"/>
      <c r="P168" s="400"/>
      <c r="Q168" s="400"/>
      <c r="R168" s="400"/>
      <c r="S168" s="397"/>
      <c r="T168" s="400"/>
      <c r="U168" s="397"/>
      <c r="V168" s="397"/>
      <c r="W168" s="397"/>
      <c r="X168" s="397"/>
      <c r="Y168" s="400"/>
      <c r="Z168" s="397"/>
      <c r="AA168" s="397"/>
      <c r="AB168" s="397"/>
      <c r="AC168" s="397"/>
      <c r="AD168" s="400"/>
      <c r="AE168" s="397"/>
      <c r="AF168" s="397"/>
      <c r="AG168" s="397"/>
      <c r="AH168" s="397"/>
      <c r="AI168" s="397"/>
      <c r="AJ168" s="397"/>
      <c r="AK168" s="397"/>
      <c r="AL168" s="397"/>
      <c r="AM168" s="401" t="s">
        <v>26</v>
      </c>
      <c r="AN168" s="402" t="s">
        <v>162</v>
      </c>
      <c r="AO168" s="402" t="s">
        <v>280</v>
      </c>
      <c r="AP168" s="397"/>
      <c r="AQ168" s="397"/>
      <c r="AR168" s="397"/>
      <c r="AS168" s="397"/>
      <c r="AT168" s="397"/>
      <c r="AU168" s="397"/>
      <c r="AV168" s="403"/>
    </row>
    <row r="169" spans="1:48" ht="28.8" hidden="1">
      <c r="A169" s="137" t="s">
        <v>1000</v>
      </c>
      <c r="B169" s="36" t="s">
        <v>1001</v>
      </c>
      <c r="C169" s="36"/>
      <c r="D169" s="35" t="s">
        <v>302</v>
      </c>
      <c r="E169" s="75" t="s">
        <v>303</v>
      </c>
      <c r="F169" s="20"/>
      <c r="G169" s="20"/>
      <c r="H169" s="432">
        <v>2022</v>
      </c>
      <c r="I169" s="378" t="s">
        <v>26</v>
      </c>
      <c r="J169" s="378">
        <v>259781</v>
      </c>
      <c r="K169" s="378" t="s">
        <v>982</v>
      </c>
      <c r="L169" s="380" t="s">
        <v>162</v>
      </c>
      <c r="M169" s="380" t="s">
        <v>280</v>
      </c>
      <c r="N169" s="378" t="s">
        <v>26</v>
      </c>
      <c r="O169" s="380" t="s">
        <v>162</v>
      </c>
      <c r="P169" s="380" t="s">
        <v>280</v>
      </c>
      <c r="Q169" s="378">
        <v>259781</v>
      </c>
      <c r="R169" s="378" t="s">
        <v>982</v>
      </c>
      <c r="S169" s="378" t="s">
        <v>165</v>
      </c>
      <c r="T169" s="380" t="s">
        <v>162</v>
      </c>
      <c r="U169" s="380" t="s">
        <v>280</v>
      </c>
      <c r="V169" s="36">
        <v>6680698</v>
      </c>
      <c r="W169" s="36" t="s">
        <v>1002</v>
      </c>
      <c r="X169" s="36"/>
      <c r="Y169" s="94"/>
      <c r="Z169" s="36"/>
      <c r="AA169" s="36"/>
      <c r="AB169" s="36"/>
      <c r="AC169" s="36"/>
      <c r="AD169" s="94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81"/>
    </row>
    <row r="170" spans="1:48" ht="28.8" hidden="1">
      <c r="A170" s="394" t="s">
        <v>1003</v>
      </c>
      <c r="B170" s="375" t="s">
        <v>1004</v>
      </c>
      <c r="C170" s="375"/>
      <c r="D170" s="395" t="s">
        <v>302</v>
      </c>
      <c r="E170" s="370" t="s">
        <v>303</v>
      </c>
      <c r="F170" s="372"/>
      <c r="G170" s="372"/>
      <c r="H170" s="431">
        <v>2022</v>
      </c>
      <c r="I170" s="375" t="s">
        <v>1005</v>
      </c>
      <c r="J170" s="374" t="s">
        <v>942</v>
      </c>
      <c r="K170" s="374">
        <v>1201181005</v>
      </c>
      <c r="L170" s="373" t="s">
        <v>162</v>
      </c>
      <c r="M170" s="373" t="s">
        <v>280</v>
      </c>
      <c r="N170" s="375" t="s">
        <v>1005</v>
      </c>
      <c r="O170" s="373" t="s">
        <v>162</v>
      </c>
      <c r="P170" s="373" t="s">
        <v>280</v>
      </c>
      <c r="Q170" s="374" t="s">
        <v>942</v>
      </c>
      <c r="R170" s="374">
        <v>1201181005</v>
      </c>
      <c r="S170" s="375" t="s">
        <v>1006</v>
      </c>
      <c r="T170" s="373" t="s">
        <v>162</v>
      </c>
      <c r="U170" s="373" t="s">
        <v>280</v>
      </c>
      <c r="V170" s="375" t="s">
        <v>942</v>
      </c>
      <c r="W170" s="375">
        <v>1201180006</v>
      </c>
      <c r="X170" s="369" t="s">
        <v>165</v>
      </c>
      <c r="Y170" s="373" t="s">
        <v>162</v>
      </c>
      <c r="Z170" s="373" t="s">
        <v>280</v>
      </c>
      <c r="AA170" s="375">
        <v>6680698</v>
      </c>
      <c r="AB170" s="375" t="s">
        <v>1002</v>
      </c>
      <c r="AC170" s="369" t="s">
        <v>89</v>
      </c>
      <c r="AD170" s="373" t="s">
        <v>162</v>
      </c>
      <c r="AE170" s="373" t="s">
        <v>280</v>
      </c>
      <c r="AF170" s="369">
        <v>6680628</v>
      </c>
      <c r="AG170" s="369" t="s">
        <v>1007</v>
      </c>
      <c r="AH170" s="369" t="s">
        <v>38</v>
      </c>
      <c r="AI170" s="373" t="s">
        <v>162</v>
      </c>
      <c r="AJ170" s="373" t="s">
        <v>280</v>
      </c>
      <c r="AK170" s="375">
        <v>6680626</v>
      </c>
      <c r="AL170" s="375" t="s">
        <v>1008</v>
      </c>
      <c r="AM170" s="369" t="s">
        <v>26</v>
      </c>
      <c r="AN170" s="373" t="s">
        <v>162</v>
      </c>
      <c r="AO170" s="373" t="s">
        <v>280</v>
      </c>
      <c r="AP170" s="369">
        <v>259781</v>
      </c>
      <c r="AQ170" s="369" t="s">
        <v>982</v>
      </c>
      <c r="AR170" s="375" t="s">
        <v>1009</v>
      </c>
      <c r="AS170" s="373" t="s">
        <v>449</v>
      </c>
      <c r="AT170" s="373" t="s">
        <v>280</v>
      </c>
      <c r="AU170" s="375" t="s">
        <v>942</v>
      </c>
      <c r="AV170" s="376">
        <v>1202200032</v>
      </c>
    </row>
    <row r="171" spans="1:48" hidden="1">
      <c r="A171" s="396" t="s">
        <v>1010</v>
      </c>
      <c r="B171" s="397" t="s">
        <v>1011</v>
      </c>
      <c r="C171" s="397"/>
      <c r="D171" s="398" t="s">
        <v>942</v>
      </c>
      <c r="E171" s="398"/>
      <c r="F171" s="399"/>
      <c r="G171" s="399"/>
      <c r="H171" s="433">
        <v>2022</v>
      </c>
      <c r="I171" s="397"/>
      <c r="J171" s="400"/>
      <c r="K171" s="400"/>
      <c r="L171" s="400"/>
      <c r="M171" s="400"/>
      <c r="N171" s="397"/>
      <c r="O171" s="400"/>
      <c r="P171" s="400"/>
      <c r="Q171" s="400"/>
      <c r="R171" s="400"/>
      <c r="S171" s="397"/>
      <c r="T171" s="400"/>
      <c r="U171" s="397"/>
      <c r="V171" s="397"/>
      <c r="W171" s="397"/>
      <c r="X171" s="397"/>
      <c r="Y171" s="400"/>
      <c r="Z171" s="397"/>
      <c r="AA171" s="397"/>
      <c r="AB171" s="397"/>
      <c r="AC171" s="397"/>
      <c r="AD171" s="400"/>
      <c r="AE171" s="397"/>
      <c r="AF171" s="397"/>
      <c r="AG171" s="397"/>
      <c r="AH171" s="397"/>
      <c r="AI171" s="397"/>
      <c r="AJ171" s="397"/>
      <c r="AK171" s="397"/>
      <c r="AL171" s="397"/>
      <c r="AM171" s="397"/>
      <c r="AN171" s="397"/>
      <c r="AO171" s="397"/>
      <c r="AP171" s="397"/>
      <c r="AQ171" s="397"/>
      <c r="AR171" s="401" t="s">
        <v>26</v>
      </c>
      <c r="AS171" s="402" t="s">
        <v>162</v>
      </c>
      <c r="AT171" s="402" t="s">
        <v>280</v>
      </c>
      <c r="AU171" s="397"/>
      <c r="AV171" s="403"/>
    </row>
    <row r="172" spans="1:48" hidden="1">
      <c r="A172" s="396" t="s">
        <v>1012</v>
      </c>
      <c r="B172" s="397" t="s">
        <v>1013</v>
      </c>
      <c r="C172" s="397"/>
      <c r="D172" s="398" t="s">
        <v>942</v>
      </c>
      <c r="E172" s="398"/>
      <c r="F172" s="399"/>
      <c r="G172" s="399"/>
      <c r="H172" s="433">
        <v>2022</v>
      </c>
      <c r="I172" s="397"/>
      <c r="J172" s="400"/>
      <c r="K172" s="400"/>
      <c r="L172" s="400"/>
      <c r="M172" s="400"/>
      <c r="N172" s="397"/>
      <c r="O172" s="400"/>
      <c r="P172" s="400"/>
      <c r="Q172" s="400"/>
      <c r="R172" s="400"/>
      <c r="S172" s="397"/>
      <c r="T172" s="400"/>
      <c r="U172" s="397"/>
      <c r="V172" s="397"/>
      <c r="W172" s="397"/>
      <c r="X172" s="397"/>
      <c r="Y172" s="400"/>
      <c r="Z172" s="397"/>
      <c r="AA172" s="397"/>
      <c r="AB172" s="397"/>
      <c r="AC172" s="397"/>
      <c r="AD172" s="400"/>
      <c r="AE172" s="397"/>
      <c r="AF172" s="397"/>
      <c r="AG172" s="397"/>
      <c r="AH172" s="397"/>
      <c r="AI172" s="397"/>
      <c r="AJ172" s="397"/>
      <c r="AK172" s="397"/>
      <c r="AL172" s="397"/>
      <c r="AM172" s="397"/>
      <c r="AN172" s="397"/>
      <c r="AO172" s="397"/>
      <c r="AP172" s="397"/>
      <c r="AQ172" s="397"/>
      <c r="AR172" s="401" t="s">
        <v>26</v>
      </c>
      <c r="AS172" s="402" t="s">
        <v>162</v>
      </c>
      <c r="AT172" s="402" t="s">
        <v>280</v>
      </c>
      <c r="AU172" s="397"/>
      <c r="AV172" s="403"/>
    </row>
    <row r="173" spans="1:48" ht="28.8" hidden="1">
      <c r="A173" s="137" t="s">
        <v>1014</v>
      </c>
      <c r="B173" s="36" t="s">
        <v>1015</v>
      </c>
      <c r="C173" s="36"/>
      <c r="D173" s="35" t="s">
        <v>313</v>
      </c>
      <c r="E173" s="35"/>
      <c r="F173" s="20"/>
      <c r="G173" s="20"/>
      <c r="H173" s="432">
        <v>2022</v>
      </c>
      <c r="I173" s="378" t="s">
        <v>26</v>
      </c>
      <c r="J173" s="378">
        <v>259781</v>
      </c>
      <c r="K173" s="378" t="s">
        <v>982</v>
      </c>
      <c r="L173" s="380" t="s">
        <v>162</v>
      </c>
      <c r="M173" s="380" t="s">
        <v>280</v>
      </c>
      <c r="N173" s="378" t="s">
        <v>12</v>
      </c>
      <c r="O173" s="380" t="s">
        <v>309</v>
      </c>
      <c r="P173" s="380" t="s">
        <v>280</v>
      </c>
      <c r="Q173" s="380">
        <v>6680651</v>
      </c>
      <c r="R173" s="380" t="s">
        <v>1016</v>
      </c>
      <c r="S173" s="378" t="s">
        <v>26</v>
      </c>
      <c r="T173" s="380" t="s">
        <v>162</v>
      </c>
      <c r="U173" s="380" t="s">
        <v>280</v>
      </c>
      <c r="V173" s="378">
        <v>259781</v>
      </c>
      <c r="W173" s="378" t="s">
        <v>982</v>
      </c>
      <c r="X173" s="36" t="s">
        <v>8</v>
      </c>
      <c r="Y173" s="380" t="s">
        <v>351</v>
      </c>
      <c r="Z173" s="380" t="s">
        <v>280</v>
      </c>
      <c r="AA173" s="36">
        <v>6680643</v>
      </c>
      <c r="AB173" s="36" t="s">
        <v>1017</v>
      </c>
      <c r="AC173" s="36" t="s">
        <v>1018</v>
      </c>
      <c r="AD173" s="380" t="s">
        <v>162</v>
      </c>
      <c r="AE173" s="380" t="s">
        <v>280</v>
      </c>
      <c r="AF173" s="36" t="s">
        <v>942</v>
      </c>
      <c r="AG173" s="36">
        <v>1103200032</v>
      </c>
      <c r="AH173" s="36" t="s">
        <v>1019</v>
      </c>
      <c r="AI173" s="380" t="s">
        <v>162</v>
      </c>
      <c r="AJ173" s="380" t="s">
        <v>280</v>
      </c>
      <c r="AK173" s="36"/>
      <c r="AL173" s="36"/>
      <c r="AM173" s="36" t="s">
        <v>1020</v>
      </c>
      <c r="AN173" s="380" t="s">
        <v>162</v>
      </c>
      <c r="AO173" s="380" t="s">
        <v>280</v>
      </c>
      <c r="AP173" s="36"/>
      <c r="AQ173" s="36"/>
      <c r="AR173" s="36"/>
      <c r="AS173" s="36"/>
      <c r="AT173" s="36"/>
      <c r="AU173" s="36"/>
      <c r="AV173" s="381"/>
    </row>
    <row r="174" spans="1:48" ht="28.8" hidden="1">
      <c r="A174" s="394" t="s">
        <v>1021</v>
      </c>
      <c r="B174" s="375" t="s">
        <v>1022</v>
      </c>
      <c r="C174" s="375"/>
      <c r="D174" s="395" t="s">
        <v>782</v>
      </c>
      <c r="E174" s="370" t="s">
        <v>303</v>
      </c>
      <c r="F174" s="372"/>
      <c r="G174" s="372"/>
      <c r="H174" s="431">
        <v>2022</v>
      </c>
      <c r="I174" s="369" t="s">
        <v>1023</v>
      </c>
      <c r="J174" s="375">
        <v>6680698</v>
      </c>
      <c r="K174" s="375" t="s">
        <v>1002</v>
      </c>
      <c r="L174" s="373" t="s">
        <v>162</v>
      </c>
      <c r="M174" s="373" t="s">
        <v>280</v>
      </c>
      <c r="N174" s="369" t="s">
        <v>1023</v>
      </c>
      <c r="O174" s="373" t="s">
        <v>162</v>
      </c>
      <c r="P174" s="373" t="s">
        <v>280</v>
      </c>
      <c r="Q174" s="375">
        <v>6680698</v>
      </c>
      <c r="R174" s="375" t="s">
        <v>1002</v>
      </c>
      <c r="S174" s="369" t="s">
        <v>11</v>
      </c>
      <c r="T174" s="373" t="s">
        <v>162</v>
      </c>
      <c r="U174" s="373" t="s">
        <v>280</v>
      </c>
      <c r="V174" s="373">
        <v>6680622</v>
      </c>
      <c r="W174" s="373" t="s">
        <v>983</v>
      </c>
      <c r="X174" s="369" t="s">
        <v>26</v>
      </c>
      <c r="Y174" s="373" t="s">
        <v>162</v>
      </c>
      <c r="Z174" s="373" t="s">
        <v>280</v>
      </c>
      <c r="AA174" s="369">
        <v>259781</v>
      </c>
      <c r="AB174" s="369" t="s">
        <v>982</v>
      </c>
      <c r="AC174" s="375" t="s">
        <v>1024</v>
      </c>
      <c r="AD174" s="373" t="s">
        <v>162</v>
      </c>
      <c r="AE174" s="373" t="s">
        <v>280</v>
      </c>
      <c r="AF174" s="375" t="s">
        <v>942</v>
      </c>
      <c r="AG174" s="375">
        <v>1201200016</v>
      </c>
      <c r="AH174" s="375" t="s">
        <v>1025</v>
      </c>
      <c r="AI174" s="373" t="s">
        <v>162</v>
      </c>
      <c r="AJ174" s="373" t="s">
        <v>280</v>
      </c>
      <c r="AK174" s="375" t="s">
        <v>942</v>
      </c>
      <c r="AL174" s="375">
        <v>1201202040</v>
      </c>
      <c r="AM174" s="375" t="s">
        <v>1026</v>
      </c>
      <c r="AN174" s="373" t="s">
        <v>162</v>
      </c>
      <c r="AO174" s="373" t="s">
        <v>280</v>
      </c>
      <c r="AP174" s="375" t="s">
        <v>942</v>
      </c>
      <c r="AQ174" s="375">
        <v>1201200027</v>
      </c>
      <c r="AR174" s="375"/>
      <c r="AS174" s="375"/>
      <c r="AT174" s="375"/>
      <c r="AU174" s="375"/>
      <c r="AV174" s="376"/>
    </row>
    <row r="175" spans="1:48" ht="28.8" hidden="1">
      <c r="A175" s="137" t="s">
        <v>1027</v>
      </c>
      <c r="B175" s="36" t="s">
        <v>1028</v>
      </c>
      <c r="C175" s="36"/>
      <c r="D175" s="35" t="s">
        <v>568</v>
      </c>
      <c r="E175" s="35"/>
      <c r="F175" s="20"/>
      <c r="G175" s="20"/>
      <c r="H175" s="432">
        <v>2022</v>
      </c>
      <c r="I175" s="36"/>
      <c r="J175" s="94"/>
      <c r="K175" s="94"/>
      <c r="L175" s="94"/>
      <c r="M175" s="94"/>
      <c r="N175" s="36" t="s">
        <v>67</v>
      </c>
      <c r="O175" s="380" t="s">
        <v>353</v>
      </c>
      <c r="P175" s="380" t="s">
        <v>280</v>
      </c>
      <c r="Q175" s="380">
        <v>6099359</v>
      </c>
      <c r="R175" s="380" t="s">
        <v>977</v>
      </c>
      <c r="S175" s="36" t="s">
        <v>370</v>
      </c>
      <c r="T175" s="94"/>
      <c r="U175" s="380" t="s">
        <v>420</v>
      </c>
      <c r="V175" s="36"/>
      <c r="W175" s="36"/>
      <c r="X175" s="36"/>
      <c r="Y175" s="94"/>
      <c r="Z175" s="36"/>
      <c r="AA175" s="36"/>
      <c r="AB175" s="36"/>
      <c r="AC175" s="36"/>
      <c r="AD175" s="94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81"/>
    </row>
    <row r="176" spans="1:48" ht="28.8" hidden="1">
      <c r="A176" s="394" t="s">
        <v>1029</v>
      </c>
      <c r="B176" s="375" t="s">
        <v>1030</v>
      </c>
      <c r="C176" s="375"/>
      <c r="D176" s="395" t="s">
        <v>302</v>
      </c>
      <c r="E176" s="370" t="s">
        <v>303</v>
      </c>
      <c r="F176" s="372"/>
      <c r="G176" s="372"/>
      <c r="H176" s="431">
        <v>2022</v>
      </c>
      <c r="I176" s="375" t="s">
        <v>1031</v>
      </c>
      <c r="J176" s="374"/>
      <c r="K176" s="374"/>
      <c r="L176" s="374"/>
      <c r="M176" s="374" t="s">
        <v>1032</v>
      </c>
      <c r="N176" s="375" t="s">
        <v>67</v>
      </c>
      <c r="O176" s="373" t="s">
        <v>353</v>
      </c>
      <c r="P176" s="373" t="s">
        <v>280</v>
      </c>
      <c r="Q176" s="373">
        <v>6099359</v>
      </c>
      <c r="R176" s="373" t="s">
        <v>977</v>
      </c>
      <c r="S176" s="375" t="s">
        <v>1031</v>
      </c>
      <c r="T176" s="374"/>
      <c r="U176" s="374" t="s">
        <v>1032</v>
      </c>
      <c r="V176" s="375"/>
      <c r="W176" s="375"/>
      <c r="X176" s="375" t="s">
        <v>370</v>
      </c>
      <c r="Y176" s="374"/>
      <c r="Z176" s="374" t="s">
        <v>1032</v>
      </c>
      <c r="AA176" s="375"/>
      <c r="AB176" s="375"/>
      <c r="AC176" s="375"/>
      <c r="AD176" s="374"/>
      <c r="AE176" s="375"/>
      <c r="AF176" s="375"/>
      <c r="AG176" s="375"/>
      <c r="AH176" s="375"/>
      <c r="AI176" s="375"/>
      <c r="AJ176" s="375"/>
      <c r="AK176" s="375"/>
      <c r="AL176" s="375"/>
      <c r="AM176" s="375"/>
      <c r="AN176" s="375"/>
      <c r="AO176" s="375"/>
      <c r="AP176" s="375"/>
      <c r="AQ176" s="375"/>
      <c r="AR176" s="375"/>
      <c r="AS176" s="375"/>
      <c r="AT176" s="375"/>
      <c r="AU176" s="375"/>
      <c r="AV176" s="376"/>
    </row>
    <row r="177" spans="1:48" ht="43.2" hidden="1">
      <c r="A177" s="137" t="s">
        <v>1033</v>
      </c>
      <c r="B177" s="36" t="s">
        <v>1034</v>
      </c>
      <c r="C177" s="36"/>
      <c r="D177" s="35" t="s">
        <v>277</v>
      </c>
      <c r="E177" s="35"/>
      <c r="F177" s="20"/>
      <c r="G177" s="20"/>
      <c r="H177" s="432">
        <v>2022</v>
      </c>
      <c r="I177" s="36"/>
      <c r="J177" s="94"/>
      <c r="K177" s="94"/>
      <c r="L177" s="94"/>
      <c r="M177" s="94"/>
      <c r="N177" s="36" t="s">
        <v>67</v>
      </c>
      <c r="O177" s="380" t="s">
        <v>353</v>
      </c>
      <c r="P177" s="380" t="s">
        <v>280</v>
      </c>
      <c r="Q177" s="380">
        <v>6099359</v>
      </c>
      <c r="R177" s="380" t="s">
        <v>977</v>
      </c>
      <c r="S177" s="36" t="s">
        <v>1035</v>
      </c>
      <c r="T177" s="94"/>
      <c r="U177" s="380" t="s">
        <v>420</v>
      </c>
      <c r="V177" s="36"/>
      <c r="W177" s="36"/>
      <c r="X177" s="378" t="s">
        <v>17</v>
      </c>
      <c r="Y177" s="380" t="s">
        <v>353</v>
      </c>
      <c r="Z177" s="380" t="s">
        <v>280</v>
      </c>
      <c r="AA177" s="94">
        <v>6680648</v>
      </c>
      <c r="AB177" s="94" t="s">
        <v>1036</v>
      </c>
      <c r="AC177" s="36" t="s">
        <v>8</v>
      </c>
      <c r="AD177" s="380" t="s">
        <v>351</v>
      </c>
      <c r="AE177" s="380" t="s">
        <v>280</v>
      </c>
      <c r="AF177" s="36">
        <v>6680643</v>
      </c>
      <c r="AG177" s="36" t="s">
        <v>1017</v>
      </c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81"/>
    </row>
    <row r="178" spans="1:48" ht="43.2" hidden="1">
      <c r="A178" s="394" t="s">
        <v>1037</v>
      </c>
      <c r="B178" s="375" t="s">
        <v>1038</v>
      </c>
      <c r="C178" s="375"/>
      <c r="D178" s="395" t="s">
        <v>302</v>
      </c>
      <c r="E178" s="370" t="s">
        <v>303</v>
      </c>
      <c r="F178" s="372"/>
      <c r="G178" s="372"/>
      <c r="H178" s="431">
        <v>2022</v>
      </c>
      <c r="I178" s="369" t="s">
        <v>148</v>
      </c>
      <c r="J178" s="373"/>
      <c r="K178" s="373"/>
      <c r="L178" s="373" t="s">
        <v>353</v>
      </c>
      <c r="M178" s="373" t="s">
        <v>280</v>
      </c>
      <c r="N178" s="369" t="s">
        <v>148</v>
      </c>
      <c r="O178" s="373" t="s">
        <v>353</v>
      </c>
      <c r="P178" s="373" t="s">
        <v>280</v>
      </c>
      <c r="Q178" s="373">
        <v>6099359</v>
      </c>
      <c r="R178" s="373" t="s">
        <v>977</v>
      </c>
      <c r="S178" s="375"/>
      <c r="T178" s="374"/>
      <c r="U178" s="375"/>
      <c r="V178" s="375"/>
      <c r="W178" s="375"/>
      <c r="X178" s="375"/>
      <c r="Y178" s="374"/>
      <c r="Z178" s="375"/>
      <c r="AA178" s="375"/>
      <c r="AB178" s="375"/>
      <c r="AC178" s="375"/>
      <c r="AD178" s="374"/>
      <c r="AE178" s="375"/>
      <c r="AF178" s="375"/>
      <c r="AG178" s="375"/>
      <c r="AH178" s="375"/>
      <c r="AI178" s="375"/>
      <c r="AJ178" s="375"/>
      <c r="AK178" s="375"/>
      <c r="AL178" s="375"/>
      <c r="AM178" s="375"/>
      <c r="AN178" s="375"/>
      <c r="AO178" s="375"/>
      <c r="AP178" s="375"/>
      <c r="AQ178" s="375"/>
      <c r="AR178" s="375"/>
      <c r="AS178" s="375"/>
      <c r="AT178" s="375"/>
      <c r="AU178" s="375"/>
      <c r="AV178" s="376"/>
    </row>
    <row r="179" spans="1:48" ht="43.2" hidden="1">
      <c r="A179" s="137" t="s">
        <v>1039</v>
      </c>
      <c r="B179" s="36" t="s">
        <v>1040</v>
      </c>
      <c r="C179" s="36"/>
      <c r="D179" s="35" t="s">
        <v>277</v>
      </c>
      <c r="E179" s="35"/>
      <c r="F179" s="20"/>
      <c r="G179" s="20"/>
      <c r="H179" s="432">
        <v>2022</v>
      </c>
      <c r="I179" s="36"/>
      <c r="J179" s="94"/>
      <c r="K179" s="94"/>
      <c r="L179" s="94"/>
      <c r="M179" s="94"/>
      <c r="N179" s="378" t="s">
        <v>148</v>
      </c>
      <c r="O179" s="380" t="s">
        <v>353</v>
      </c>
      <c r="P179" s="380" t="s">
        <v>280</v>
      </c>
      <c r="Q179" s="380">
        <v>6099359</v>
      </c>
      <c r="R179" s="380" t="s">
        <v>977</v>
      </c>
      <c r="S179" s="36" t="s">
        <v>178</v>
      </c>
      <c r="T179" s="380" t="s">
        <v>353</v>
      </c>
      <c r="U179" s="380" t="s">
        <v>280</v>
      </c>
      <c r="V179" s="36"/>
      <c r="W179" s="36" t="s">
        <v>978</v>
      </c>
      <c r="X179" s="378" t="s">
        <v>71</v>
      </c>
      <c r="Y179" s="380" t="s">
        <v>620</v>
      </c>
      <c r="Z179" s="380" t="s">
        <v>280</v>
      </c>
      <c r="AA179" s="36"/>
      <c r="AB179" s="36"/>
      <c r="AC179" s="36"/>
      <c r="AD179" s="94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81"/>
    </row>
    <row r="180" spans="1:48" ht="28.8" hidden="1">
      <c r="A180" s="394" t="s">
        <v>1041</v>
      </c>
      <c r="B180" s="375" t="s">
        <v>1042</v>
      </c>
      <c r="C180" s="375"/>
      <c r="D180" s="395" t="s">
        <v>286</v>
      </c>
      <c r="E180" s="395"/>
      <c r="F180" s="372"/>
      <c r="G180" s="372"/>
      <c r="H180" s="431">
        <v>2022</v>
      </c>
      <c r="I180" s="375"/>
      <c r="J180" s="374"/>
      <c r="K180" s="374"/>
      <c r="L180" s="374"/>
      <c r="M180" s="374"/>
      <c r="N180" s="369" t="s">
        <v>148</v>
      </c>
      <c r="O180" s="373" t="s">
        <v>353</v>
      </c>
      <c r="P180" s="373" t="s">
        <v>280</v>
      </c>
      <c r="Q180" s="374"/>
      <c r="R180" s="374"/>
      <c r="S180" s="375" t="s">
        <v>1043</v>
      </c>
      <c r="T180" s="373" t="s">
        <v>353</v>
      </c>
      <c r="U180" s="373" t="s">
        <v>280</v>
      </c>
      <c r="V180" s="375"/>
      <c r="W180" s="375"/>
      <c r="X180" s="375" t="s">
        <v>1044</v>
      </c>
      <c r="Y180" s="373" t="s">
        <v>353</v>
      </c>
      <c r="Z180" s="373" t="s">
        <v>280</v>
      </c>
      <c r="AA180" s="375"/>
      <c r="AB180" s="375"/>
      <c r="AC180" s="375" t="s">
        <v>1045</v>
      </c>
      <c r="AD180" s="373" t="s">
        <v>353</v>
      </c>
      <c r="AE180" s="373" t="s">
        <v>280</v>
      </c>
      <c r="AF180" s="375"/>
      <c r="AG180" s="375"/>
      <c r="AH180" s="375" t="s">
        <v>1046</v>
      </c>
      <c r="AI180" s="373" t="s">
        <v>353</v>
      </c>
      <c r="AJ180" s="373" t="s">
        <v>280</v>
      </c>
      <c r="AK180" s="375"/>
      <c r="AL180" s="375"/>
      <c r="AM180" s="375"/>
      <c r="AN180" s="375"/>
      <c r="AO180" s="375"/>
      <c r="AP180" s="375"/>
      <c r="AQ180" s="375"/>
      <c r="AR180" s="375"/>
      <c r="AS180" s="375"/>
      <c r="AT180" s="375"/>
      <c r="AU180" s="375"/>
      <c r="AV180" s="376"/>
    </row>
    <row r="181" spans="1:48" ht="28.8" hidden="1">
      <c r="A181" s="137" t="s">
        <v>1047</v>
      </c>
      <c r="B181" s="36" t="s">
        <v>1048</v>
      </c>
      <c r="C181" s="36"/>
      <c r="D181" s="35" t="s">
        <v>286</v>
      </c>
      <c r="E181" s="35"/>
      <c r="F181" s="20"/>
      <c r="G181" s="20"/>
      <c r="H181" s="432">
        <v>2022</v>
      </c>
      <c r="I181" s="36"/>
      <c r="J181" s="94"/>
      <c r="K181" s="94"/>
      <c r="L181" s="94"/>
      <c r="M181" s="94"/>
      <c r="N181" s="378" t="s">
        <v>148</v>
      </c>
      <c r="O181" s="380" t="s">
        <v>353</v>
      </c>
      <c r="P181" s="380" t="s">
        <v>280</v>
      </c>
      <c r="Q181" s="94"/>
      <c r="R181" s="94"/>
      <c r="S181" s="36" t="s">
        <v>1049</v>
      </c>
      <c r="T181" s="380" t="s">
        <v>353</v>
      </c>
      <c r="U181" s="380" t="s">
        <v>280</v>
      </c>
      <c r="V181" s="36"/>
      <c r="W181" s="36"/>
      <c r="X181" s="36" t="s">
        <v>1050</v>
      </c>
      <c r="Y181" s="380" t="s">
        <v>353</v>
      </c>
      <c r="Z181" s="380" t="s">
        <v>280</v>
      </c>
      <c r="AA181" s="36"/>
      <c r="AB181" s="36"/>
      <c r="AC181" s="36" t="s">
        <v>1051</v>
      </c>
      <c r="AD181" s="380" t="s">
        <v>353</v>
      </c>
      <c r="AE181" s="380" t="s">
        <v>280</v>
      </c>
      <c r="AF181" s="36"/>
      <c r="AG181" s="36"/>
      <c r="AH181" s="36" t="s">
        <v>1052</v>
      </c>
      <c r="AI181" s="380" t="s">
        <v>353</v>
      </c>
      <c r="AJ181" s="380" t="s">
        <v>280</v>
      </c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81"/>
    </row>
    <row r="182" spans="1:48" ht="43.2" hidden="1">
      <c r="A182" s="394" t="s">
        <v>1053</v>
      </c>
      <c r="B182" s="375" t="s">
        <v>1054</v>
      </c>
      <c r="C182" s="375"/>
      <c r="D182" s="395" t="s">
        <v>277</v>
      </c>
      <c r="E182" s="395"/>
      <c r="F182" s="372"/>
      <c r="G182" s="372"/>
      <c r="H182" s="431">
        <v>2022</v>
      </c>
      <c r="I182" s="375"/>
      <c r="J182" s="374"/>
      <c r="K182" s="374"/>
      <c r="L182" s="374"/>
      <c r="M182" s="374"/>
      <c r="N182" s="369" t="s">
        <v>148</v>
      </c>
      <c r="O182" s="373" t="s">
        <v>353</v>
      </c>
      <c r="P182" s="373" t="s">
        <v>280</v>
      </c>
      <c r="Q182" s="374"/>
      <c r="R182" s="374"/>
      <c r="S182" s="375" t="s">
        <v>1043</v>
      </c>
      <c r="T182" s="373" t="s">
        <v>353</v>
      </c>
      <c r="U182" s="373" t="s">
        <v>280</v>
      </c>
      <c r="V182" s="375"/>
      <c r="W182" s="375"/>
      <c r="X182" s="375" t="s">
        <v>352</v>
      </c>
      <c r="Y182" s="373" t="s">
        <v>353</v>
      </c>
      <c r="Z182" s="373" t="s">
        <v>280</v>
      </c>
      <c r="AA182" s="375"/>
      <c r="AB182" s="375"/>
      <c r="AC182" s="375" t="s">
        <v>1055</v>
      </c>
      <c r="AD182" s="373" t="s">
        <v>353</v>
      </c>
      <c r="AE182" s="373" t="s">
        <v>280</v>
      </c>
      <c r="AF182" s="375"/>
      <c r="AG182" s="375"/>
      <c r="AH182" s="375" t="s">
        <v>28</v>
      </c>
      <c r="AI182" s="373" t="s">
        <v>353</v>
      </c>
      <c r="AJ182" s="373" t="s">
        <v>280</v>
      </c>
      <c r="AK182" s="375"/>
      <c r="AL182" s="375"/>
      <c r="AM182" s="375" t="s">
        <v>17</v>
      </c>
      <c r="AN182" s="373" t="s">
        <v>353</v>
      </c>
      <c r="AO182" s="373" t="s">
        <v>280</v>
      </c>
      <c r="AP182" s="375"/>
      <c r="AQ182" s="375"/>
      <c r="AR182" s="375"/>
      <c r="AS182" s="375"/>
      <c r="AT182" s="375"/>
      <c r="AU182" s="375"/>
      <c r="AV182" s="376"/>
    </row>
    <row r="183" spans="1:48" ht="43.2" hidden="1">
      <c r="A183" s="137" t="s">
        <v>1056</v>
      </c>
      <c r="B183" s="36" t="s">
        <v>1057</v>
      </c>
      <c r="C183" s="36"/>
      <c r="D183" s="35" t="s">
        <v>277</v>
      </c>
      <c r="E183" s="35"/>
      <c r="F183" s="20"/>
      <c r="G183" s="20"/>
      <c r="H183" s="432">
        <v>2022</v>
      </c>
      <c r="I183" s="36"/>
      <c r="J183" s="94"/>
      <c r="K183" s="94"/>
      <c r="L183" s="94"/>
      <c r="M183" s="94"/>
      <c r="N183" s="378" t="s">
        <v>148</v>
      </c>
      <c r="O183" s="380" t="s">
        <v>353</v>
      </c>
      <c r="P183" s="380" t="s">
        <v>280</v>
      </c>
      <c r="Q183" s="94"/>
      <c r="R183" s="94"/>
      <c r="S183" s="36" t="s">
        <v>180</v>
      </c>
      <c r="T183" s="380" t="s">
        <v>353</v>
      </c>
      <c r="U183" s="380" t="s">
        <v>280</v>
      </c>
      <c r="V183" s="36"/>
      <c r="W183" s="36"/>
      <c r="X183" s="36" t="s">
        <v>179</v>
      </c>
      <c r="Y183" s="380" t="s">
        <v>353</v>
      </c>
      <c r="Z183" s="380" t="s">
        <v>280</v>
      </c>
      <c r="AA183" s="36"/>
      <c r="AB183" s="36"/>
      <c r="AC183" s="36"/>
      <c r="AD183" s="94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81"/>
    </row>
    <row r="184" spans="1:48" ht="28.8" hidden="1">
      <c r="A184" s="394" t="s">
        <v>1058</v>
      </c>
      <c r="B184" s="375" t="s">
        <v>1059</v>
      </c>
      <c r="C184" s="375"/>
      <c r="D184" s="395" t="s">
        <v>782</v>
      </c>
      <c r="E184" s="370" t="s">
        <v>303</v>
      </c>
      <c r="F184" s="372"/>
      <c r="G184" s="372"/>
      <c r="H184" s="431">
        <v>2022</v>
      </c>
      <c r="I184" s="375" t="s">
        <v>1060</v>
      </c>
      <c r="J184" s="374"/>
      <c r="K184" s="374"/>
      <c r="L184" s="374"/>
      <c r="M184" s="373" t="s">
        <v>402</v>
      </c>
      <c r="N184" s="375" t="s">
        <v>1060</v>
      </c>
      <c r="O184" s="374"/>
      <c r="P184" s="373" t="s">
        <v>402</v>
      </c>
      <c r="Q184" s="374"/>
      <c r="R184" s="374"/>
      <c r="S184" s="375" t="s">
        <v>1061</v>
      </c>
      <c r="T184" s="374"/>
      <c r="U184" s="373" t="s">
        <v>402</v>
      </c>
      <c r="V184" s="375"/>
      <c r="W184" s="375"/>
      <c r="X184" s="375" t="s">
        <v>1062</v>
      </c>
      <c r="Y184" s="374"/>
      <c r="Z184" s="373" t="s">
        <v>402</v>
      </c>
      <c r="AA184" s="375"/>
      <c r="AB184" s="375"/>
      <c r="AC184" s="375" t="s">
        <v>409</v>
      </c>
      <c r="AD184" s="374"/>
      <c r="AE184" s="373" t="s">
        <v>402</v>
      </c>
      <c r="AF184" s="375"/>
      <c r="AG184" s="375"/>
      <c r="AH184" s="375" t="s">
        <v>1063</v>
      </c>
      <c r="AI184" s="375"/>
      <c r="AJ184" s="373" t="s">
        <v>402</v>
      </c>
      <c r="AK184" s="375"/>
      <c r="AL184" s="375"/>
      <c r="AM184" s="375" t="s">
        <v>1064</v>
      </c>
      <c r="AN184" s="375"/>
      <c r="AO184" s="373" t="s">
        <v>402</v>
      </c>
      <c r="AP184" s="375"/>
      <c r="AQ184" s="375"/>
      <c r="AR184" s="375" t="s">
        <v>94</v>
      </c>
      <c r="AS184" s="373" t="s">
        <v>279</v>
      </c>
      <c r="AT184" s="373" t="s">
        <v>280</v>
      </c>
      <c r="AU184" s="375"/>
      <c r="AV184" s="376"/>
    </row>
    <row r="185" spans="1:48" ht="28.8" hidden="1">
      <c r="A185" s="137" t="s">
        <v>406</v>
      </c>
      <c r="B185" s="36" t="s">
        <v>1065</v>
      </c>
      <c r="C185" s="36"/>
      <c r="D185" s="35" t="s">
        <v>302</v>
      </c>
      <c r="E185" s="75" t="s">
        <v>303</v>
      </c>
      <c r="F185" s="20"/>
      <c r="G185" s="20"/>
      <c r="H185" s="432">
        <v>2022</v>
      </c>
      <c r="I185" s="36" t="s">
        <v>408</v>
      </c>
      <c r="J185" s="94"/>
      <c r="K185" s="94"/>
      <c r="L185" s="94"/>
      <c r="M185" s="94" t="s">
        <v>402</v>
      </c>
      <c r="N185" s="36" t="s">
        <v>408</v>
      </c>
      <c r="O185" s="94"/>
      <c r="P185" s="94" t="s">
        <v>402</v>
      </c>
      <c r="Q185" s="94"/>
      <c r="R185" s="94"/>
      <c r="S185" s="36" t="s">
        <v>409</v>
      </c>
      <c r="T185" s="94"/>
      <c r="U185" s="94" t="s">
        <v>402</v>
      </c>
      <c r="V185" s="36"/>
      <c r="W185" s="36"/>
      <c r="X185" s="36" t="s">
        <v>94</v>
      </c>
      <c r="Y185" s="94" t="s">
        <v>279</v>
      </c>
      <c r="Z185" s="380" t="s">
        <v>280</v>
      </c>
      <c r="AA185" s="36"/>
      <c r="AB185" s="36"/>
      <c r="AC185" s="36"/>
      <c r="AD185" s="94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81"/>
    </row>
    <row r="186" spans="1:48" ht="28.8" hidden="1">
      <c r="A186" s="394" t="s">
        <v>1066</v>
      </c>
      <c r="B186" s="375" t="s">
        <v>1067</v>
      </c>
      <c r="C186" s="375"/>
      <c r="D186" s="395" t="s">
        <v>374</v>
      </c>
      <c r="E186" s="370" t="s">
        <v>303</v>
      </c>
      <c r="F186" s="372"/>
      <c r="G186" s="372"/>
      <c r="H186" s="431">
        <v>2022</v>
      </c>
      <c r="I186" s="375" t="s">
        <v>1068</v>
      </c>
      <c r="J186" s="374"/>
      <c r="K186" s="374"/>
      <c r="L186" s="374" t="s">
        <v>279</v>
      </c>
      <c r="M186" s="373" t="s">
        <v>280</v>
      </c>
      <c r="N186" s="375" t="s">
        <v>1068</v>
      </c>
      <c r="O186" s="374" t="s">
        <v>279</v>
      </c>
      <c r="P186" s="373" t="s">
        <v>280</v>
      </c>
      <c r="Q186" s="374"/>
      <c r="R186" s="374"/>
      <c r="S186" s="375" t="s">
        <v>94</v>
      </c>
      <c r="T186" s="374" t="s">
        <v>279</v>
      </c>
      <c r="U186" s="373" t="s">
        <v>280</v>
      </c>
      <c r="V186" s="375"/>
      <c r="W186" s="375"/>
      <c r="X186" s="375" t="s">
        <v>10</v>
      </c>
      <c r="Y186" s="374" t="s">
        <v>279</v>
      </c>
      <c r="Z186" s="373" t="s">
        <v>280</v>
      </c>
      <c r="AA186" s="375"/>
      <c r="AB186" s="375"/>
      <c r="AC186" s="375"/>
      <c r="AD186" s="374"/>
      <c r="AE186" s="375"/>
      <c r="AF186" s="375"/>
      <c r="AG186" s="375"/>
      <c r="AH186" s="375"/>
      <c r="AI186" s="375"/>
      <c r="AJ186" s="375"/>
      <c r="AK186" s="375"/>
      <c r="AL186" s="375"/>
      <c r="AM186" s="375"/>
      <c r="AN186" s="375"/>
      <c r="AO186" s="375"/>
      <c r="AP186" s="375"/>
      <c r="AQ186" s="375"/>
      <c r="AR186" s="375"/>
      <c r="AS186" s="375"/>
      <c r="AT186" s="375"/>
      <c r="AU186" s="375"/>
      <c r="AV186" s="376"/>
    </row>
    <row r="187" spans="1:48" ht="28.8" hidden="1">
      <c r="A187" s="137" t="s">
        <v>1069</v>
      </c>
      <c r="B187" s="36" t="s">
        <v>1070</v>
      </c>
      <c r="C187" s="36"/>
      <c r="D187" s="35" t="s">
        <v>416</v>
      </c>
      <c r="E187" s="35"/>
      <c r="F187" s="20"/>
      <c r="G187" s="20"/>
      <c r="H187" s="432">
        <v>2022</v>
      </c>
      <c r="I187" s="36" t="s">
        <v>1071</v>
      </c>
      <c r="J187" s="94"/>
      <c r="K187" s="94"/>
      <c r="L187" s="94"/>
      <c r="M187" s="380" t="s">
        <v>1072</v>
      </c>
      <c r="N187" s="36" t="s">
        <v>1071</v>
      </c>
      <c r="O187" s="94"/>
      <c r="P187" s="380" t="s">
        <v>1072</v>
      </c>
      <c r="Q187" s="94"/>
      <c r="R187" s="94"/>
      <c r="S187" s="36" t="s">
        <v>1073</v>
      </c>
      <c r="T187" s="94" t="s">
        <v>353</v>
      </c>
      <c r="U187" s="380" t="s">
        <v>280</v>
      </c>
      <c r="V187" s="36"/>
      <c r="W187" s="36"/>
      <c r="X187" s="36"/>
      <c r="Y187" s="94"/>
      <c r="Z187" s="36"/>
      <c r="AA187" s="36"/>
      <c r="AB187" s="36"/>
      <c r="AC187" s="36"/>
      <c r="AD187" s="94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81"/>
    </row>
    <row r="188" spans="1:48" ht="28.8" hidden="1">
      <c r="A188" s="394" t="s">
        <v>1074</v>
      </c>
      <c r="B188" s="375" t="s">
        <v>1075</v>
      </c>
      <c r="C188" s="375"/>
      <c r="D188" s="395" t="s">
        <v>306</v>
      </c>
      <c r="E188" s="370" t="s">
        <v>303</v>
      </c>
      <c r="F188" s="372"/>
      <c r="G188" s="372"/>
      <c r="H188" s="431">
        <v>2022</v>
      </c>
      <c r="I188" s="375" t="s">
        <v>25</v>
      </c>
      <c r="J188" s="374"/>
      <c r="K188" s="374"/>
      <c r="L188" s="374" t="s">
        <v>353</v>
      </c>
      <c r="M188" s="373" t="s">
        <v>280</v>
      </c>
      <c r="N188" s="375" t="s">
        <v>25</v>
      </c>
      <c r="O188" s="374" t="s">
        <v>353</v>
      </c>
      <c r="P188" s="373" t="s">
        <v>280</v>
      </c>
      <c r="Q188" s="374"/>
      <c r="R188" s="374"/>
      <c r="S188" s="375" t="s">
        <v>1073</v>
      </c>
      <c r="T188" s="374" t="s">
        <v>353</v>
      </c>
      <c r="U188" s="373" t="s">
        <v>280</v>
      </c>
      <c r="V188" s="375"/>
      <c r="W188" s="375"/>
      <c r="X188" s="375" t="s">
        <v>439</v>
      </c>
      <c r="Y188" s="374" t="s">
        <v>353</v>
      </c>
      <c r="Z188" s="373" t="s">
        <v>280</v>
      </c>
      <c r="AA188" s="375"/>
      <c r="AB188" s="375"/>
      <c r="AC188" s="375" t="s">
        <v>1076</v>
      </c>
      <c r="AD188" s="374" t="s">
        <v>353</v>
      </c>
      <c r="AE188" s="373" t="s">
        <v>280</v>
      </c>
      <c r="AF188" s="375"/>
      <c r="AG188" s="375"/>
      <c r="AH188" s="375"/>
      <c r="AI188" s="375"/>
      <c r="AJ188" s="375"/>
      <c r="AK188" s="375"/>
      <c r="AL188" s="375"/>
      <c r="AM188" s="375"/>
      <c r="AN188" s="375"/>
      <c r="AO188" s="375"/>
      <c r="AP188" s="375"/>
      <c r="AQ188" s="375"/>
      <c r="AR188" s="375"/>
      <c r="AS188" s="375"/>
      <c r="AT188" s="375"/>
      <c r="AU188" s="375"/>
      <c r="AV188" s="376"/>
    </row>
    <row r="189" spans="1:48" ht="43.2" hidden="1">
      <c r="A189" s="137" t="s">
        <v>1077</v>
      </c>
      <c r="B189" s="36" t="s">
        <v>1078</v>
      </c>
      <c r="C189" s="36"/>
      <c r="D189" s="35" t="s">
        <v>306</v>
      </c>
      <c r="E189" s="75" t="s">
        <v>303</v>
      </c>
      <c r="F189" s="20"/>
      <c r="G189" s="20"/>
      <c r="H189" s="432">
        <v>2022</v>
      </c>
      <c r="I189" s="36" t="s">
        <v>168</v>
      </c>
      <c r="J189" s="94"/>
      <c r="K189" s="94"/>
      <c r="L189" s="94"/>
      <c r="M189" s="94" t="s">
        <v>823</v>
      </c>
      <c r="N189" s="378" t="s">
        <v>12</v>
      </c>
      <c r="O189" s="380" t="s">
        <v>309</v>
      </c>
      <c r="P189" s="380" t="s">
        <v>280</v>
      </c>
      <c r="Q189" s="380"/>
      <c r="R189" s="380"/>
      <c r="S189" s="36" t="s">
        <v>168</v>
      </c>
      <c r="T189" s="94"/>
      <c r="U189" s="94" t="s">
        <v>823</v>
      </c>
      <c r="V189" s="36"/>
      <c r="W189" s="36"/>
      <c r="X189" s="378" t="s">
        <v>28</v>
      </c>
      <c r="Y189" s="380" t="s">
        <v>353</v>
      </c>
      <c r="Z189" s="380" t="s">
        <v>280</v>
      </c>
      <c r="AA189" s="36"/>
      <c r="AB189" s="36"/>
      <c r="AC189" s="36" t="s">
        <v>1079</v>
      </c>
      <c r="AD189" s="94"/>
      <c r="AE189" s="380" t="s">
        <v>1080</v>
      </c>
      <c r="AF189" s="36"/>
      <c r="AG189" s="36"/>
      <c r="AH189" s="36" t="s">
        <v>1081</v>
      </c>
      <c r="AI189" s="36"/>
      <c r="AJ189" s="380" t="s">
        <v>280</v>
      </c>
      <c r="AK189" s="36"/>
      <c r="AL189" s="36"/>
      <c r="AM189" s="36" t="s">
        <v>1082</v>
      </c>
      <c r="AN189" s="36"/>
      <c r="AO189" s="380" t="s">
        <v>280</v>
      </c>
      <c r="AP189" s="36"/>
      <c r="AQ189" s="36"/>
      <c r="AR189" s="36" t="s">
        <v>1083</v>
      </c>
      <c r="AS189" s="36"/>
      <c r="AT189" s="380" t="s">
        <v>280</v>
      </c>
      <c r="AU189" s="36"/>
      <c r="AV189" s="381"/>
    </row>
    <row r="190" spans="1:48" ht="28.8" hidden="1">
      <c r="A190" s="394" t="s">
        <v>1084</v>
      </c>
      <c r="B190" s="375" t="s">
        <v>1085</v>
      </c>
      <c r="C190" s="375"/>
      <c r="D190" s="395" t="s">
        <v>302</v>
      </c>
      <c r="E190" s="370" t="s">
        <v>303</v>
      </c>
      <c r="F190" s="372"/>
      <c r="G190" s="372"/>
      <c r="H190" s="431">
        <v>2022</v>
      </c>
      <c r="I190" s="375" t="s">
        <v>85</v>
      </c>
      <c r="J190" s="374"/>
      <c r="K190" s="374"/>
      <c r="L190" s="374" t="s">
        <v>309</v>
      </c>
      <c r="M190" s="373" t="s">
        <v>280</v>
      </c>
      <c r="N190" s="375" t="s">
        <v>85</v>
      </c>
      <c r="O190" s="374" t="s">
        <v>309</v>
      </c>
      <c r="P190" s="373" t="s">
        <v>280</v>
      </c>
      <c r="Q190" s="374"/>
      <c r="R190" s="374"/>
      <c r="S190" s="375" t="s">
        <v>1086</v>
      </c>
      <c r="T190" s="374" t="s">
        <v>279</v>
      </c>
      <c r="U190" s="373" t="s">
        <v>280</v>
      </c>
      <c r="V190" s="375"/>
      <c r="W190" s="375"/>
      <c r="X190" s="369" t="s">
        <v>28</v>
      </c>
      <c r="Y190" s="373" t="s">
        <v>353</v>
      </c>
      <c r="Z190" s="373" t="s">
        <v>280</v>
      </c>
      <c r="AA190" s="375"/>
      <c r="AB190" s="375"/>
      <c r="AC190" s="375" t="s">
        <v>1087</v>
      </c>
      <c r="AD190" s="374"/>
      <c r="AE190" s="373" t="s">
        <v>280</v>
      </c>
      <c r="AF190" s="375"/>
      <c r="AG190" s="375"/>
      <c r="AH190" s="375" t="s">
        <v>1088</v>
      </c>
      <c r="AI190" s="375"/>
      <c r="AJ190" s="373" t="s">
        <v>280</v>
      </c>
      <c r="AK190" s="375"/>
      <c r="AL190" s="375"/>
      <c r="AM190" s="375" t="s">
        <v>1089</v>
      </c>
      <c r="AN190" s="375"/>
      <c r="AO190" s="373" t="s">
        <v>280</v>
      </c>
      <c r="AP190" s="375"/>
      <c r="AQ190" s="375"/>
      <c r="AR190" s="375"/>
      <c r="AS190" s="375"/>
      <c r="AT190" s="375"/>
      <c r="AU190" s="375"/>
      <c r="AV190" s="376"/>
    </row>
    <row r="191" spans="1:48" ht="28.8" hidden="1">
      <c r="A191" s="137" t="s">
        <v>1090</v>
      </c>
      <c r="B191" s="36" t="s">
        <v>1091</v>
      </c>
      <c r="C191" s="36"/>
      <c r="D191" s="35" t="s">
        <v>395</v>
      </c>
      <c r="E191" s="35"/>
      <c r="F191" s="20"/>
      <c r="G191" s="20"/>
      <c r="H191" s="432">
        <v>2022</v>
      </c>
      <c r="I191" s="36"/>
      <c r="J191" s="94"/>
      <c r="K191" s="94"/>
      <c r="L191" s="94"/>
      <c r="M191" s="94"/>
      <c r="N191" s="36" t="s">
        <v>1092</v>
      </c>
      <c r="O191" s="94"/>
      <c r="P191" s="380" t="s">
        <v>280</v>
      </c>
      <c r="Q191" s="94"/>
      <c r="R191" s="94"/>
      <c r="S191" s="36" t="s">
        <v>1093</v>
      </c>
      <c r="T191" s="94"/>
      <c r="U191" s="380" t="s">
        <v>280</v>
      </c>
      <c r="V191" s="36"/>
      <c r="W191" s="36"/>
      <c r="X191" s="36" t="s">
        <v>1094</v>
      </c>
      <c r="Y191" s="94"/>
      <c r="Z191" s="380" t="s">
        <v>280</v>
      </c>
      <c r="AA191" s="36"/>
      <c r="AB191" s="36"/>
      <c r="AC191" s="378" t="s">
        <v>28</v>
      </c>
      <c r="AD191" s="380" t="s">
        <v>353</v>
      </c>
      <c r="AE191" s="380" t="s">
        <v>280</v>
      </c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81"/>
    </row>
    <row r="192" spans="1:48" ht="43.2" hidden="1">
      <c r="A192" s="394" t="s">
        <v>1095</v>
      </c>
      <c r="B192" s="375" t="s">
        <v>1096</v>
      </c>
      <c r="C192" s="375"/>
      <c r="D192" s="395" t="s">
        <v>277</v>
      </c>
      <c r="E192" s="395"/>
      <c r="F192" s="372"/>
      <c r="G192" s="372"/>
      <c r="H192" s="431">
        <v>2022</v>
      </c>
      <c r="I192" s="375"/>
      <c r="J192" s="374"/>
      <c r="K192" s="374"/>
      <c r="L192" s="374"/>
      <c r="M192" s="374"/>
      <c r="N192" s="375" t="s">
        <v>1097</v>
      </c>
      <c r="O192" s="374" t="s">
        <v>449</v>
      </c>
      <c r="P192" s="373" t="s">
        <v>280</v>
      </c>
      <c r="Q192" s="374"/>
      <c r="R192" s="374"/>
      <c r="S192" s="375" t="s">
        <v>452</v>
      </c>
      <c r="T192" s="374"/>
      <c r="U192" s="374" t="s">
        <v>451</v>
      </c>
      <c r="V192" s="375"/>
      <c r="W192" s="375"/>
      <c r="X192" s="375" t="s">
        <v>453</v>
      </c>
      <c r="Y192" s="374"/>
      <c r="Z192" s="374" t="s">
        <v>451</v>
      </c>
      <c r="AA192" s="375"/>
      <c r="AB192" s="375"/>
      <c r="AC192" s="375"/>
      <c r="AD192" s="374"/>
      <c r="AE192" s="375"/>
      <c r="AF192" s="375"/>
      <c r="AG192" s="375"/>
      <c r="AH192" s="375"/>
      <c r="AI192" s="375"/>
      <c r="AJ192" s="375"/>
      <c r="AK192" s="375"/>
      <c r="AL192" s="375"/>
      <c r="AM192" s="375"/>
      <c r="AN192" s="375"/>
      <c r="AO192" s="375"/>
      <c r="AP192" s="375"/>
      <c r="AQ192" s="375"/>
      <c r="AR192" s="375"/>
      <c r="AS192" s="375"/>
      <c r="AT192" s="375"/>
      <c r="AU192" s="375"/>
      <c r="AV192" s="376"/>
    </row>
    <row r="193" spans="1:48" ht="43.2" hidden="1">
      <c r="A193" s="137" t="s">
        <v>1098</v>
      </c>
      <c r="B193" s="36" t="s">
        <v>1099</v>
      </c>
      <c r="C193" s="36"/>
      <c r="D193" s="35" t="s">
        <v>321</v>
      </c>
      <c r="E193" s="75" t="s">
        <v>303</v>
      </c>
      <c r="F193" s="20"/>
      <c r="G193" s="20"/>
      <c r="H193" s="432">
        <v>2022</v>
      </c>
      <c r="I193" s="36" t="s">
        <v>15</v>
      </c>
      <c r="J193" s="94"/>
      <c r="K193" s="94"/>
      <c r="L193" s="94" t="s">
        <v>449</v>
      </c>
      <c r="M193" s="380" t="s">
        <v>280</v>
      </c>
      <c r="N193" s="36" t="s">
        <v>15</v>
      </c>
      <c r="O193" s="94" t="s">
        <v>449</v>
      </c>
      <c r="P193" s="380" t="s">
        <v>280</v>
      </c>
      <c r="Q193" s="94"/>
      <c r="R193" s="94"/>
      <c r="S193" s="36" t="s">
        <v>48</v>
      </c>
      <c r="T193" s="94" t="s">
        <v>449</v>
      </c>
      <c r="U193" s="380" t="s">
        <v>280</v>
      </c>
      <c r="V193" s="36"/>
      <c r="W193" s="36"/>
      <c r="X193" s="36" t="s">
        <v>20</v>
      </c>
      <c r="Y193" s="94" t="s">
        <v>449</v>
      </c>
      <c r="Z193" s="380" t="s">
        <v>280</v>
      </c>
      <c r="AA193" s="36"/>
      <c r="AB193" s="36"/>
      <c r="AC193" s="36" t="s">
        <v>163</v>
      </c>
      <c r="AD193" s="94" t="s">
        <v>449</v>
      </c>
      <c r="AE193" s="380" t="s">
        <v>280</v>
      </c>
      <c r="AF193" s="36"/>
      <c r="AG193" s="36"/>
      <c r="AH193" s="36" t="s">
        <v>1100</v>
      </c>
      <c r="AI193" s="94" t="s">
        <v>449</v>
      </c>
      <c r="AJ193" s="380" t="s">
        <v>280</v>
      </c>
      <c r="AK193" s="36"/>
      <c r="AL193" s="36"/>
      <c r="AM193" s="36" t="s">
        <v>941</v>
      </c>
      <c r="AN193" s="94" t="s">
        <v>449</v>
      </c>
      <c r="AO193" s="380" t="s">
        <v>280</v>
      </c>
      <c r="AP193" s="36"/>
      <c r="AQ193" s="36"/>
      <c r="AR193" s="36"/>
      <c r="AS193" s="36"/>
      <c r="AT193" s="36"/>
      <c r="AU193" s="36"/>
      <c r="AV193" s="381"/>
    </row>
    <row r="194" spans="1:48" ht="43.2" hidden="1">
      <c r="A194" s="394" t="s">
        <v>1101</v>
      </c>
      <c r="B194" s="375" t="s">
        <v>1102</v>
      </c>
      <c r="C194" s="375"/>
      <c r="D194" s="395" t="s">
        <v>277</v>
      </c>
      <c r="E194" s="395"/>
      <c r="F194" s="372"/>
      <c r="G194" s="372"/>
      <c r="H194" s="431">
        <v>2022</v>
      </c>
      <c r="I194" s="375"/>
      <c r="J194" s="374"/>
      <c r="K194" s="374"/>
      <c r="L194" s="374"/>
      <c r="M194" s="374"/>
      <c r="N194" s="375" t="s">
        <v>1097</v>
      </c>
      <c r="O194" s="374" t="s">
        <v>449</v>
      </c>
      <c r="P194" s="373" t="s">
        <v>280</v>
      </c>
      <c r="Q194" s="374"/>
      <c r="R194" s="374"/>
      <c r="S194" s="375" t="s">
        <v>452</v>
      </c>
      <c r="T194" s="374"/>
      <c r="U194" s="374" t="s">
        <v>451</v>
      </c>
      <c r="V194" s="375"/>
      <c r="W194" s="375"/>
      <c r="X194" s="375" t="s">
        <v>453</v>
      </c>
      <c r="Y194" s="374"/>
      <c r="Z194" s="374" t="s">
        <v>451</v>
      </c>
      <c r="AA194" s="375"/>
      <c r="AB194" s="375"/>
      <c r="AC194" s="375"/>
      <c r="AD194" s="374"/>
      <c r="AE194" s="375"/>
      <c r="AF194" s="375"/>
      <c r="AG194" s="375"/>
      <c r="AH194" s="375"/>
      <c r="AI194" s="375"/>
      <c r="AJ194" s="375"/>
      <c r="AK194" s="375"/>
      <c r="AL194" s="375"/>
      <c r="AM194" s="375"/>
      <c r="AN194" s="375"/>
      <c r="AO194" s="375"/>
      <c r="AP194" s="375"/>
      <c r="AQ194" s="375"/>
      <c r="AR194" s="375"/>
      <c r="AS194" s="375"/>
      <c r="AT194" s="375"/>
      <c r="AU194" s="375"/>
      <c r="AV194" s="376"/>
    </row>
    <row r="195" spans="1:48" ht="43.2" hidden="1">
      <c r="A195" s="137" t="s">
        <v>1103</v>
      </c>
      <c r="B195" s="36" t="s">
        <v>1104</v>
      </c>
      <c r="C195" s="36"/>
      <c r="D195" s="35" t="s">
        <v>277</v>
      </c>
      <c r="E195" s="35"/>
      <c r="F195" s="20"/>
      <c r="G195" s="20"/>
      <c r="H195" s="432">
        <v>2022</v>
      </c>
      <c r="I195" s="36"/>
      <c r="J195" s="94"/>
      <c r="K195" s="94"/>
      <c r="L195" s="94"/>
      <c r="M195" s="94"/>
      <c r="N195" s="36" t="s">
        <v>456</v>
      </c>
      <c r="O195" s="94"/>
      <c r="P195" s="94" t="s">
        <v>451</v>
      </c>
      <c r="Q195" s="94"/>
      <c r="R195" s="94"/>
      <c r="S195" s="36" t="s">
        <v>1105</v>
      </c>
      <c r="T195" s="94"/>
      <c r="U195" s="94" t="s">
        <v>451</v>
      </c>
      <c r="V195" s="36"/>
      <c r="W195" s="36"/>
      <c r="X195" s="36" t="s">
        <v>1106</v>
      </c>
      <c r="Y195" s="94"/>
      <c r="Z195" s="94" t="s">
        <v>451</v>
      </c>
      <c r="AA195" s="36"/>
      <c r="AB195" s="36"/>
      <c r="AC195" s="36" t="s">
        <v>1097</v>
      </c>
      <c r="AD195" s="94" t="s">
        <v>449</v>
      </c>
      <c r="AE195" s="380" t="s">
        <v>280</v>
      </c>
      <c r="AF195" s="36"/>
      <c r="AG195" s="36"/>
      <c r="AH195" s="36" t="s">
        <v>453</v>
      </c>
      <c r="AI195" s="36"/>
      <c r="AJ195" s="94" t="s">
        <v>451</v>
      </c>
      <c r="AK195" s="36"/>
      <c r="AL195" s="36"/>
      <c r="AM195" s="36" t="s">
        <v>452</v>
      </c>
      <c r="AN195" s="36"/>
      <c r="AO195" s="94" t="s">
        <v>451</v>
      </c>
      <c r="AP195" s="36"/>
      <c r="AQ195" s="36"/>
      <c r="AR195" s="36"/>
      <c r="AS195" s="36"/>
      <c r="AT195" s="36"/>
      <c r="AU195" s="36"/>
      <c r="AV195" s="381"/>
    </row>
    <row r="196" spans="1:48" ht="57.6" hidden="1">
      <c r="A196" s="394" t="s">
        <v>1107</v>
      </c>
      <c r="B196" s="375" t="s">
        <v>1108</v>
      </c>
      <c r="C196" s="375"/>
      <c r="D196" s="395" t="s">
        <v>277</v>
      </c>
      <c r="E196" s="395"/>
      <c r="F196" s="372"/>
      <c r="G196" s="372"/>
      <c r="H196" s="431">
        <v>2022</v>
      </c>
      <c r="I196" s="375"/>
      <c r="J196" s="374"/>
      <c r="K196" s="374"/>
      <c r="L196" s="374"/>
      <c r="M196" s="374"/>
      <c r="N196" s="375" t="s">
        <v>1109</v>
      </c>
      <c r="O196" s="374"/>
      <c r="P196" s="374" t="s">
        <v>451</v>
      </c>
      <c r="Q196" s="374"/>
      <c r="R196" s="374"/>
      <c r="S196" s="375" t="s">
        <v>1110</v>
      </c>
      <c r="T196" s="374"/>
      <c r="U196" s="374" t="s">
        <v>451</v>
      </c>
      <c r="V196" s="375"/>
      <c r="W196" s="375"/>
      <c r="X196" s="375" t="s">
        <v>1097</v>
      </c>
      <c r="Y196" s="374" t="s">
        <v>449</v>
      </c>
      <c r="Z196" s="373" t="s">
        <v>280</v>
      </c>
      <c r="AA196" s="375"/>
      <c r="AB196" s="375"/>
      <c r="AC196" s="375" t="s">
        <v>1111</v>
      </c>
      <c r="AD196" s="374"/>
      <c r="AE196" s="373" t="s">
        <v>280</v>
      </c>
      <c r="AF196" s="375"/>
      <c r="AG196" s="375"/>
      <c r="AH196" s="375" t="s">
        <v>1112</v>
      </c>
      <c r="AI196" s="375"/>
      <c r="AJ196" s="374" t="s">
        <v>451</v>
      </c>
      <c r="AK196" s="375"/>
      <c r="AL196" s="375"/>
      <c r="AM196" s="375" t="s">
        <v>1113</v>
      </c>
      <c r="AN196" s="375"/>
      <c r="AO196" s="374" t="s">
        <v>1114</v>
      </c>
      <c r="AP196" s="375"/>
      <c r="AQ196" s="375"/>
      <c r="AR196" s="375" t="s">
        <v>1115</v>
      </c>
      <c r="AS196" s="375"/>
      <c r="AT196" s="374" t="s">
        <v>1114</v>
      </c>
      <c r="AU196" s="375"/>
      <c r="AV196" s="376"/>
    </row>
    <row r="197" spans="1:48" ht="43.2" hidden="1">
      <c r="A197" s="137" t="s">
        <v>1116</v>
      </c>
      <c r="B197" s="36" t="s">
        <v>1117</v>
      </c>
      <c r="C197" s="36"/>
      <c r="D197" s="35" t="s">
        <v>302</v>
      </c>
      <c r="E197" s="75" t="s">
        <v>303</v>
      </c>
      <c r="F197" s="20"/>
      <c r="G197" s="20"/>
      <c r="H197" s="432">
        <v>2022</v>
      </c>
      <c r="I197" s="36" t="s">
        <v>85</v>
      </c>
      <c r="J197" s="94"/>
      <c r="K197" s="94"/>
      <c r="L197" s="94" t="s">
        <v>309</v>
      </c>
      <c r="M197" s="380" t="s">
        <v>280</v>
      </c>
      <c r="N197" s="36" t="s">
        <v>85</v>
      </c>
      <c r="O197" s="94" t="s">
        <v>309</v>
      </c>
      <c r="P197" s="380" t="s">
        <v>280</v>
      </c>
      <c r="Q197" s="94"/>
      <c r="R197" s="94"/>
      <c r="S197" s="378" t="s">
        <v>12</v>
      </c>
      <c r="T197" s="380" t="s">
        <v>309</v>
      </c>
      <c r="U197" s="380" t="s">
        <v>280</v>
      </c>
      <c r="V197" s="36"/>
      <c r="W197" s="36"/>
      <c r="X197" s="378" t="s">
        <v>19</v>
      </c>
      <c r="Y197" s="380" t="s">
        <v>309</v>
      </c>
      <c r="Z197" s="380" t="s">
        <v>280</v>
      </c>
      <c r="AA197" s="36"/>
      <c r="AB197" s="36"/>
      <c r="AC197" s="36" t="s">
        <v>20</v>
      </c>
      <c r="AD197" s="94" t="s">
        <v>449</v>
      </c>
      <c r="AE197" s="380" t="s">
        <v>280</v>
      </c>
      <c r="AF197" s="36"/>
      <c r="AG197" s="36"/>
      <c r="AH197" s="36" t="s">
        <v>92</v>
      </c>
      <c r="AI197" s="94" t="s">
        <v>279</v>
      </c>
      <c r="AJ197" s="380" t="s">
        <v>280</v>
      </c>
      <c r="AK197" s="36"/>
      <c r="AL197" s="36"/>
      <c r="AM197" s="36" t="s">
        <v>1118</v>
      </c>
      <c r="AN197" s="36"/>
      <c r="AO197" s="380" t="s">
        <v>280</v>
      </c>
      <c r="AP197" s="36"/>
      <c r="AQ197" s="36"/>
      <c r="AR197" s="36" t="s">
        <v>1119</v>
      </c>
      <c r="AS197" s="36"/>
      <c r="AT197" s="380" t="s">
        <v>280</v>
      </c>
      <c r="AU197" s="36"/>
      <c r="AV197" s="381"/>
    </row>
    <row r="198" spans="1:48" ht="28.8" hidden="1">
      <c r="A198" s="394" t="s">
        <v>1120</v>
      </c>
      <c r="B198" s="375" t="s">
        <v>1121</v>
      </c>
      <c r="C198" s="375"/>
      <c r="D198" s="395" t="s">
        <v>528</v>
      </c>
      <c r="E198" s="395" t="s">
        <v>1122</v>
      </c>
      <c r="F198" s="372"/>
      <c r="G198" s="372"/>
      <c r="H198" s="431">
        <v>2022</v>
      </c>
      <c r="I198" s="369" t="s">
        <v>484</v>
      </c>
      <c r="J198" s="373"/>
      <c r="K198" s="373"/>
      <c r="L198" s="373"/>
      <c r="M198" s="373" t="s">
        <v>420</v>
      </c>
      <c r="N198" s="375" t="s">
        <v>19</v>
      </c>
      <c r="O198" s="373" t="s">
        <v>309</v>
      </c>
      <c r="P198" s="373" t="s">
        <v>280</v>
      </c>
      <c r="Q198" s="374"/>
      <c r="R198" s="374"/>
      <c r="S198" s="375" t="s">
        <v>1123</v>
      </c>
      <c r="T198" s="374"/>
      <c r="U198" s="373" t="s">
        <v>420</v>
      </c>
      <c r="V198" s="375"/>
      <c r="W198" s="375"/>
      <c r="X198" s="375" t="s">
        <v>479</v>
      </c>
      <c r="Y198" s="374"/>
      <c r="Z198" s="373" t="s">
        <v>420</v>
      </c>
      <c r="AA198" s="375"/>
      <c r="AB198" s="375"/>
      <c r="AC198" s="375" t="s">
        <v>480</v>
      </c>
      <c r="AD198" s="374"/>
      <c r="AE198" s="373" t="s">
        <v>420</v>
      </c>
      <c r="AF198" s="375"/>
      <c r="AG198" s="375"/>
      <c r="AH198" s="375" t="s">
        <v>484</v>
      </c>
      <c r="AI198" s="375"/>
      <c r="AJ198" s="373" t="s">
        <v>420</v>
      </c>
      <c r="AK198" s="375"/>
      <c r="AL198" s="375"/>
      <c r="AM198" s="375"/>
      <c r="AN198" s="375"/>
      <c r="AO198" s="375"/>
      <c r="AP198" s="375"/>
      <c r="AQ198" s="375"/>
      <c r="AR198" s="375"/>
      <c r="AS198" s="375"/>
      <c r="AT198" s="375"/>
      <c r="AU198" s="375"/>
      <c r="AV198" s="376"/>
    </row>
    <row r="199" spans="1:48" ht="43.2" hidden="1">
      <c r="A199" s="137" t="s">
        <v>953</v>
      </c>
      <c r="B199" s="36" t="s">
        <v>1124</v>
      </c>
      <c r="C199" s="36"/>
      <c r="D199" s="35" t="s">
        <v>306</v>
      </c>
      <c r="E199" s="75" t="s">
        <v>303</v>
      </c>
      <c r="F199" s="20"/>
      <c r="G199" s="20"/>
      <c r="H199" s="432">
        <v>2022</v>
      </c>
      <c r="I199" s="378" t="s">
        <v>484</v>
      </c>
      <c r="J199" s="380"/>
      <c r="K199" s="380"/>
      <c r="L199" s="380"/>
      <c r="M199" s="380" t="s">
        <v>420</v>
      </c>
      <c r="N199" s="36" t="s">
        <v>956</v>
      </c>
      <c r="O199" s="94"/>
      <c r="P199" s="380" t="s">
        <v>420</v>
      </c>
      <c r="Q199" s="94"/>
      <c r="R199" s="94"/>
      <c r="S199" s="36" t="s">
        <v>958</v>
      </c>
      <c r="T199" s="94" t="s">
        <v>449</v>
      </c>
      <c r="U199" s="380" t="s">
        <v>280</v>
      </c>
      <c r="V199" s="36"/>
      <c r="W199" s="36"/>
      <c r="X199" s="36" t="s">
        <v>19</v>
      </c>
      <c r="Y199" s="380" t="s">
        <v>309</v>
      </c>
      <c r="Z199" s="380" t="s">
        <v>280</v>
      </c>
      <c r="AA199" s="36"/>
      <c r="AB199" s="36"/>
      <c r="AC199" s="36" t="s">
        <v>479</v>
      </c>
      <c r="AD199" s="94"/>
      <c r="AE199" s="380" t="s">
        <v>420</v>
      </c>
      <c r="AF199" s="36"/>
      <c r="AG199" s="36"/>
      <c r="AH199" s="36" t="s">
        <v>484</v>
      </c>
      <c r="AI199" s="36"/>
      <c r="AJ199" s="380" t="s">
        <v>420</v>
      </c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81"/>
    </row>
    <row r="200" spans="1:48" ht="28.8" hidden="1">
      <c r="A200" s="394" t="s">
        <v>1125</v>
      </c>
      <c r="B200" s="375" t="s">
        <v>1126</v>
      </c>
      <c r="C200" s="375"/>
      <c r="D200" s="395" t="s">
        <v>416</v>
      </c>
      <c r="E200" s="395"/>
      <c r="F200" s="372"/>
      <c r="G200" s="372"/>
      <c r="H200" s="431">
        <v>2022</v>
      </c>
      <c r="I200" s="369" t="s">
        <v>484</v>
      </c>
      <c r="J200" s="373"/>
      <c r="K200" s="373"/>
      <c r="L200" s="373"/>
      <c r="M200" s="373" t="s">
        <v>420</v>
      </c>
      <c r="N200" s="375" t="s">
        <v>19</v>
      </c>
      <c r="O200" s="373" t="s">
        <v>309</v>
      </c>
      <c r="P200" s="373" t="s">
        <v>280</v>
      </c>
      <c r="Q200" s="374"/>
      <c r="R200" s="374"/>
      <c r="S200" s="375" t="s">
        <v>1127</v>
      </c>
      <c r="T200" s="374"/>
      <c r="U200" s="373" t="s">
        <v>420</v>
      </c>
      <c r="V200" s="375"/>
      <c r="W200" s="375"/>
      <c r="X200" s="375" t="s">
        <v>1128</v>
      </c>
      <c r="Y200" s="374"/>
      <c r="Z200" s="373" t="s">
        <v>420</v>
      </c>
      <c r="AA200" s="375"/>
      <c r="AB200" s="375"/>
      <c r="AC200" s="375" t="s">
        <v>479</v>
      </c>
      <c r="AD200" s="374"/>
      <c r="AE200" s="373" t="s">
        <v>420</v>
      </c>
      <c r="AF200" s="375"/>
      <c r="AG200" s="375"/>
      <c r="AH200" s="375" t="s">
        <v>480</v>
      </c>
      <c r="AI200" s="373" t="s">
        <v>420</v>
      </c>
      <c r="AJ200" s="375"/>
      <c r="AK200" s="375"/>
      <c r="AL200" s="375"/>
      <c r="AM200" s="375" t="s">
        <v>484</v>
      </c>
      <c r="AN200" s="375"/>
      <c r="AO200" s="373" t="s">
        <v>420</v>
      </c>
      <c r="AP200" s="375"/>
      <c r="AQ200" s="375"/>
      <c r="AR200" s="375"/>
      <c r="AS200" s="375"/>
      <c r="AT200" s="375"/>
      <c r="AU200" s="375"/>
      <c r="AV200" s="376"/>
    </row>
    <row r="201" spans="1:48" ht="43.2" hidden="1">
      <c r="A201" s="137" t="s">
        <v>1129</v>
      </c>
      <c r="B201" s="36" t="s">
        <v>1130</v>
      </c>
      <c r="C201" s="36"/>
      <c r="D201" s="35" t="s">
        <v>277</v>
      </c>
      <c r="E201" s="35"/>
      <c r="F201" s="20"/>
      <c r="G201" s="20"/>
      <c r="H201" s="432">
        <v>2022</v>
      </c>
      <c r="I201" s="36"/>
      <c r="J201" s="94"/>
      <c r="K201" s="94"/>
      <c r="L201" s="94"/>
      <c r="M201" s="94"/>
      <c r="N201" s="36" t="s">
        <v>1131</v>
      </c>
      <c r="O201" s="380" t="s">
        <v>494</v>
      </c>
      <c r="P201" s="380" t="s">
        <v>280</v>
      </c>
      <c r="Q201" s="94"/>
      <c r="R201" s="94"/>
      <c r="S201" s="36" t="s">
        <v>1132</v>
      </c>
      <c r="T201" s="94"/>
      <c r="U201" s="380" t="s">
        <v>584</v>
      </c>
      <c r="V201" s="36"/>
      <c r="W201" s="36"/>
      <c r="X201" s="36" t="s">
        <v>1133</v>
      </c>
      <c r="Y201" s="94"/>
      <c r="Z201" s="380" t="s">
        <v>584</v>
      </c>
      <c r="AA201" s="36"/>
      <c r="AB201" s="36"/>
      <c r="AC201" s="36"/>
      <c r="AD201" s="94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81"/>
    </row>
    <row r="202" spans="1:48" ht="43.2" hidden="1">
      <c r="A202" s="394" t="s">
        <v>1134</v>
      </c>
      <c r="B202" s="375" t="s">
        <v>1135</v>
      </c>
      <c r="C202" s="375"/>
      <c r="D202" s="395" t="s">
        <v>306</v>
      </c>
      <c r="E202" s="370" t="s">
        <v>303</v>
      </c>
      <c r="F202" s="372"/>
      <c r="G202" s="372"/>
      <c r="H202" s="431">
        <v>2022</v>
      </c>
      <c r="I202" s="375" t="s">
        <v>8</v>
      </c>
      <c r="J202" s="374"/>
      <c r="K202" s="374"/>
      <c r="L202" s="374" t="s">
        <v>758</v>
      </c>
      <c r="M202" s="373" t="s">
        <v>280</v>
      </c>
      <c r="N202" s="375" t="s">
        <v>8</v>
      </c>
      <c r="O202" s="374" t="s">
        <v>758</v>
      </c>
      <c r="P202" s="373" t="s">
        <v>280</v>
      </c>
      <c r="Q202" s="374"/>
      <c r="R202" s="374"/>
      <c r="S202" s="375" t="s">
        <v>24</v>
      </c>
      <c r="T202" s="374" t="s">
        <v>351</v>
      </c>
      <c r="U202" s="373" t="s">
        <v>280</v>
      </c>
      <c r="V202" s="375"/>
      <c r="W202" s="375"/>
      <c r="X202" s="375" t="s">
        <v>17</v>
      </c>
      <c r="Y202" s="374" t="s">
        <v>353</v>
      </c>
      <c r="Z202" s="373" t="s">
        <v>280</v>
      </c>
      <c r="AA202" s="375"/>
      <c r="AB202" s="375"/>
      <c r="AC202" s="375"/>
      <c r="AD202" s="374"/>
      <c r="AE202" s="375"/>
      <c r="AF202" s="375"/>
      <c r="AG202" s="375"/>
      <c r="AH202" s="375"/>
      <c r="AI202" s="375"/>
      <c r="AJ202" s="375"/>
      <c r="AK202" s="375"/>
      <c r="AL202" s="375"/>
      <c r="AM202" s="375"/>
      <c r="AN202" s="375"/>
      <c r="AO202" s="375"/>
      <c r="AP202" s="375"/>
      <c r="AQ202" s="375"/>
      <c r="AR202" s="375"/>
      <c r="AS202" s="375"/>
      <c r="AT202" s="375"/>
      <c r="AU202" s="375"/>
      <c r="AV202" s="376"/>
    </row>
    <row r="203" spans="1:48" ht="28.8" hidden="1">
      <c r="A203" s="137" t="s">
        <v>1136</v>
      </c>
      <c r="B203" s="36" t="s">
        <v>1137</v>
      </c>
      <c r="C203" s="36"/>
      <c r="D203" s="35" t="s">
        <v>528</v>
      </c>
      <c r="E203" s="35"/>
      <c r="F203" s="20"/>
      <c r="G203" s="20"/>
      <c r="H203" s="432">
        <v>2022</v>
      </c>
      <c r="I203" s="36" t="s">
        <v>1138</v>
      </c>
      <c r="J203" s="94"/>
      <c r="K203" s="94"/>
      <c r="L203" s="94"/>
      <c r="M203" s="380" t="s">
        <v>565</v>
      </c>
      <c r="N203" s="36" t="s">
        <v>1138</v>
      </c>
      <c r="O203" s="94"/>
      <c r="P203" s="380" t="s">
        <v>565</v>
      </c>
      <c r="Q203" s="94"/>
      <c r="R203" s="94"/>
      <c r="S203" s="36" t="s">
        <v>1139</v>
      </c>
      <c r="T203" s="94"/>
      <c r="U203" s="380" t="s">
        <v>565</v>
      </c>
      <c r="V203" s="36"/>
      <c r="W203" s="36"/>
      <c r="X203" s="36" t="s">
        <v>1140</v>
      </c>
      <c r="Y203" s="94"/>
      <c r="Z203" s="380" t="s">
        <v>565</v>
      </c>
      <c r="AA203" s="36"/>
      <c r="AB203" s="36"/>
      <c r="AC203" s="36" t="s">
        <v>529</v>
      </c>
      <c r="AD203" s="94" t="s">
        <v>162</v>
      </c>
      <c r="AE203" s="380" t="s">
        <v>280</v>
      </c>
      <c r="AF203" s="36"/>
      <c r="AG203" s="36"/>
      <c r="AH203" s="36" t="s">
        <v>1141</v>
      </c>
      <c r="AI203" s="36"/>
      <c r="AJ203" s="94" t="s">
        <v>1142</v>
      </c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81"/>
    </row>
    <row r="204" spans="1:48" ht="43.2" hidden="1">
      <c r="A204" s="394" t="s">
        <v>1143</v>
      </c>
      <c r="B204" s="375" t="s">
        <v>1144</v>
      </c>
      <c r="C204" s="375"/>
      <c r="D204" s="395" t="s">
        <v>942</v>
      </c>
      <c r="E204" s="395"/>
      <c r="F204" s="372"/>
      <c r="G204" s="372"/>
      <c r="H204" s="431">
        <v>2022</v>
      </c>
      <c r="I204" s="375" t="s">
        <v>1145</v>
      </c>
      <c r="J204" s="374"/>
      <c r="K204" s="374"/>
      <c r="L204" s="374"/>
      <c r="M204" s="373" t="s">
        <v>280</v>
      </c>
      <c r="N204" s="375" t="s">
        <v>1145</v>
      </c>
      <c r="O204" s="374"/>
      <c r="P204" s="373" t="s">
        <v>280</v>
      </c>
      <c r="Q204" s="374"/>
      <c r="R204" s="374"/>
      <c r="S204" s="375" t="s">
        <v>1146</v>
      </c>
      <c r="T204" s="374"/>
      <c r="U204" s="374" t="s">
        <v>1147</v>
      </c>
      <c r="V204" s="375"/>
      <c r="W204" s="375"/>
      <c r="X204" s="375" t="s">
        <v>1148</v>
      </c>
      <c r="Y204" s="374"/>
      <c r="Z204" s="373" t="s">
        <v>420</v>
      </c>
      <c r="AA204" s="375"/>
      <c r="AB204" s="375"/>
      <c r="AC204" s="375" t="s">
        <v>1149</v>
      </c>
      <c r="AD204" s="374"/>
      <c r="AE204" s="373" t="s">
        <v>420</v>
      </c>
      <c r="AF204" s="375"/>
      <c r="AG204" s="375"/>
      <c r="AH204" s="375" t="s">
        <v>38</v>
      </c>
      <c r="AI204" s="374" t="s">
        <v>620</v>
      </c>
      <c r="AJ204" s="373" t="s">
        <v>280</v>
      </c>
      <c r="AK204" s="375"/>
      <c r="AL204" s="375"/>
      <c r="AM204" s="375" t="s">
        <v>1150</v>
      </c>
      <c r="AN204" s="375"/>
      <c r="AO204" s="373" t="s">
        <v>420</v>
      </c>
      <c r="AP204" s="375"/>
      <c r="AQ204" s="375"/>
      <c r="AR204" s="375" t="s">
        <v>1151</v>
      </c>
      <c r="AS204" s="375"/>
      <c r="AT204" s="375" t="s">
        <v>1152</v>
      </c>
      <c r="AU204" s="375"/>
      <c r="AV204" s="376"/>
    </row>
    <row r="205" spans="1:48" ht="28.8" hidden="1">
      <c r="A205" s="137" t="s">
        <v>1153</v>
      </c>
      <c r="B205" s="36" t="s">
        <v>1154</v>
      </c>
      <c r="C205" s="36"/>
      <c r="D205" s="35" t="s">
        <v>313</v>
      </c>
      <c r="E205" s="35"/>
      <c r="F205" s="20"/>
      <c r="G205" s="20"/>
      <c r="H205" s="432">
        <v>2022</v>
      </c>
      <c r="I205" s="36" t="s">
        <v>49</v>
      </c>
      <c r="J205" s="94"/>
      <c r="K205" s="94"/>
      <c r="L205" s="94" t="s">
        <v>162</v>
      </c>
      <c r="M205" s="380" t="s">
        <v>280</v>
      </c>
      <c r="N205" s="36" t="s">
        <v>49</v>
      </c>
      <c r="O205" s="94" t="s">
        <v>162</v>
      </c>
      <c r="P205" s="380" t="s">
        <v>280</v>
      </c>
      <c r="Q205" s="94"/>
      <c r="R205" s="94"/>
      <c r="S205" s="36" t="s">
        <v>38</v>
      </c>
      <c r="T205" s="94" t="s">
        <v>620</v>
      </c>
      <c r="U205" s="380" t="s">
        <v>280</v>
      </c>
      <c r="V205" s="36"/>
      <c r="W205" s="36"/>
      <c r="X205" s="36"/>
      <c r="Y205" s="94"/>
      <c r="Z205" s="36"/>
      <c r="AA205" s="36"/>
      <c r="AB205" s="36"/>
      <c r="AC205" s="36"/>
      <c r="AD205" s="94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81"/>
    </row>
    <row r="206" spans="1:48" ht="43.2" hidden="1">
      <c r="A206" s="394" t="s">
        <v>1155</v>
      </c>
      <c r="B206" s="375" t="s">
        <v>1156</v>
      </c>
      <c r="C206" s="375"/>
      <c r="D206" s="395" t="s">
        <v>302</v>
      </c>
      <c r="E206" s="370" t="s">
        <v>303</v>
      </c>
      <c r="F206" s="372"/>
      <c r="G206" s="372"/>
      <c r="H206" s="431">
        <v>2022</v>
      </c>
      <c r="I206" s="375" t="s">
        <v>85</v>
      </c>
      <c r="J206" s="374"/>
      <c r="K206" s="374"/>
      <c r="L206" s="374" t="s">
        <v>309</v>
      </c>
      <c r="M206" s="373" t="s">
        <v>280</v>
      </c>
      <c r="N206" s="375" t="s">
        <v>85</v>
      </c>
      <c r="O206" s="374" t="s">
        <v>309</v>
      </c>
      <c r="P206" s="373" t="s">
        <v>280</v>
      </c>
      <c r="Q206" s="374"/>
      <c r="R206" s="374"/>
      <c r="S206" s="375" t="s">
        <v>88</v>
      </c>
      <c r="T206" s="374" t="s">
        <v>351</v>
      </c>
      <c r="U206" s="373" t="s">
        <v>280</v>
      </c>
      <c r="V206" s="375"/>
      <c r="W206" s="375"/>
      <c r="X206" s="375" t="s">
        <v>1157</v>
      </c>
      <c r="Y206" s="374"/>
      <c r="Z206" s="373" t="s">
        <v>1158</v>
      </c>
      <c r="AA206" s="375"/>
      <c r="AB206" s="375"/>
      <c r="AC206" s="375" t="s">
        <v>1159</v>
      </c>
      <c r="AD206" s="374"/>
      <c r="AE206" s="373" t="s">
        <v>280</v>
      </c>
      <c r="AF206" s="375"/>
      <c r="AG206" s="375"/>
      <c r="AH206" s="375" t="s">
        <v>1160</v>
      </c>
      <c r="AI206" s="375"/>
      <c r="AJ206" s="373" t="s">
        <v>280</v>
      </c>
      <c r="AK206" s="375"/>
      <c r="AL206" s="375"/>
      <c r="AM206" s="375"/>
      <c r="AN206" s="375"/>
      <c r="AO206" s="375"/>
      <c r="AP206" s="375"/>
      <c r="AQ206" s="375"/>
      <c r="AR206" s="375"/>
      <c r="AS206" s="375"/>
      <c r="AT206" s="375"/>
      <c r="AU206" s="375"/>
      <c r="AV206" s="376"/>
    </row>
    <row r="207" spans="1:48" ht="57.6" hidden="1">
      <c r="A207" s="137" t="s">
        <v>1161</v>
      </c>
      <c r="B207" s="36" t="s">
        <v>1162</v>
      </c>
      <c r="C207" s="36"/>
      <c r="D207" s="35" t="s">
        <v>277</v>
      </c>
      <c r="E207" s="35"/>
      <c r="F207" s="20"/>
      <c r="G207" s="20"/>
      <c r="H207" s="432">
        <v>2022</v>
      </c>
      <c r="I207" s="36" t="s">
        <v>85</v>
      </c>
      <c r="J207" s="94"/>
      <c r="K207" s="94"/>
      <c r="L207" s="94" t="s">
        <v>309</v>
      </c>
      <c r="M207" s="380" t="s">
        <v>280</v>
      </c>
      <c r="N207" s="36" t="s">
        <v>85</v>
      </c>
      <c r="O207" s="94" t="s">
        <v>309</v>
      </c>
      <c r="P207" s="380" t="s">
        <v>280</v>
      </c>
      <c r="Q207" s="94"/>
      <c r="R207" s="94"/>
      <c r="S207" s="36" t="s">
        <v>21</v>
      </c>
      <c r="T207" s="94" t="s">
        <v>309</v>
      </c>
      <c r="U207" s="380" t="s">
        <v>280</v>
      </c>
      <c r="V207" s="36"/>
      <c r="W207" s="36"/>
      <c r="X207" s="36" t="s">
        <v>88</v>
      </c>
      <c r="Y207" s="94" t="s">
        <v>351</v>
      </c>
      <c r="Z207" s="380" t="s">
        <v>280</v>
      </c>
      <c r="AA207" s="36"/>
      <c r="AB207" s="36"/>
      <c r="AC207" s="36" t="s">
        <v>1163</v>
      </c>
      <c r="AD207" s="94"/>
      <c r="AE207" s="380" t="s">
        <v>280</v>
      </c>
      <c r="AF207" s="36"/>
      <c r="AG207" s="36"/>
      <c r="AH207" s="36" t="s">
        <v>1164</v>
      </c>
      <c r="AI207" s="36"/>
      <c r="AJ207" s="380" t="s">
        <v>280</v>
      </c>
      <c r="AK207" s="36"/>
      <c r="AL207" s="36"/>
      <c r="AM207" s="36" t="s">
        <v>1165</v>
      </c>
      <c r="AN207" s="36"/>
      <c r="AO207" s="380" t="s">
        <v>280</v>
      </c>
      <c r="AP207" s="36"/>
      <c r="AQ207" s="36"/>
      <c r="AR207" s="36"/>
      <c r="AS207" s="36"/>
      <c r="AT207" s="36"/>
      <c r="AU207" s="36"/>
      <c r="AV207" s="381"/>
    </row>
    <row r="208" spans="1:48" ht="43.2" hidden="1">
      <c r="A208" s="394" t="s">
        <v>1166</v>
      </c>
      <c r="B208" s="375" t="s">
        <v>1167</v>
      </c>
      <c r="C208" s="375"/>
      <c r="D208" s="395" t="s">
        <v>942</v>
      </c>
      <c r="E208" s="395"/>
      <c r="F208" s="372"/>
      <c r="G208" s="372"/>
      <c r="H208" s="431">
        <v>2022</v>
      </c>
      <c r="I208" s="375"/>
      <c r="J208" s="374"/>
      <c r="K208" s="374"/>
      <c r="L208" s="374"/>
      <c r="M208" s="374"/>
      <c r="N208" s="375" t="s">
        <v>1168</v>
      </c>
      <c r="O208" s="374"/>
      <c r="P208" s="373" t="s">
        <v>280</v>
      </c>
      <c r="Q208" s="374"/>
      <c r="R208" s="374"/>
      <c r="S208" s="375" t="s">
        <v>1169</v>
      </c>
      <c r="T208" s="374"/>
      <c r="U208" s="373" t="s">
        <v>280</v>
      </c>
      <c r="V208" s="375"/>
      <c r="W208" s="375"/>
      <c r="X208" s="375" t="s">
        <v>1170</v>
      </c>
      <c r="Y208" s="374"/>
      <c r="Z208" s="373" t="s">
        <v>280</v>
      </c>
      <c r="AA208" s="375"/>
      <c r="AB208" s="375"/>
      <c r="AC208" s="375" t="s">
        <v>89</v>
      </c>
      <c r="AD208" s="374" t="s">
        <v>162</v>
      </c>
      <c r="AE208" s="373" t="s">
        <v>280</v>
      </c>
      <c r="AF208" s="375"/>
      <c r="AG208" s="375"/>
      <c r="AH208" s="375"/>
      <c r="AI208" s="375"/>
      <c r="AJ208" s="375"/>
      <c r="AK208" s="375"/>
      <c r="AL208" s="375"/>
      <c r="AM208" s="375"/>
      <c r="AN208" s="375"/>
      <c r="AO208" s="375"/>
      <c r="AP208" s="375"/>
      <c r="AQ208" s="375"/>
      <c r="AR208" s="375"/>
      <c r="AS208" s="375"/>
      <c r="AT208" s="375"/>
      <c r="AU208" s="375"/>
      <c r="AV208" s="376"/>
    </row>
    <row r="209" spans="1:48" ht="43.2" hidden="1">
      <c r="A209" s="137" t="s">
        <v>1171</v>
      </c>
      <c r="B209" s="36" t="s">
        <v>1172</v>
      </c>
      <c r="C209" s="36"/>
      <c r="D209" s="35" t="s">
        <v>416</v>
      </c>
      <c r="E209" s="35"/>
      <c r="F209" s="20"/>
      <c r="G209" s="20"/>
      <c r="H209" s="432">
        <v>2022</v>
      </c>
      <c r="I209" s="36"/>
      <c r="J209" s="94"/>
      <c r="K209" s="94"/>
      <c r="L209" s="94"/>
      <c r="M209" s="94"/>
      <c r="N209" s="36" t="s">
        <v>1173</v>
      </c>
      <c r="O209" s="94"/>
      <c r="P209" s="94" t="s">
        <v>1174</v>
      </c>
      <c r="Q209" s="94"/>
      <c r="R209" s="94"/>
      <c r="S209" s="36" t="s">
        <v>77</v>
      </c>
      <c r="T209" s="94" t="s">
        <v>309</v>
      </c>
      <c r="U209" s="380" t="s">
        <v>280</v>
      </c>
      <c r="V209" s="36"/>
      <c r="W209" s="36"/>
      <c r="X209" s="36" t="s">
        <v>1175</v>
      </c>
      <c r="Y209" s="94"/>
      <c r="Z209" s="380" t="s">
        <v>1176</v>
      </c>
      <c r="AA209" s="36"/>
      <c r="AB209" s="36"/>
      <c r="AC209" s="36" t="s">
        <v>1177</v>
      </c>
      <c r="AD209" s="94"/>
      <c r="AE209" s="380" t="s">
        <v>1178</v>
      </c>
      <c r="AF209" s="36"/>
      <c r="AG209" s="36"/>
      <c r="AH209" s="36" t="s">
        <v>1179</v>
      </c>
      <c r="AI209" s="36"/>
      <c r="AJ209" s="380" t="s">
        <v>420</v>
      </c>
      <c r="AK209" s="36"/>
      <c r="AL209" s="36"/>
      <c r="AM209" s="36" t="s">
        <v>1180</v>
      </c>
      <c r="AN209" s="36"/>
      <c r="AO209" s="94" t="s">
        <v>1181</v>
      </c>
      <c r="AP209" s="36"/>
      <c r="AQ209" s="36"/>
      <c r="AR209" s="36" t="s">
        <v>1182</v>
      </c>
      <c r="AS209" s="36"/>
      <c r="AT209" s="36" t="s">
        <v>1183</v>
      </c>
      <c r="AU209" s="36"/>
      <c r="AV209" s="381"/>
    </row>
    <row r="210" spans="1:48" ht="43.2" hidden="1">
      <c r="A210" s="394" t="s">
        <v>1184</v>
      </c>
      <c r="B210" s="375" t="s">
        <v>1185</v>
      </c>
      <c r="C210" s="375"/>
      <c r="D210" s="395" t="s">
        <v>1186</v>
      </c>
      <c r="E210" s="395"/>
      <c r="F210" s="372"/>
      <c r="G210" s="372"/>
      <c r="H210" s="431">
        <v>2022</v>
      </c>
      <c r="I210" s="375"/>
      <c r="J210" s="374"/>
      <c r="K210" s="374"/>
      <c r="L210" s="374"/>
      <c r="M210" s="374"/>
      <c r="N210" s="375" t="s">
        <v>540</v>
      </c>
      <c r="O210" s="374"/>
      <c r="P210" s="374" t="s">
        <v>541</v>
      </c>
      <c r="Q210" s="374"/>
      <c r="R210" s="374"/>
      <c r="S210" s="375" t="s">
        <v>542</v>
      </c>
      <c r="T210" s="374"/>
      <c r="U210" s="374" t="s">
        <v>541</v>
      </c>
      <c r="V210" s="375"/>
      <c r="W210" s="375"/>
      <c r="X210" s="375" t="s">
        <v>77</v>
      </c>
      <c r="Y210" s="374" t="s">
        <v>309</v>
      </c>
      <c r="Z210" s="373" t="s">
        <v>280</v>
      </c>
      <c r="AA210" s="375"/>
      <c r="AB210" s="375"/>
      <c r="AC210" s="375" t="s">
        <v>1187</v>
      </c>
      <c r="AD210" s="374"/>
      <c r="AE210" s="374" t="s">
        <v>541</v>
      </c>
      <c r="AF210" s="375"/>
      <c r="AG210" s="375"/>
      <c r="AH210" s="375" t="s">
        <v>543</v>
      </c>
      <c r="AI210" s="375"/>
      <c r="AJ210" s="374" t="s">
        <v>541</v>
      </c>
      <c r="AK210" s="375"/>
      <c r="AL210" s="375"/>
      <c r="AM210" s="375" t="s">
        <v>544</v>
      </c>
      <c r="AN210" s="375"/>
      <c r="AO210" s="374" t="s">
        <v>541</v>
      </c>
      <c r="AP210" s="375"/>
      <c r="AQ210" s="375"/>
      <c r="AR210" s="375" t="s">
        <v>545</v>
      </c>
      <c r="AS210" s="375"/>
      <c r="AT210" s="374" t="s">
        <v>541</v>
      </c>
      <c r="AU210" s="375"/>
      <c r="AV210" s="376"/>
    </row>
    <row r="211" spans="1:48" ht="43.2" hidden="1">
      <c r="A211" s="137" t="s">
        <v>1188</v>
      </c>
      <c r="B211" s="36" t="s">
        <v>1189</v>
      </c>
      <c r="C211" s="36"/>
      <c r="D211" s="35" t="s">
        <v>1190</v>
      </c>
      <c r="E211" s="75" t="s">
        <v>303</v>
      </c>
      <c r="F211" s="20"/>
      <c r="G211" s="20"/>
      <c r="H211" s="432">
        <v>2022</v>
      </c>
      <c r="I211" s="36" t="s">
        <v>1175</v>
      </c>
      <c r="J211" s="94"/>
      <c r="K211" s="94"/>
      <c r="L211" s="94"/>
      <c r="M211" s="380" t="s">
        <v>1176</v>
      </c>
      <c r="N211" s="36" t="s">
        <v>77</v>
      </c>
      <c r="O211" s="94" t="s">
        <v>309</v>
      </c>
      <c r="P211" s="380" t="s">
        <v>280</v>
      </c>
      <c r="Q211" s="94"/>
      <c r="R211" s="94"/>
      <c r="S211" s="36" t="s">
        <v>1175</v>
      </c>
      <c r="T211" s="94"/>
      <c r="U211" s="380" t="s">
        <v>1176</v>
      </c>
      <c r="V211" s="36"/>
      <c r="W211" s="36"/>
      <c r="X211" s="36" t="s">
        <v>1191</v>
      </c>
      <c r="Y211" s="94"/>
      <c r="Z211" s="380" t="s">
        <v>1176</v>
      </c>
      <c r="AA211" s="36"/>
      <c r="AB211" s="36"/>
      <c r="AC211" s="36" t="s">
        <v>17</v>
      </c>
      <c r="AD211" s="94" t="s">
        <v>353</v>
      </c>
      <c r="AE211" s="380" t="s">
        <v>280</v>
      </c>
      <c r="AF211" s="36"/>
      <c r="AG211" s="36"/>
      <c r="AH211" s="36" t="s">
        <v>1173</v>
      </c>
      <c r="AI211" s="94"/>
      <c r="AJ211" s="36" t="s">
        <v>1174</v>
      </c>
      <c r="AK211" s="36"/>
      <c r="AL211" s="36"/>
      <c r="AM211" s="36" t="s">
        <v>1192</v>
      </c>
      <c r="AN211" s="36"/>
      <c r="AO211" s="380" t="s">
        <v>1176</v>
      </c>
      <c r="AP211" s="36"/>
      <c r="AQ211" s="36"/>
      <c r="AR211" s="36" t="s">
        <v>1193</v>
      </c>
      <c r="AS211" s="36"/>
      <c r="AT211" s="380" t="s">
        <v>1176</v>
      </c>
      <c r="AU211" s="36"/>
      <c r="AV211" s="381"/>
    </row>
    <row r="212" spans="1:48" ht="28.8" hidden="1">
      <c r="A212" s="394" t="s">
        <v>1194</v>
      </c>
      <c r="B212" s="375" t="s">
        <v>1195</v>
      </c>
      <c r="C212" s="375"/>
      <c r="D212" s="395" t="s">
        <v>528</v>
      </c>
      <c r="E212" s="395"/>
      <c r="F212" s="372"/>
      <c r="G212" s="372"/>
      <c r="H212" s="431">
        <v>2022</v>
      </c>
      <c r="I212" s="375"/>
      <c r="J212" s="374"/>
      <c r="K212" s="374"/>
      <c r="L212" s="374"/>
      <c r="M212" s="374"/>
      <c r="N212" s="375" t="s">
        <v>77</v>
      </c>
      <c r="O212" s="374" t="s">
        <v>309</v>
      </c>
      <c r="P212" s="373" t="s">
        <v>280</v>
      </c>
      <c r="Q212" s="374"/>
      <c r="R212" s="374"/>
      <c r="S212" s="375" t="s">
        <v>540</v>
      </c>
      <c r="T212" s="374"/>
      <c r="U212" s="374" t="s">
        <v>541</v>
      </c>
      <c r="V212" s="375"/>
      <c r="W212" s="375"/>
      <c r="X212" s="375" t="s">
        <v>1187</v>
      </c>
      <c r="Y212" s="374"/>
      <c r="Z212" s="374" t="s">
        <v>541</v>
      </c>
      <c r="AA212" s="375"/>
      <c r="AB212" s="375"/>
      <c r="AC212" s="375" t="s">
        <v>543</v>
      </c>
      <c r="AD212" s="375"/>
      <c r="AE212" s="374" t="s">
        <v>541</v>
      </c>
      <c r="AF212" s="375"/>
      <c r="AG212" s="375"/>
      <c r="AH212" s="375" t="s">
        <v>544</v>
      </c>
      <c r="AI212" s="375"/>
      <c r="AJ212" s="374" t="s">
        <v>541</v>
      </c>
      <c r="AK212" s="375"/>
      <c r="AL212" s="375"/>
      <c r="AM212" s="375" t="s">
        <v>545</v>
      </c>
      <c r="AN212" s="375"/>
      <c r="AO212" s="374" t="s">
        <v>541</v>
      </c>
      <c r="AP212" s="375"/>
      <c r="AQ212" s="375"/>
      <c r="AR212" s="375"/>
      <c r="AS212" s="375"/>
      <c r="AT212" s="375"/>
      <c r="AU212" s="375"/>
      <c r="AV212" s="376"/>
    </row>
    <row r="213" spans="1:48" ht="28.8" hidden="1">
      <c r="A213" s="137" t="s">
        <v>1196</v>
      </c>
      <c r="B213" s="36" t="s">
        <v>1197</v>
      </c>
      <c r="C213" s="36"/>
      <c r="D213" s="35" t="s">
        <v>286</v>
      </c>
      <c r="E213" s="35"/>
      <c r="F213" s="20"/>
      <c r="G213" s="20"/>
      <c r="H213" s="432">
        <v>2022</v>
      </c>
      <c r="I213" s="36" t="s">
        <v>1198</v>
      </c>
      <c r="J213" s="94"/>
      <c r="K213" s="94"/>
      <c r="L213" s="94"/>
      <c r="M213" s="380" t="s">
        <v>420</v>
      </c>
      <c r="N213" s="36" t="s">
        <v>1198</v>
      </c>
      <c r="O213" s="94"/>
      <c r="P213" s="380" t="s">
        <v>420</v>
      </c>
      <c r="Q213" s="94"/>
      <c r="R213" s="94"/>
      <c r="S213" s="36" t="s">
        <v>1199</v>
      </c>
      <c r="T213" s="94"/>
      <c r="U213" s="94" t="s">
        <v>1178</v>
      </c>
      <c r="V213" s="36"/>
      <c r="W213" s="36"/>
      <c r="X213" s="36" t="s">
        <v>1179</v>
      </c>
      <c r="Y213" s="94"/>
      <c r="Z213" s="380" t="s">
        <v>420</v>
      </c>
      <c r="AA213" s="36"/>
      <c r="AB213" s="36"/>
      <c r="AC213" s="36" t="s">
        <v>1175</v>
      </c>
      <c r="AD213" s="94"/>
      <c r="AE213" s="380" t="s">
        <v>1176</v>
      </c>
      <c r="AF213" s="36"/>
      <c r="AG213" s="36"/>
      <c r="AH213" s="36" t="s">
        <v>77</v>
      </c>
      <c r="AI213" s="94" t="s">
        <v>309</v>
      </c>
      <c r="AJ213" s="380" t="s">
        <v>280</v>
      </c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81"/>
    </row>
    <row r="214" spans="1:48" ht="28.8" hidden="1">
      <c r="A214" s="394" t="s">
        <v>1200</v>
      </c>
      <c r="B214" s="375" t="s">
        <v>1201</v>
      </c>
      <c r="C214" s="375"/>
      <c r="D214" s="395" t="s">
        <v>277</v>
      </c>
      <c r="E214" s="395"/>
      <c r="F214" s="372"/>
      <c r="G214" s="372"/>
      <c r="H214" s="431">
        <v>2022</v>
      </c>
      <c r="I214" s="375" t="s">
        <v>1175</v>
      </c>
      <c r="J214" s="374"/>
      <c r="K214" s="374"/>
      <c r="L214" s="374"/>
      <c r="M214" s="373" t="s">
        <v>1176</v>
      </c>
      <c r="N214" s="375" t="s">
        <v>1193</v>
      </c>
      <c r="O214" s="374"/>
      <c r="P214" s="373" t="s">
        <v>1176</v>
      </c>
      <c r="Q214" s="374"/>
      <c r="R214" s="374"/>
      <c r="S214" s="375" t="s">
        <v>77</v>
      </c>
      <c r="T214" s="374" t="s">
        <v>309</v>
      </c>
      <c r="U214" s="373" t="s">
        <v>280</v>
      </c>
      <c r="V214" s="375"/>
      <c r="W214" s="375"/>
      <c r="X214" s="375" t="s">
        <v>1175</v>
      </c>
      <c r="Y214" s="374"/>
      <c r="Z214" s="373" t="s">
        <v>1176</v>
      </c>
      <c r="AA214" s="375"/>
      <c r="AB214" s="375"/>
      <c r="AC214" s="375" t="s">
        <v>1191</v>
      </c>
      <c r="AD214" s="374"/>
      <c r="AE214" s="373" t="s">
        <v>1176</v>
      </c>
      <c r="AF214" s="375"/>
      <c r="AG214" s="375"/>
      <c r="AH214" s="375" t="s">
        <v>17</v>
      </c>
      <c r="AI214" s="374" t="s">
        <v>353</v>
      </c>
      <c r="AJ214" s="373" t="s">
        <v>280</v>
      </c>
      <c r="AK214" s="375"/>
      <c r="AL214" s="375"/>
      <c r="AM214" s="375" t="s">
        <v>1202</v>
      </c>
      <c r="AN214" s="375"/>
      <c r="AO214" s="375" t="s">
        <v>1174</v>
      </c>
      <c r="AP214" s="375"/>
      <c r="AQ214" s="375"/>
      <c r="AR214" s="375" t="s">
        <v>1203</v>
      </c>
      <c r="AS214" s="374" t="s">
        <v>309</v>
      </c>
      <c r="AT214" s="373" t="s">
        <v>280</v>
      </c>
      <c r="AU214" s="375"/>
      <c r="AV214" s="376"/>
    </row>
    <row r="215" spans="1:48" ht="43.2" hidden="1">
      <c r="A215" s="137" t="s">
        <v>1204</v>
      </c>
      <c r="B215" s="36" t="s">
        <v>1205</v>
      </c>
      <c r="C215" s="36"/>
      <c r="D215" s="35" t="s">
        <v>286</v>
      </c>
      <c r="E215" s="35"/>
      <c r="F215" s="20"/>
      <c r="G215" s="20"/>
      <c r="H215" s="432">
        <v>2022</v>
      </c>
      <c r="I215" s="36" t="s">
        <v>1198</v>
      </c>
      <c r="J215" s="94"/>
      <c r="K215" s="94"/>
      <c r="L215" s="94"/>
      <c r="M215" s="380" t="s">
        <v>420</v>
      </c>
      <c r="N215" s="36" t="s">
        <v>1198</v>
      </c>
      <c r="O215" s="94"/>
      <c r="P215" s="380" t="s">
        <v>420</v>
      </c>
      <c r="Q215" s="94"/>
      <c r="R215" s="94"/>
      <c r="S215" s="36" t="s">
        <v>1199</v>
      </c>
      <c r="T215" s="94"/>
      <c r="U215" s="94" t="s">
        <v>1178</v>
      </c>
      <c r="V215" s="36"/>
      <c r="W215" s="36"/>
      <c r="X215" s="36" t="s">
        <v>1179</v>
      </c>
      <c r="Y215" s="94"/>
      <c r="Z215" s="380" t="s">
        <v>420</v>
      </c>
      <c r="AA215" s="36"/>
      <c r="AB215" s="36"/>
      <c r="AC215" s="36" t="s">
        <v>1175</v>
      </c>
      <c r="AD215" s="94"/>
      <c r="AE215" s="380" t="s">
        <v>1176</v>
      </c>
      <c r="AF215" s="36"/>
      <c r="AG215" s="36"/>
      <c r="AH215" s="36" t="s">
        <v>77</v>
      </c>
      <c r="AI215" s="94" t="s">
        <v>309</v>
      </c>
      <c r="AJ215" s="380" t="s">
        <v>280</v>
      </c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81"/>
    </row>
    <row r="216" spans="1:48" ht="43.2" hidden="1">
      <c r="A216" s="394" t="s">
        <v>1206</v>
      </c>
      <c r="B216" s="375" t="s">
        <v>1207</v>
      </c>
      <c r="C216" s="375"/>
      <c r="D216" s="395" t="s">
        <v>306</v>
      </c>
      <c r="E216" s="370" t="s">
        <v>303</v>
      </c>
      <c r="F216" s="372"/>
      <c r="G216" s="372"/>
      <c r="H216" s="431">
        <v>2022</v>
      </c>
      <c r="I216" s="375" t="s">
        <v>1208</v>
      </c>
      <c r="J216" s="374"/>
      <c r="K216" s="374"/>
      <c r="L216" s="374"/>
      <c r="M216" s="373" t="s">
        <v>366</v>
      </c>
      <c r="N216" s="375" t="s">
        <v>1208</v>
      </c>
      <c r="O216" s="374"/>
      <c r="P216" s="373" t="s">
        <v>366</v>
      </c>
      <c r="Q216" s="374"/>
      <c r="R216" s="374"/>
      <c r="S216" s="375" t="s">
        <v>1209</v>
      </c>
      <c r="T216" s="374"/>
      <c r="U216" s="373" t="s">
        <v>366</v>
      </c>
      <c r="V216" s="375"/>
      <c r="W216" s="375"/>
      <c r="X216" s="375" t="s">
        <v>1210</v>
      </c>
      <c r="Y216" s="374"/>
      <c r="Z216" s="373" t="s">
        <v>366</v>
      </c>
      <c r="AA216" s="375"/>
      <c r="AB216" s="375"/>
      <c r="AC216" s="375" t="s">
        <v>1211</v>
      </c>
      <c r="AD216" s="374" t="s">
        <v>449</v>
      </c>
      <c r="AE216" s="373" t="s">
        <v>280</v>
      </c>
      <c r="AF216" s="375"/>
      <c r="AG216" s="375"/>
      <c r="AH216" s="375"/>
      <c r="AI216" s="375"/>
      <c r="AJ216" s="375"/>
      <c r="AK216" s="375"/>
      <c r="AL216" s="375"/>
      <c r="AM216" s="375"/>
      <c r="AN216" s="375"/>
      <c r="AO216" s="375"/>
      <c r="AP216" s="375"/>
      <c r="AQ216" s="375"/>
      <c r="AR216" s="375"/>
      <c r="AS216" s="375"/>
      <c r="AT216" s="375"/>
      <c r="AU216" s="375"/>
      <c r="AV216" s="376"/>
    </row>
    <row r="217" spans="1:48" ht="28.8" hidden="1">
      <c r="A217" s="137" t="s">
        <v>1212</v>
      </c>
      <c r="B217" s="36" t="s">
        <v>1213</v>
      </c>
      <c r="C217" s="36"/>
      <c r="D217" s="35" t="s">
        <v>313</v>
      </c>
      <c r="E217" s="35"/>
      <c r="F217" s="20"/>
      <c r="G217" s="20"/>
      <c r="H217" s="432">
        <v>2022</v>
      </c>
      <c r="I217" s="36" t="s">
        <v>15</v>
      </c>
      <c r="J217" s="94"/>
      <c r="K217" s="94"/>
      <c r="L217" s="94" t="s">
        <v>449</v>
      </c>
      <c r="M217" s="380" t="s">
        <v>280</v>
      </c>
      <c r="N217" s="36" t="s">
        <v>15</v>
      </c>
      <c r="O217" s="94" t="s">
        <v>449</v>
      </c>
      <c r="P217" s="380" t="s">
        <v>280</v>
      </c>
      <c r="Q217" s="94"/>
      <c r="R217" s="94"/>
      <c r="S217" s="36" t="s">
        <v>9</v>
      </c>
      <c r="T217" s="94" t="s">
        <v>449</v>
      </c>
      <c r="U217" s="380" t="s">
        <v>280</v>
      </c>
      <c r="V217" s="36"/>
      <c r="W217" s="36"/>
      <c r="X217" s="36" t="s">
        <v>20</v>
      </c>
      <c r="Y217" s="94" t="s">
        <v>449</v>
      </c>
      <c r="Z217" s="380" t="s">
        <v>280</v>
      </c>
      <c r="AA217" s="36"/>
      <c r="AB217" s="36"/>
      <c r="AC217" s="36" t="s">
        <v>1211</v>
      </c>
      <c r="AD217" s="94" t="s">
        <v>449</v>
      </c>
      <c r="AE217" s="380" t="s">
        <v>280</v>
      </c>
      <c r="AF217" s="36"/>
      <c r="AG217" s="36"/>
      <c r="AH217" s="36" t="s">
        <v>48</v>
      </c>
      <c r="AI217" s="94" t="s">
        <v>449</v>
      </c>
      <c r="AJ217" s="380" t="s">
        <v>280</v>
      </c>
      <c r="AK217" s="36"/>
      <c r="AL217" s="36"/>
      <c r="AM217" s="36" t="s">
        <v>1214</v>
      </c>
      <c r="AN217" s="94" t="s">
        <v>449</v>
      </c>
      <c r="AO217" s="380" t="s">
        <v>280</v>
      </c>
      <c r="AP217" s="36"/>
      <c r="AQ217" s="36"/>
      <c r="AR217" s="36" t="s">
        <v>1215</v>
      </c>
      <c r="AS217" s="94" t="s">
        <v>449</v>
      </c>
      <c r="AT217" s="380" t="s">
        <v>280</v>
      </c>
      <c r="AU217" s="36"/>
      <c r="AV217" s="381"/>
    </row>
    <row r="218" spans="1:48" ht="28.8" hidden="1">
      <c r="A218" s="394" t="s">
        <v>1216</v>
      </c>
      <c r="B218" s="375" t="s">
        <v>1217</v>
      </c>
      <c r="C218" s="375"/>
      <c r="D218" s="395" t="s">
        <v>306</v>
      </c>
      <c r="E218" s="370" t="s">
        <v>303</v>
      </c>
      <c r="F218" s="372"/>
      <c r="G218" s="372"/>
      <c r="H218" s="431">
        <v>2022</v>
      </c>
      <c r="I218" s="375" t="s">
        <v>18</v>
      </c>
      <c r="J218" s="374"/>
      <c r="K218" s="374"/>
      <c r="L218" s="374" t="s">
        <v>449</v>
      </c>
      <c r="M218" s="373" t="s">
        <v>280</v>
      </c>
      <c r="N218" s="375" t="s">
        <v>18</v>
      </c>
      <c r="O218" s="374" t="s">
        <v>449</v>
      </c>
      <c r="P218" s="373" t="s">
        <v>280</v>
      </c>
      <c r="Q218" s="374"/>
      <c r="R218" s="374"/>
      <c r="S218" s="375" t="s">
        <v>1218</v>
      </c>
      <c r="T218" s="374"/>
      <c r="U218" s="373" t="s">
        <v>366</v>
      </c>
      <c r="V218" s="375"/>
      <c r="W218" s="375"/>
      <c r="X218" s="375" t="s">
        <v>1219</v>
      </c>
      <c r="Y218" s="374"/>
      <c r="Z218" s="373" t="s">
        <v>1178</v>
      </c>
      <c r="AA218" s="375"/>
      <c r="AB218" s="375"/>
      <c r="AC218" s="375" t="s">
        <v>1220</v>
      </c>
      <c r="AD218" s="374" t="s">
        <v>279</v>
      </c>
      <c r="AE218" s="373" t="s">
        <v>280</v>
      </c>
      <c r="AF218" s="375"/>
      <c r="AG218" s="375"/>
      <c r="AH218" s="375"/>
      <c r="AI218" s="375"/>
      <c r="AJ218" s="375"/>
      <c r="AK218" s="375"/>
      <c r="AL218" s="375"/>
      <c r="AM218" s="375"/>
      <c r="AN218" s="375"/>
      <c r="AO218" s="375"/>
      <c r="AP218" s="375"/>
      <c r="AQ218" s="375"/>
      <c r="AR218" s="375"/>
      <c r="AS218" s="375"/>
      <c r="AT218" s="375"/>
      <c r="AU218" s="375"/>
      <c r="AV218" s="376"/>
    </row>
    <row r="219" spans="1:48" ht="28.8" hidden="1">
      <c r="A219" s="137" t="s">
        <v>1221</v>
      </c>
      <c r="B219" s="36" t="s">
        <v>1222</v>
      </c>
      <c r="C219" s="36"/>
      <c r="D219" s="35" t="s">
        <v>277</v>
      </c>
      <c r="E219" s="35"/>
      <c r="F219" s="20"/>
      <c r="G219" s="20"/>
      <c r="H219" s="432">
        <v>2022</v>
      </c>
      <c r="I219" s="378" t="s">
        <v>20</v>
      </c>
      <c r="J219" s="380"/>
      <c r="K219" s="380"/>
      <c r="L219" s="380" t="s">
        <v>449</v>
      </c>
      <c r="M219" s="380" t="s">
        <v>280</v>
      </c>
      <c r="N219" s="378" t="s">
        <v>20</v>
      </c>
      <c r="O219" s="380" t="s">
        <v>449</v>
      </c>
      <c r="P219" s="380" t="s">
        <v>280</v>
      </c>
      <c r="Q219" s="380"/>
      <c r="R219" s="380"/>
      <c r="S219" s="36" t="s">
        <v>48</v>
      </c>
      <c r="T219" s="94" t="s">
        <v>449</v>
      </c>
      <c r="U219" s="380" t="s">
        <v>280</v>
      </c>
      <c r="V219" s="36"/>
      <c r="W219" s="36"/>
      <c r="X219" s="36" t="s">
        <v>18</v>
      </c>
      <c r="Y219" s="380" t="s">
        <v>449</v>
      </c>
      <c r="Z219" s="380" t="s">
        <v>280</v>
      </c>
      <c r="AA219" s="36"/>
      <c r="AB219" s="36"/>
      <c r="AC219" s="36" t="s">
        <v>1223</v>
      </c>
      <c r="AD219" s="94" t="s">
        <v>449</v>
      </c>
      <c r="AE219" s="380" t="s">
        <v>280</v>
      </c>
      <c r="AF219" s="36"/>
      <c r="AG219" s="36"/>
      <c r="AH219" s="36" t="s">
        <v>1224</v>
      </c>
      <c r="AI219" s="94" t="s">
        <v>449</v>
      </c>
      <c r="AJ219" s="380" t="s">
        <v>280</v>
      </c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81"/>
    </row>
    <row r="220" spans="1:48" ht="43.2" hidden="1">
      <c r="A220" s="394" t="s">
        <v>1225</v>
      </c>
      <c r="B220" s="375" t="s">
        <v>1226</v>
      </c>
      <c r="C220" s="375"/>
      <c r="D220" s="395" t="s">
        <v>277</v>
      </c>
      <c r="E220" s="395"/>
      <c r="F220" s="372"/>
      <c r="G220" s="372"/>
      <c r="H220" s="431">
        <v>2022</v>
      </c>
      <c r="I220" s="375"/>
      <c r="J220" s="374"/>
      <c r="K220" s="374"/>
      <c r="L220" s="374"/>
      <c r="M220" s="374"/>
      <c r="N220" s="375" t="s">
        <v>1227</v>
      </c>
      <c r="O220" s="374"/>
      <c r="P220" s="373" t="s">
        <v>514</v>
      </c>
      <c r="Q220" s="374"/>
      <c r="R220" s="374"/>
      <c r="S220" s="375" t="s">
        <v>1228</v>
      </c>
      <c r="T220" s="374"/>
      <c r="U220" s="373" t="s">
        <v>514</v>
      </c>
      <c r="V220" s="375"/>
      <c r="W220" s="375"/>
      <c r="X220" s="375" t="s">
        <v>1229</v>
      </c>
      <c r="Y220" s="374"/>
      <c r="Z220" s="373" t="s">
        <v>514</v>
      </c>
      <c r="AA220" s="375"/>
      <c r="AB220" s="375"/>
      <c r="AC220" s="375" t="s">
        <v>1230</v>
      </c>
      <c r="AD220" s="374"/>
      <c r="AE220" s="373" t="s">
        <v>514</v>
      </c>
      <c r="AF220" s="375"/>
      <c r="AG220" s="375"/>
      <c r="AH220" s="375" t="s">
        <v>1231</v>
      </c>
      <c r="AI220" s="375"/>
      <c r="AJ220" s="373" t="s">
        <v>514</v>
      </c>
      <c r="AK220" s="375"/>
      <c r="AL220" s="375"/>
      <c r="AM220" s="375" t="s">
        <v>18</v>
      </c>
      <c r="AN220" s="373" t="s">
        <v>449</v>
      </c>
      <c r="AO220" s="373" t="s">
        <v>280</v>
      </c>
      <c r="AP220" s="375"/>
      <c r="AQ220" s="375"/>
      <c r="AR220" s="375"/>
      <c r="AS220" s="375"/>
      <c r="AT220" s="375"/>
      <c r="AU220" s="375"/>
      <c r="AV220" s="376"/>
    </row>
    <row r="221" spans="1:48" ht="43.2" hidden="1">
      <c r="A221" s="137" t="s">
        <v>1232</v>
      </c>
      <c r="B221" s="36" t="s">
        <v>1233</v>
      </c>
      <c r="C221" s="36"/>
      <c r="D221" s="35" t="s">
        <v>302</v>
      </c>
      <c r="E221" s="75" t="s">
        <v>303</v>
      </c>
      <c r="F221" s="20"/>
      <c r="G221" s="20"/>
      <c r="H221" s="432">
        <v>2022</v>
      </c>
      <c r="I221" s="36"/>
      <c r="J221" s="94"/>
      <c r="K221" s="94"/>
      <c r="L221" s="94"/>
      <c r="M221" s="94"/>
      <c r="N221" s="36" t="s">
        <v>47</v>
      </c>
      <c r="O221" s="380" t="s">
        <v>353</v>
      </c>
      <c r="P221" s="380" t="s">
        <v>280</v>
      </c>
      <c r="Q221" s="94"/>
      <c r="R221" s="94"/>
      <c r="S221" s="36" t="s">
        <v>352</v>
      </c>
      <c r="T221" s="380" t="s">
        <v>353</v>
      </c>
      <c r="U221" s="380" t="s">
        <v>280</v>
      </c>
      <c r="V221" s="36"/>
      <c r="W221" s="36"/>
      <c r="X221" s="36"/>
      <c r="Y221" s="94"/>
      <c r="Z221" s="36"/>
      <c r="AA221" s="36"/>
      <c r="AB221" s="36"/>
      <c r="AC221" s="36"/>
      <c r="AD221" s="94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81"/>
    </row>
    <row r="222" spans="1:48" ht="43.2" hidden="1">
      <c r="A222" s="394" t="s">
        <v>1234</v>
      </c>
      <c r="B222" s="375" t="s">
        <v>1235</v>
      </c>
      <c r="C222" s="375"/>
      <c r="D222" s="395" t="s">
        <v>374</v>
      </c>
      <c r="E222" s="370" t="s">
        <v>303</v>
      </c>
      <c r="F222" s="372"/>
      <c r="G222" s="372"/>
      <c r="H222" s="431">
        <v>2022</v>
      </c>
      <c r="I222" s="375"/>
      <c r="J222" s="374"/>
      <c r="K222" s="374"/>
      <c r="L222" s="374"/>
      <c r="M222" s="374"/>
      <c r="N222" s="375" t="s">
        <v>1236</v>
      </c>
      <c r="O222" s="373" t="s">
        <v>353</v>
      </c>
      <c r="P222" s="373" t="s">
        <v>280</v>
      </c>
      <c r="Q222" s="374"/>
      <c r="R222" s="374"/>
      <c r="S222" s="375" t="s">
        <v>47</v>
      </c>
      <c r="T222" s="373" t="s">
        <v>353</v>
      </c>
      <c r="U222" s="373" t="s">
        <v>280</v>
      </c>
      <c r="V222" s="375"/>
      <c r="W222" s="375"/>
      <c r="X222" s="375" t="s">
        <v>352</v>
      </c>
      <c r="Y222" s="373" t="s">
        <v>353</v>
      </c>
      <c r="Z222" s="373" t="s">
        <v>280</v>
      </c>
      <c r="AA222" s="375"/>
      <c r="AB222" s="375"/>
      <c r="AC222" s="375"/>
      <c r="AD222" s="374"/>
      <c r="AE222" s="375"/>
      <c r="AF222" s="375"/>
      <c r="AG222" s="375"/>
      <c r="AH222" s="375"/>
      <c r="AI222" s="375"/>
      <c r="AJ222" s="375"/>
      <c r="AK222" s="375"/>
      <c r="AL222" s="375"/>
      <c r="AM222" s="375"/>
      <c r="AN222" s="375"/>
      <c r="AO222" s="375"/>
      <c r="AP222" s="375"/>
      <c r="AQ222" s="375"/>
      <c r="AR222" s="375"/>
      <c r="AS222" s="375"/>
      <c r="AT222" s="375"/>
      <c r="AU222" s="375"/>
      <c r="AV222" s="376"/>
    </row>
    <row r="223" spans="1:48" ht="43.2" hidden="1">
      <c r="A223" s="137" t="s">
        <v>1237</v>
      </c>
      <c r="B223" s="36" t="s">
        <v>1238</v>
      </c>
      <c r="C223" s="36"/>
      <c r="D223" s="35" t="s">
        <v>277</v>
      </c>
      <c r="E223" s="35"/>
      <c r="F223" s="20"/>
      <c r="G223" s="20"/>
      <c r="H223" s="432">
        <v>2022</v>
      </c>
      <c r="I223" s="36" t="s">
        <v>92</v>
      </c>
      <c r="J223" s="94"/>
      <c r="K223" s="94"/>
      <c r="L223" s="380" t="s">
        <v>309</v>
      </c>
      <c r="M223" s="380" t="s">
        <v>280</v>
      </c>
      <c r="N223" s="36" t="s">
        <v>92</v>
      </c>
      <c r="O223" s="380" t="s">
        <v>309</v>
      </c>
      <c r="P223" s="380" t="s">
        <v>280</v>
      </c>
      <c r="Q223" s="94"/>
      <c r="R223" s="94"/>
      <c r="S223" s="36" t="s">
        <v>550</v>
      </c>
      <c r="T223" s="380" t="s">
        <v>309</v>
      </c>
      <c r="U223" s="380" t="s">
        <v>280</v>
      </c>
      <c r="V223" s="36"/>
      <c r="W223" s="36"/>
      <c r="X223" s="36" t="s">
        <v>1239</v>
      </c>
      <c r="Y223" s="380" t="s">
        <v>309</v>
      </c>
      <c r="Z223" s="380" t="s">
        <v>280</v>
      </c>
      <c r="AA223" s="36"/>
      <c r="AB223" s="36"/>
      <c r="AC223" s="36" t="s">
        <v>10</v>
      </c>
      <c r="AD223" s="380" t="s">
        <v>309</v>
      </c>
      <c r="AE223" s="380" t="s">
        <v>280</v>
      </c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81"/>
    </row>
    <row r="224" spans="1:48" ht="43.2" hidden="1">
      <c r="A224" s="394" t="s">
        <v>1240</v>
      </c>
      <c r="B224" s="375" t="s">
        <v>1241</v>
      </c>
      <c r="C224" s="375"/>
      <c r="D224" s="395" t="s">
        <v>277</v>
      </c>
      <c r="E224" s="395"/>
      <c r="F224" s="372"/>
      <c r="G224" s="372"/>
      <c r="H224" s="431">
        <v>2022</v>
      </c>
      <c r="I224" s="375"/>
      <c r="J224" s="374"/>
      <c r="K224" s="374"/>
      <c r="L224" s="373"/>
      <c r="M224" s="373"/>
      <c r="N224" s="375" t="s">
        <v>1239</v>
      </c>
      <c r="O224" s="373" t="s">
        <v>309</v>
      </c>
      <c r="P224" s="373" t="s">
        <v>280</v>
      </c>
      <c r="Q224" s="374"/>
      <c r="R224" s="374"/>
      <c r="S224" s="375" t="s">
        <v>21</v>
      </c>
      <c r="T224" s="373" t="s">
        <v>309</v>
      </c>
      <c r="U224" s="373" t="s">
        <v>280</v>
      </c>
      <c r="V224" s="375"/>
      <c r="W224" s="375"/>
      <c r="X224" s="375" t="s">
        <v>92</v>
      </c>
      <c r="Y224" s="373" t="s">
        <v>309</v>
      </c>
      <c r="Z224" s="373" t="s">
        <v>280</v>
      </c>
      <c r="AA224" s="375"/>
      <c r="AB224" s="375"/>
      <c r="AC224" s="375"/>
      <c r="AD224" s="373"/>
      <c r="AE224" s="373"/>
      <c r="AF224" s="375"/>
      <c r="AG224" s="375"/>
      <c r="AH224" s="375"/>
      <c r="AI224" s="375"/>
      <c r="AJ224" s="375"/>
      <c r="AK224" s="375"/>
      <c r="AL224" s="375"/>
      <c r="AM224" s="375"/>
      <c r="AN224" s="375"/>
      <c r="AO224" s="375"/>
      <c r="AP224" s="375"/>
      <c r="AQ224" s="375"/>
      <c r="AR224" s="375"/>
      <c r="AS224" s="375"/>
      <c r="AT224" s="375"/>
      <c r="AU224" s="375"/>
      <c r="AV224" s="376"/>
    </row>
    <row r="225" spans="1:48" ht="28.8" hidden="1">
      <c r="A225" s="137" t="s">
        <v>1242</v>
      </c>
      <c r="B225" s="36" t="s">
        <v>1243</v>
      </c>
      <c r="C225" s="36"/>
      <c r="D225" s="35" t="s">
        <v>528</v>
      </c>
      <c r="E225" s="35"/>
      <c r="F225" s="20"/>
      <c r="G225" s="20"/>
      <c r="H225" s="432">
        <v>2022</v>
      </c>
      <c r="I225" s="36" t="s">
        <v>1244</v>
      </c>
      <c r="J225" s="94"/>
      <c r="K225" s="94"/>
      <c r="L225" s="94"/>
      <c r="M225" s="94" t="s">
        <v>554</v>
      </c>
      <c r="N225" s="36" t="s">
        <v>1244</v>
      </c>
      <c r="O225" s="94"/>
      <c r="P225" s="94" t="s">
        <v>554</v>
      </c>
      <c r="Q225" s="94"/>
      <c r="R225" s="94"/>
      <c r="S225" s="36" t="s">
        <v>1245</v>
      </c>
      <c r="T225" s="94"/>
      <c r="U225" s="94" t="s">
        <v>1246</v>
      </c>
      <c r="V225" s="94"/>
      <c r="W225" s="36"/>
      <c r="X225" s="36" t="s">
        <v>1247</v>
      </c>
      <c r="Y225" s="94"/>
      <c r="Z225" s="94" t="s">
        <v>554</v>
      </c>
      <c r="AA225" s="36"/>
      <c r="AB225" s="36"/>
      <c r="AC225" s="36" t="s">
        <v>1248</v>
      </c>
      <c r="AD225" s="380" t="s">
        <v>351</v>
      </c>
      <c r="AE225" s="380" t="s">
        <v>280</v>
      </c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81"/>
    </row>
    <row r="226" spans="1:48" ht="43.2" hidden="1">
      <c r="A226" s="394" t="s">
        <v>1249</v>
      </c>
      <c r="B226" s="375" t="s">
        <v>1250</v>
      </c>
      <c r="C226" s="375"/>
      <c r="D226" s="395" t="s">
        <v>277</v>
      </c>
      <c r="E226" s="395"/>
      <c r="F226" s="372"/>
      <c r="G226" s="372"/>
      <c r="H226" s="431">
        <v>2022</v>
      </c>
      <c r="I226" s="375"/>
      <c r="J226" s="374"/>
      <c r="K226" s="374"/>
      <c r="L226" s="374"/>
      <c r="M226" s="374"/>
      <c r="N226" s="375" t="s">
        <v>8</v>
      </c>
      <c r="O226" s="373" t="s">
        <v>351</v>
      </c>
      <c r="P226" s="373" t="s">
        <v>280</v>
      </c>
      <c r="Q226" s="374"/>
      <c r="R226" s="374"/>
      <c r="S226" s="375" t="s">
        <v>1251</v>
      </c>
      <c r="T226" s="373" t="s">
        <v>351</v>
      </c>
      <c r="U226" s="373" t="s">
        <v>280</v>
      </c>
      <c r="V226" s="375"/>
      <c r="W226" s="375"/>
      <c r="X226" s="375" t="s">
        <v>71</v>
      </c>
      <c r="Y226" s="373" t="s">
        <v>620</v>
      </c>
      <c r="Z226" s="373" t="s">
        <v>280</v>
      </c>
      <c r="AA226" s="375"/>
      <c r="AB226" s="375"/>
      <c r="AC226" s="375"/>
      <c r="AD226" s="374"/>
      <c r="AE226" s="375"/>
      <c r="AF226" s="375"/>
      <c r="AG226" s="375"/>
      <c r="AH226" s="375"/>
      <c r="AI226" s="375"/>
      <c r="AJ226" s="375"/>
      <c r="AK226" s="375"/>
      <c r="AL226" s="375"/>
      <c r="AM226" s="375"/>
      <c r="AN226" s="375"/>
      <c r="AO226" s="375"/>
      <c r="AP226" s="375"/>
      <c r="AQ226" s="375"/>
      <c r="AR226" s="375"/>
      <c r="AS226" s="375"/>
      <c r="AT226" s="375"/>
      <c r="AU226" s="375"/>
      <c r="AV226" s="376"/>
    </row>
    <row r="227" spans="1:48" ht="43.2" hidden="1">
      <c r="A227" s="137" t="s">
        <v>1252</v>
      </c>
      <c r="B227" s="36" t="s">
        <v>1253</v>
      </c>
      <c r="C227" s="36"/>
      <c r="D227" s="35" t="s">
        <v>306</v>
      </c>
      <c r="E227" s="75" t="s">
        <v>303</v>
      </c>
      <c r="F227" s="20"/>
      <c r="G227" s="20"/>
      <c r="H227" s="432">
        <v>2022</v>
      </c>
      <c r="I227" s="36" t="s">
        <v>17</v>
      </c>
      <c r="J227" s="94"/>
      <c r="K227" s="94"/>
      <c r="L227" s="94" t="s">
        <v>353</v>
      </c>
      <c r="M227" s="380" t="s">
        <v>280</v>
      </c>
      <c r="N227" s="36" t="s">
        <v>17</v>
      </c>
      <c r="O227" s="94" t="s">
        <v>353</v>
      </c>
      <c r="P227" s="380" t="s">
        <v>280</v>
      </c>
      <c r="Q227" s="94"/>
      <c r="R227" s="94"/>
      <c r="S227" s="36" t="s">
        <v>1254</v>
      </c>
      <c r="T227" s="94"/>
      <c r="U227" s="380" t="s">
        <v>366</v>
      </c>
      <c r="V227" s="36"/>
      <c r="W227" s="36"/>
      <c r="X227" s="36" t="s">
        <v>1255</v>
      </c>
      <c r="Y227" s="94"/>
      <c r="Z227" s="380" t="s">
        <v>366</v>
      </c>
      <c r="AA227" s="36"/>
      <c r="AB227" s="36"/>
      <c r="AC227" s="36" t="s">
        <v>69</v>
      </c>
      <c r="AD227" s="94"/>
      <c r="AE227" s="380" t="s">
        <v>366</v>
      </c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81"/>
    </row>
    <row r="228" spans="1:48" ht="43.2" hidden="1">
      <c r="A228" s="394" t="s">
        <v>1256</v>
      </c>
      <c r="B228" s="375" t="s">
        <v>1257</v>
      </c>
      <c r="C228" s="375"/>
      <c r="D228" s="395" t="s">
        <v>568</v>
      </c>
      <c r="E228" s="395"/>
      <c r="F228" s="372"/>
      <c r="G228" s="372"/>
      <c r="H228" s="431">
        <v>2022</v>
      </c>
      <c r="I228" s="375" t="s">
        <v>564</v>
      </c>
      <c r="J228" s="374"/>
      <c r="K228" s="374"/>
      <c r="L228" s="374"/>
      <c r="M228" s="373" t="s">
        <v>1258</v>
      </c>
      <c r="N228" s="375" t="s">
        <v>564</v>
      </c>
      <c r="O228" s="374"/>
      <c r="P228" s="373" t="s">
        <v>1258</v>
      </c>
      <c r="Q228" s="374"/>
      <c r="R228" s="374"/>
      <c r="S228" s="369" t="s">
        <v>12</v>
      </c>
      <c r="T228" s="373" t="s">
        <v>309</v>
      </c>
      <c r="U228" s="373" t="s">
        <v>280</v>
      </c>
      <c r="V228" s="375"/>
      <c r="W228" s="375"/>
      <c r="X228" s="375"/>
      <c r="Y228" s="374"/>
      <c r="Z228" s="375"/>
      <c r="AA228" s="375"/>
      <c r="AB228" s="375"/>
      <c r="AC228" s="375"/>
      <c r="AD228" s="374"/>
      <c r="AE228" s="375"/>
      <c r="AF228" s="375"/>
      <c r="AG228" s="375"/>
      <c r="AH228" s="375"/>
      <c r="AI228" s="375"/>
      <c r="AJ228" s="375"/>
      <c r="AK228" s="375"/>
      <c r="AL228" s="375"/>
      <c r="AM228" s="375"/>
      <c r="AN228" s="375"/>
      <c r="AO228" s="375"/>
      <c r="AP228" s="375"/>
      <c r="AQ228" s="375"/>
      <c r="AR228" s="375"/>
      <c r="AS228" s="375"/>
      <c r="AT228" s="375"/>
      <c r="AU228" s="375"/>
      <c r="AV228" s="376"/>
    </row>
    <row r="229" spans="1:48" ht="57.6" hidden="1">
      <c r="A229" s="137" t="s">
        <v>1259</v>
      </c>
      <c r="B229" s="36" t="s">
        <v>1162</v>
      </c>
      <c r="C229" s="36"/>
      <c r="D229" s="35" t="s">
        <v>277</v>
      </c>
      <c r="E229" s="35"/>
      <c r="F229" s="20"/>
      <c r="G229" s="20"/>
      <c r="H229" s="432">
        <v>2022</v>
      </c>
      <c r="I229" s="378" t="s">
        <v>12</v>
      </c>
      <c r="J229" s="94"/>
      <c r="K229" s="94"/>
      <c r="L229" s="380" t="s">
        <v>309</v>
      </c>
      <c r="M229" s="380" t="s">
        <v>280</v>
      </c>
      <c r="N229" s="36" t="s">
        <v>1083</v>
      </c>
      <c r="O229" s="94"/>
      <c r="P229" s="380" t="s">
        <v>280</v>
      </c>
      <c r="Q229" s="94"/>
      <c r="R229" s="94"/>
      <c r="S229" s="36" t="s">
        <v>1081</v>
      </c>
      <c r="T229" s="94"/>
      <c r="U229" s="380" t="s">
        <v>280</v>
      </c>
      <c r="V229" s="36"/>
      <c r="W229" s="36"/>
      <c r="X229" s="36" t="s">
        <v>1260</v>
      </c>
      <c r="Y229" s="94"/>
      <c r="Z229" s="380" t="s">
        <v>280</v>
      </c>
      <c r="AA229" s="36"/>
      <c r="AB229" s="36"/>
      <c r="AC229" s="36" t="s">
        <v>1261</v>
      </c>
      <c r="AD229" s="94"/>
      <c r="AE229" s="380" t="s">
        <v>280</v>
      </c>
      <c r="AF229" s="36"/>
      <c r="AG229" s="36"/>
      <c r="AH229" s="378" t="s">
        <v>12</v>
      </c>
      <c r="AI229" s="380" t="s">
        <v>309</v>
      </c>
      <c r="AJ229" s="380" t="s">
        <v>280</v>
      </c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81"/>
    </row>
    <row r="230" spans="1:48" ht="57.6" hidden="1">
      <c r="A230" s="394" t="s">
        <v>1262</v>
      </c>
      <c r="B230" s="375" t="s">
        <v>1263</v>
      </c>
      <c r="C230" s="375"/>
      <c r="D230" s="395" t="s">
        <v>416</v>
      </c>
      <c r="E230" s="395"/>
      <c r="F230" s="372"/>
      <c r="G230" s="372"/>
      <c r="H230" s="431">
        <v>2022</v>
      </c>
      <c r="I230" s="375" t="s">
        <v>583</v>
      </c>
      <c r="J230" s="374"/>
      <c r="K230" s="374"/>
      <c r="L230" s="374"/>
      <c r="M230" s="374" t="s">
        <v>584</v>
      </c>
      <c r="N230" s="375" t="s">
        <v>1264</v>
      </c>
      <c r="O230" s="374"/>
      <c r="P230" s="374" t="s">
        <v>584</v>
      </c>
      <c r="Q230" s="374"/>
      <c r="R230" s="374"/>
      <c r="S230" s="375" t="s">
        <v>583</v>
      </c>
      <c r="T230" s="374"/>
      <c r="U230" s="374" t="s">
        <v>584</v>
      </c>
      <c r="V230" s="375"/>
      <c r="W230" s="375"/>
      <c r="X230" s="375" t="s">
        <v>1265</v>
      </c>
      <c r="Y230" s="374"/>
      <c r="Z230" s="374" t="s">
        <v>1266</v>
      </c>
      <c r="AA230" s="375"/>
      <c r="AB230" s="375"/>
      <c r="AC230" s="375" t="s">
        <v>589</v>
      </c>
      <c r="AD230" s="374"/>
      <c r="AE230" s="374" t="s">
        <v>1267</v>
      </c>
      <c r="AF230" s="375"/>
      <c r="AG230" s="375"/>
      <c r="AH230" s="369" t="s">
        <v>12</v>
      </c>
      <c r="AI230" s="373" t="s">
        <v>309</v>
      </c>
      <c r="AJ230" s="373" t="s">
        <v>280</v>
      </c>
      <c r="AK230" s="375"/>
      <c r="AL230" s="375"/>
      <c r="AM230" s="375" t="s">
        <v>587</v>
      </c>
      <c r="AN230" s="375"/>
      <c r="AO230" s="374" t="s">
        <v>584</v>
      </c>
      <c r="AP230" s="375"/>
      <c r="AQ230" s="375"/>
      <c r="AR230" s="375" t="s">
        <v>1268</v>
      </c>
      <c r="AS230" s="375"/>
      <c r="AT230" s="375" t="s">
        <v>1269</v>
      </c>
      <c r="AU230" s="375"/>
      <c r="AV230" s="376"/>
    </row>
    <row r="231" spans="1:48" ht="43.2" hidden="1">
      <c r="A231" s="137" t="s">
        <v>1270</v>
      </c>
      <c r="B231" s="36" t="s">
        <v>1271</v>
      </c>
      <c r="C231" s="36"/>
      <c r="D231" s="35" t="s">
        <v>416</v>
      </c>
      <c r="E231" s="35"/>
      <c r="F231" s="20"/>
      <c r="G231" s="20"/>
      <c r="H231" s="432">
        <v>2022</v>
      </c>
      <c r="I231" s="36"/>
      <c r="J231" s="94"/>
      <c r="K231" s="94"/>
      <c r="L231" s="94"/>
      <c r="M231" s="94"/>
      <c r="N231" s="36" t="s">
        <v>564</v>
      </c>
      <c r="O231" s="94"/>
      <c r="P231" s="380" t="s">
        <v>1258</v>
      </c>
      <c r="Q231" s="94"/>
      <c r="R231" s="94"/>
      <c r="S231" s="378" t="s">
        <v>1272</v>
      </c>
      <c r="T231" s="380"/>
      <c r="U231" s="380" t="s">
        <v>1258</v>
      </c>
      <c r="V231" s="36"/>
      <c r="W231" s="36"/>
      <c r="X231" s="378" t="s">
        <v>12</v>
      </c>
      <c r="Y231" s="380" t="s">
        <v>309</v>
      </c>
      <c r="Z231" s="380" t="s">
        <v>280</v>
      </c>
      <c r="AA231" s="36"/>
      <c r="AB231" s="36"/>
      <c r="AC231" s="36"/>
      <c r="AD231" s="94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81"/>
    </row>
    <row r="232" spans="1:48" ht="43.2" hidden="1">
      <c r="A232" s="394" t="s">
        <v>1273</v>
      </c>
      <c r="B232" s="375" t="s">
        <v>1274</v>
      </c>
      <c r="C232" s="375"/>
      <c r="D232" s="395" t="s">
        <v>528</v>
      </c>
      <c r="E232" s="395"/>
      <c r="F232" s="372"/>
      <c r="G232" s="372"/>
      <c r="H232" s="431">
        <v>2022</v>
      </c>
      <c r="I232" s="375" t="s">
        <v>564</v>
      </c>
      <c r="J232" s="374"/>
      <c r="K232" s="374"/>
      <c r="L232" s="374"/>
      <c r="M232" s="373" t="s">
        <v>1258</v>
      </c>
      <c r="N232" s="375" t="s">
        <v>564</v>
      </c>
      <c r="O232" s="374"/>
      <c r="P232" s="373" t="s">
        <v>1258</v>
      </c>
      <c r="Q232" s="374"/>
      <c r="R232" s="374"/>
      <c r="S232" s="369" t="s">
        <v>12</v>
      </c>
      <c r="T232" s="373" t="s">
        <v>309</v>
      </c>
      <c r="U232" s="373" t="s">
        <v>280</v>
      </c>
      <c r="V232" s="375"/>
      <c r="W232" s="375"/>
      <c r="X232" s="375"/>
      <c r="Y232" s="374"/>
      <c r="Z232" s="375"/>
      <c r="AA232" s="375"/>
      <c r="AB232" s="375"/>
      <c r="AC232" s="375"/>
      <c r="AD232" s="374"/>
      <c r="AE232" s="375"/>
      <c r="AF232" s="375"/>
      <c r="AG232" s="375"/>
      <c r="AH232" s="375"/>
      <c r="AI232" s="375"/>
      <c r="AJ232" s="375"/>
      <c r="AK232" s="375"/>
      <c r="AL232" s="375"/>
      <c r="AM232" s="375"/>
      <c r="AN232" s="375"/>
      <c r="AO232" s="375"/>
      <c r="AP232" s="375"/>
      <c r="AQ232" s="375"/>
      <c r="AR232" s="375"/>
      <c r="AS232" s="375"/>
      <c r="AT232" s="375"/>
      <c r="AU232" s="375"/>
      <c r="AV232" s="376"/>
    </row>
    <row r="233" spans="1:48" ht="28.8" hidden="1">
      <c r="A233" s="137" t="s">
        <v>1275</v>
      </c>
      <c r="B233" s="36" t="s">
        <v>1276</v>
      </c>
      <c r="C233" s="36"/>
      <c r="D233" s="35" t="s">
        <v>306</v>
      </c>
      <c r="E233" s="75" t="s">
        <v>303</v>
      </c>
      <c r="F233" s="20"/>
      <c r="G233" s="20"/>
      <c r="H233" s="432">
        <v>2022</v>
      </c>
      <c r="I233" s="36" t="s">
        <v>20</v>
      </c>
      <c r="J233" s="94"/>
      <c r="K233" s="94"/>
      <c r="L233" s="94" t="s">
        <v>449</v>
      </c>
      <c r="M233" s="380" t="s">
        <v>280</v>
      </c>
      <c r="N233" s="36" t="s">
        <v>20</v>
      </c>
      <c r="O233" s="94" t="s">
        <v>449</v>
      </c>
      <c r="P233" s="380" t="s">
        <v>280</v>
      </c>
      <c r="Q233" s="94"/>
      <c r="R233" s="94"/>
      <c r="S233" s="36" t="s">
        <v>9</v>
      </c>
      <c r="T233" s="94" t="s">
        <v>449</v>
      </c>
      <c r="U233" s="380" t="s">
        <v>280</v>
      </c>
      <c r="V233" s="36"/>
      <c r="W233" s="36"/>
      <c r="X233" s="36" t="s">
        <v>15</v>
      </c>
      <c r="Y233" s="94" t="s">
        <v>449</v>
      </c>
      <c r="Z233" s="380" t="s">
        <v>280</v>
      </c>
      <c r="AA233" s="36"/>
      <c r="AB233" s="36"/>
      <c r="AC233" s="36"/>
      <c r="AD233" s="94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81"/>
    </row>
    <row r="234" spans="1:48" ht="43.2" hidden="1">
      <c r="A234" s="394" t="s">
        <v>1277</v>
      </c>
      <c r="B234" s="375" t="s">
        <v>1278</v>
      </c>
      <c r="C234" s="375"/>
      <c r="D234" s="395" t="s">
        <v>374</v>
      </c>
      <c r="E234" s="370" t="s">
        <v>303</v>
      </c>
      <c r="F234" s="372"/>
      <c r="G234" s="372"/>
      <c r="H234" s="431">
        <v>2022</v>
      </c>
      <c r="I234" s="375" t="s">
        <v>1279</v>
      </c>
      <c r="J234" s="374"/>
      <c r="K234" s="374"/>
      <c r="L234" s="374"/>
      <c r="M234" s="374" t="s">
        <v>1280</v>
      </c>
      <c r="N234" s="375" t="s">
        <v>1279</v>
      </c>
      <c r="O234" s="374"/>
      <c r="P234" s="374" t="s">
        <v>1280</v>
      </c>
      <c r="Q234" s="374"/>
      <c r="R234" s="374"/>
      <c r="S234" s="375" t="s">
        <v>15</v>
      </c>
      <c r="T234" s="374" t="s">
        <v>449</v>
      </c>
      <c r="U234" s="373" t="s">
        <v>280</v>
      </c>
      <c r="V234" s="375"/>
      <c r="W234" s="375"/>
      <c r="X234" s="375" t="s">
        <v>1281</v>
      </c>
      <c r="Y234" s="374"/>
      <c r="Z234" s="374" t="s">
        <v>1280</v>
      </c>
      <c r="AA234" s="375"/>
      <c r="AB234" s="375"/>
      <c r="AC234" s="375"/>
      <c r="AD234" s="374"/>
      <c r="AE234" s="375"/>
      <c r="AF234" s="375"/>
      <c r="AG234" s="375"/>
      <c r="AH234" s="375"/>
      <c r="AI234" s="375"/>
      <c r="AJ234" s="375"/>
      <c r="AK234" s="375"/>
      <c r="AL234" s="375"/>
      <c r="AM234" s="375"/>
      <c r="AN234" s="375"/>
      <c r="AO234" s="375"/>
      <c r="AP234" s="375"/>
      <c r="AQ234" s="375"/>
      <c r="AR234" s="375"/>
      <c r="AS234" s="375"/>
      <c r="AT234" s="375"/>
      <c r="AU234" s="375"/>
      <c r="AV234" s="376"/>
    </row>
    <row r="235" spans="1:48" ht="28.8" hidden="1">
      <c r="A235" s="137" t="s">
        <v>1282</v>
      </c>
      <c r="B235" s="36" t="s">
        <v>1283</v>
      </c>
      <c r="C235" s="36"/>
      <c r="D235" s="35" t="s">
        <v>286</v>
      </c>
      <c r="E235" s="35"/>
      <c r="F235" s="20"/>
      <c r="G235" s="20"/>
      <c r="H235" s="432">
        <v>2022</v>
      </c>
      <c r="I235" s="36" t="s">
        <v>949</v>
      </c>
      <c r="J235" s="94"/>
      <c r="K235" s="94"/>
      <c r="L235" s="94" t="s">
        <v>809</v>
      </c>
      <c r="M235" s="380" t="s">
        <v>280</v>
      </c>
      <c r="N235" s="36" t="s">
        <v>949</v>
      </c>
      <c r="O235" s="94" t="s">
        <v>809</v>
      </c>
      <c r="P235" s="380" t="s">
        <v>280</v>
      </c>
      <c r="Q235" s="94"/>
      <c r="R235" s="94"/>
      <c r="S235" s="36" t="s">
        <v>75</v>
      </c>
      <c r="T235" s="94" t="s">
        <v>809</v>
      </c>
      <c r="U235" s="380" t="s">
        <v>280</v>
      </c>
      <c r="V235" s="36"/>
      <c r="W235" s="36"/>
      <c r="X235" s="36" t="s">
        <v>9</v>
      </c>
      <c r="Y235" s="94" t="s">
        <v>449</v>
      </c>
      <c r="Z235" s="380" t="s">
        <v>280</v>
      </c>
      <c r="AA235" s="36"/>
      <c r="AB235" s="36"/>
      <c r="AC235" s="36" t="s">
        <v>1284</v>
      </c>
      <c r="AD235" s="94" t="s">
        <v>809</v>
      </c>
      <c r="AE235" s="380" t="s">
        <v>280</v>
      </c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81"/>
    </row>
    <row r="236" spans="1:48" ht="43.2" hidden="1">
      <c r="A236" s="394" t="s">
        <v>1285</v>
      </c>
      <c r="B236" s="375" t="s">
        <v>1286</v>
      </c>
      <c r="C236" s="375"/>
      <c r="D236" s="395" t="s">
        <v>302</v>
      </c>
      <c r="E236" s="370" t="s">
        <v>303</v>
      </c>
      <c r="F236" s="372"/>
      <c r="G236" s="372"/>
      <c r="H236" s="431">
        <v>2022</v>
      </c>
      <c r="I236" s="375"/>
      <c r="J236" s="374"/>
      <c r="K236" s="374"/>
      <c r="L236" s="374"/>
      <c r="M236" s="374"/>
      <c r="N236" s="375" t="s">
        <v>1287</v>
      </c>
      <c r="O236" s="374" t="s">
        <v>449</v>
      </c>
      <c r="P236" s="373" t="s">
        <v>280</v>
      </c>
      <c r="Q236" s="374"/>
      <c r="R236" s="374"/>
      <c r="S236" s="375" t="s">
        <v>1288</v>
      </c>
      <c r="T236" s="374" t="s">
        <v>449</v>
      </c>
      <c r="U236" s="373" t="s">
        <v>280</v>
      </c>
      <c r="V236" s="375"/>
      <c r="W236" s="375"/>
      <c r="X236" s="375" t="s">
        <v>1289</v>
      </c>
      <c r="Y236" s="374" t="s">
        <v>449</v>
      </c>
      <c r="Z236" s="373" t="s">
        <v>280</v>
      </c>
      <c r="AA236" s="375"/>
      <c r="AB236" s="375"/>
      <c r="AC236" s="375" t="s">
        <v>9</v>
      </c>
      <c r="AD236" s="374" t="s">
        <v>449</v>
      </c>
      <c r="AE236" s="373" t="s">
        <v>280</v>
      </c>
      <c r="AF236" s="375"/>
      <c r="AG236" s="375"/>
      <c r="AH236" s="375" t="s">
        <v>20</v>
      </c>
      <c r="AI236" s="374" t="s">
        <v>449</v>
      </c>
      <c r="AJ236" s="373" t="s">
        <v>280</v>
      </c>
      <c r="AK236" s="375"/>
      <c r="AL236" s="375"/>
      <c r="AM236" s="375"/>
      <c r="AN236" s="375"/>
      <c r="AO236" s="375"/>
      <c r="AP236" s="375"/>
      <c r="AQ236" s="375"/>
      <c r="AR236" s="375"/>
      <c r="AS236" s="375"/>
      <c r="AT236" s="375"/>
      <c r="AU236" s="375"/>
      <c r="AV236" s="376"/>
    </row>
    <row r="237" spans="1:48" ht="43.2" hidden="1">
      <c r="A237" s="137" t="s">
        <v>1290</v>
      </c>
      <c r="B237" s="36" t="s">
        <v>1291</v>
      </c>
      <c r="C237" s="36"/>
      <c r="D237" s="35" t="s">
        <v>374</v>
      </c>
      <c r="E237" s="75" t="s">
        <v>303</v>
      </c>
      <c r="F237" s="20"/>
      <c r="G237" s="20"/>
      <c r="H237" s="432">
        <v>2022</v>
      </c>
      <c r="I237" s="36"/>
      <c r="J237" s="94"/>
      <c r="K237" s="94"/>
      <c r="L237" s="94"/>
      <c r="M237" s="94"/>
      <c r="N237" s="36" t="s">
        <v>1287</v>
      </c>
      <c r="O237" s="94" t="s">
        <v>449</v>
      </c>
      <c r="P237" s="380" t="s">
        <v>280</v>
      </c>
      <c r="Q237" s="94"/>
      <c r="R237" s="94"/>
      <c r="S237" s="36" t="s">
        <v>9</v>
      </c>
      <c r="T237" s="94" t="s">
        <v>449</v>
      </c>
      <c r="U237" s="380" t="s">
        <v>280</v>
      </c>
      <c r="V237" s="36"/>
      <c r="W237" s="36"/>
      <c r="X237" s="36" t="s">
        <v>134</v>
      </c>
      <c r="Y237" s="94" t="s">
        <v>449</v>
      </c>
      <c r="Z237" s="380" t="s">
        <v>280</v>
      </c>
      <c r="AA237" s="36"/>
      <c r="AB237" s="36"/>
      <c r="AC237" s="36"/>
      <c r="AD237" s="94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81"/>
    </row>
    <row r="238" spans="1:48" ht="43.2" hidden="1">
      <c r="A238" s="394" t="s">
        <v>1292</v>
      </c>
      <c r="B238" s="375" t="s">
        <v>1293</v>
      </c>
      <c r="C238" s="375"/>
      <c r="D238" s="395" t="s">
        <v>302</v>
      </c>
      <c r="E238" s="370" t="s">
        <v>303</v>
      </c>
      <c r="F238" s="372"/>
      <c r="G238" s="372"/>
      <c r="H238" s="431">
        <v>2022</v>
      </c>
      <c r="I238" s="375" t="s">
        <v>1294</v>
      </c>
      <c r="J238" s="374"/>
      <c r="K238" s="374"/>
      <c r="L238" s="374" t="s">
        <v>351</v>
      </c>
      <c r="M238" s="373" t="s">
        <v>280</v>
      </c>
      <c r="N238" s="375" t="s">
        <v>1294</v>
      </c>
      <c r="O238" s="374" t="s">
        <v>351</v>
      </c>
      <c r="P238" s="373" t="s">
        <v>280</v>
      </c>
      <c r="Q238" s="374"/>
      <c r="R238" s="374"/>
      <c r="S238" s="375" t="s">
        <v>619</v>
      </c>
      <c r="T238" s="374" t="s">
        <v>351</v>
      </c>
      <c r="U238" s="373" t="s">
        <v>280</v>
      </c>
      <c r="V238" s="375"/>
      <c r="W238" s="375"/>
      <c r="X238" s="375" t="s">
        <v>71</v>
      </c>
      <c r="Y238" s="374" t="s">
        <v>620</v>
      </c>
      <c r="Z238" s="373" t="s">
        <v>280</v>
      </c>
      <c r="AA238" s="375"/>
      <c r="AB238" s="375"/>
      <c r="AC238" s="375" t="s">
        <v>93</v>
      </c>
      <c r="AD238" s="374" t="s">
        <v>449</v>
      </c>
      <c r="AE238" s="373" t="s">
        <v>280</v>
      </c>
      <c r="AF238" s="375"/>
      <c r="AG238" s="375"/>
      <c r="AH238" s="375"/>
      <c r="AI238" s="375"/>
      <c r="AJ238" s="375"/>
      <c r="AK238" s="375"/>
      <c r="AL238" s="375"/>
      <c r="AM238" s="375"/>
      <c r="AN238" s="375"/>
      <c r="AO238" s="375"/>
      <c r="AP238" s="375"/>
      <c r="AQ238" s="375"/>
      <c r="AR238" s="375"/>
      <c r="AS238" s="375"/>
      <c r="AT238" s="375"/>
      <c r="AU238" s="375"/>
      <c r="AV238" s="376"/>
    </row>
    <row r="239" spans="1:48" ht="28.8" hidden="1">
      <c r="A239" s="137" t="s">
        <v>1295</v>
      </c>
      <c r="B239" s="36" t="s">
        <v>1296</v>
      </c>
      <c r="C239" s="36"/>
      <c r="D239" s="35" t="s">
        <v>1190</v>
      </c>
      <c r="E239" s="75" t="s">
        <v>303</v>
      </c>
      <c r="F239" s="20"/>
      <c r="G239" s="20"/>
      <c r="H239" s="432">
        <v>2022</v>
      </c>
      <c r="I239" s="36" t="s">
        <v>85</v>
      </c>
      <c r="J239" s="94"/>
      <c r="K239" s="94"/>
      <c r="L239" s="94" t="s">
        <v>309</v>
      </c>
      <c r="M239" s="380" t="s">
        <v>280</v>
      </c>
      <c r="N239" s="36" t="s">
        <v>85</v>
      </c>
      <c r="O239" s="94" t="s">
        <v>309</v>
      </c>
      <c r="P239" s="380" t="s">
        <v>280</v>
      </c>
      <c r="Q239" s="94"/>
      <c r="R239" s="94"/>
      <c r="S239" s="36"/>
      <c r="T239" s="94"/>
      <c r="U239" s="36"/>
      <c r="V239" s="36"/>
      <c r="W239" s="36"/>
      <c r="X239" s="36"/>
      <c r="Y239" s="94"/>
      <c r="Z239" s="36"/>
      <c r="AA239" s="36"/>
      <c r="AB239" s="36"/>
      <c r="AC239" s="36"/>
      <c r="AD239" s="94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81"/>
    </row>
    <row r="240" spans="1:48" ht="28.8" hidden="1">
      <c r="A240" s="394" t="s">
        <v>1297</v>
      </c>
      <c r="B240" s="375" t="s">
        <v>1271</v>
      </c>
      <c r="C240" s="375"/>
      <c r="D240" s="395" t="s">
        <v>416</v>
      </c>
      <c r="E240" s="395"/>
      <c r="F240" s="372"/>
      <c r="G240" s="372"/>
      <c r="H240" s="431">
        <v>2022</v>
      </c>
      <c r="I240" s="375" t="s">
        <v>85</v>
      </c>
      <c r="J240" s="374"/>
      <c r="K240" s="374"/>
      <c r="L240" s="374" t="s">
        <v>309</v>
      </c>
      <c r="M240" s="373" t="s">
        <v>280</v>
      </c>
      <c r="N240" s="375" t="s">
        <v>85</v>
      </c>
      <c r="O240" s="374" t="s">
        <v>309</v>
      </c>
      <c r="P240" s="373" t="s">
        <v>280</v>
      </c>
      <c r="Q240" s="374"/>
      <c r="R240" s="374"/>
      <c r="S240" s="375"/>
      <c r="T240" s="374"/>
      <c r="U240" s="375"/>
      <c r="V240" s="375"/>
      <c r="W240" s="375"/>
      <c r="X240" s="375"/>
      <c r="Y240" s="374"/>
      <c r="Z240" s="375"/>
      <c r="AA240" s="375"/>
      <c r="AB240" s="375"/>
      <c r="AC240" s="375"/>
      <c r="AD240" s="374"/>
      <c r="AE240" s="375"/>
      <c r="AF240" s="375"/>
      <c r="AG240" s="375"/>
      <c r="AH240" s="375"/>
      <c r="AI240" s="375"/>
      <c r="AJ240" s="375"/>
      <c r="AK240" s="375"/>
      <c r="AL240" s="375"/>
      <c r="AM240" s="375"/>
      <c r="AN240" s="375"/>
      <c r="AO240" s="375"/>
      <c r="AP240" s="375"/>
      <c r="AQ240" s="375"/>
      <c r="AR240" s="375"/>
      <c r="AS240" s="375"/>
      <c r="AT240" s="375"/>
      <c r="AU240" s="375"/>
      <c r="AV240" s="376"/>
    </row>
    <row r="241" spans="1:48" ht="28.8" hidden="1">
      <c r="A241" s="137" t="s">
        <v>1298</v>
      </c>
      <c r="B241" s="36" t="s">
        <v>1299</v>
      </c>
      <c r="C241" s="36"/>
      <c r="D241" s="35" t="s">
        <v>302</v>
      </c>
      <c r="E241" s="75" t="s">
        <v>303</v>
      </c>
      <c r="F241" s="20"/>
      <c r="G241" s="20"/>
      <c r="H241" s="432">
        <v>2022</v>
      </c>
      <c r="I241" s="36"/>
      <c r="J241" s="94"/>
      <c r="K241" s="94"/>
      <c r="L241" s="94"/>
      <c r="M241" s="94"/>
      <c r="N241" s="36" t="s">
        <v>1300</v>
      </c>
      <c r="O241" s="94"/>
      <c r="P241" s="94" t="s">
        <v>1301</v>
      </c>
      <c r="Q241" s="94"/>
      <c r="R241" s="94"/>
      <c r="S241" s="36" t="s">
        <v>1302</v>
      </c>
      <c r="T241" s="94"/>
      <c r="U241" s="94" t="s">
        <v>1301</v>
      </c>
      <c r="V241" s="36"/>
      <c r="W241" s="36"/>
      <c r="X241" s="36" t="s">
        <v>93</v>
      </c>
      <c r="Y241" s="94" t="s">
        <v>449</v>
      </c>
      <c r="Z241" s="380" t="s">
        <v>280</v>
      </c>
      <c r="AA241" s="36"/>
      <c r="AB241" s="36"/>
      <c r="AC241" s="36"/>
      <c r="AD241" s="94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81"/>
    </row>
    <row r="242" spans="1:48" ht="28.8" hidden="1">
      <c r="A242" s="394" t="s">
        <v>1303</v>
      </c>
      <c r="B242" s="375" t="s">
        <v>1304</v>
      </c>
      <c r="C242" s="375"/>
      <c r="D242" s="395" t="s">
        <v>277</v>
      </c>
      <c r="E242" s="395"/>
      <c r="F242" s="372"/>
      <c r="G242" s="372"/>
      <c r="H242" s="431">
        <v>2022</v>
      </c>
      <c r="I242" s="375"/>
      <c r="J242" s="374"/>
      <c r="K242" s="374"/>
      <c r="L242" s="374"/>
      <c r="M242" s="374"/>
      <c r="N242" s="375" t="s">
        <v>642</v>
      </c>
      <c r="O242" s="374"/>
      <c r="P242" s="374" t="s">
        <v>635</v>
      </c>
      <c r="Q242" s="374"/>
      <c r="R242" s="374"/>
      <c r="S242" s="375" t="s">
        <v>1305</v>
      </c>
      <c r="T242" s="374"/>
      <c r="U242" s="374" t="s">
        <v>635</v>
      </c>
      <c r="V242" s="375"/>
      <c r="W242" s="375"/>
      <c r="X242" s="375" t="s">
        <v>167</v>
      </c>
      <c r="Y242" s="374" t="s">
        <v>279</v>
      </c>
      <c r="Z242" s="373" t="s">
        <v>280</v>
      </c>
      <c r="AA242" s="375"/>
      <c r="AB242" s="375"/>
      <c r="AC242" s="375" t="s">
        <v>640</v>
      </c>
      <c r="AD242" s="374"/>
      <c r="AE242" s="373" t="s">
        <v>641</v>
      </c>
      <c r="AF242" s="375"/>
      <c r="AG242" s="375"/>
      <c r="AH242" s="375" t="s">
        <v>1306</v>
      </c>
      <c r="AI242" s="375"/>
      <c r="AJ242" s="374" t="s">
        <v>635</v>
      </c>
      <c r="AK242" s="375"/>
      <c r="AL242" s="375"/>
      <c r="AM242" s="375" t="s">
        <v>1307</v>
      </c>
      <c r="AN242" s="375"/>
      <c r="AO242" s="374" t="s">
        <v>910</v>
      </c>
      <c r="AP242" s="375"/>
      <c r="AQ242" s="375"/>
      <c r="AR242" s="375" t="s">
        <v>637</v>
      </c>
      <c r="AS242" s="375"/>
      <c r="AT242" s="374" t="s">
        <v>635</v>
      </c>
      <c r="AU242" s="375"/>
      <c r="AV242" s="376"/>
    </row>
    <row r="243" spans="1:48" ht="28.8" hidden="1">
      <c r="A243" s="137" t="s">
        <v>1308</v>
      </c>
      <c r="B243" s="36" t="s">
        <v>1309</v>
      </c>
      <c r="C243" s="36"/>
      <c r="D243" s="94" t="s">
        <v>1310</v>
      </c>
      <c r="E243" s="35"/>
      <c r="F243" s="20"/>
      <c r="G243" s="20"/>
      <c r="H243" s="432">
        <v>2022</v>
      </c>
      <c r="I243" s="36"/>
      <c r="J243" s="94"/>
      <c r="K243" s="94"/>
      <c r="L243" s="94"/>
      <c r="M243" s="94"/>
      <c r="N243" s="36" t="s">
        <v>640</v>
      </c>
      <c r="O243" s="94"/>
      <c r="P243" s="94" t="s">
        <v>635</v>
      </c>
      <c r="Q243" s="94"/>
      <c r="R243" s="94"/>
      <c r="S243" s="36" t="s">
        <v>167</v>
      </c>
      <c r="T243" s="94" t="s">
        <v>279</v>
      </c>
      <c r="U243" s="380" t="s">
        <v>280</v>
      </c>
      <c r="V243" s="36"/>
      <c r="W243" s="36"/>
      <c r="X243" s="36" t="s">
        <v>642</v>
      </c>
      <c r="Y243" s="94"/>
      <c r="Z243" s="94" t="s">
        <v>635</v>
      </c>
      <c r="AA243" s="36"/>
      <c r="AB243" s="36"/>
      <c r="AC243" s="36" t="s">
        <v>1305</v>
      </c>
      <c r="AD243" s="94"/>
      <c r="AE243" s="94" t="s">
        <v>635</v>
      </c>
      <c r="AF243" s="36"/>
      <c r="AG243" s="36"/>
      <c r="AH243" s="36" t="s">
        <v>637</v>
      </c>
      <c r="AI243" s="36"/>
      <c r="AJ243" s="94" t="s">
        <v>635</v>
      </c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81"/>
    </row>
    <row r="244" spans="1:48" ht="28.8" hidden="1">
      <c r="A244" s="394" t="s">
        <v>1311</v>
      </c>
      <c r="B244" s="375" t="s">
        <v>1312</v>
      </c>
      <c r="C244" s="375"/>
      <c r="D244" s="395" t="s">
        <v>782</v>
      </c>
      <c r="E244" s="370" t="s">
        <v>303</v>
      </c>
      <c r="F244" s="372"/>
      <c r="G244" s="372"/>
      <c r="H244" s="431">
        <v>2022</v>
      </c>
      <c r="I244" s="369" t="s">
        <v>20</v>
      </c>
      <c r="J244" s="373"/>
      <c r="K244" s="373"/>
      <c r="L244" s="373" t="s">
        <v>449</v>
      </c>
      <c r="M244" s="373" t="s">
        <v>280</v>
      </c>
      <c r="N244" s="369" t="s">
        <v>20</v>
      </c>
      <c r="O244" s="373" t="s">
        <v>449</v>
      </c>
      <c r="P244" s="373" t="s">
        <v>280</v>
      </c>
      <c r="Q244" s="374"/>
      <c r="R244" s="374"/>
      <c r="S244" s="375" t="s">
        <v>6</v>
      </c>
      <c r="T244" s="373" t="s">
        <v>351</v>
      </c>
      <c r="U244" s="373" t="s">
        <v>280</v>
      </c>
      <c r="V244" s="375"/>
      <c r="W244" s="375"/>
      <c r="X244" s="375" t="s">
        <v>94</v>
      </c>
      <c r="Y244" s="373" t="s">
        <v>279</v>
      </c>
      <c r="Z244" s="373" t="s">
        <v>280</v>
      </c>
      <c r="AA244" s="375"/>
      <c r="AB244" s="375"/>
      <c r="AC244" s="375" t="s">
        <v>1313</v>
      </c>
      <c r="AD244" s="373" t="s">
        <v>449</v>
      </c>
      <c r="AE244" s="373" t="s">
        <v>280</v>
      </c>
      <c r="AF244" s="375"/>
      <c r="AG244" s="375"/>
      <c r="AH244" s="375"/>
      <c r="AI244" s="375"/>
      <c r="AJ244" s="375"/>
      <c r="AK244" s="375"/>
      <c r="AL244" s="375"/>
      <c r="AM244" s="375"/>
      <c r="AN244" s="375"/>
      <c r="AO244" s="375"/>
      <c r="AP244" s="375"/>
      <c r="AQ244" s="375"/>
      <c r="AR244" s="375"/>
      <c r="AS244" s="375"/>
      <c r="AT244" s="375"/>
      <c r="AU244" s="375"/>
      <c r="AV244" s="376"/>
    </row>
    <row r="245" spans="1:48" ht="43.2" hidden="1">
      <c r="A245" s="137" t="s">
        <v>1314</v>
      </c>
      <c r="B245" s="36" t="s">
        <v>1315</v>
      </c>
      <c r="C245" s="36"/>
      <c r="D245" s="35" t="s">
        <v>313</v>
      </c>
      <c r="E245" s="35"/>
      <c r="F245" s="20"/>
      <c r="G245" s="20"/>
      <c r="H245" s="432">
        <v>2022</v>
      </c>
      <c r="I245" s="378" t="s">
        <v>6</v>
      </c>
      <c r="J245" s="380"/>
      <c r="K245" s="380"/>
      <c r="L245" s="380" t="s">
        <v>351</v>
      </c>
      <c r="M245" s="380" t="s">
        <v>280</v>
      </c>
      <c r="N245" s="378" t="s">
        <v>6</v>
      </c>
      <c r="O245" s="380" t="s">
        <v>351</v>
      </c>
      <c r="P245" s="380" t="s">
        <v>280</v>
      </c>
      <c r="Q245" s="94"/>
      <c r="R245" s="94"/>
      <c r="S245" s="36"/>
      <c r="T245" s="94"/>
      <c r="U245" s="36"/>
      <c r="V245" s="36"/>
      <c r="W245" s="36"/>
      <c r="X245" s="36"/>
      <c r="Y245" s="94"/>
      <c r="Z245" s="36"/>
      <c r="AA245" s="36"/>
      <c r="AB245" s="36"/>
      <c r="AC245" s="36"/>
      <c r="AD245" s="94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81"/>
    </row>
    <row r="246" spans="1:48" ht="43.2" hidden="1">
      <c r="A246" s="394" t="s">
        <v>1316</v>
      </c>
      <c r="B246" s="375" t="s">
        <v>1317</v>
      </c>
      <c r="C246" s="375"/>
      <c r="D246" s="395" t="s">
        <v>313</v>
      </c>
      <c r="E246" s="395"/>
      <c r="F246" s="372"/>
      <c r="G246" s="372"/>
      <c r="H246" s="431">
        <v>2022</v>
      </c>
      <c r="I246" s="375"/>
      <c r="J246" s="374"/>
      <c r="K246" s="374"/>
      <c r="L246" s="374"/>
      <c r="M246" s="374"/>
      <c r="N246" s="375" t="s">
        <v>1318</v>
      </c>
      <c r="O246" s="373" t="s">
        <v>449</v>
      </c>
      <c r="P246" s="373" t="s">
        <v>280</v>
      </c>
      <c r="Q246" s="374"/>
      <c r="R246" s="374"/>
      <c r="S246" s="375" t="s">
        <v>1319</v>
      </c>
      <c r="T246" s="373" t="s">
        <v>449</v>
      </c>
      <c r="U246" s="373" t="s">
        <v>280</v>
      </c>
      <c r="V246" s="375"/>
      <c r="W246" s="375"/>
      <c r="X246" s="375" t="s">
        <v>1320</v>
      </c>
      <c r="Y246" s="373" t="s">
        <v>449</v>
      </c>
      <c r="Z246" s="373" t="s">
        <v>280</v>
      </c>
      <c r="AA246" s="375"/>
      <c r="AB246" s="375"/>
      <c r="AC246" s="369" t="s">
        <v>20</v>
      </c>
      <c r="AD246" s="373" t="s">
        <v>449</v>
      </c>
      <c r="AE246" s="373" t="s">
        <v>280</v>
      </c>
      <c r="AF246" s="375"/>
      <c r="AG246" s="375"/>
      <c r="AH246" s="375"/>
      <c r="AI246" s="375"/>
      <c r="AJ246" s="375"/>
      <c r="AK246" s="375"/>
      <c r="AL246" s="375"/>
      <c r="AM246" s="375"/>
      <c r="AN246" s="375"/>
      <c r="AO246" s="375"/>
      <c r="AP246" s="375"/>
      <c r="AQ246" s="375"/>
      <c r="AR246" s="375"/>
      <c r="AS246" s="375"/>
      <c r="AT246" s="375"/>
      <c r="AU246" s="375"/>
      <c r="AV246" s="376"/>
    </row>
    <row r="247" spans="1:48" ht="28.8" hidden="1">
      <c r="A247" s="137" t="s">
        <v>1321</v>
      </c>
      <c r="B247" s="36" t="s">
        <v>1322</v>
      </c>
      <c r="C247" s="36"/>
      <c r="D247" s="35" t="s">
        <v>321</v>
      </c>
      <c r="E247" s="75" t="s">
        <v>303</v>
      </c>
      <c r="F247" s="20"/>
      <c r="G247" s="20"/>
      <c r="H247" s="432">
        <v>2022</v>
      </c>
      <c r="I247" s="378" t="s">
        <v>108</v>
      </c>
      <c r="J247" s="380"/>
      <c r="K247" s="380"/>
      <c r="L247" s="380" t="s">
        <v>494</v>
      </c>
      <c r="M247" s="380" t="s">
        <v>280</v>
      </c>
      <c r="N247" s="378" t="s">
        <v>108</v>
      </c>
      <c r="O247" s="380" t="s">
        <v>494</v>
      </c>
      <c r="P247" s="380" t="s">
        <v>280</v>
      </c>
      <c r="Q247" s="94"/>
      <c r="R247" s="94"/>
      <c r="S247" s="36" t="s">
        <v>524</v>
      </c>
      <c r="T247" s="380" t="s">
        <v>494</v>
      </c>
      <c r="U247" s="380" t="s">
        <v>280</v>
      </c>
      <c r="V247" s="36"/>
      <c r="W247" s="36"/>
      <c r="X247" s="36"/>
      <c r="Y247" s="94"/>
      <c r="Z247" s="36"/>
      <c r="AA247" s="36"/>
      <c r="AB247" s="36"/>
      <c r="AC247" s="36"/>
      <c r="AD247" s="94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81"/>
    </row>
    <row r="248" spans="1:48" ht="43.2" hidden="1">
      <c r="A248" s="394" t="s">
        <v>1323</v>
      </c>
      <c r="B248" s="375" t="s">
        <v>1324</v>
      </c>
      <c r="C248" s="375"/>
      <c r="D248" s="395" t="s">
        <v>277</v>
      </c>
      <c r="E248" s="395"/>
      <c r="F248" s="372"/>
      <c r="G248" s="372"/>
      <c r="H248" s="431">
        <v>2022</v>
      </c>
      <c r="I248" s="375"/>
      <c r="J248" s="374"/>
      <c r="K248" s="374"/>
      <c r="L248" s="374"/>
      <c r="M248" s="374"/>
      <c r="N248" s="375" t="s">
        <v>1325</v>
      </c>
      <c r="O248" s="374"/>
      <c r="P248" s="373" t="s">
        <v>420</v>
      </c>
      <c r="Q248" s="374"/>
      <c r="R248" s="374"/>
      <c r="S248" s="369" t="s">
        <v>108</v>
      </c>
      <c r="T248" s="373" t="s">
        <v>494</v>
      </c>
      <c r="U248" s="373" t="s">
        <v>280</v>
      </c>
      <c r="V248" s="375"/>
      <c r="W248" s="375"/>
      <c r="X248" s="375" t="s">
        <v>669</v>
      </c>
      <c r="Y248" s="374"/>
      <c r="Z248" s="373" t="s">
        <v>420</v>
      </c>
      <c r="AA248" s="375"/>
      <c r="AB248" s="375"/>
      <c r="AC248" s="375" t="s">
        <v>1326</v>
      </c>
      <c r="AD248" s="374"/>
      <c r="AE248" s="373" t="s">
        <v>668</v>
      </c>
      <c r="AF248" s="375"/>
      <c r="AG248" s="375"/>
      <c r="AH248" s="375"/>
      <c r="AI248" s="375"/>
      <c r="AJ248" s="375"/>
      <c r="AK248" s="375"/>
      <c r="AL248" s="375"/>
      <c r="AM248" s="375"/>
      <c r="AN248" s="375"/>
      <c r="AO248" s="375"/>
      <c r="AP248" s="375"/>
      <c r="AQ248" s="375"/>
      <c r="AR248" s="375"/>
      <c r="AS248" s="375"/>
      <c r="AT248" s="375"/>
      <c r="AU248" s="375"/>
      <c r="AV248" s="376"/>
    </row>
    <row r="249" spans="1:48" ht="28.8" hidden="1">
      <c r="A249" s="137" t="s">
        <v>1327</v>
      </c>
      <c r="B249" s="36" t="s">
        <v>1328</v>
      </c>
      <c r="C249" s="36"/>
      <c r="D249" s="35" t="s">
        <v>374</v>
      </c>
      <c r="E249" s="75" t="s">
        <v>303</v>
      </c>
      <c r="F249" s="20"/>
      <c r="G249" s="20"/>
      <c r="H249" s="432">
        <v>2022</v>
      </c>
      <c r="I249" s="36" t="s">
        <v>42</v>
      </c>
      <c r="J249" s="94"/>
      <c r="K249" s="94"/>
      <c r="L249" s="380" t="s">
        <v>686</v>
      </c>
      <c r="M249" s="380" t="s">
        <v>280</v>
      </c>
      <c r="N249" s="36" t="s">
        <v>42</v>
      </c>
      <c r="O249" s="380" t="s">
        <v>686</v>
      </c>
      <c r="P249" s="380" t="s">
        <v>280</v>
      </c>
      <c r="Q249" s="94"/>
      <c r="R249" s="94"/>
      <c r="S249" s="36" t="s">
        <v>96</v>
      </c>
      <c r="T249" s="380" t="s">
        <v>686</v>
      </c>
      <c r="U249" s="380" t="s">
        <v>280</v>
      </c>
      <c r="V249" s="36"/>
      <c r="W249" s="36"/>
      <c r="X249" s="36" t="s">
        <v>174</v>
      </c>
      <c r="Y249" s="380" t="s">
        <v>686</v>
      </c>
      <c r="Z249" s="380" t="s">
        <v>280</v>
      </c>
      <c r="AA249" s="36"/>
      <c r="AB249" s="36"/>
      <c r="AC249" s="36" t="s">
        <v>1329</v>
      </c>
      <c r="AD249" s="380" t="s">
        <v>686</v>
      </c>
      <c r="AE249" s="380" t="s">
        <v>280</v>
      </c>
      <c r="AF249" s="36"/>
      <c r="AG249" s="36"/>
      <c r="AH249" s="36" t="s">
        <v>1330</v>
      </c>
      <c r="AI249" s="380" t="s">
        <v>686</v>
      </c>
      <c r="AJ249" s="380" t="s">
        <v>280</v>
      </c>
      <c r="AK249" s="36"/>
      <c r="AL249" s="36"/>
      <c r="AM249" s="36" t="s">
        <v>1331</v>
      </c>
      <c r="AN249" s="380" t="s">
        <v>686</v>
      </c>
      <c r="AO249" s="380" t="s">
        <v>280</v>
      </c>
      <c r="AP249" s="36"/>
      <c r="AQ249" s="36"/>
      <c r="AR249" s="36" t="s">
        <v>1332</v>
      </c>
      <c r="AS249" s="380" t="s">
        <v>686</v>
      </c>
      <c r="AT249" s="380" t="s">
        <v>280</v>
      </c>
      <c r="AU249" s="36"/>
      <c r="AV249" s="381"/>
    </row>
    <row r="250" spans="1:48" ht="28.8" hidden="1">
      <c r="A250" s="394" t="s">
        <v>1333</v>
      </c>
      <c r="B250" s="375" t="s">
        <v>1328</v>
      </c>
      <c r="C250" s="375"/>
      <c r="D250" s="395" t="s">
        <v>374</v>
      </c>
      <c r="E250" s="370" t="s">
        <v>303</v>
      </c>
      <c r="F250" s="372"/>
      <c r="G250" s="372"/>
      <c r="H250" s="431">
        <v>2022</v>
      </c>
      <c r="I250" s="375" t="s">
        <v>96</v>
      </c>
      <c r="J250" s="374"/>
      <c r="K250" s="374"/>
      <c r="L250" s="373" t="s">
        <v>686</v>
      </c>
      <c r="M250" s="373" t="s">
        <v>280</v>
      </c>
      <c r="N250" s="375" t="s">
        <v>96</v>
      </c>
      <c r="O250" s="373" t="s">
        <v>686</v>
      </c>
      <c r="P250" s="373" t="s">
        <v>280</v>
      </c>
      <c r="Q250" s="374"/>
      <c r="R250" s="374"/>
      <c r="S250" s="375" t="s">
        <v>42</v>
      </c>
      <c r="T250" s="373" t="s">
        <v>686</v>
      </c>
      <c r="U250" s="373" t="s">
        <v>280</v>
      </c>
      <c r="V250" s="375"/>
      <c r="W250" s="375"/>
      <c r="X250" s="375" t="s">
        <v>1329</v>
      </c>
      <c r="Y250" s="373" t="s">
        <v>686</v>
      </c>
      <c r="Z250" s="373" t="s">
        <v>280</v>
      </c>
      <c r="AA250" s="375"/>
      <c r="AB250" s="375"/>
      <c r="AC250" s="375" t="s">
        <v>1334</v>
      </c>
      <c r="AD250" s="373" t="s">
        <v>686</v>
      </c>
      <c r="AE250" s="373" t="s">
        <v>280</v>
      </c>
      <c r="AF250" s="375"/>
      <c r="AG250" s="375"/>
      <c r="AH250" s="375" t="s">
        <v>1335</v>
      </c>
      <c r="AI250" s="373" t="s">
        <v>686</v>
      </c>
      <c r="AJ250" s="373" t="s">
        <v>280</v>
      </c>
      <c r="AK250" s="375"/>
      <c r="AL250" s="375"/>
      <c r="AM250" s="375"/>
      <c r="AN250" s="375"/>
      <c r="AO250" s="375"/>
      <c r="AP250" s="375"/>
      <c r="AQ250" s="375"/>
      <c r="AR250" s="375"/>
      <c r="AS250" s="375"/>
      <c r="AT250" s="375"/>
      <c r="AU250" s="375"/>
      <c r="AV250" s="376"/>
    </row>
    <row r="251" spans="1:48" ht="28.8" hidden="1">
      <c r="A251" s="137" t="s">
        <v>1336</v>
      </c>
      <c r="B251" s="36" t="s">
        <v>1337</v>
      </c>
      <c r="C251" s="36"/>
      <c r="D251" s="35" t="s">
        <v>313</v>
      </c>
      <c r="E251" s="35"/>
      <c r="F251" s="20"/>
      <c r="G251" s="20"/>
      <c r="H251" s="432">
        <v>2022</v>
      </c>
      <c r="I251" s="36"/>
      <c r="J251" s="94"/>
      <c r="K251" s="94"/>
      <c r="L251" s="94"/>
      <c r="M251" s="94"/>
      <c r="N251" s="36" t="s">
        <v>1338</v>
      </c>
      <c r="O251" s="94"/>
      <c r="P251" s="94" t="s">
        <v>1339</v>
      </c>
      <c r="Q251" s="94"/>
      <c r="R251" s="94"/>
      <c r="S251" s="36" t="s">
        <v>96</v>
      </c>
      <c r="T251" s="380" t="s">
        <v>686</v>
      </c>
      <c r="U251" s="380" t="s">
        <v>280</v>
      </c>
      <c r="V251" s="36"/>
      <c r="W251" s="36"/>
      <c r="X251" s="36"/>
      <c r="Y251" s="94"/>
      <c r="Z251" s="36"/>
      <c r="AA251" s="36"/>
      <c r="AB251" s="36"/>
      <c r="AC251" s="36"/>
      <c r="AD251" s="94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81"/>
    </row>
    <row r="252" spans="1:48" ht="28.8" hidden="1">
      <c r="A252" s="394" t="s">
        <v>1340</v>
      </c>
      <c r="B252" s="375" t="s">
        <v>1341</v>
      </c>
      <c r="C252" s="375"/>
      <c r="D252" s="395" t="s">
        <v>374</v>
      </c>
      <c r="E252" s="370" t="s">
        <v>303</v>
      </c>
      <c r="F252" s="372"/>
      <c r="G252" s="372"/>
      <c r="H252" s="431">
        <v>2022</v>
      </c>
      <c r="I252" s="375"/>
      <c r="J252" s="374"/>
      <c r="K252" s="374"/>
      <c r="L252" s="374"/>
      <c r="M252" s="374"/>
      <c r="N252" s="375" t="s">
        <v>1342</v>
      </c>
      <c r="O252" s="374"/>
      <c r="P252" s="374" t="s">
        <v>1343</v>
      </c>
      <c r="Q252" s="374"/>
      <c r="R252" s="374"/>
      <c r="S252" s="375" t="s">
        <v>96</v>
      </c>
      <c r="T252" s="373" t="s">
        <v>686</v>
      </c>
      <c r="U252" s="373" t="s">
        <v>280</v>
      </c>
      <c r="V252" s="375"/>
      <c r="W252" s="375"/>
      <c r="X252" s="375"/>
      <c r="Y252" s="374"/>
      <c r="Z252" s="375"/>
      <c r="AA252" s="375"/>
      <c r="AB252" s="375"/>
      <c r="AC252" s="375"/>
      <c r="AD252" s="374"/>
      <c r="AE252" s="375"/>
      <c r="AF252" s="375"/>
      <c r="AG252" s="375"/>
      <c r="AH252" s="375"/>
      <c r="AI252" s="375"/>
      <c r="AJ252" s="375"/>
      <c r="AK252" s="375"/>
      <c r="AL252" s="375"/>
      <c r="AM252" s="375"/>
      <c r="AN252" s="375"/>
      <c r="AO252" s="375"/>
      <c r="AP252" s="375"/>
      <c r="AQ252" s="375"/>
      <c r="AR252" s="375"/>
      <c r="AS252" s="375"/>
      <c r="AT252" s="375"/>
      <c r="AU252" s="375"/>
      <c r="AV252" s="376"/>
    </row>
    <row r="253" spans="1:48" ht="43.2" hidden="1">
      <c r="A253" s="137" t="s">
        <v>1344</v>
      </c>
      <c r="B253" s="36" t="s">
        <v>1345</v>
      </c>
      <c r="C253" s="36"/>
      <c r="D253" s="35" t="s">
        <v>313</v>
      </c>
      <c r="E253" s="35"/>
      <c r="F253" s="20"/>
      <c r="G253" s="20"/>
      <c r="H253" s="432">
        <v>2022</v>
      </c>
      <c r="I253" s="36"/>
      <c r="J253" s="94"/>
      <c r="K253" s="94"/>
      <c r="L253" s="94"/>
      <c r="M253" s="94"/>
      <c r="N253" s="36" t="s">
        <v>1346</v>
      </c>
      <c r="O253" s="94"/>
      <c r="P253" s="94" t="s">
        <v>1343</v>
      </c>
      <c r="Q253" s="94"/>
      <c r="R253" s="94"/>
      <c r="S253" s="36" t="s">
        <v>96</v>
      </c>
      <c r="T253" s="380" t="s">
        <v>686</v>
      </c>
      <c r="U253" s="380" t="s">
        <v>280</v>
      </c>
      <c r="V253" s="36"/>
      <c r="W253" s="36"/>
      <c r="X253" s="36"/>
      <c r="Y253" s="94"/>
      <c r="Z253" s="36"/>
      <c r="AA253" s="36"/>
      <c r="AB253" s="36"/>
      <c r="AC253" s="36"/>
      <c r="AD253" s="94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81"/>
    </row>
    <row r="254" spans="1:48" ht="28.8" hidden="1">
      <c r="A254" s="394" t="s">
        <v>1347</v>
      </c>
      <c r="B254" s="375" t="s">
        <v>1348</v>
      </c>
      <c r="C254" s="375"/>
      <c r="D254" s="395" t="s">
        <v>313</v>
      </c>
      <c r="E254" s="395"/>
      <c r="F254" s="372"/>
      <c r="G254" s="372"/>
      <c r="H254" s="431">
        <v>2022</v>
      </c>
      <c r="I254" s="375"/>
      <c r="J254" s="374"/>
      <c r="K254" s="374"/>
      <c r="L254" s="374"/>
      <c r="M254" s="374"/>
      <c r="N254" s="375" t="s">
        <v>1349</v>
      </c>
      <c r="O254" s="374"/>
      <c r="P254" s="374" t="s">
        <v>1343</v>
      </c>
      <c r="Q254" s="374"/>
      <c r="R254" s="374"/>
      <c r="S254" s="375" t="s">
        <v>96</v>
      </c>
      <c r="T254" s="373" t="s">
        <v>686</v>
      </c>
      <c r="U254" s="373" t="s">
        <v>280</v>
      </c>
      <c r="V254" s="375"/>
      <c r="W254" s="375"/>
      <c r="X254" s="375"/>
      <c r="Y254" s="374"/>
      <c r="Z254" s="375"/>
      <c r="AA254" s="375"/>
      <c r="AB254" s="375"/>
      <c r="AC254" s="375"/>
      <c r="AD254" s="374"/>
      <c r="AE254" s="375"/>
      <c r="AF254" s="375"/>
      <c r="AG254" s="375"/>
      <c r="AH254" s="375"/>
      <c r="AI254" s="375"/>
      <c r="AJ254" s="375"/>
      <c r="AK254" s="375"/>
      <c r="AL254" s="375"/>
      <c r="AM254" s="375"/>
      <c r="AN254" s="375"/>
      <c r="AO254" s="375"/>
      <c r="AP254" s="375"/>
      <c r="AQ254" s="375"/>
      <c r="AR254" s="375"/>
      <c r="AS254" s="375"/>
      <c r="AT254" s="375"/>
      <c r="AU254" s="375"/>
      <c r="AV254" s="376"/>
    </row>
    <row r="255" spans="1:48" ht="28.8" hidden="1">
      <c r="A255" s="137" t="s">
        <v>1350</v>
      </c>
      <c r="B255" s="36" t="s">
        <v>1351</v>
      </c>
      <c r="C255" s="36"/>
      <c r="D255" s="35" t="s">
        <v>302</v>
      </c>
      <c r="E255" s="75" t="s">
        <v>303</v>
      </c>
      <c r="F255" s="20"/>
      <c r="G255" s="20"/>
      <c r="H255" s="432">
        <v>2022</v>
      </c>
      <c r="I255" s="36"/>
      <c r="J255" s="94"/>
      <c r="K255" s="94"/>
      <c r="L255" s="94"/>
      <c r="M255" s="94"/>
      <c r="N255" s="36" t="s">
        <v>692</v>
      </c>
      <c r="O255" s="94"/>
      <c r="P255" s="94" t="s">
        <v>1343</v>
      </c>
      <c r="Q255" s="94"/>
      <c r="R255" s="94"/>
      <c r="S255" s="36" t="s">
        <v>96</v>
      </c>
      <c r="T255" s="380" t="s">
        <v>686</v>
      </c>
      <c r="U255" s="380" t="s">
        <v>280</v>
      </c>
      <c r="V255" s="36"/>
      <c r="W255" s="36"/>
      <c r="X255" s="36"/>
      <c r="Y255" s="94"/>
      <c r="Z255" s="36"/>
      <c r="AA255" s="36"/>
      <c r="AB255" s="36"/>
      <c r="AC255" s="36"/>
      <c r="AD255" s="94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81"/>
    </row>
    <row r="256" spans="1:48" ht="28.8" hidden="1">
      <c r="A256" s="394" t="s">
        <v>1352</v>
      </c>
      <c r="B256" s="375" t="s">
        <v>1353</v>
      </c>
      <c r="C256" s="375"/>
      <c r="D256" s="395" t="s">
        <v>313</v>
      </c>
      <c r="E256" s="395"/>
      <c r="F256" s="372"/>
      <c r="G256" s="372"/>
      <c r="H256" s="431">
        <v>2022</v>
      </c>
      <c r="I256" s="375" t="s">
        <v>96</v>
      </c>
      <c r="J256" s="374"/>
      <c r="K256" s="374"/>
      <c r="L256" s="373" t="s">
        <v>686</v>
      </c>
      <c r="M256" s="373" t="s">
        <v>280</v>
      </c>
      <c r="N256" s="375" t="s">
        <v>96</v>
      </c>
      <c r="O256" s="373" t="s">
        <v>686</v>
      </c>
      <c r="P256" s="373" t="s">
        <v>280</v>
      </c>
      <c r="Q256" s="374"/>
      <c r="R256" s="374"/>
      <c r="S256" s="375"/>
      <c r="T256" s="374"/>
      <c r="U256" s="375"/>
      <c r="V256" s="375"/>
      <c r="W256" s="375"/>
      <c r="X256" s="375"/>
      <c r="Y256" s="374"/>
      <c r="Z256" s="375"/>
      <c r="AA256" s="375"/>
      <c r="AB256" s="375"/>
      <c r="AC256" s="375"/>
      <c r="AD256" s="374"/>
      <c r="AE256" s="375"/>
      <c r="AF256" s="375"/>
      <c r="AG256" s="375"/>
      <c r="AH256" s="375"/>
      <c r="AI256" s="375"/>
      <c r="AJ256" s="375"/>
      <c r="AK256" s="375"/>
      <c r="AL256" s="375"/>
      <c r="AM256" s="375"/>
      <c r="AN256" s="375"/>
      <c r="AO256" s="375"/>
      <c r="AP256" s="375"/>
      <c r="AQ256" s="375"/>
      <c r="AR256" s="375"/>
      <c r="AS256" s="375"/>
      <c r="AT256" s="375"/>
      <c r="AU256" s="375"/>
      <c r="AV256" s="376"/>
    </row>
    <row r="257" spans="1:48" ht="43.2" hidden="1">
      <c r="A257" s="137" t="s">
        <v>1354</v>
      </c>
      <c r="B257" s="36" t="s">
        <v>1355</v>
      </c>
      <c r="C257" s="36"/>
      <c r="D257" s="35" t="s">
        <v>321</v>
      </c>
      <c r="E257" s="75" t="s">
        <v>303</v>
      </c>
      <c r="F257" s="20"/>
      <c r="G257" s="20"/>
      <c r="H257" s="432">
        <v>2022</v>
      </c>
      <c r="I257" s="36"/>
      <c r="J257" s="94"/>
      <c r="K257" s="94"/>
      <c r="L257" s="94"/>
      <c r="M257" s="94"/>
      <c r="N257" s="36" t="s">
        <v>1356</v>
      </c>
      <c r="O257" s="94"/>
      <c r="P257" s="380" t="s">
        <v>366</v>
      </c>
      <c r="Q257" s="94"/>
      <c r="R257" s="94"/>
      <c r="S257" s="36" t="s">
        <v>721</v>
      </c>
      <c r="T257" s="94"/>
      <c r="U257" s="380" t="s">
        <v>366</v>
      </c>
      <c r="V257" s="36"/>
      <c r="W257" s="36"/>
      <c r="X257" s="36" t="s">
        <v>704</v>
      </c>
      <c r="Y257" s="380" t="s">
        <v>279</v>
      </c>
      <c r="Z257" s="380" t="s">
        <v>280</v>
      </c>
      <c r="AA257" s="36"/>
      <c r="AB257" s="36"/>
      <c r="AC257" s="36"/>
      <c r="AD257" s="94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81"/>
    </row>
    <row r="258" spans="1:48" ht="43.2" hidden="1">
      <c r="A258" s="394" t="s">
        <v>1357</v>
      </c>
      <c r="B258" s="375" t="s">
        <v>1358</v>
      </c>
      <c r="C258" s="375"/>
      <c r="D258" s="395" t="s">
        <v>321</v>
      </c>
      <c r="E258" s="370" t="s">
        <v>303</v>
      </c>
      <c r="F258" s="372"/>
      <c r="G258" s="372"/>
      <c r="H258" s="431">
        <v>2022</v>
      </c>
      <c r="I258" s="375" t="s">
        <v>1359</v>
      </c>
      <c r="J258" s="374"/>
      <c r="K258" s="374"/>
      <c r="L258" s="374"/>
      <c r="M258" s="373" t="s">
        <v>366</v>
      </c>
      <c r="N258" s="375" t="s">
        <v>1359</v>
      </c>
      <c r="O258" s="374"/>
      <c r="P258" s="373" t="s">
        <v>366</v>
      </c>
      <c r="Q258" s="374"/>
      <c r="R258" s="374"/>
      <c r="S258" s="375" t="s">
        <v>1360</v>
      </c>
      <c r="T258" s="374"/>
      <c r="U258" s="373" t="s">
        <v>366</v>
      </c>
      <c r="V258" s="375"/>
      <c r="W258" s="375"/>
      <c r="X258" s="375" t="s">
        <v>704</v>
      </c>
      <c r="Y258" s="373" t="s">
        <v>279</v>
      </c>
      <c r="Z258" s="373" t="s">
        <v>280</v>
      </c>
      <c r="AA258" s="375"/>
      <c r="AB258" s="375"/>
      <c r="AC258" s="375"/>
      <c r="AD258" s="374"/>
      <c r="AE258" s="375"/>
      <c r="AF258" s="375"/>
      <c r="AG258" s="375"/>
      <c r="AH258" s="375"/>
      <c r="AI258" s="375"/>
      <c r="AJ258" s="375"/>
      <c r="AK258" s="375"/>
      <c r="AL258" s="375"/>
      <c r="AM258" s="375"/>
      <c r="AN258" s="375"/>
      <c r="AO258" s="375"/>
      <c r="AP258" s="375"/>
      <c r="AQ258" s="375"/>
      <c r="AR258" s="375"/>
      <c r="AS258" s="375"/>
      <c r="AT258" s="375"/>
      <c r="AU258" s="375"/>
      <c r="AV258" s="376"/>
    </row>
    <row r="259" spans="1:48" ht="43.2" hidden="1">
      <c r="A259" s="137" t="s">
        <v>1361</v>
      </c>
      <c r="B259" s="36" t="s">
        <v>1324</v>
      </c>
      <c r="C259" s="36"/>
      <c r="D259" s="35" t="s">
        <v>277</v>
      </c>
      <c r="E259" s="35"/>
      <c r="F259" s="20"/>
      <c r="G259" s="20"/>
      <c r="H259" s="432">
        <v>2022</v>
      </c>
      <c r="I259" s="36"/>
      <c r="J259" s="94"/>
      <c r="K259" s="94"/>
      <c r="L259" s="94"/>
      <c r="M259" s="94"/>
      <c r="N259" s="36" t="s">
        <v>1362</v>
      </c>
      <c r="O259" s="94"/>
      <c r="P259" s="380" t="s">
        <v>366</v>
      </c>
      <c r="Q259" s="94"/>
      <c r="R259" s="94"/>
      <c r="S259" s="36" t="s">
        <v>704</v>
      </c>
      <c r="T259" s="380" t="s">
        <v>279</v>
      </c>
      <c r="U259" s="380" t="s">
        <v>280</v>
      </c>
      <c r="V259" s="36"/>
      <c r="W259" s="36"/>
      <c r="X259" s="36" t="s">
        <v>1363</v>
      </c>
      <c r="Y259" s="94"/>
      <c r="Z259" s="94" t="s">
        <v>1364</v>
      </c>
      <c r="AA259" s="36"/>
      <c r="AB259" s="36"/>
      <c r="AC259" s="36" t="s">
        <v>1365</v>
      </c>
      <c r="AD259" s="94"/>
      <c r="AE259" s="94" t="s">
        <v>1364</v>
      </c>
      <c r="AF259" s="36"/>
      <c r="AG259" s="36"/>
      <c r="AH259" s="36" t="s">
        <v>1366</v>
      </c>
      <c r="AI259" s="36"/>
      <c r="AJ259" s="94" t="s">
        <v>1364</v>
      </c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81"/>
    </row>
    <row r="260" spans="1:48" ht="43.2" hidden="1">
      <c r="A260" s="394" t="s">
        <v>1367</v>
      </c>
      <c r="B260" s="375" t="s">
        <v>1368</v>
      </c>
      <c r="C260" s="375"/>
      <c r="D260" s="395" t="s">
        <v>302</v>
      </c>
      <c r="E260" s="370" t="s">
        <v>303</v>
      </c>
      <c r="F260" s="372"/>
      <c r="G260" s="372"/>
      <c r="H260" s="431">
        <v>2022</v>
      </c>
      <c r="I260" s="375" t="s">
        <v>704</v>
      </c>
      <c r="J260" s="374"/>
      <c r="K260" s="374"/>
      <c r="L260" s="373" t="s">
        <v>279</v>
      </c>
      <c r="M260" s="373" t="s">
        <v>280</v>
      </c>
      <c r="N260" s="375" t="s">
        <v>704</v>
      </c>
      <c r="O260" s="373" t="s">
        <v>279</v>
      </c>
      <c r="P260" s="373" t="s">
        <v>280</v>
      </c>
      <c r="Q260" s="374"/>
      <c r="R260" s="374"/>
      <c r="S260" s="375" t="s">
        <v>1369</v>
      </c>
      <c r="T260" s="374"/>
      <c r="U260" s="373" t="s">
        <v>366</v>
      </c>
      <c r="V260" s="375"/>
      <c r="W260" s="375"/>
      <c r="X260" s="375" t="s">
        <v>1370</v>
      </c>
      <c r="Y260" s="374"/>
      <c r="Z260" s="373" t="s">
        <v>366</v>
      </c>
      <c r="AA260" s="375"/>
      <c r="AB260" s="375"/>
      <c r="AC260" s="375"/>
      <c r="AD260" s="374"/>
      <c r="AE260" s="375"/>
      <c r="AF260" s="375"/>
      <c r="AG260" s="375"/>
      <c r="AH260" s="375"/>
      <c r="AI260" s="375"/>
      <c r="AJ260" s="375"/>
      <c r="AK260" s="375"/>
      <c r="AL260" s="375"/>
      <c r="AM260" s="375"/>
      <c r="AN260" s="375"/>
      <c r="AO260" s="375"/>
      <c r="AP260" s="375"/>
      <c r="AQ260" s="375"/>
      <c r="AR260" s="375"/>
      <c r="AS260" s="375"/>
      <c r="AT260" s="375"/>
      <c r="AU260" s="375"/>
      <c r="AV260" s="376"/>
    </row>
    <row r="261" spans="1:48" ht="43.2" hidden="1">
      <c r="A261" s="137" t="s">
        <v>1371</v>
      </c>
      <c r="B261" s="36" t="s">
        <v>1372</v>
      </c>
      <c r="C261" s="36"/>
      <c r="D261" s="35" t="s">
        <v>313</v>
      </c>
      <c r="E261" s="35"/>
      <c r="F261" s="20"/>
      <c r="G261" s="20"/>
      <c r="H261" s="432">
        <v>2022</v>
      </c>
      <c r="I261" s="36"/>
      <c r="J261" s="94"/>
      <c r="K261" s="94"/>
      <c r="L261" s="94"/>
      <c r="M261" s="94"/>
      <c r="N261" s="36" t="s">
        <v>1373</v>
      </c>
      <c r="O261" s="94"/>
      <c r="P261" s="380" t="s">
        <v>366</v>
      </c>
      <c r="Q261" s="94"/>
      <c r="R261" s="94"/>
      <c r="S261" s="36" t="s">
        <v>1359</v>
      </c>
      <c r="T261" s="94"/>
      <c r="U261" s="380" t="s">
        <v>366</v>
      </c>
      <c r="V261" s="36"/>
      <c r="W261" s="36"/>
      <c r="X261" s="36" t="s">
        <v>704</v>
      </c>
      <c r="Y261" s="380" t="s">
        <v>279</v>
      </c>
      <c r="Z261" s="380" t="s">
        <v>280</v>
      </c>
      <c r="AA261" s="36"/>
      <c r="AB261" s="36"/>
      <c r="AC261" s="36"/>
      <c r="AD261" s="94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81"/>
    </row>
    <row r="262" spans="1:48" ht="28.8" hidden="1">
      <c r="A262" s="394" t="s">
        <v>1374</v>
      </c>
      <c r="B262" s="375" t="s">
        <v>1375</v>
      </c>
      <c r="C262" s="375"/>
      <c r="D262" s="395" t="s">
        <v>374</v>
      </c>
      <c r="E262" s="370" t="s">
        <v>303</v>
      </c>
      <c r="F262" s="372"/>
      <c r="G262" s="372"/>
      <c r="H262" s="431">
        <v>2022</v>
      </c>
      <c r="I262" s="375" t="s">
        <v>352</v>
      </c>
      <c r="J262" s="374"/>
      <c r="K262" s="374"/>
      <c r="L262" s="373" t="s">
        <v>353</v>
      </c>
      <c r="M262" s="373" t="s">
        <v>280</v>
      </c>
      <c r="N262" s="375" t="s">
        <v>1376</v>
      </c>
      <c r="O262" s="373" t="s">
        <v>353</v>
      </c>
      <c r="P262" s="373" t="s">
        <v>280</v>
      </c>
      <c r="Q262" s="374"/>
      <c r="R262" s="374"/>
      <c r="S262" s="375" t="s">
        <v>352</v>
      </c>
      <c r="T262" s="373" t="s">
        <v>353</v>
      </c>
      <c r="U262" s="373" t="s">
        <v>280</v>
      </c>
      <c r="V262" s="375"/>
      <c r="W262" s="375"/>
      <c r="X262" s="375" t="s">
        <v>1377</v>
      </c>
      <c r="Y262" s="373" t="s">
        <v>353</v>
      </c>
      <c r="Z262" s="373" t="s">
        <v>280</v>
      </c>
      <c r="AA262" s="375"/>
      <c r="AB262" s="375"/>
      <c r="AC262" s="375" t="s">
        <v>1378</v>
      </c>
      <c r="AD262" s="373" t="s">
        <v>353</v>
      </c>
      <c r="AE262" s="373" t="s">
        <v>280</v>
      </c>
      <c r="AF262" s="375"/>
      <c r="AG262" s="375"/>
      <c r="AH262" s="375"/>
      <c r="AI262" s="375"/>
      <c r="AJ262" s="375"/>
      <c r="AK262" s="375"/>
      <c r="AL262" s="375"/>
      <c r="AM262" s="375"/>
      <c r="AN262" s="375"/>
      <c r="AO262" s="375"/>
      <c r="AP262" s="375"/>
      <c r="AQ262" s="375"/>
      <c r="AR262" s="375"/>
      <c r="AS262" s="375"/>
      <c r="AT262" s="375"/>
      <c r="AU262" s="375"/>
      <c r="AV262" s="376"/>
    </row>
    <row r="263" spans="1:48" ht="28.8" hidden="1">
      <c r="A263" s="137" t="s">
        <v>1379</v>
      </c>
      <c r="B263" s="36" t="s">
        <v>1380</v>
      </c>
      <c r="C263" s="36"/>
      <c r="D263" s="35" t="s">
        <v>302</v>
      </c>
      <c r="E263" s="75" t="s">
        <v>303</v>
      </c>
      <c r="F263" s="20"/>
      <c r="G263" s="20"/>
      <c r="H263" s="432">
        <v>2022</v>
      </c>
      <c r="I263" s="36"/>
      <c r="J263" s="94"/>
      <c r="K263" s="94"/>
      <c r="L263" s="94"/>
      <c r="M263" s="94"/>
      <c r="N263" s="36" t="s">
        <v>439</v>
      </c>
      <c r="O263" s="380" t="s">
        <v>353</v>
      </c>
      <c r="P263" s="380" t="s">
        <v>280</v>
      </c>
      <c r="Q263" s="94"/>
      <c r="R263" s="94"/>
      <c r="S263" s="36" t="s">
        <v>1381</v>
      </c>
      <c r="T263" s="380" t="s">
        <v>353</v>
      </c>
      <c r="U263" s="380" t="s">
        <v>280</v>
      </c>
      <c r="V263" s="36"/>
      <c r="W263" s="36"/>
      <c r="X263" s="36" t="s">
        <v>1382</v>
      </c>
      <c r="Y263" s="380" t="s">
        <v>353</v>
      </c>
      <c r="Z263" s="380" t="s">
        <v>280</v>
      </c>
      <c r="AA263" s="36"/>
      <c r="AB263" s="36"/>
      <c r="AC263" s="36" t="s">
        <v>1383</v>
      </c>
      <c r="AD263" s="380" t="s">
        <v>353</v>
      </c>
      <c r="AE263" s="380" t="s">
        <v>280</v>
      </c>
      <c r="AF263" s="36"/>
      <c r="AG263" s="36"/>
      <c r="AH263" s="36" t="s">
        <v>352</v>
      </c>
      <c r="AI263" s="380" t="s">
        <v>353</v>
      </c>
      <c r="AJ263" s="380" t="s">
        <v>280</v>
      </c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81"/>
    </row>
    <row r="264" spans="1:48" ht="28.8" hidden="1">
      <c r="A264" s="394" t="s">
        <v>1384</v>
      </c>
      <c r="B264" s="375" t="s">
        <v>1385</v>
      </c>
      <c r="C264" s="375"/>
      <c r="D264" s="395" t="s">
        <v>528</v>
      </c>
      <c r="E264" s="395"/>
      <c r="F264" s="372"/>
      <c r="G264" s="372"/>
      <c r="H264" s="431">
        <v>2022</v>
      </c>
      <c r="I264" s="375" t="s">
        <v>890</v>
      </c>
      <c r="J264" s="374"/>
      <c r="K264" s="374"/>
      <c r="L264" s="374"/>
      <c r="M264" s="373" t="s">
        <v>420</v>
      </c>
      <c r="N264" s="375" t="s">
        <v>1386</v>
      </c>
      <c r="O264" s="374"/>
      <c r="P264" s="373" t="s">
        <v>420</v>
      </c>
      <c r="Q264" s="374"/>
      <c r="R264" s="374"/>
      <c r="S264" s="375" t="s">
        <v>890</v>
      </c>
      <c r="T264" s="374"/>
      <c r="U264" s="373" t="s">
        <v>420</v>
      </c>
      <c r="V264" s="375"/>
      <c r="W264" s="375"/>
      <c r="X264" s="375" t="s">
        <v>1387</v>
      </c>
      <c r="Y264" s="374"/>
      <c r="Z264" s="373" t="s">
        <v>420</v>
      </c>
      <c r="AA264" s="375"/>
      <c r="AB264" s="375"/>
      <c r="AC264" s="375" t="s">
        <v>949</v>
      </c>
      <c r="AD264" s="373" t="s">
        <v>809</v>
      </c>
      <c r="AE264" s="373" t="s">
        <v>280</v>
      </c>
      <c r="AF264" s="375"/>
      <c r="AG264" s="375"/>
      <c r="AH264" s="375" t="s">
        <v>1388</v>
      </c>
      <c r="AI264" s="375"/>
      <c r="AJ264" s="373" t="s">
        <v>1176</v>
      </c>
      <c r="AK264" s="375"/>
      <c r="AL264" s="375"/>
      <c r="AM264" s="375"/>
      <c r="AN264" s="375"/>
      <c r="AO264" s="375"/>
      <c r="AP264" s="375"/>
      <c r="AQ264" s="375"/>
      <c r="AR264" s="375"/>
      <c r="AS264" s="375"/>
      <c r="AT264" s="375"/>
      <c r="AU264" s="375"/>
      <c r="AV264" s="376"/>
    </row>
    <row r="265" spans="1:48" ht="43.2" hidden="1">
      <c r="A265" s="137" t="s">
        <v>1389</v>
      </c>
      <c r="B265" s="36" t="s">
        <v>1078</v>
      </c>
      <c r="C265" s="36"/>
      <c r="D265" s="35" t="s">
        <v>306</v>
      </c>
      <c r="E265" s="75" t="s">
        <v>303</v>
      </c>
      <c r="F265" s="20"/>
      <c r="G265" s="20"/>
      <c r="H265" s="432">
        <v>2022</v>
      </c>
      <c r="I265" s="36" t="s">
        <v>949</v>
      </c>
      <c r="J265" s="94"/>
      <c r="K265" s="94"/>
      <c r="L265" s="94" t="s">
        <v>809</v>
      </c>
      <c r="M265" s="380" t="s">
        <v>280</v>
      </c>
      <c r="N265" s="36" t="s">
        <v>949</v>
      </c>
      <c r="O265" s="94" t="s">
        <v>809</v>
      </c>
      <c r="P265" s="380" t="s">
        <v>280</v>
      </c>
      <c r="Q265" s="94"/>
      <c r="R265" s="94"/>
      <c r="S265" s="36" t="s">
        <v>79</v>
      </c>
      <c r="T265" s="94" t="s">
        <v>809</v>
      </c>
      <c r="U265" s="380" t="s">
        <v>280</v>
      </c>
      <c r="V265" s="36"/>
      <c r="W265" s="36"/>
      <c r="X265" s="36" t="s">
        <v>1386</v>
      </c>
      <c r="Y265" s="94"/>
      <c r="Z265" s="380" t="s">
        <v>420</v>
      </c>
      <c r="AA265" s="36"/>
      <c r="AB265" s="36"/>
      <c r="AC265" s="36" t="s">
        <v>1390</v>
      </c>
      <c r="AD265" s="94"/>
      <c r="AE265" s="380" t="s">
        <v>280</v>
      </c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81"/>
    </row>
    <row r="266" spans="1:48" ht="43.2" hidden="1">
      <c r="A266" s="394" t="s">
        <v>1391</v>
      </c>
      <c r="B266" s="375" t="s">
        <v>1392</v>
      </c>
      <c r="C266" s="375"/>
      <c r="D266" s="395" t="s">
        <v>313</v>
      </c>
      <c r="E266" s="395"/>
      <c r="F266" s="372"/>
      <c r="G266" s="372"/>
      <c r="H266" s="431">
        <v>2022</v>
      </c>
      <c r="I266" s="375"/>
      <c r="J266" s="374"/>
      <c r="K266" s="374"/>
      <c r="L266" s="374"/>
      <c r="M266" s="374"/>
      <c r="N266" s="375" t="s">
        <v>949</v>
      </c>
      <c r="O266" s="374" t="s">
        <v>809</v>
      </c>
      <c r="P266" s="373" t="s">
        <v>280</v>
      </c>
      <c r="Q266" s="374"/>
      <c r="R266" s="374"/>
      <c r="S266" s="375" t="s">
        <v>79</v>
      </c>
      <c r="T266" s="374" t="s">
        <v>809</v>
      </c>
      <c r="U266" s="373" t="s">
        <v>280</v>
      </c>
      <c r="V266" s="375"/>
      <c r="W266" s="375"/>
      <c r="X266" s="375" t="s">
        <v>1393</v>
      </c>
      <c r="Y266" s="374" t="s">
        <v>809</v>
      </c>
      <c r="Z266" s="373" t="s">
        <v>280</v>
      </c>
      <c r="AA266" s="375"/>
      <c r="AB266" s="375"/>
      <c r="AC266" s="375"/>
      <c r="AD266" s="374"/>
      <c r="AE266" s="375"/>
      <c r="AF266" s="375"/>
      <c r="AG266" s="375"/>
      <c r="AH266" s="375"/>
      <c r="AI266" s="375"/>
      <c r="AJ266" s="375"/>
      <c r="AK266" s="375"/>
      <c r="AL266" s="375"/>
      <c r="AM266" s="375"/>
      <c r="AN266" s="375"/>
      <c r="AO266" s="375"/>
      <c r="AP266" s="375"/>
      <c r="AQ266" s="375"/>
      <c r="AR266" s="375"/>
      <c r="AS266" s="375"/>
      <c r="AT266" s="375"/>
      <c r="AU266" s="375"/>
      <c r="AV266" s="376"/>
    </row>
    <row r="267" spans="1:48" ht="43.2" hidden="1">
      <c r="A267" s="137" t="s">
        <v>1394</v>
      </c>
      <c r="B267" s="36" t="s">
        <v>1395</v>
      </c>
      <c r="C267" s="36"/>
      <c r="D267" s="35" t="s">
        <v>313</v>
      </c>
      <c r="E267" s="35"/>
      <c r="F267" s="20"/>
      <c r="G267" s="20"/>
      <c r="H267" s="432">
        <v>2022</v>
      </c>
      <c r="I267" s="36" t="s">
        <v>949</v>
      </c>
      <c r="J267" s="94"/>
      <c r="K267" s="94"/>
      <c r="L267" s="94" t="s">
        <v>809</v>
      </c>
      <c r="M267" s="380" t="s">
        <v>280</v>
      </c>
      <c r="N267" s="36" t="s">
        <v>949</v>
      </c>
      <c r="O267" s="94" t="s">
        <v>809</v>
      </c>
      <c r="P267" s="380" t="s">
        <v>280</v>
      </c>
      <c r="Q267" s="94"/>
      <c r="R267" s="94"/>
      <c r="S267" s="36"/>
      <c r="T267" s="94"/>
      <c r="U267" s="36"/>
      <c r="V267" s="36"/>
      <c r="W267" s="36"/>
      <c r="X267" s="36"/>
      <c r="Y267" s="94"/>
      <c r="Z267" s="36"/>
      <c r="AA267" s="36"/>
      <c r="AB267" s="36"/>
      <c r="AC267" s="36"/>
      <c r="AD267" s="94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81"/>
    </row>
    <row r="268" spans="1:48" ht="28.8" hidden="1">
      <c r="A268" s="394" t="s">
        <v>1396</v>
      </c>
      <c r="B268" s="375" t="s">
        <v>1397</v>
      </c>
      <c r="C268" s="375"/>
      <c r="D268" s="395" t="s">
        <v>277</v>
      </c>
      <c r="E268" s="395"/>
      <c r="F268" s="372"/>
      <c r="G268" s="372"/>
      <c r="H268" s="431">
        <v>2022</v>
      </c>
      <c r="I268" s="375" t="s">
        <v>890</v>
      </c>
      <c r="J268" s="374"/>
      <c r="K268" s="374"/>
      <c r="L268" s="374"/>
      <c r="M268" s="373" t="s">
        <v>420</v>
      </c>
      <c r="N268" s="375" t="s">
        <v>1386</v>
      </c>
      <c r="O268" s="374"/>
      <c r="P268" s="373" t="s">
        <v>420</v>
      </c>
      <c r="Q268" s="374"/>
      <c r="R268" s="374"/>
      <c r="S268" s="375" t="s">
        <v>949</v>
      </c>
      <c r="T268" s="374" t="s">
        <v>809</v>
      </c>
      <c r="U268" s="373" t="s">
        <v>280</v>
      </c>
      <c r="V268" s="375"/>
      <c r="W268" s="375"/>
      <c r="X268" s="375" t="s">
        <v>890</v>
      </c>
      <c r="Y268" s="374"/>
      <c r="Z268" s="373" t="s">
        <v>420</v>
      </c>
      <c r="AA268" s="375"/>
      <c r="AB268" s="375"/>
      <c r="AC268" s="375" t="s">
        <v>1387</v>
      </c>
      <c r="AD268" s="374"/>
      <c r="AE268" s="373" t="s">
        <v>420</v>
      </c>
      <c r="AF268" s="375"/>
      <c r="AG268" s="375"/>
      <c r="AH268" s="375" t="s">
        <v>1388</v>
      </c>
      <c r="AI268" s="375"/>
      <c r="AJ268" s="373" t="s">
        <v>1176</v>
      </c>
      <c r="AK268" s="375"/>
      <c r="AL268" s="375"/>
      <c r="AM268" s="375"/>
      <c r="AN268" s="375"/>
      <c r="AO268" s="375"/>
      <c r="AP268" s="375"/>
      <c r="AQ268" s="375"/>
      <c r="AR268" s="375"/>
      <c r="AS268" s="375"/>
      <c r="AT268" s="375"/>
      <c r="AU268" s="375"/>
      <c r="AV268" s="376"/>
    </row>
    <row r="269" spans="1:48" ht="28.8" hidden="1">
      <c r="A269" s="137" t="s">
        <v>1398</v>
      </c>
      <c r="B269" s="36" t="s">
        <v>1399</v>
      </c>
      <c r="C269" s="36"/>
      <c r="D269" s="35" t="s">
        <v>321</v>
      </c>
      <c r="E269" s="35" t="s">
        <v>303</v>
      </c>
      <c r="F269" s="20"/>
      <c r="G269" s="20"/>
      <c r="H269" s="432">
        <v>2022</v>
      </c>
      <c r="I269" s="36"/>
      <c r="J269" s="94"/>
      <c r="K269" s="94"/>
      <c r="L269" s="94"/>
      <c r="M269" s="94"/>
      <c r="N269" s="36" t="s">
        <v>949</v>
      </c>
      <c r="O269" s="94" t="s">
        <v>809</v>
      </c>
      <c r="P269" s="380" t="s">
        <v>280</v>
      </c>
      <c r="Q269" s="94"/>
      <c r="R269" s="94"/>
      <c r="S269" s="36" t="s">
        <v>1386</v>
      </c>
      <c r="T269" s="94"/>
      <c r="U269" s="380" t="s">
        <v>420</v>
      </c>
      <c r="V269" s="36"/>
      <c r="W269" s="36"/>
      <c r="X269" s="36" t="s">
        <v>9</v>
      </c>
      <c r="Y269" s="94" t="s">
        <v>449</v>
      </c>
      <c r="Z269" s="380" t="s">
        <v>280</v>
      </c>
      <c r="AA269" s="36"/>
      <c r="AB269" s="36"/>
      <c r="AC269" s="36" t="s">
        <v>1400</v>
      </c>
      <c r="AD269" s="94"/>
      <c r="AE269" s="380" t="s">
        <v>420</v>
      </c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81"/>
    </row>
    <row r="270" spans="1:48" ht="28.8" hidden="1">
      <c r="A270" s="394" t="s">
        <v>1401</v>
      </c>
      <c r="B270" s="375" t="s">
        <v>1402</v>
      </c>
      <c r="C270" s="375"/>
      <c r="D270" s="395" t="s">
        <v>313</v>
      </c>
      <c r="E270" s="395"/>
      <c r="F270" s="372"/>
      <c r="G270" s="372"/>
      <c r="H270" s="431">
        <v>2022</v>
      </c>
      <c r="I270" s="375"/>
      <c r="J270" s="374"/>
      <c r="K270" s="374"/>
      <c r="L270" s="374"/>
      <c r="M270" s="374"/>
      <c r="N270" s="375" t="s">
        <v>761</v>
      </c>
      <c r="O270" s="374" t="s">
        <v>758</v>
      </c>
      <c r="P270" s="373" t="s">
        <v>280</v>
      </c>
      <c r="Q270" s="374"/>
      <c r="R270" s="374"/>
      <c r="S270" s="375" t="s">
        <v>75</v>
      </c>
      <c r="T270" s="374" t="s">
        <v>809</v>
      </c>
      <c r="U270" s="373" t="s">
        <v>280</v>
      </c>
      <c r="V270" s="375"/>
      <c r="W270" s="375"/>
      <c r="X270" s="375"/>
      <c r="Y270" s="374"/>
      <c r="Z270" s="375"/>
      <c r="AA270" s="375"/>
      <c r="AB270" s="375"/>
      <c r="AC270" s="375"/>
      <c r="AD270" s="374"/>
      <c r="AE270" s="375"/>
      <c r="AF270" s="375"/>
      <c r="AG270" s="375"/>
      <c r="AH270" s="375"/>
      <c r="AI270" s="375"/>
      <c r="AJ270" s="375"/>
      <c r="AK270" s="375"/>
      <c r="AL270" s="375"/>
      <c r="AM270" s="375"/>
      <c r="AN270" s="375"/>
      <c r="AO270" s="375"/>
      <c r="AP270" s="375"/>
      <c r="AQ270" s="375"/>
      <c r="AR270" s="375"/>
      <c r="AS270" s="375"/>
      <c r="AT270" s="375"/>
      <c r="AU270" s="375"/>
      <c r="AV270" s="376"/>
    </row>
    <row r="271" spans="1:48" ht="28.8" hidden="1">
      <c r="A271" s="137" t="s">
        <v>1403</v>
      </c>
      <c r="B271" s="36" t="s">
        <v>1404</v>
      </c>
      <c r="C271" s="36"/>
      <c r="D271" s="35" t="s">
        <v>313</v>
      </c>
      <c r="E271" s="35"/>
      <c r="F271" s="20"/>
      <c r="G271" s="20"/>
      <c r="H271" s="432">
        <v>2022</v>
      </c>
      <c r="I271" s="36"/>
      <c r="J271" s="94"/>
      <c r="K271" s="94"/>
      <c r="L271" s="94"/>
      <c r="M271" s="94"/>
      <c r="N271" s="36" t="s">
        <v>75</v>
      </c>
      <c r="O271" s="94" t="s">
        <v>809</v>
      </c>
      <c r="P271" s="380" t="s">
        <v>280</v>
      </c>
      <c r="Q271" s="94"/>
      <c r="R271" s="94"/>
      <c r="S271" s="36" t="s">
        <v>1405</v>
      </c>
      <c r="T271" s="94"/>
      <c r="U271" s="380" t="s">
        <v>280</v>
      </c>
      <c r="V271" s="36"/>
      <c r="W271" s="36"/>
      <c r="X271" s="36"/>
      <c r="Y271" s="94"/>
      <c r="Z271" s="36"/>
      <c r="AA271" s="36"/>
      <c r="AB271" s="36"/>
      <c r="AC271" s="36"/>
      <c r="AD271" s="94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81"/>
    </row>
    <row r="272" spans="1:48" ht="28.8" hidden="1">
      <c r="A272" s="394" t="s">
        <v>1406</v>
      </c>
      <c r="B272" s="375" t="s">
        <v>1407</v>
      </c>
      <c r="C272" s="375"/>
      <c r="D272" s="395" t="s">
        <v>286</v>
      </c>
      <c r="E272" s="395"/>
      <c r="F272" s="372"/>
      <c r="G272" s="372"/>
      <c r="H272" s="431">
        <v>2022</v>
      </c>
      <c r="I272" s="375" t="s">
        <v>75</v>
      </c>
      <c r="J272" s="374"/>
      <c r="K272" s="374"/>
      <c r="L272" s="374" t="s">
        <v>809</v>
      </c>
      <c r="M272" s="373" t="s">
        <v>280</v>
      </c>
      <c r="N272" s="375" t="s">
        <v>75</v>
      </c>
      <c r="O272" s="374" t="s">
        <v>809</v>
      </c>
      <c r="P272" s="373" t="s">
        <v>280</v>
      </c>
      <c r="Q272" s="374"/>
      <c r="R272" s="374"/>
      <c r="S272" s="375" t="s">
        <v>79</v>
      </c>
      <c r="T272" s="374" t="s">
        <v>809</v>
      </c>
      <c r="U272" s="373" t="s">
        <v>280</v>
      </c>
      <c r="V272" s="375"/>
      <c r="W272" s="375"/>
      <c r="X272" s="375" t="s">
        <v>1408</v>
      </c>
      <c r="Y272" s="374" t="s">
        <v>809</v>
      </c>
      <c r="Z272" s="373" t="s">
        <v>280</v>
      </c>
      <c r="AA272" s="375"/>
      <c r="AB272" s="375"/>
      <c r="AC272" s="375"/>
      <c r="AD272" s="374"/>
      <c r="AE272" s="375"/>
      <c r="AF272" s="375"/>
      <c r="AG272" s="375"/>
      <c r="AH272" s="375"/>
      <c r="AI272" s="375"/>
      <c r="AJ272" s="375"/>
      <c r="AK272" s="375"/>
      <c r="AL272" s="375"/>
      <c r="AM272" s="375"/>
      <c r="AN272" s="375"/>
      <c r="AO272" s="375"/>
      <c r="AP272" s="375"/>
      <c r="AQ272" s="375"/>
      <c r="AR272" s="375"/>
      <c r="AS272" s="375"/>
      <c r="AT272" s="375"/>
      <c r="AU272" s="375"/>
      <c r="AV272" s="376"/>
    </row>
    <row r="273" spans="1:48" ht="28.8" hidden="1">
      <c r="A273" s="137" t="s">
        <v>1409</v>
      </c>
      <c r="B273" s="36" t="s">
        <v>1410</v>
      </c>
      <c r="C273" s="36"/>
      <c r="D273" s="35" t="s">
        <v>395</v>
      </c>
      <c r="E273" s="35"/>
      <c r="F273" s="20"/>
      <c r="G273" s="20"/>
      <c r="H273" s="432">
        <v>2022</v>
      </c>
      <c r="I273" s="36"/>
      <c r="J273" s="94"/>
      <c r="K273" s="94"/>
      <c r="L273" s="94"/>
      <c r="M273" s="94"/>
      <c r="N273" s="36" t="s">
        <v>1411</v>
      </c>
      <c r="O273" s="94"/>
      <c r="P273" s="380" t="s">
        <v>280</v>
      </c>
      <c r="Q273" s="94"/>
      <c r="R273" s="94"/>
      <c r="S273" s="36" t="s">
        <v>1412</v>
      </c>
      <c r="T273" s="94"/>
      <c r="U273" s="380" t="s">
        <v>280</v>
      </c>
      <c r="V273" s="36"/>
      <c r="W273" s="36"/>
      <c r="X273" s="36" t="s">
        <v>1413</v>
      </c>
      <c r="Y273" s="94"/>
      <c r="Z273" s="380" t="s">
        <v>280</v>
      </c>
      <c r="AA273" s="36"/>
      <c r="AB273" s="36"/>
      <c r="AC273" s="36" t="s">
        <v>75</v>
      </c>
      <c r="AD273" s="94" t="s">
        <v>809</v>
      </c>
      <c r="AE273" s="380" t="s">
        <v>280</v>
      </c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81"/>
    </row>
    <row r="274" spans="1:48" ht="28.8" hidden="1">
      <c r="A274" s="394" t="s">
        <v>1414</v>
      </c>
      <c r="B274" s="375" t="s">
        <v>1415</v>
      </c>
      <c r="C274" s="375"/>
      <c r="D274" s="395" t="s">
        <v>395</v>
      </c>
      <c r="E274" s="395"/>
      <c r="F274" s="372"/>
      <c r="G274" s="372"/>
      <c r="H274" s="431">
        <v>2022</v>
      </c>
      <c r="I274" s="375"/>
      <c r="J274" s="374"/>
      <c r="K274" s="374"/>
      <c r="L274" s="374"/>
      <c r="M274" s="374"/>
      <c r="N274" s="375" t="s">
        <v>1416</v>
      </c>
      <c r="O274" s="374"/>
      <c r="P274" s="373" t="s">
        <v>280</v>
      </c>
      <c r="Q274" s="374"/>
      <c r="R274" s="374"/>
      <c r="S274" s="375" t="s">
        <v>1417</v>
      </c>
      <c r="T274" s="374"/>
      <c r="U274" s="373" t="s">
        <v>280</v>
      </c>
      <c r="V274" s="375"/>
      <c r="W274" s="375"/>
      <c r="X274" s="375" t="s">
        <v>1418</v>
      </c>
      <c r="Y274" s="374"/>
      <c r="Z274" s="373" t="s">
        <v>280</v>
      </c>
      <c r="AA274" s="375"/>
      <c r="AB274" s="375"/>
      <c r="AC274" s="375" t="s">
        <v>75</v>
      </c>
      <c r="AD274" s="374" t="s">
        <v>809</v>
      </c>
      <c r="AE274" s="373" t="s">
        <v>280</v>
      </c>
      <c r="AF274" s="375"/>
      <c r="AG274" s="375"/>
      <c r="AH274" s="375"/>
      <c r="AI274" s="375"/>
      <c r="AJ274" s="375"/>
      <c r="AK274" s="375"/>
      <c r="AL274" s="375"/>
      <c r="AM274" s="375"/>
      <c r="AN274" s="375"/>
      <c r="AO274" s="375"/>
      <c r="AP274" s="375"/>
      <c r="AQ274" s="375"/>
      <c r="AR274" s="375"/>
      <c r="AS274" s="375"/>
      <c r="AT274" s="375"/>
      <c r="AU274" s="375"/>
      <c r="AV274" s="376"/>
    </row>
    <row r="275" spans="1:48" ht="28.8" hidden="1">
      <c r="A275" s="137" t="s">
        <v>1419</v>
      </c>
      <c r="B275" s="36" t="s">
        <v>1420</v>
      </c>
      <c r="C275" s="36"/>
      <c r="D275" s="35" t="s">
        <v>395</v>
      </c>
      <c r="E275" s="35"/>
      <c r="F275" s="20"/>
      <c r="G275" s="20"/>
      <c r="H275" s="432">
        <v>2022</v>
      </c>
      <c r="I275" s="36"/>
      <c r="J275" s="94"/>
      <c r="K275" s="94"/>
      <c r="L275" s="94"/>
      <c r="M275" s="94"/>
      <c r="N275" s="36" t="s">
        <v>1421</v>
      </c>
      <c r="O275" s="94"/>
      <c r="P275" s="380" t="s">
        <v>280</v>
      </c>
      <c r="Q275" s="94"/>
      <c r="R275" s="94"/>
      <c r="S275" s="36" t="s">
        <v>1422</v>
      </c>
      <c r="T275" s="94"/>
      <c r="U275" s="380" t="s">
        <v>280</v>
      </c>
      <c r="V275" s="36"/>
      <c r="W275" s="36"/>
      <c r="X275" s="36" t="s">
        <v>1423</v>
      </c>
      <c r="Y275" s="94"/>
      <c r="Z275" s="380" t="s">
        <v>280</v>
      </c>
      <c r="AA275" s="36"/>
      <c r="AB275" s="36"/>
      <c r="AC275" s="36" t="s">
        <v>75</v>
      </c>
      <c r="AD275" s="94" t="s">
        <v>809</v>
      </c>
      <c r="AE275" s="380" t="s">
        <v>280</v>
      </c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81"/>
    </row>
    <row r="276" spans="1:48" ht="43.2" hidden="1">
      <c r="A276" s="394" t="s">
        <v>1424</v>
      </c>
      <c r="B276" s="375" t="s">
        <v>1425</v>
      </c>
      <c r="C276" s="375"/>
      <c r="D276" s="395" t="s">
        <v>395</v>
      </c>
      <c r="E276" s="395"/>
      <c r="F276" s="372"/>
      <c r="G276" s="372"/>
      <c r="H276" s="431">
        <v>2022</v>
      </c>
      <c r="I276" s="375"/>
      <c r="J276" s="374"/>
      <c r="K276" s="374"/>
      <c r="L276" s="374"/>
      <c r="M276" s="374"/>
      <c r="N276" s="375" t="s">
        <v>1426</v>
      </c>
      <c r="O276" s="374"/>
      <c r="P276" s="373" t="s">
        <v>280</v>
      </c>
      <c r="Q276" s="374"/>
      <c r="R276" s="374"/>
      <c r="S276" s="375" t="s">
        <v>1427</v>
      </c>
      <c r="T276" s="374"/>
      <c r="U276" s="373" t="s">
        <v>280</v>
      </c>
      <c r="V276" s="375"/>
      <c r="W276" s="375"/>
      <c r="X276" s="375" t="s">
        <v>1428</v>
      </c>
      <c r="Y276" s="374"/>
      <c r="Z276" s="373" t="s">
        <v>280</v>
      </c>
      <c r="AA276" s="375"/>
      <c r="AB276" s="375"/>
      <c r="AC276" s="375" t="s">
        <v>75</v>
      </c>
      <c r="AD276" s="374" t="s">
        <v>809</v>
      </c>
      <c r="AE276" s="373" t="s">
        <v>280</v>
      </c>
      <c r="AF276" s="375"/>
      <c r="AG276" s="375"/>
      <c r="AH276" s="375"/>
      <c r="AI276" s="375"/>
      <c r="AJ276" s="375"/>
      <c r="AK276" s="375"/>
      <c r="AL276" s="375"/>
      <c r="AM276" s="375"/>
      <c r="AN276" s="375"/>
      <c r="AO276" s="375"/>
      <c r="AP276" s="375"/>
      <c r="AQ276" s="375"/>
      <c r="AR276" s="375"/>
      <c r="AS276" s="375"/>
      <c r="AT276" s="375"/>
      <c r="AU276" s="375"/>
      <c r="AV276" s="376"/>
    </row>
    <row r="277" spans="1:48" ht="28.8" hidden="1">
      <c r="A277" s="137" t="s">
        <v>1429</v>
      </c>
      <c r="B277" s="36" t="s">
        <v>1430</v>
      </c>
      <c r="C277" s="36"/>
      <c r="D277" s="35" t="s">
        <v>306</v>
      </c>
      <c r="E277" s="35"/>
      <c r="F277" s="20"/>
      <c r="G277" s="20"/>
      <c r="H277" s="432">
        <v>2022</v>
      </c>
      <c r="I277" s="36" t="s">
        <v>34</v>
      </c>
      <c r="J277" s="94"/>
      <c r="K277" s="94"/>
      <c r="L277" s="94" t="s">
        <v>620</v>
      </c>
      <c r="M277" s="380" t="s">
        <v>280</v>
      </c>
      <c r="N277" s="36" t="s">
        <v>1431</v>
      </c>
      <c r="O277" s="94"/>
      <c r="P277" s="94" t="s">
        <v>381</v>
      </c>
      <c r="Q277" s="94"/>
      <c r="R277" s="94"/>
      <c r="S277" s="36" t="s">
        <v>1432</v>
      </c>
      <c r="T277" s="94" t="s">
        <v>620</v>
      </c>
      <c r="U277" s="380" t="s">
        <v>280</v>
      </c>
      <c r="V277" s="36"/>
      <c r="W277" s="36"/>
      <c r="X277" s="36" t="s">
        <v>1433</v>
      </c>
      <c r="Y277" s="94"/>
      <c r="Z277" s="36" t="s">
        <v>573</v>
      </c>
      <c r="AA277" s="36"/>
      <c r="AB277" s="36"/>
      <c r="AC277" s="36"/>
      <c r="AD277" s="94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81"/>
    </row>
    <row r="278" spans="1:48" ht="43.2" hidden="1">
      <c r="A278" s="394" t="s">
        <v>750</v>
      </c>
      <c r="B278" s="375" t="s">
        <v>1434</v>
      </c>
      <c r="C278" s="375"/>
      <c r="D278" s="395" t="s">
        <v>528</v>
      </c>
      <c r="E278" s="395"/>
      <c r="F278" s="372"/>
      <c r="G278" s="372"/>
      <c r="H278" s="431">
        <v>2022</v>
      </c>
      <c r="I278" s="375" t="s">
        <v>1435</v>
      </c>
      <c r="J278" s="374"/>
      <c r="K278" s="374"/>
      <c r="L278" s="374"/>
      <c r="M278" s="373" t="s">
        <v>744</v>
      </c>
      <c r="N278" s="375" t="s">
        <v>1432</v>
      </c>
      <c r="O278" s="374" t="s">
        <v>620</v>
      </c>
      <c r="P278" s="373" t="s">
        <v>280</v>
      </c>
      <c r="Q278" s="374"/>
      <c r="R278" s="374"/>
      <c r="S278" s="375" t="s">
        <v>1436</v>
      </c>
      <c r="T278" s="374"/>
      <c r="U278" s="373" t="s">
        <v>747</v>
      </c>
      <c r="V278" s="375"/>
      <c r="W278" s="375"/>
      <c r="X278" s="375" t="s">
        <v>752</v>
      </c>
      <c r="Y278" s="374"/>
      <c r="Z278" s="374" t="s">
        <v>753</v>
      </c>
      <c r="AA278" s="375"/>
      <c r="AB278" s="375"/>
      <c r="AC278" s="375" t="s">
        <v>754</v>
      </c>
      <c r="AD278" s="374"/>
      <c r="AE278" s="373" t="s">
        <v>1437</v>
      </c>
      <c r="AF278" s="375"/>
      <c r="AG278" s="375"/>
      <c r="AH278" s="375"/>
      <c r="AI278" s="375"/>
      <c r="AJ278" s="375"/>
      <c r="AK278" s="375"/>
      <c r="AL278" s="375"/>
      <c r="AM278" s="375"/>
      <c r="AN278" s="375"/>
      <c r="AO278" s="375"/>
      <c r="AP278" s="375"/>
      <c r="AQ278" s="375"/>
      <c r="AR278" s="375"/>
      <c r="AS278" s="375"/>
      <c r="AT278" s="375"/>
      <c r="AU278" s="375"/>
      <c r="AV278" s="376"/>
    </row>
    <row r="279" spans="1:48" ht="28.8" hidden="1">
      <c r="A279" s="137" t="s">
        <v>1438</v>
      </c>
      <c r="B279" s="36" t="s">
        <v>1439</v>
      </c>
      <c r="C279" s="36"/>
      <c r="D279" s="35" t="s">
        <v>782</v>
      </c>
      <c r="E279" s="75" t="s">
        <v>303</v>
      </c>
      <c r="F279" s="20"/>
      <c r="G279" s="20"/>
      <c r="H279" s="432">
        <v>2022</v>
      </c>
      <c r="I279" s="36" t="s">
        <v>34</v>
      </c>
      <c r="J279" s="94"/>
      <c r="K279" s="94"/>
      <c r="L279" s="94" t="s">
        <v>620</v>
      </c>
      <c r="M279" s="380" t="s">
        <v>280</v>
      </c>
      <c r="N279" s="36" t="s">
        <v>34</v>
      </c>
      <c r="O279" s="94" t="s">
        <v>620</v>
      </c>
      <c r="P279" s="380" t="s">
        <v>280</v>
      </c>
      <c r="Q279" s="94"/>
      <c r="R279" s="94"/>
      <c r="S279" s="36" t="s">
        <v>53</v>
      </c>
      <c r="T279" s="94" t="s">
        <v>620</v>
      </c>
      <c r="U279" s="380" t="s">
        <v>280</v>
      </c>
      <c r="V279" s="36"/>
      <c r="W279" s="36"/>
      <c r="X279" s="36" t="s">
        <v>46</v>
      </c>
      <c r="Y279" s="94" t="s">
        <v>620</v>
      </c>
      <c r="Z279" s="380" t="s">
        <v>280</v>
      </c>
      <c r="AA279" s="36"/>
      <c r="AB279" s="36"/>
      <c r="AC279" s="36"/>
      <c r="AD279" s="94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81"/>
    </row>
    <row r="280" spans="1:48" ht="43.2" hidden="1">
      <c r="A280" s="394" t="s">
        <v>1440</v>
      </c>
      <c r="B280" s="375" t="s">
        <v>1441</v>
      </c>
      <c r="C280" s="375"/>
      <c r="D280" s="395" t="s">
        <v>782</v>
      </c>
      <c r="E280" s="370" t="s">
        <v>303</v>
      </c>
      <c r="F280" s="372"/>
      <c r="G280" s="372"/>
      <c r="H280" s="431">
        <v>2022</v>
      </c>
      <c r="I280" s="375"/>
      <c r="J280" s="374"/>
      <c r="K280" s="374"/>
      <c r="L280" s="374"/>
      <c r="M280" s="374"/>
      <c r="N280" s="375" t="s">
        <v>174</v>
      </c>
      <c r="O280" s="374" t="s">
        <v>686</v>
      </c>
      <c r="P280" s="373" t="s">
        <v>280</v>
      </c>
      <c r="Q280" s="374"/>
      <c r="R280" s="374"/>
      <c r="S280" s="375" t="s">
        <v>34</v>
      </c>
      <c r="T280" s="374" t="s">
        <v>620</v>
      </c>
      <c r="U280" s="373" t="s">
        <v>280</v>
      </c>
      <c r="V280" s="375"/>
      <c r="W280" s="375"/>
      <c r="X280" s="375" t="s">
        <v>775</v>
      </c>
      <c r="Y280" s="374" t="s">
        <v>686</v>
      </c>
      <c r="Z280" s="373" t="s">
        <v>280</v>
      </c>
      <c r="AA280" s="375"/>
      <c r="AB280" s="375"/>
      <c r="AC280" s="375" t="s">
        <v>1442</v>
      </c>
      <c r="AD280" s="374"/>
      <c r="AE280" s="373" t="s">
        <v>280</v>
      </c>
      <c r="AF280" s="375"/>
      <c r="AG280" s="375"/>
      <c r="AH280" s="375" t="s">
        <v>1443</v>
      </c>
      <c r="AI280" s="375"/>
      <c r="AJ280" s="373" t="s">
        <v>280</v>
      </c>
      <c r="AK280" s="375"/>
      <c r="AL280" s="375"/>
      <c r="AM280" s="375" t="s">
        <v>1444</v>
      </c>
      <c r="AN280" s="375"/>
      <c r="AO280" s="373" t="s">
        <v>280</v>
      </c>
      <c r="AP280" s="375"/>
      <c r="AQ280" s="375"/>
      <c r="AR280" s="375"/>
      <c r="AS280" s="375"/>
      <c r="AT280" s="375"/>
      <c r="AU280" s="375"/>
      <c r="AV280" s="376"/>
    </row>
    <row r="281" spans="1:48" ht="28.8" hidden="1">
      <c r="A281" s="137" t="s">
        <v>1445</v>
      </c>
      <c r="B281" s="36" t="s">
        <v>1446</v>
      </c>
      <c r="C281" s="36"/>
      <c r="D281" s="35" t="s">
        <v>782</v>
      </c>
      <c r="E281" s="75" t="s">
        <v>303</v>
      </c>
      <c r="F281" s="20"/>
      <c r="G281" s="20"/>
      <c r="H281" s="432">
        <v>2022</v>
      </c>
      <c r="I281" s="36" t="s">
        <v>775</v>
      </c>
      <c r="J281" s="94"/>
      <c r="K281" s="94"/>
      <c r="L281" s="94" t="s">
        <v>686</v>
      </c>
      <c r="M281" s="380" t="s">
        <v>280</v>
      </c>
      <c r="N281" s="36" t="s">
        <v>53</v>
      </c>
      <c r="O281" s="94" t="s">
        <v>620</v>
      </c>
      <c r="P281" s="380" t="s">
        <v>280</v>
      </c>
      <c r="Q281" s="94"/>
      <c r="R281" s="94"/>
      <c r="S281" s="36" t="s">
        <v>46</v>
      </c>
      <c r="T281" s="94" t="s">
        <v>620</v>
      </c>
      <c r="U281" s="380" t="s">
        <v>280</v>
      </c>
      <c r="V281" s="36"/>
      <c r="W281" s="36"/>
      <c r="X281" s="36" t="s">
        <v>775</v>
      </c>
      <c r="Y281" s="94" t="s">
        <v>686</v>
      </c>
      <c r="Z281" s="380" t="s">
        <v>280</v>
      </c>
      <c r="AA281" s="36"/>
      <c r="AB281" s="36"/>
      <c r="AC281" s="36"/>
      <c r="AD281" s="94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81"/>
    </row>
    <row r="282" spans="1:48" ht="28.8" hidden="1">
      <c r="A282" s="394" t="s">
        <v>1447</v>
      </c>
      <c r="B282" s="375" t="s">
        <v>1448</v>
      </c>
      <c r="C282" s="375"/>
      <c r="D282" s="395" t="s">
        <v>313</v>
      </c>
      <c r="E282" s="395"/>
      <c r="F282" s="372"/>
      <c r="G282" s="372"/>
      <c r="H282" s="431">
        <v>2022</v>
      </c>
      <c r="I282" s="375"/>
      <c r="J282" s="374"/>
      <c r="K282" s="374"/>
      <c r="L282" s="374"/>
      <c r="M282" s="374"/>
      <c r="N282" s="375" t="s">
        <v>46</v>
      </c>
      <c r="O282" s="374" t="s">
        <v>620</v>
      </c>
      <c r="P282" s="373" t="s">
        <v>280</v>
      </c>
      <c r="Q282" s="374"/>
      <c r="R282" s="374"/>
      <c r="S282" s="375" t="s">
        <v>53</v>
      </c>
      <c r="T282" s="374" t="s">
        <v>620</v>
      </c>
      <c r="U282" s="373" t="s">
        <v>280</v>
      </c>
      <c r="V282" s="375"/>
      <c r="W282" s="375"/>
      <c r="X282" s="375" t="s">
        <v>38</v>
      </c>
      <c r="Y282" s="374" t="s">
        <v>620</v>
      </c>
      <c r="Z282" s="373" t="s">
        <v>280</v>
      </c>
      <c r="AA282" s="375"/>
      <c r="AB282" s="375"/>
      <c r="AC282" s="375"/>
      <c r="AD282" s="374"/>
      <c r="AE282" s="375"/>
      <c r="AF282" s="375"/>
      <c r="AG282" s="375"/>
      <c r="AH282" s="375"/>
      <c r="AI282" s="375"/>
      <c r="AJ282" s="375"/>
      <c r="AK282" s="375"/>
      <c r="AL282" s="375"/>
      <c r="AM282" s="375"/>
      <c r="AN282" s="375"/>
      <c r="AO282" s="375"/>
      <c r="AP282" s="375"/>
      <c r="AQ282" s="375"/>
      <c r="AR282" s="375"/>
      <c r="AS282" s="375"/>
      <c r="AT282" s="375"/>
      <c r="AU282" s="375"/>
      <c r="AV282" s="376"/>
    </row>
    <row r="283" spans="1:48" ht="28.8" hidden="1">
      <c r="A283" s="137" t="s">
        <v>1449</v>
      </c>
      <c r="B283" s="36" t="s">
        <v>1450</v>
      </c>
      <c r="C283" s="36"/>
      <c r="D283" s="35" t="s">
        <v>306</v>
      </c>
      <c r="E283" s="75" t="s">
        <v>303</v>
      </c>
      <c r="F283" s="20"/>
      <c r="G283" s="20"/>
      <c r="H283" s="432">
        <v>2022</v>
      </c>
      <c r="I283" s="36" t="s">
        <v>46</v>
      </c>
      <c r="J283" s="94"/>
      <c r="K283" s="94"/>
      <c r="L283" s="94" t="s">
        <v>620</v>
      </c>
      <c r="M283" s="380" t="s">
        <v>280</v>
      </c>
      <c r="N283" s="36" t="s">
        <v>46</v>
      </c>
      <c r="O283" s="94" t="s">
        <v>620</v>
      </c>
      <c r="P283" s="380" t="s">
        <v>280</v>
      </c>
      <c r="Q283" s="94"/>
      <c r="R283" s="94"/>
      <c r="S283" s="36"/>
      <c r="T283" s="94"/>
      <c r="U283" s="36"/>
      <c r="V283" s="36"/>
      <c r="W283" s="36"/>
      <c r="X283" s="36"/>
      <c r="Y283" s="94"/>
      <c r="Z283" s="36"/>
      <c r="AA283" s="36"/>
      <c r="AB283" s="36"/>
      <c r="AC283" s="36"/>
      <c r="AD283" s="94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81"/>
    </row>
    <row r="284" spans="1:48" ht="43.2" hidden="1">
      <c r="A284" s="394" t="s">
        <v>1451</v>
      </c>
      <c r="B284" s="375" t="s">
        <v>1452</v>
      </c>
      <c r="C284" s="375"/>
      <c r="D284" s="395" t="s">
        <v>302</v>
      </c>
      <c r="E284" s="370" t="s">
        <v>303</v>
      </c>
      <c r="F284" s="372"/>
      <c r="G284" s="372"/>
      <c r="H284" s="431">
        <v>2022</v>
      </c>
      <c r="I284" s="375"/>
      <c r="J284" s="374"/>
      <c r="K284" s="374"/>
      <c r="L284" s="374"/>
      <c r="M284" s="374"/>
      <c r="N284" s="375" t="s">
        <v>177</v>
      </c>
      <c r="O284" s="374" t="s">
        <v>758</v>
      </c>
      <c r="P284" s="373" t="s">
        <v>280</v>
      </c>
      <c r="Q284" s="374"/>
      <c r="R284" s="374"/>
      <c r="S284" s="375" t="s">
        <v>43</v>
      </c>
      <c r="T284" s="374" t="s">
        <v>758</v>
      </c>
      <c r="U284" s="373" t="s">
        <v>280</v>
      </c>
      <c r="V284" s="375"/>
      <c r="W284" s="375"/>
      <c r="X284" s="375"/>
      <c r="Y284" s="374"/>
      <c r="Z284" s="375"/>
      <c r="AA284" s="375"/>
      <c r="AB284" s="375"/>
      <c r="AC284" s="375"/>
      <c r="AD284" s="374"/>
      <c r="AE284" s="375"/>
      <c r="AF284" s="375"/>
      <c r="AG284" s="375"/>
      <c r="AH284" s="375"/>
      <c r="AI284" s="375"/>
      <c r="AJ284" s="375"/>
      <c r="AK284" s="375"/>
      <c r="AL284" s="375"/>
      <c r="AM284" s="375"/>
      <c r="AN284" s="375"/>
      <c r="AO284" s="375"/>
      <c r="AP284" s="375"/>
      <c r="AQ284" s="375"/>
      <c r="AR284" s="375"/>
      <c r="AS284" s="375"/>
      <c r="AT284" s="375"/>
      <c r="AU284" s="375"/>
      <c r="AV284" s="376"/>
    </row>
    <row r="285" spans="1:48" ht="28.8" hidden="1">
      <c r="A285" s="137" t="s">
        <v>1453</v>
      </c>
      <c r="B285" s="36" t="s">
        <v>1454</v>
      </c>
      <c r="C285" s="36"/>
      <c r="D285" s="35" t="s">
        <v>313</v>
      </c>
      <c r="E285" s="35"/>
      <c r="F285" s="20"/>
      <c r="G285" s="20"/>
      <c r="H285" s="432">
        <v>2022</v>
      </c>
      <c r="I285" s="36" t="s">
        <v>177</v>
      </c>
      <c r="J285" s="94"/>
      <c r="K285" s="94"/>
      <c r="L285" s="94" t="s">
        <v>758</v>
      </c>
      <c r="M285" s="380" t="s">
        <v>280</v>
      </c>
      <c r="N285" s="36" t="s">
        <v>177</v>
      </c>
      <c r="O285" s="94" t="s">
        <v>758</v>
      </c>
      <c r="P285" s="380" t="s">
        <v>280</v>
      </c>
      <c r="Q285" s="94"/>
      <c r="R285" s="94"/>
      <c r="S285" s="36"/>
      <c r="T285" s="94"/>
      <c r="U285" s="36"/>
      <c r="V285" s="36"/>
      <c r="W285" s="36"/>
      <c r="X285" s="36"/>
      <c r="Y285" s="94"/>
      <c r="Z285" s="36"/>
      <c r="AA285" s="36"/>
      <c r="AB285" s="36"/>
      <c r="AC285" s="36"/>
      <c r="AD285" s="94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81"/>
    </row>
    <row r="286" spans="1:48" ht="43.2" hidden="1">
      <c r="A286" s="394" t="s">
        <v>1455</v>
      </c>
      <c r="B286" s="375" t="s">
        <v>1456</v>
      </c>
      <c r="C286" s="375"/>
      <c r="D286" s="395" t="s">
        <v>313</v>
      </c>
      <c r="E286" s="395"/>
      <c r="F286" s="372"/>
      <c r="G286" s="372"/>
      <c r="H286" s="431">
        <v>2022</v>
      </c>
      <c r="I286" s="375"/>
      <c r="J286" s="374"/>
      <c r="K286" s="374"/>
      <c r="L286" s="374"/>
      <c r="M286" s="374"/>
      <c r="N286" s="375" t="s">
        <v>43</v>
      </c>
      <c r="O286" s="374" t="s">
        <v>758</v>
      </c>
      <c r="P286" s="373" t="s">
        <v>280</v>
      </c>
      <c r="Q286" s="374"/>
      <c r="R286" s="374"/>
      <c r="S286" s="375" t="s">
        <v>177</v>
      </c>
      <c r="T286" s="374" t="s">
        <v>758</v>
      </c>
      <c r="U286" s="373" t="s">
        <v>280</v>
      </c>
      <c r="V286" s="375"/>
      <c r="W286" s="375"/>
      <c r="X286" s="375"/>
      <c r="Y286" s="374"/>
      <c r="Z286" s="375"/>
      <c r="AA286" s="375"/>
      <c r="AB286" s="375"/>
      <c r="AC286" s="375"/>
      <c r="AD286" s="374"/>
      <c r="AE286" s="375"/>
      <c r="AF286" s="375"/>
      <c r="AG286" s="375"/>
      <c r="AH286" s="375"/>
      <c r="AI286" s="375"/>
      <c r="AJ286" s="375"/>
      <c r="AK286" s="375"/>
      <c r="AL286" s="375"/>
      <c r="AM286" s="375"/>
      <c r="AN286" s="375"/>
      <c r="AO286" s="375"/>
      <c r="AP286" s="375"/>
      <c r="AQ286" s="375"/>
      <c r="AR286" s="375"/>
      <c r="AS286" s="375"/>
      <c r="AT286" s="375"/>
      <c r="AU286" s="375"/>
      <c r="AV286" s="376"/>
    </row>
    <row r="287" spans="1:48" ht="28.8" hidden="1">
      <c r="A287" s="137" t="s">
        <v>1457</v>
      </c>
      <c r="B287" s="36" t="s">
        <v>1458</v>
      </c>
      <c r="C287" s="36"/>
      <c r="D287" s="35" t="s">
        <v>302</v>
      </c>
      <c r="E287" s="75" t="s">
        <v>303</v>
      </c>
      <c r="F287" s="20"/>
      <c r="G287" s="20"/>
      <c r="H287" s="432">
        <v>2022</v>
      </c>
      <c r="I287" s="36"/>
      <c r="J287" s="94"/>
      <c r="K287" s="94"/>
      <c r="L287" s="94"/>
      <c r="M287" s="94"/>
      <c r="N287" s="36" t="s">
        <v>1459</v>
      </c>
      <c r="O287" s="94"/>
      <c r="P287" s="94" t="s">
        <v>1460</v>
      </c>
      <c r="Q287" s="94"/>
      <c r="R287" s="94"/>
      <c r="S287" s="36" t="s">
        <v>177</v>
      </c>
      <c r="T287" s="94" t="s">
        <v>758</v>
      </c>
      <c r="U287" s="380" t="s">
        <v>280</v>
      </c>
      <c r="V287" s="36"/>
      <c r="W287" s="36"/>
      <c r="X287" s="36" t="s">
        <v>1461</v>
      </c>
      <c r="Y287" s="94"/>
      <c r="Z287" s="94" t="s">
        <v>1460</v>
      </c>
      <c r="AA287" s="36"/>
      <c r="AB287" s="36"/>
      <c r="AC287" s="36" t="s">
        <v>1462</v>
      </c>
      <c r="AD287" s="94"/>
      <c r="AE287" s="94" t="s">
        <v>1463</v>
      </c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81"/>
    </row>
    <row r="288" spans="1:48" ht="43.2" hidden="1">
      <c r="A288" s="394" t="s">
        <v>1464</v>
      </c>
      <c r="B288" s="375" t="s">
        <v>1465</v>
      </c>
      <c r="C288" s="375"/>
      <c r="D288" s="395" t="s">
        <v>374</v>
      </c>
      <c r="E288" s="370" t="s">
        <v>303</v>
      </c>
      <c r="F288" s="372"/>
      <c r="G288" s="372"/>
      <c r="H288" s="431">
        <v>2022</v>
      </c>
      <c r="I288" s="369" t="s">
        <v>44</v>
      </c>
      <c r="J288" s="373"/>
      <c r="K288" s="373"/>
      <c r="L288" s="373" t="s">
        <v>758</v>
      </c>
      <c r="M288" s="373" t="s">
        <v>280</v>
      </c>
      <c r="N288" s="369" t="s">
        <v>44</v>
      </c>
      <c r="O288" s="373" t="s">
        <v>758</v>
      </c>
      <c r="P288" s="373" t="s">
        <v>280</v>
      </c>
      <c r="Q288" s="374"/>
      <c r="R288" s="374"/>
      <c r="S288" s="375" t="s">
        <v>71</v>
      </c>
      <c r="T288" s="374" t="s">
        <v>620</v>
      </c>
      <c r="U288" s="373" t="s">
        <v>280</v>
      </c>
      <c r="V288" s="375"/>
      <c r="W288" s="375"/>
      <c r="X288" s="375"/>
      <c r="Y288" s="374"/>
      <c r="Z288" s="375"/>
      <c r="AA288" s="375"/>
      <c r="AB288" s="375"/>
      <c r="AC288" s="375"/>
      <c r="AD288" s="374"/>
      <c r="AE288" s="375"/>
      <c r="AF288" s="375"/>
      <c r="AG288" s="375"/>
      <c r="AH288" s="375"/>
      <c r="AI288" s="375"/>
      <c r="AJ288" s="375"/>
      <c r="AK288" s="375"/>
      <c r="AL288" s="375"/>
      <c r="AM288" s="375"/>
      <c r="AN288" s="375"/>
      <c r="AO288" s="375"/>
      <c r="AP288" s="375"/>
      <c r="AQ288" s="375"/>
      <c r="AR288" s="375"/>
      <c r="AS288" s="375"/>
      <c r="AT288" s="375"/>
      <c r="AU288" s="375"/>
      <c r="AV288" s="376"/>
    </row>
    <row r="289" spans="1:48" ht="43.2" hidden="1">
      <c r="A289" s="137" t="s">
        <v>1466</v>
      </c>
      <c r="B289" s="36" t="s">
        <v>1467</v>
      </c>
      <c r="C289" s="36"/>
      <c r="D289" s="35" t="s">
        <v>302</v>
      </c>
      <c r="E289" s="75" t="s">
        <v>303</v>
      </c>
      <c r="F289" s="20"/>
      <c r="G289" s="20"/>
      <c r="H289" s="432">
        <v>2022</v>
      </c>
      <c r="I289" s="36" t="s">
        <v>71</v>
      </c>
      <c r="J289" s="94"/>
      <c r="K289" s="94"/>
      <c r="L289" s="94" t="s">
        <v>620</v>
      </c>
      <c r="M289" s="380" t="s">
        <v>280</v>
      </c>
      <c r="N289" s="36" t="s">
        <v>71</v>
      </c>
      <c r="O289" s="94" t="s">
        <v>620</v>
      </c>
      <c r="P289" s="380" t="s">
        <v>280</v>
      </c>
      <c r="Q289" s="94"/>
      <c r="R289" s="94"/>
      <c r="S289" s="378" t="s">
        <v>44</v>
      </c>
      <c r="T289" s="380" t="s">
        <v>758</v>
      </c>
      <c r="U289" s="380" t="s">
        <v>280</v>
      </c>
      <c r="V289" s="36"/>
      <c r="W289" s="36"/>
      <c r="X289" s="36" t="s">
        <v>1468</v>
      </c>
      <c r="Y289" s="94"/>
      <c r="Z289" s="94" t="s">
        <v>1469</v>
      </c>
      <c r="AA289" s="36"/>
      <c r="AB289" s="36"/>
      <c r="AC289" s="36"/>
      <c r="AD289" s="94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81"/>
    </row>
    <row r="290" spans="1:48" ht="28.8" hidden="1">
      <c r="A290" s="394" t="s">
        <v>1470</v>
      </c>
      <c r="B290" s="375" t="s">
        <v>1471</v>
      </c>
      <c r="C290" s="375"/>
      <c r="D290" s="395" t="s">
        <v>374</v>
      </c>
      <c r="E290" s="370" t="s">
        <v>303</v>
      </c>
      <c r="F290" s="372"/>
      <c r="G290" s="372"/>
      <c r="H290" s="431">
        <v>2022</v>
      </c>
      <c r="I290" s="369" t="s">
        <v>44</v>
      </c>
      <c r="J290" s="373"/>
      <c r="K290" s="373"/>
      <c r="L290" s="373" t="s">
        <v>758</v>
      </c>
      <c r="M290" s="373" t="s">
        <v>280</v>
      </c>
      <c r="N290" s="369" t="s">
        <v>44</v>
      </c>
      <c r="O290" s="373" t="s">
        <v>758</v>
      </c>
      <c r="P290" s="373" t="s">
        <v>280</v>
      </c>
      <c r="Q290" s="374"/>
      <c r="R290" s="374"/>
      <c r="S290" s="375" t="s">
        <v>71</v>
      </c>
      <c r="T290" s="374" t="s">
        <v>620</v>
      </c>
      <c r="U290" s="373" t="s">
        <v>280</v>
      </c>
      <c r="V290" s="375"/>
      <c r="W290" s="375"/>
      <c r="X290" s="375"/>
      <c r="Y290" s="374"/>
      <c r="Z290" s="375"/>
      <c r="AA290" s="375"/>
      <c r="AB290" s="375"/>
      <c r="AC290" s="375"/>
      <c r="AD290" s="374"/>
      <c r="AE290" s="375"/>
      <c r="AF290" s="375"/>
      <c r="AG290" s="375"/>
      <c r="AH290" s="375"/>
      <c r="AI290" s="375"/>
      <c r="AJ290" s="375"/>
      <c r="AK290" s="375"/>
      <c r="AL290" s="375"/>
      <c r="AM290" s="375"/>
      <c r="AN290" s="375"/>
      <c r="AO290" s="375"/>
      <c r="AP290" s="375"/>
      <c r="AQ290" s="375"/>
      <c r="AR290" s="375"/>
      <c r="AS290" s="375"/>
      <c r="AT290" s="375"/>
      <c r="AU290" s="375"/>
      <c r="AV290" s="376"/>
    </row>
    <row r="291" spans="1:48" ht="28.8" hidden="1">
      <c r="A291" s="137" t="s">
        <v>1472</v>
      </c>
      <c r="B291" s="36" t="s">
        <v>1473</v>
      </c>
      <c r="C291" s="36"/>
      <c r="D291" s="35" t="s">
        <v>306</v>
      </c>
      <c r="E291" s="75" t="s">
        <v>303</v>
      </c>
      <c r="F291" s="20"/>
      <c r="G291" s="20"/>
      <c r="H291" s="432">
        <v>2022</v>
      </c>
      <c r="I291" s="36" t="s">
        <v>71</v>
      </c>
      <c r="J291" s="94"/>
      <c r="K291" s="94"/>
      <c r="L291" s="94" t="s">
        <v>620</v>
      </c>
      <c r="M291" s="380" t="s">
        <v>280</v>
      </c>
      <c r="N291" s="36" t="s">
        <v>71</v>
      </c>
      <c r="O291" s="94" t="s">
        <v>620</v>
      </c>
      <c r="P291" s="380" t="s">
        <v>280</v>
      </c>
      <c r="Q291" s="94"/>
      <c r="R291" s="94"/>
      <c r="S291" s="36" t="s">
        <v>1474</v>
      </c>
      <c r="T291" s="94"/>
      <c r="U291" s="380" t="s">
        <v>366</v>
      </c>
      <c r="V291" s="36"/>
      <c r="W291" s="36"/>
      <c r="X291" s="36" t="s">
        <v>1475</v>
      </c>
      <c r="Y291" s="94"/>
      <c r="Z291" s="380" t="s">
        <v>366</v>
      </c>
      <c r="AA291" s="36"/>
      <c r="AB291" s="36"/>
      <c r="AC291" s="36" t="s">
        <v>1476</v>
      </c>
      <c r="AD291" s="94"/>
      <c r="AE291" s="380" t="s">
        <v>366</v>
      </c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81"/>
    </row>
    <row r="292" spans="1:48" ht="28.8" hidden="1">
      <c r="A292" s="394" t="s">
        <v>1477</v>
      </c>
      <c r="B292" s="375" t="s">
        <v>1478</v>
      </c>
      <c r="C292" s="375"/>
      <c r="D292" s="395" t="s">
        <v>313</v>
      </c>
      <c r="E292" s="395"/>
      <c r="F292" s="372"/>
      <c r="G292" s="372"/>
      <c r="H292" s="431">
        <v>2022</v>
      </c>
      <c r="I292" s="375" t="s">
        <v>1479</v>
      </c>
      <c r="J292" s="374"/>
      <c r="K292" s="374"/>
      <c r="L292" s="374"/>
      <c r="M292" s="374" t="s">
        <v>1480</v>
      </c>
      <c r="N292" s="375" t="s">
        <v>1479</v>
      </c>
      <c r="O292" s="374"/>
      <c r="P292" s="374" t="s">
        <v>1480</v>
      </c>
      <c r="Q292" s="374"/>
      <c r="R292" s="374"/>
      <c r="S292" s="375" t="s">
        <v>1481</v>
      </c>
      <c r="T292" s="374"/>
      <c r="U292" s="374" t="s">
        <v>1480</v>
      </c>
      <c r="V292" s="375"/>
      <c r="W292" s="375"/>
      <c r="X292" s="375" t="s">
        <v>1482</v>
      </c>
      <c r="Y292" s="374"/>
      <c r="Z292" s="374" t="s">
        <v>1480</v>
      </c>
      <c r="AA292" s="375"/>
      <c r="AB292" s="375"/>
      <c r="AC292" s="375" t="s">
        <v>1483</v>
      </c>
      <c r="AD292" s="374"/>
      <c r="AE292" s="374" t="s">
        <v>1480</v>
      </c>
      <c r="AF292" s="375"/>
      <c r="AG292" s="375"/>
      <c r="AH292" s="375" t="s">
        <v>1484</v>
      </c>
      <c r="AI292" s="375"/>
      <c r="AJ292" s="374" t="s">
        <v>1480</v>
      </c>
      <c r="AK292" s="375"/>
      <c r="AL292" s="375"/>
      <c r="AM292" s="375" t="s">
        <v>1485</v>
      </c>
      <c r="AN292" s="375"/>
      <c r="AO292" s="374" t="s">
        <v>1480</v>
      </c>
      <c r="AP292" s="375"/>
      <c r="AQ292" s="375"/>
      <c r="AR292" s="375" t="s">
        <v>71</v>
      </c>
      <c r="AS292" s="374" t="s">
        <v>620</v>
      </c>
      <c r="AT292" s="373" t="s">
        <v>280</v>
      </c>
      <c r="AU292" s="375"/>
      <c r="AV292" s="376"/>
    </row>
    <row r="293" spans="1:48" ht="28.8" hidden="1">
      <c r="A293" s="137" t="s">
        <v>1486</v>
      </c>
      <c r="B293" s="36" t="s">
        <v>1487</v>
      </c>
      <c r="C293" s="36"/>
      <c r="D293" s="35" t="s">
        <v>302</v>
      </c>
      <c r="E293" s="75" t="s">
        <v>303</v>
      </c>
      <c r="F293" s="20"/>
      <c r="G293" s="20"/>
      <c r="H293" s="432">
        <v>2022</v>
      </c>
      <c r="I293" s="36" t="s">
        <v>775</v>
      </c>
      <c r="J293" s="94"/>
      <c r="K293" s="94"/>
      <c r="L293" s="94" t="s">
        <v>686</v>
      </c>
      <c r="M293" s="380" t="s">
        <v>280</v>
      </c>
      <c r="N293" s="36" t="s">
        <v>775</v>
      </c>
      <c r="O293" s="94" t="s">
        <v>686</v>
      </c>
      <c r="P293" s="380" t="s">
        <v>280</v>
      </c>
      <c r="Q293" s="94"/>
      <c r="R293" s="94"/>
      <c r="S293" s="36"/>
      <c r="T293" s="94"/>
      <c r="U293" s="36"/>
      <c r="V293" s="36"/>
      <c r="W293" s="36"/>
      <c r="X293" s="36"/>
      <c r="Y293" s="94"/>
      <c r="Z293" s="36"/>
      <c r="AA293" s="36"/>
      <c r="AB293" s="36"/>
      <c r="AC293" s="36"/>
      <c r="AD293" s="94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81"/>
    </row>
    <row r="294" spans="1:48" ht="28.8" hidden="1">
      <c r="A294" s="394" t="s">
        <v>1488</v>
      </c>
      <c r="B294" s="375" t="s">
        <v>1489</v>
      </c>
      <c r="C294" s="375"/>
      <c r="D294" s="395" t="s">
        <v>374</v>
      </c>
      <c r="E294" s="370" t="s">
        <v>303</v>
      </c>
      <c r="F294" s="372"/>
      <c r="G294" s="372"/>
      <c r="H294" s="431">
        <v>2022</v>
      </c>
      <c r="I294" s="375"/>
      <c r="J294" s="374"/>
      <c r="K294" s="374"/>
      <c r="L294" s="374"/>
      <c r="M294" s="374"/>
      <c r="N294" s="375" t="s">
        <v>775</v>
      </c>
      <c r="O294" s="374" t="s">
        <v>686</v>
      </c>
      <c r="P294" s="373" t="s">
        <v>280</v>
      </c>
      <c r="Q294" s="374"/>
      <c r="R294" s="374"/>
      <c r="S294" s="375" t="s">
        <v>761</v>
      </c>
      <c r="T294" s="373" t="s">
        <v>758</v>
      </c>
      <c r="U294" s="373" t="s">
        <v>280</v>
      </c>
      <c r="V294" s="375"/>
      <c r="W294" s="375"/>
      <c r="X294" s="375"/>
      <c r="Y294" s="374"/>
      <c r="Z294" s="375"/>
      <c r="AA294" s="375"/>
      <c r="AB294" s="375"/>
      <c r="AC294" s="375"/>
      <c r="AD294" s="374"/>
      <c r="AE294" s="375"/>
      <c r="AF294" s="375"/>
      <c r="AG294" s="375"/>
      <c r="AH294" s="375"/>
      <c r="AI294" s="375"/>
      <c r="AJ294" s="375"/>
      <c r="AK294" s="375"/>
      <c r="AL294" s="375"/>
      <c r="AM294" s="375"/>
      <c r="AN294" s="375"/>
      <c r="AO294" s="375"/>
      <c r="AP294" s="375"/>
      <c r="AQ294" s="375"/>
      <c r="AR294" s="375"/>
      <c r="AS294" s="375"/>
      <c r="AT294" s="375"/>
      <c r="AU294" s="375"/>
      <c r="AV294" s="376"/>
    </row>
    <row r="295" spans="1:48" ht="28.8" hidden="1">
      <c r="A295" s="137" t="s">
        <v>1490</v>
      </c>
      <c r="B295" s="36" t="s">
        <v>1491</v>
      </c>
      <c r="C295" s="36"/>
      <c r="D295" s="35" t="s">
        <v>302</v>
      </c>
      <c r="E295" s="75" t="s">
        <v>303</v>
      </c>
      <c r="F295" s="20"/>
      <c r="G295" s="20"/>
      <c r="H295" s="432">
        <v>2022</v>
      </c>
      <c r="I295" s="36"/>
      <c r="J295" s="94"/>
      <c r="K295" s="94"/>
      <c r="L295" s="94"/>
      <c r="M295" s="94"/>
      <c r="N295" s="36" t="s">
        <v>775</v>
      </c>
      <c r="O295" s="94" t="s">
        <v>686</v>
      </c>
      <c r="P295" s="380" t="s">
        <v>280</v>
      </c>
      <c r="Q295" s="94"/>
      <c r="R295" s="94"/>
      <c r="S295" s="36" t="s">
        <v>174</v>
      </c>
      <c r="T295" s="94" t="s">
        <v>686</v>
      </c>
      <c r="U295" s="380" t="s">
        <v>280</v>
      </c>
      <c r="V295" s="36"/>
      <c r="W295" s="36"/>
      <c r="X295" s="36"/>
      <c r="Y295" s="94"/>
      <c r="Z295" s="36"/>
      <c r="AA295" s="36"/>
      <c r="AB295" s="36"/>
      <c r="AC295" s="36"/>
      <c r="AD295" s="94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81"/>
    </row>
    <row r="296" spans="1:48" ht="28.8" hidden="1">
      <c r="A296" s="394" t="s">
        <v>1492</v>
      </c>
      <c r="B296" s="375" t="s">
        <v>1493</v>
      </c>
      <c r="C296" s="375"/>
      <c r="D296" s="395" t="s">
        <v>302</v>
      </c>
      <c r="E296" s="370" t="s">
        <v>303</v>
      </c>
      <c r="F296" s="372"/>
      <c r="G296" s="372"/>
      <c r="H296" s="431">
        <v>2022</v>
      </c>
      <c r="I296" s="375"/>
      <c r="J296" s="374"/>
      <c r="K296" s="374"/>
      <c r="L296" s="374"/>
      <c r="M296" s="374"/>
      <c r="N296" s="375" t="s">
        <v>775</v>
      </c>
      <c r="O296" s="374" t="s">
        <v>686</v>
      </c>
      <c r="P296" s="373" t="s">
        <v>280</v>
      </c>
      <c r="Q296" s="374"/>
      <c r="R296" s="374"/>
      <c r="S296" s="375"/>
      <c r="T296" s="374"/>
      <c r="U296" s="375"/>
      <c r="V296" s="375"/>
      <c r="W296" s="375"/>
      <c r="X296" s="375" t="s">
        <v>1494</v>
      </c>
      <c r="Y296" s="374"/>
      <c r="Z296" s="374" t="s">
        <v>1495</v>
      </c>
      <c r="AA296" s="375"/>
      <c r="AB296" s="375"/>
      <c r="AC296" s="375"/>
      <c r="AD296" s="374"/>
      <c r="AE296" s="375"/>
      <c r="AF296" s="375"/>
      <c r="AG296" s="375"/>
      <c r="AH296" s="375"/>
      <c r="AI296" s="375"/>
      <c r="AJ296" s="375"/>
      <c r="AK296" s="375"/>
      <c r="AL296" s="375"/>
      <c r="AM296" s="375"/>
      <c r="AN296" s="375"/>
      <c r="AO296" s="375"/>
      <c r="AP296" s="375"/>
      <c r="AQ296" s="375"/>
      <c r="AR296" s="375"/>
      <c r="AS296" s="375"/>
      <c r="AT296" s="375"/>
      <c r="AU296" s="375"/>
      <c r="AV296" s="376"/>
    </row>
    <row r="297" spans="1:48" ht="28.8" hidden="1">
      <c r="A297" s="137" t="s">
        <v>1496</v>
      </c>
      <c r="B297" s="36" t="s">
        <v>1497</v>
      </c>
      <c r="C297" s="36"/>
      <c r="D297" s="35" t="s">
        <v>302</v>
      </c>
      <c r="E297" s="75" t="s">
        <v>303</v>
      </c>
      <c r="F297" s="20"/>
      <c r="G297" s="20"/>
      <c r="H297" s="432">
        <v>2022</v>
      </c>
      <c r="I297" s="36" t="s">
        <v>775</v>
      </c>
      <c r="J297" s="94"/>
      <c r="K297" s="94"/>
      <c r="L297" s="94" t="s">
        <v>686</v>
      </c>
      <c r="M297" s="380" t="s">
        <v>280</v>
      </c>
      <c r="N297" s="36" t="s">
        <v>775</v>
      </c>
      <c r="O297" s="94" t="s">
        <v>686</v>
      </c>
      <c r="P297" s="380" t="s">
        <v>280</v>
      </c>
      <c r="Q297" s="94"/>
      <c r="R297" s="94"/>
      <c r="S297" s="36"/>
      <c r="T297" s="94"/>
      <c r="U297" s="36"/>
      <c r="V297" s="36"/>
      <c r="W297" s="36"/>
      <c r="X297" s="36"/>
      <c r="Y297" s="94"/>
      <c r="Z297" s="36"/>
      <c r="AA297" s="36"/>
      <c r="AB297" s="36"/>
      <c r="AC297" s="36"/>
      <c r="AD297" s="94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81"/>
    </row>
    <row r="298" spans="1:48" ht="43.2" hidden="1">
      <c r="A298" s="394" t="s">
        <v>1498</v>
      </c>
      <c r="B298" s="375" t="s">
        <v>1499</v>
      </c>
      <c r="C298" s="375"/>
      <c r="D298" s="395" t="s">
        <v>302</v>
      </c>
      <c r="E298" s="370" t="s">
        <v>303</v>
      </c>
      <c r="F298" s="372"/>
      <c r="G298" s="372"/>
      <c r="H298" s="431">
        <v>2022</v>
      </c>
      <c r="I298" s="375" t="s">
        <v>775</v>
      </c>
      <c r="J298" s="374"/>
      <c r="K298" s="374"/>
      <c r="L298" s="374" t="s">
        <v>686</v>
      </c>
      <c r="M298" s="373" t="s">
        <v>280</v>
      </c>
      <c r="N298" s="375" t="s">
        <v>775</v>
      </c>
      <c r="O298" s="374" t="s">
        <v>686</v>
      </c>
      <c r="P298" s="373" t="s">
        <v>280</v>
      </c>
      <c r="Q298" s="374"/>
      <c r="R298" s="374"/>
      <c r="S298" s="375"/>
      <c r="T298" s="374"/>
      <c r="U298" s="375"/>
      <c r="V298" s="375"/>
      <c r="W298" s="375"/>
      <c r="X298" s="375"/>
      <c r="Y298" s="374"/>
      <c r="Z298" s="375"/>
      <c r="AA298" s="375"/>
      <c r="AB298" s="375"/>
      <c r="AC298" s="375"/>
      <c r="AD298" s="374"/>
      <c r="AE298" s="375"/>
      <c r="AF298" s="375"/>
      <c r="AG298" s="375"/>
      <c r="AH298" s="375"/>
      <c r="AI298" s="375"/>
      <c r="AJ298" s="375"/>
      <c r="AK298" s="375"/>
      <c r="AL298" s="375"/>
      <c r="AM298" s="375"/>
      <c r="AN298" s="375"/>
      <c r="AO298" s="375"/>
      <c r="AP298" s="375"/>
      <c r="AQ298" s="375"/>
      <c r="AR298" s="375"/>
      <c r="AS298" s="375"/>
      <c r="AT298" s="375"/>
      <c r="AU298" s="375"/>
      <c r="AV298" s="376"/>
    </row>
    <row r="299" spans="1:48" ht="43.2" hidden="1">
      <c r="A299" s="137" t="s">
        <v>1500</v>
      </c>
      <c r="B299" s="36" t="s">
        <v>1324</v>
      </c>
      <c r="C299" s="36"/>
      <c r="D299" s="35" t="s">
        <v>277</v>
      </c>
      <c r="E299" s="35"/>
      <c r="F299" s="20"/>
      <c r="G299" s="20"/>
      <c r="H299" s="432">
        <v>2022</v>
      </c>
      <c r="I299" s="36"/>
      <c r="J299" s="94"/>
      <c r="K299" s="94"/>
      <c r="L299" s="94"/>
      <c r="M299" s="94"/>
      <c r="N299" s="36" t="s">
        <v>1501</v>
      </c>
      <c r="O299" s="94"/>
      <c r="P299" s="94" t="s">
        <v>573</v>
      </c>
      <c r="Q299" s="94"/>
      <c r="R299" s="94"/>
      <c r="S299" s="36" t="s">
        <v>1502</v>
      </c>
      <c r="T299" s="94"/>
      <c r="U299" s="380" t="s">
        <v>366</v>
      </c>
      <c r="V299" s="36"/>
      <c r="W299" s="36"/>
      <c r="X299" s="36" t="s">
        <v>1503</v>
      </c>
      <c r="Y299" s="94"/>
      <c r="Z299" s="380" t="s">
        <v>366</v>
      </c>
      <c r="AA299" s="36"/>
      <c r="AB299" s="36"/>
      <c r="AC299" s="36" t="s">
        <v>1504</v>
      </c>
      <c r="AD299" s="94"/>
      <c r="AE299" s="380" t="s">
        <v>366</v>
      </c>
      <c r="AF299" s="36"/>
      <c r="AG299" s="36"/>
      <c r="AH299" s="36" t="s">
        <v>14</v>
      </c>
      <c r="AI299" s="94" t="s">
        <v>279</v>
      </c>
      <c r="AJ299" s="380" t="s">
        <v>280</v>
      </c>
      <c r="AK299" s="36"/>
      <c r="AL299" s="36"/>
      <c r="AM299" s="36" t="s">
        <v>87</v>
      </c>
      <c r="AN299" s="94" t="s">
        <v>494</v>
      </c>
      <c r="AO299" s="380" t="s">
        <v>280</v>
      </c>
      <c r="AP299" s="36"/>
      <c r="AQ299" s="36"/>
      <c r="AR299" s="36"/>
      <c r="AS299" s="36"/>
      <c r="AT299" s="36"/>
      <c r="AU299" s="36"/>
      <c r="AV299" s="381"/>
    </row>
    <row r="300" spans="1:48" ht="43.2" hidden="1">
      <c r="A300" s="394" t="s">
        <v>1505</v>
      </c>
      <c r="B300" s="375" t="s">
        <v>1324</v>
      </c>
      <c r="C300" s="375"/>
      <c r="D300" s="395" t="s">
        <v>277</v>
      </c>
      <c r="E300" s="395"/>
      <c r="F300" s="372"/>
      <c r="G300" s="372"/>
      <c r="H300" s="431">
        <v>2022</v>
      </c>
      <c r="I300" s="375"/>
      <c r="J300" s="374"/>
      <c r="K300" s="374"/>
      <c r="L300" s="374"/>
      <c r="M300" s="374"/>
      <c r="N300" s="375" t="s">
        <v>1501</v>
      </c>
      <c r="O300" s="374"/>
      <c r="P300" s="374" t="s">
        <v>573</v>
      </c>
      <c r="Q300" s="374"/>
      <c r="R300" s="374"/>
      <c r="S300" s="375" t="s">
        <v>1502</v>
      </c>
      <c r="T300" s="374"/>
      <c r="U300" s="373" t="s">
        <v>366</v>
      </c>
      <c r="V300" s="375"/>
      <c r="W300" s="375"/>
      <c r="X300" s="375" t="s">
        <v>1503</v>
      </c>
      <c r="Y300" s="374"/>
      <c r="Z300" s="373" t="s">
        <v>366</v>
      </c>
      <c r="AA300" s="375"/>
      <c r="AB300" s="375"/>
      <c r="AC300" s="375" t="s">
        <v>1506</v>
      </c>
      <c r="AD300" s="374"/>
      <c r="AE300" s="373" t="s">
        <v>366</v>
      </c>
      <c r="AF300" s="375"/>
      <c r="AG300" s="375"/>
      <c r="AH300" s="375" t="s">
        <v>14</v>
      </c>
      <c r="AI300" s="374" t="s">
        <v>279</v>
      </c>
      <c r="AJ300" s="373" t="s">
        <v>280</v>
      </c>
      <c r="AK300" s="375"/>
      <c r="AL300" s="375"/>
      <c r="AM300" s="375" t="s">
        <v>87</v>
      </c>
      <c r="AN300" s="374" t="s">
        <v>494</v>
      </c>
      <c r="AO300" s="373" t="s">
        <v>280</v>
      </c>
      <c r="AP300" s="375"/>
      <c r="AQ300" s="375"/>
      <c r="AR300" s="375"/>
      <c r="AS300" s="375"/>
      <c r="AT300" s="375"/>
      <c r="AU300" s="375"/>
      <c r="AV300" s="376"/>
    </row>
    <row r="301" spans="1:48" ht="28.8" hidden="1">
      <c r="A301" s="137" t="s">
        <v>1507</v>
      </c>
      <c r="B301" s="36" t="s">
        <v>1508</v>
      </c>
      <c r="C301" s="36"/>
      <c r="D301" s="35" t="s">
        <v>302</v>
      </c>
      <c r="E301" s="75" t="s">
        <v>303</v>
      </c>
      <c r="F301" s="20"/>
      <c r="G301" s="20"/>
      <c r="H301" s="432">
        <v>2022</v>
      </c>
      <c r="I301" s="36" t="s">
        <v>180</v>
      </c>
      <c r="J301" s="94"/>
      <c r="K301" s="94"/>
      <c r="L301" s="94" t="s">
        <v>353</v>
      </c>
      <c r="M301" s="380" t="s">
        <v>280</v>
      </c>
      <c r="N301" s="36" t="s">
        <v>180</v>
      </c>
      <c r="O301" s="94" t="s">
        <v>353</v>
      </c>
      <c r="P301" s="380" t="s">
        <v>280</v>
      </c>
      <c r="Q301" s="94"/>
      <c r="R301" s="94"/>
      <c r="S301" s="36" t="s">
        <v>1509</v>
      </c>
      <c r="T301" s="94"/>
      <c r="U301" s="380" t="s">
        <v>514</v>
      </c>
      <c r="V301" s="36"/>
      <c r="W301" s="36"/>
      <c r="X301" s="36" t="s">
        <v>179</v>
      </c>
      <c r="Y301" s="94" t="s">
        <v>353</v>
      </c>
      <c r="Z301" s="380" t="s">
        <v>280</v>
      </c>
      <c r="AA301" s="36"/>
      <c r="AB301" s="36"/>
      <c r="AC301" s="36"/>
      <c r="AD301" s="94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81"/>
    </row>
    <row r="302" spans="1:48" ht="43.2" hidden="1">
      <c r="A302" s="394" t="s">
        <v>1510</v>
      </c>
      <c r="B302" s="375" t="s">
        <v>1511</v>
      </c>
      <c r="C302" s="375"/>
      <c r="D302" s="395" t="s">
        <v>313</v>
      </c>
      <c r="E302" s="395"/>
      <c r="F302" s="372"/>
      <c r="G302" s="372"/>
      <c r="H302" s="431">
        <v>2022</v>
      </c>
      <c r="I302" s="375" t="s">
        <v>180</v>
      </c>
      <c r="J302" s="374"/>
      <c r="K302" s="374"/>
      <c r="L302" s="374" t="s">
        <v>353</v>
      </c>
      <c r="M302" s="373" t="s">
        <v>280</v>
      </c>
      <c r="N302" s="375" t="s">
        <v>180</v>
      </c>
      <c r="O302" s="374" t="s">
        <v>353</v>
      </c>
      <c r="P302" s="373" t="s">
        <v>280</v>
      </c>
      <c r="Q302" s="374"/>
      <c r="R302" s="374"/>
      <c r="S302" s="375"/>
      <c r="T302" s="374"/>
      <c r="U302" s="375"/>
      <c r="V302" s="375"/>
      <c r="W302" s="375"/>
      <c r="X302" s="375"/>
      <c r="Y302" s="374"/>
      <c r="Z302" s="375"/>
      <c r="AA302" s="375"/>
      <c r="AB302" s="375"/>
      <c r="AC302" s="375"/>
      <c r="AD302" s="374"/>
      <c r="AE302" s="375"/>
      <c r="AF302" s="375"/>
      <c r="AG302" s="375"/>
      <c r="AH302" s="375"/>
      <c r="AI302" s="375"/>
      <c r="AJ302" s="375"/>
      <c r="AK302" s="375"/>
      <c r="AL302" s="375"/>
      <c r="AM302" s="375"/>
      <c r="AN302" s="375"/>
      <c r="AO302" s="375"/>
      <c r="AP302" s="375"/>
      <c r="AQ302" s="375"/>
      <c r="AR302" s="375"/>
      <c r="AS302" s="375"/>
      <c r="AT302" s="375"/>
      <c r="AU302" s="375"/>
      <c r="AV302" s="376"/>
    </row>
    <row r="303" spans="1:48" ht="43.2" hidden="1">
      <c r="A303" s="137" t="s">
        <v>1512</v>
      </c>
      <c r="B303" s="36" t="s">
        <v>1513</v>
      </c>
      <c r="C303" s="36"/>
      <c r="D303" s="35" t="s">
        <v>277</v>
      </c>
      <c r="E303" s="35"/>
      <c r="F303" s="20"/>
      <c r="G303" s="20"/>
      <c r="H303" s="432">
        <v>2022</v>
      </c>
      <c r="I303" s="36"/>
      <c r="J303" s="94"/>
      <c r="K303" s="94"/>
      <c r="L303" s="94"/>
      <c r="M303" s="94"/>
      <c r="N303" s="36" t="s">
        <v>1509</v>
      </c>
      <c r="O303" s="94"/>
      <c r="P303" s="380" t="s">
        <v>514</v>
      </c>
      <c r="Q303" s="94"/>
      <c r="R303" s="94"/>
      <c r="S303" s="36" t="s">
        <v>180</v>
      </c>
      <c r="T303" s="94" t="s">
        <v>353</v>
      </c>
      <c r="U303" s="380" t="s">
        <v>280</v>
      </c>
      <c r="V303" s="36"/>
      <c r="W303" s="36"/>
      <c r="X303" s="36"/>
      <c r="Y303" s="94"/>
      <c r="Z303" s="36"/>
      <c r="AA303" s="36"/>
      <c r="AB303" s="36"/>
      <c r="AC303" s="36"/>
      <c r="AD303" s="94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81"/>
    </row>
    <row r="304" spans="1:48" ht="43.2" hidden="1">
      <c r="A304" s="394" t="s">
        <v>1514</v>
      </c>
      <c r="B304" s="375" t="s">
        <v>1515</v>
      </c>
      <c r="C304" s="375"/>
      <c r="D304" s="395" t="s">
        <v>313</v>
      </c>
      <c r="E304" s="395"/>
      <c r="F304" s="372"/>
      <c r="G304" s="372"/>
      <c r="H304" s="431">
        <v>2022</v>
      </c>
      <c r="I304" s="375"/>
      <c r="J304" s="374"/>
      <c r="K304" s="374"/>
      <c r="L304" s="374"/>
      <c r="M304" s="374"/>
      <c r="N304" s="369" t="s">
        <v>43</v>
      </c>
      <c r="O304" s="373" t="s">
        <v>758</v>
      </c>
      <c r="P304" s="373" t="s">
        <v>280</v>
      </c>
      <c r="Q304" s="374"/>
      <c r="R304" s="374"/>
      <c r="S304" s="375" t="s">
        <v>1405</v>
      </c>
      <c r="T304" s="374" t="s">
        <v>809</v>
      </c>
      <c r="U304" s="373" t="s">
        <v>280</v>
      </c>
      <c r="V304" s="375"/>
      <c r="W304" s="375"/>
      <c r="X304" s="375" t="s">
        <v>1516</v>
      </c>
      <c r="Y304" s="374" t="s">
        <v>353</v>
      </c>
      <c r="Z304" s="373" t="s">
        <v>280</v>
      </c>
      <c r="AA304" s="375"/>
      <c r="AB304" s="375"/>
      <c r="AC304" s="375" t="s">
        <v>1383</v>
      </c>
      <c r="AD304" s="374" t="s">
        <v>353</v>
      </c>
      <c r="AE304" s="373" t="s">
        <v>280</v>
      </c>
      <c r="AF304" s="375"/>
      <c r="AG304" s="375"/>
      <c r="AH304" s="375" t="s">
        <v>1517</v>
      </c>
      <c r="AI304" s="374" t="s">
        <v>353</v>
      </c>
      <c r="AJ304" s="373" t="s">
        <v>280</v>
      </c>
      <c r="AK304" s="375"/>
      <c r="AL304" s="375"/>
      <c r="AM304" s="375" t="s">
        <v>412</v>
      </c>
      <c r="AN304" s="374" t="s">
        <v>353</v>
      </c>
      <c r="AO304" s="373" t="s">
        <v>280</v>
      </c>
      <c r="AP304" s="375"/>
      <c r="AQ304" s="375"/>
      <c r="AR304" s="375" t="s">
        <v>1518</v>
      </c>
      <c r="AS304" s="374" t="s">
        <v>353</v>
      </c>
      <c r="AT304" s="373" t="s">
        <v>280</v>
      </c>
      <c r="AU304" s="375"/>
      <c r="AV304" s="376"/>
    </row>
    <row r="305" spans="1:48" ht="28.8" hidden="1">
      <c r="A305" s="137" t="s">
        <v>1519</v>
      </c>
      <c r="B305" s="36" t="s">
        <v>1520</v>
      </c>
      <c r="C305" s="36"/>
      <c r="D305" s="35" t="s">
        <v>313</v>
      </c>
      <c r="E305" s="35"/>
      <c r="F305" s="20"/>
      <c r="G305" s="20"/>
      <c r="H305" s="432">
        <v>2022</v>
      </c>
      <c r="I305" s="378" t="s">
        <v>43</v>
      </c>
      <c r="J305" s="94"/>
      <c r="K305" s="94"/>
      <c r="L305" s="380" t="s">
        <v>758</v>
      </c>
      <c r="M305" s="380" t="s">
        <v>280</v>
      </c>
      <c r="N305" s="378" t="s">
        <v>43</v>
      </c>
      <c r="O305" s="380" t="s">
        <v>758</v>
      </c>
      <c r="P305" s="380" t="s">
        <v>280</v>
      </c>
      <c r="Q305" s="94"/>
      <c r="R305" s="94"/>
      <c r="S305" s="36"/>
      <c r="T305" s="94"/>
      <c r="U305" s="36"/>
      <c r="V305" s="36"/>
      <c r="W305" s="36"/>
      <c r="X305" s="36"/>
      <c r="Y305" s="94"/>
      <c r="Z305" s="36"/>
      <c r="AA305" s="36"/>
      <c r="AB305" s="36"/>
      <c r="AC305" s="36"/>
      <c r="AD305" s="94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81"/>
    </row>
    <row r="306" spans="1:48" ht="43.2" hidden="1">
      <c r="A306" s="394" t="s">
        <v>1521</v>
      </c>
      <c r="B306" s="375" t="s">
        <v>1522</v>
      </c>
      <c r="C306" s="375"/>
      <c r="D306" s="395" t="s">
        <v>302</v>
      </c>
      <c r="E306" s="370" t="s">
        <v>303</v>
      </c>
      <c r="F306" s="372"/>
      <c r="G306" s="372"/>
      <c r="H306" s="431">
        <v>2022</v>
      </c>
      <c r="I306" s="375" t="s">
        <v>179</v>
      </c>
      <c r="J306" s="374"/>
      <c r="K306" s="374"/>
      <c r="L306" s="374" t="s">
        <v>353</v>
      </c>
      <c r="M306" s="373" t="s">
        <v>280</v>
      </c>
      <c r="N306" s="375" t="s">
        <v>179</v>
      </c>
      <c r="O306" s="374" t="s">
        <v>353</v>
      </c>
      <c r="P306" s="373" t="s">
        <v>280</v>
      </c>
      <c r="Q306" s="374"/>
      <c r="R306" s="374"/>
      <c r="S306" s="375" t="s">
        <v>790</v>
      </c>
      <c r="T306" s="374"/>
      <c r="U306" s="374" t="s">
        <v>1523</v>
      </c>
      <c r="V306" s="375"/>
      <c r="W306" s="375"/>
      <c r="X306" s="375" t="s">
        <v>1524</v>
      </c>
      <c r="Y306" s="374"/>
      <c r="Z306" s="374" t="s">
        <v>1525</v>
      </c>
      <c r="AA306" s="375"/>
      <c r="AB306" s="375"/>
      <c r="AC306" s="375"/>
      <c r="AD306" s="374"/>
      <c r="AE306" s="375"/>
      <c r="AF306" s="375"/>
      <c r="AG306" s="375"/>
      <c r="AH306" s="375"/>
      <c r="AI306" s="375"/>
      <c r="AJ306" s="375"/>
      <c r="AK306" s="375"/>
      <c r="AL306" s="375"/>
      <c r="AM306" s="375"/>
      <c r="AN306" s="375"/>
      <c r="AO306" s="375"/>
      <c r="AP306" s="375"/>
      <c r="AQ306" s="375"/>
      <c r="AR306" s="375"/>
      <c r="AS306" s="375"/>
      <c r="AT306" s="375"/>
      <c r="AU306" s="375"/>
      <c r="AV306" s="376"/>
    </row>
    <row r="307" spans="1:48" ht="43.2" hidden="1">
      <c r="A307" s="137" t="s">
        <v>962</v>
      </c>
      <c r="B307" s="36" t="s">
        <v>1526</v>
      </c>
      <c r="C307" s="36"/>
      <c r="D307" s="35" t="s">
        <v>277</v>
      </c>
      <c r="E307" s="35"/>
      <c r="F307" s="20"/>
      <c r="G307" s="20"/>
      <c r="H307" s="432">
        <v>2022</v>
      </c>
      <c r="I307" s="36"/>
      <c r="J307" s="94"/>
      <c r="K307" s="94"/>
      <c r="L307" s="94"/>
      <c r="M307" s="94"/>
      <c r="N307" s="36" t="s">
        <v>79</v>
      </c>
      <c r="O307" s="94" t="s">
        <v>809</v>
      </c>
      <c r="P307" s="380" t="s">
        <v>280</v>
      </c>
      <c r="Q307" s="94"/>
      <c r="R307" s="94"/>
      <c r="S307" s="36" t="s">
        <v>807</v>
      </c>
      <c r="T307" s="94"/>
      <c r="U307" s="94" t="s">
        <v>420</v>
      </c>
      <c r="V307" s="36"/>
      <c r="W307" s="36"/>
      <c r="X307" s="36" t="s">
        <v>808</v>
      </c>
      <c r="Y307" s="94"/>
      <c r="Z307" s="94" t="s">
        <v>420</v>
      </c>
      <c r="AA307" s="36"/>
      <c r="AB307" s="36"/>
      <c r="AC307" s="36" t="s">
        <v>965</v>
      </c>
      <c r="AD307" s="94"/>
      <c r="AE307" s="94" t="s">
        <v>420</v>
      </c>
      <c r="AF307" s="36"/>
      <c r="AG307" s="36"/>
      <c r="AH307" s="36" t="s">
        <v>967</v>
      </c>
      <c r="AI307" s="36"/>
      <c r="AJ307" s="94" t="s">
        <v>420</v>
      </c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81"/>
    </row>
    <row r="308" spans="1:48" ht="28.8" hidden="1">
      <c r="A308" s="394" t="s">
        <v>1527</v>
      </c>
      <c r="B308" s="375" t="s">
        <v>1528</v>
      </c>
      <c r="C308" s="375"/>
      <c r="D308" s="395" t="s">
        <v>277</v>
      </c>
      <c r="E308" s="395"/>
      <c r="F308" s="372"/>
      <c r="G308" s="372"/>
      <c r="H308" s="431">
        <v>2022</v>
      </c>
      <c r="I308" s="375" t="s">
        <v>1529</v>
      </c>
      <c r="J308" s="374"/>
      <c r="K308" s="374"/>
      <c r="L308" s="374"/>
      <c r="M308" s="374" t="s">
        <v>420</v>
      </c>
      <c r="N308" s="375" t="s">
        <v>1529</v>
      </c>
      <c r="O308" s="374"/>
      <c r="P308" s="374" t="s">
        <v>420</v>
      </c>
      <c r="Q308" s="374"/>
      <c r="R308" s="374"/>
      <c r="S308" s="375" t="s">
        <v>1530</v>
      </c>
      <c r="T308" s="374"/>
      <c r="U308" s="374" t="s">
        <v>420</v>
      </c>
      <c r="V308" s="375"/>
      <c r="W308" s="375"/>
      <c r="X308" s="375" t="s">
        <v>79</v>
      </c>
      <c r="Y308" s="374" t="s">
        <v>809</v>
      </c>
      <c r="Z308" s="373" t="s">
        <v>280</v>
      </c>
      <c r="AA308" s="375"/>
      <c r="AB308" s="375"/>
      <c r="AC308" s="375" t="s">
        <v>808</v>
      </c>
      <c r="AD308" s="374"/>
      <c r="AE308" s="374" t="s">
        <v>420</v>
      </c>
      <c r="AF308" s="375"/>
      <c r="AG308" s="375"/>
      <c r="AH308" s="375" t="s">
        <v>807</v>
      </c>
      <c r="AI308" s="374"/>
      <c r="AJ308" s="374" t="s">
        <v>420</v>
      </c>
      <c r="AK308" s="375"/>
      <c r="AL308" s="375"/>
      <c r="AM308" s="375"/>
      <c r="AN308" s="375"/>
      <c r="AO308" s="375"/>
      <c r="AP308" s="375"/>
      <c r="AQ308" s="375"/>
      <c r="AR308" s="375"/>
      <c r="AS308" s="375"/>
      <c r="AT308" s="375"/>
      <c r="AU308" s="375"/>
      <c r="AV308" s="376"/>
    </row>
    <row r="309" spans="1:48" ht="28.8" hidden="1">
      <c r="A309" s="137" t="s">
        <v>1531</v>
      </c>
      <c r="B309" s="36" t="s">
        <v>1532</v>
      </c>
      <c r="C309" s="36"/>
      <c r="D309" s="35" t="s">
        <v>416</v>
      </c>
      <c r="E309" s="35"/>
      <c r="F309" s="20"/>
      <c r="G309" s="20"/>
      <c r="H309" s="432">
        <v>2022</v>
      </c>
      <c r="I309" s="36" t="s">
        <v>1533</v>
      </c>
      <c r="J309" s="94"/>
      <c r="K309" s="94"/>
      <c r="L309" s="94"/>
      <c r="M309" s="94" t="s">
        <v>823</v>
      </c>
      <c r="N309" s="36" t="s">
        <v>56</v>
      </c>
      <c r="O309" s="94" t="s">
        <v>351</v>
      </c>
      <c r="P309" s="380" t="s">
        <v>280</v>
      </c>
      <c r="Q309" s="94"/>
      <c r="R309" s="94"/>
      <c r="S309" s="36" t="s">
        <v>1533</v>
      </c>
      <c r="T309" s="94"/>
      <c r="U309" s="94" t="s">
        <v>823</v>
      </c>
      <c r="V309" s="36"/>
      <c r="W309" s="36"/>
      <c r="X309" s="36" t="s">
        <v>1534</v>
      </c>
      <c r="Y309" s="94"/>
      <c r="Z309" s="94" t="s">
        <v>823</v>
      </c>
      <c r="AA309" s="36"/>
      <c r="AB309" s="36"/>
      <c r="AC309" s="36" t="s">
        <v>1535</v>
      </c>
      <c r="AD309" s="94"/>
      <c r="AE309" s="94" t="s">
        <v>1536</v>
      </c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81"/>
    </row>
    <row r="310" spans="1:48" ht="43.2" hidden="1">
      <c r="A310" s="394" t="s">
        <v>1537</v>
      </c>
      <c r="B310" s="375" t="s">
        <v>1538</v>
      </c>
      <c r="C310" s="375"/>
      <c r="D310" s="395" t="s">
        <v>277</v>
      </c>
      <c r="E310" s="395"/>
      <c r="F310" s="372"/>
      <c r="G310" s="372"/>
      <c r="H310" s="431">
        <v>2022</v>
      </c>
      <c r="I310" s="375"/>
      <c r="J310" s="374"/>
      <c r="K310" s="374"/>
      <c r="L310" s="374"/>
      <c r="M310" s="374"/>
      <c r="N310" s="375" t="s">
        <v>1539</v>
      </c>
      <c r="O310" s="374"/>
      <c r="P310" s="374" t="s">
        <v>823</v>
      </c>
      <c r="Q310" s="374"/>
      <c r="R310" s="374"/>
      <c r="S310" s="375" t="s">
        <v>1533</v>
      </c>
      <c r="T310" s="374"/>
      <c r="U310" s="374" t="s">
        <v>823</v>
      </c>
      <c r="V310" s="375"/>
      <c r="W310" s="375"/>
      <c r="X310" s="375" t="s">
        <v>1534</v>
      </c>
      <c r="Y310" s="374"/>
      <c r="Z310" s="374" t="s">
        <v>823</v>
      </c>
      <c r="AA310" s="375"/>
      <c r="AB310" s="375"/>
      <c r="AC310" s="375" t="s">
        <v>56</v>
      </c>
      <c r="AD310" s="374" t="s">
        <v>351</v>
      </c>
      <c r="AE310" s="373" t="s">
        <v>280</v>
      </c>
      <c r="AF310" s="375"/>
      <c r="AG310" s="375"/>
      <c r="AH310" s="375"/>
      <c r="AI310" s="375"/>
      <c r="AJ310" s="375"/>
      <c r="AK310" s="375"/>
      <c r="AL310" s="375"/>
      <c r="AM310" s="375"/>
      <c r="AN310" s="375"/>
      <c r="AO310" s="375"/>
      <c r="AP310" s="375"/>
      <c r="AQ310" s="375"/>
      <c r="AR310" s="375"/>
      <c r="AS310" s="375"/>
      <c r="AT310" s="375"/>
      <c r="AU310" s="375"/>
      <c r="AV310" s="376"/>
    </row>
    <row r="311" spans="1:48" ht="43.2" hidden="1">
      <c r="A311" s="137" t="s">
        <v>1540</v>
      </c>
      <c r="B311" s="36" t="s">
        <v>1538</v>
      </c>
      <c r="C311" s="36"/>
      <c r="D311" s="35" t="s">
        <v>277</v>
      </c>
      <c r="E311" s="35"/>
      <c r="F311" s="20"/>
      <c r="G311" s="20"/>
      <c r="H311" s="432">
        <v>2022</v>
      </c>
      <c r="I311" s="36"/>
      <c r="J311" s="94"/>
      <c r="K311" s="94"/>
      <c r="L311" s="94"/>
      <c r="M311" s="94"/>
      <c r="N311" s="36" t="s">
        <v>1541</v>
      </c>
      <c r="O311" s="94"/>
      <c r="P311" s="94" t="s">
        <v>823</v>
      </c>
      <c r="Q311" s="94"/>
      <c r="R311" s="94"/>
      <c r="S311" s="36" t="s">
        <v>1533</v>
      </c>
      <c r="T311" s="94"/>
      <c r="U311" s="94" t="s">
        <v>823</v>
      </c>
      <c r="V311" s="36"/>
      <c r="W311" s="36"/>
      <c r="X311" s="36" t="s">
        <v>1534</v>
      </c>
      <c r="Y311" s="94"/>
      <c r="Z311" s="94" t="s">
        <v>823</v>
      </c>
      <c r="AA311" s="36"/>
      <c r="AB311" s="36"/>
      <c r="AC311" s="36" t="s">
        <v>56</v>
      </c>
      <c r="AD311" s="94" t="s">
        <v>351</v>
      </c>
      <c r="AE311" s="380" t="s">
        <v>280</v>
      </c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81"/>
    </row>
    <row r="312" spans="1:48" ht="43.2" hidden="1">
      <c r="A312" s="394" t="s">
        <v>1542</v>
      </c>
      <c r="B312" s="375" t="s">
        <v>1538</v>
      </c>
      <c r="C312" s="375"/>
      <c r="D312" s="395" t="s">
        <v>277</v>
      </c>
      <c r="E312" s="395"/>
      <c r="F312" s="372"/>
      <c r="G312" s="372"/>
      <c r="H312" s="431">
        <v>2022</v>
      </c>
      <c r="I312" s="375"/>
      <c r="J312" s="374"/>
      <c r="K312" s="374"/>
      <c r="L312" s="374"/>
      <c r="M312" s="374"/>
      <c r="N312" s="375" t="s">
        <v>1543</v>
      </c>
      <c r="O312" s="374"/>
      <c r="P312" s="374" t="s">
        <v>823</v>
      </c>
      <c r="Q312" s="374"/>
      <c r="R312" s="374"/>
      <c r="S312" s="375" t="s">
        <v>1533</v>
      </c>
      <c r="T312" s="374"/>
      <c r="U312" s="374" t="s">
        <v>823</v>
      </c>
      <c r="V312" s="375"/>
      <c r="W312" s="375"/>
      <c r="X312" s="375" t="s">
        <v>1534</v>
      </c>
      <c r="Y312" s="374"/>
      <c r="Z312" s="374" t="s">
        <v>823</v>
      </c>
      <c r="AA312" s="375"/>
      <c r="AB312" s="375"/>
      <c r="AC312" s="375" t="s">
        <v>56</v>
      </c>
      <c r="AD312" s="374" t="s">
        <v>351</v>
      </c>
      <c r="AE312" s="373" t="s">
        <v>280</v>
      </c>
      <c r="AF312" s="375"/>
      <c r="AG312" s="375"/>
      <c r="AH312" s="375"/>
      <c r="AI312" s="375"/>
      <c r="AJ312" s="375"/>
      <c r="AK312" s="375"/>
      <c r="AL312" s="375"/>
      <c r="AM312" s="375"/>
      <c r="AN312" s="375"/>
      <c r="AO312" s="375"/>
      <c r="AP312" s="375"/>
      <c r="AQ312" s="375"/>
      <c r="AR312" s="375"/>
      <c r="AS312" s="375"/>
      <c r="AT312" s="375"/>
      <c r="AU312" s="375"/>
      <c r="AV312" s="376"/>
    </row>
    <row r="313" spans="1:48" ht="43.2" hidden="1">
      <c r="A313" s="137" t="s">
        <v>1544</v>
      </c>
      <c r="B313" s="36" t="s">
        <v>1538</v>
      </c>
      <c r="C313" s="36"/>
      <c r="D313" s="35" t="s">
        <v>277</v>
      </c>
      <c r="E313" s="35"/>
      <c r="F313" s="20"/>
      <c r="G313" s="20"/>
      <c r="H313" s="432">
        <v>2022</v>
      </c>
      <c r="I313" s="36"/>
      <c r="J313" s="94"/>
      <c r="K313" s="94"/>
      <c r="L313" s="94"/>
      <c r="M313" s="94"/>
      <c r="N313" s="36" t="s">
        <v>1545</v>
      </c>
      <c r="O313" s="94"/>
      <c r="P313" s="94" t="s">
        <v>823</v>
      </c>
      <c r="Q313" s="94"/>
      <c r="R313" s="94"/>
      <c r="S313" s="36" t="s">
        <v>1533</v>
      </c>
      <c r="T313" s="94"/>
      <c r="U313" s="94" t="s">
        <v>823</v>
      </c>
      <c r="V313" s="36"/>
      <c r="W313" s="36"/>
      <c r="X313" s="36" t="s">
        <v>1534</v>
      </c>
      <c r="Y313" s="94"/>
      <c r="Z313" s="94" t="s">
        <v>823</v>
      </c>
      <c r="AA313" s="36"/>
      <c r="AB313" s="36"/>
      <c r="AC313" s="36" t="s">
        <v>56</v>
      </c>
      <c r="AD313" s="94" t="s">
        <v>351</v>
      </c>
      <c r="AE313" s="380" t="s">
        <v>280</v>
      </c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81"/>
    </row>
    <row r="314" spans="1:48" ht="43.2" hidden="1">
      <c r="A314" s="394" t="s">
        <v>1546</v>
      </c>
      <c r="B314" s="375" t="s">
        <v>1538</v>
      </c>
      <c r="C314" s="375"/>
      <c r="D314" s="395" t="s">
        <v>277</v>
      </c>
      <c r="E314" s="395"/>
      <c r="F314" s="372"/>
      <c r="G314" s="372"/>
      <c r="H314" s="431">
        <v>2022</v>
      </c>
      <c r="I314" s="375"/>
      <c r="J314" s="374"/>
      <c r="K314" s="374"/>
      <c r="L314" s="374"/>
      <c r="M314" s="374"/>
      <c r="N314" s="375" t="s">
        <v>1547</v>
      </c>
      <c r="O314" s="374"/>
      <c r="P314" s="374" t="s">
        <v>823</v>
      </c>
      <c r="Q314" s="374"/>
      <c r="R314" s="374"/>
      <c r="S314" s="375" t="s">
        <v>56</v>
      </c>
      <c r="T314" s="374" t="s">
        <v>351</v>
      </c>
      <c r="U314" s="373" t="s">
        <v>280</v>
      </c>
      <c r="V314" s="375"/>
      <c r="W314" s="375"/>
      <c r="X314" s="375" t="s">
        <v>1533</v>
      </c>
      <c r="Y314" s="374"/>
      <c r="Z314" s="374" t="s">
        <v>823</v>
      </c>
      <c r="AA314" s="375"/>
      <c r="AB314" s="375"/>
      <c r="AC314" s="375" t="s">
        <v>827</v>
      </c>
      <c r="AD314" s="374"/>
      <c r="AE314" s="374" t="s">
        <v>1548</v>
      </c>
      <c r="AF314" s="375"/>
      <c r="AG314" s="375"/>
      <c r="AH314" s="375"/>
      <c r="AI314" s="375"/>
      <c r="AJ314" s="375"/>
      <c r="AK314" s="375"/>
      <c r="AL314" s="375"/>
      <c r="AM314" s="375"/>
      <c r="AN314" s="375"/>
      <c r="AO314" s="375"/>
      <c r="AP314" s="375"/>
      <c r="AQ314" s="375"/>
      <c r="AR314" s="375"/>
      <c r="AS314" s="375"/>
      <c r="AT314" s="375"/>
      <c r="AU314" s="375"/>
      <c r="AV314" s="376"/>
    </row>
    <row r="315" spans="1:48" ht="43.2" hidden="1">
      <c r="A315" s="137" t="s">
        <v>1549</v>
      </c>
      <c r="B315" s="36" t="s">
        <v>1550</v>
      </c>
      <c r="C315" s="36"/>
      <c r="D315" s="35" t="s">
        <v>395</v>
      </c>
      <c r="E315" s="35"/>
      <c r="F315" s="20"/>
      <c r="G315" s="20"/>
      <c r="H315" s="432">
        <v>2022</v>
      </c>
      <c r="I315" s="36"/>
      <c r="J315" s="94"/>
      <c r="K315" s="94"/>
      <c r="L315" s="94"/>
      <c r="M315" s="94"/>
      <c r="N315" s="36" t="s">
        <v>1551</v>
      </c>
      <c r="O315" s="94"/>
      <c r="P315" s="380" t="s">
        <v>280</v>
      </c>
      <c r="Q315" s="94"/>
      <c r="R315" s="94"/>
      <c r="S315" s="36" t="s">
        <v>1051</v>
      </c>
      <c r="T315" s="94"/>
      <c r="U315" s="380" t="s">
        <v>280</v>
      </c>
      <c r="V315" s="36"/>
      <c r="W315" s="36"/>
      <c r="X315" s="36" t="s">
        <v>1552</v>
      </c>
      <c r="Y315" s="94"/>
      <c r="Z315" s="380" t="s">
        <v>280</v>
      </c>
      <c r="AA315" s="36"/>
      <c r="AB315" s="36"/>
      <c r="AC315" s="36" t="s">
        <v>39</v>
      </c>
      <c r="AD315" s="94" t="s">
        <v>353</v>
      </c>
      <c r="AE315" s="380" t="s">
        <v>280</v>
      </c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81"/>
    </row>
    <row r="316" spans="1:48" ht="28.8" hidden="1">
      <c r="A316" s="394" t="s">
        <v>1553</v>
      </c>
      <c r="B316" s="375" t="s">
        <v>1554</v>
      </c>
      <c r="C316" s="375"/>
      <c r="D316" s="395" t="s">
        <v>395</v>
      </c>
      <c r="E316" s="395"/>
      <c r="F316" s="372"/>
      <c r="G316" s="372"/>
      <c r="H316" s="431">
        <v>2022</v>
      </c>
      <c r="I316" s="375"/>
      <c r="J316" s="374"/>
      <c r="K316" s="374"/>
      <c r="L316" s="374"/>
      <c r="M316" s="374"/>
      <c r="N316" s="375" t="s">
        <v>1555</v>
      </c>
      <c r="O316" s="374"/>
      <c r="P316" s="373" t="s">
        <v>280</v>
      </c>
      <c r="Q316" s="374"/>
      <c r="R316" s="374"/>
      <c r="S316" s="375" t="s">
        <v>1556</v>
      </c>
      <c r="T316" s="374"/>
      <c r="U316" s="373" t="s">
        <v>280</v>
      </c>
      <c r="V316" s="375"/>
      <c r="W316" s="375"/>
      <c r="X316" s="375" t="s">
        <v>1557</v>
      </c>
      <c r="Y316" s="374"/>
      <c r="Z316" s="373" t="s">
        <v>280</v>
      </c>
      <c r="AA316" s="375"/>
      <c r="AB316" s="375"/>
      <c r="AC316" s="375" t="s">
        <v>39</v>
      </c>
      <c r="AD316" s="374" t="s">
        <v>353</v>
      </c>
      <c r="AE316" s="373" t="s">
        <v>280</v>
      </c>
      <c r="AF316" s="375"/>
      <c r="AG316" s="375"/>
      <c r="AH316" s="375"/>
      <c r="AI316" s="375"/>
      <c r="AJ316" s="375"/>
      <c r="AK316" s="375"/>
      <c r="AL316" s="375"/>
      <c r="AM316" s="375"/>
      <c r="AN316" s="375"/>
      <c r="AO316" s="375"/>
      <c r="AP316" s="375"/>
      <c r="AQ316" s="375"/>
      <c r="AR316" s="375"/>
      <c r="AS316" s="375"/>
      <c r="AT316" s="375"/>
      <c r="AU316" s="375"/>
      <c r="AV316" s="376"/>
    </row>
    <row r="317" spans="1:48" ht="43.2" hidden="1">
      <c r="A317" s="137" t="s">
        <v>1558</v>
      </c>
      <c r="B317" s="36" t="s">
        <v>1559</v>
      </c>
      <c r="C317" s="36"/>
      <c r="D317" s="35" t="s">
        <v>528</v>
      </c>
      <c r="E317" s="35"/>
      <c r="F317" s="20"/>
      <c r="G317" s="20"/>
      <c r="H317" s="432">
        <v>2022</v>
      </c>
      <c r="I317" s="36"/>
      <c r="J317" s="94"/>
      <c r="K317" s="94"/>
      <c r="L317" s="94"/>
      <c r="M317" s="94"/>
      <c r="N317" s="36" t="s">
        <v>1560</v>
      </c>
      <c r="O317" s="94"/>
      <c r="P317" s="94" t="s">
        <v>451</v>
      </c>
      <c r="Q317" s="94"/>
      <c r="R317" s="94"/>
      <c r="S317" s="36" t="s">
        <v>1561</v>
      </c>
      <c r="T317" s="94"/>
      <c r="U317" s="94" t="s">
        <v>451</v>
      </c>
      <c r="V317" s="36"/>
      <c r="W317" s="36"/>
      <c r="X317" s="36" t="s">
        <v>1562</v>
      </c>
      <c r="Y317" s="94"/>
      <c r="Z317" s="94" t="s">
        <v>451</v>
      </c>
      <c r="AA317" s="36"/>
      <c r="AB317" s="36"/>
      <c r="AC317" s="36" t="s">
        <v>833</v>
      </c>
      <c r="AD317" s="94" t="s">
        <v>449</v>
      </c>
      <c r="AE317" s="380" t="s">
        <v>280</v>
      </c>
      <c r="AF317" s="36"/>
      <c r="AG317" s="36"/>
      <c r="AH317" s="36" t="s">
        <v>837</v>
      </c>
      <c r="AI317" s="36"/>
      <c r="AJ317" s="94" t="s">
        <v>451</v>
      </c>
      <c r="AK317" s="36"/>
      <c r="AL317" s="36"/>
      <c r="AM317" s="36" t="s">
        <v>1563</v>
      </c>
      <c r="AN317" s="36"/>
      <c r="AO317" s="94" t="s">
        <v>451</v>
      </c>
      <c r="AP317" s="36"/>
      <c r="AQ317" s="36"/>
      <c r="AR317" s="36"/>
      <c r="AS317" s="36"/>
      <c r="AT317" s="36"/>
      <c r="AU317" s="36"/>
      <c r="AV317" s="381"/>
    </row>
    <row r="318" spans="1:48" ht="43.2" hidden="1">
      <c r="A318" s="394" t="s">
        <v>1564</v>
      </c>
      <c r="B318" s="375" t="s">
        <v>1565</v>
      </c>
      <c r="C318" s="375"/>
      <c r="D318" s="395" t="s">
        <v>277</v>
      </c>
      <c r="E318" s="395"/>
      <c r="F318" s="372"/>
      <c r="G318" s="372"/>
      <c r="H318" s="431">
        <v>2022</v>
      </c>
      <c r="I318" s="375" t="s">
        <v>837</v>
      </c>
      <c r="J318" s="374"/>
      <c r="K318" s="374"/>
      <c r="L318" s="374"/>
      <c r="M318" s="374" t="s">
        <v>451</v>
      </c>
      <c r="N318" s="375" t="s">
        <v>833</v>
      </c>
      <c r="O318" s="374" t="s">
        <v>449</v>
      </c>
      <c r="P318" s="373" t="s">
        <v>280</v>
      </c>
      <c r="Q318" s="374"/>
      <c r="R318" s="374"/>
      <c r="S318" s="375" t="s">
        <v>1562</v>
      </c>
      <c r="T318" s="374"/>
      <c r="U318" s="374" t="s">
        <v>451</v>
      </c>
      <c r="V318" s="375"/>
      <c r="W318" s="375"/>
      <c r="X318" s="375" t="s">
        <v>837</v>
      </c>
      <c r="Y318" s="375"/>
      <c r="Z318" s="374" t="s">
        <v>451</v>
      </c>
      <c r="AA318" s="375"/>
      <c r="AB318" s="375"/>
      <c r="AC318" s="375"/>
      <c r="AD318" s="374"/>
      <c r="AE318" s="375"/>
      <c r="AF318" s="375"/>
      <c r="AG318" s="375"/>
      <c r="AH318" s="375"/>
      <c r="AI318" s="375"/>
      <c r="AJ318" s="375"/>
      <c r="AK318" s="375"/>
      <c r="AL318" s="375"/>
      <c r="AM318" s="375"/>
      <c r="AN318" s="375"/>
      <c r="AO318" s="375"/>
      <c r="AP318" s="375"/>
      <c r="AQ318" s="375"/>
      <c r="AR318" s="375"/>
      <c r="AS318" s="375"/>
      <c r="AT318" s="375"/>
      <c r="AU318" s="375"/>
      <c r="AV318" s="376"/>
    </row>
    <row r="319" spans="1:48" ht="43.2" hidden="1">
      <c r="A319" s="137" t="s">
        <v>1566</v>
      </c>
      <c r="B319" s="36" t="s">
        <v>1567</v>
      </c>
      <c r="C319" s="36"/>
      <c r="D319" s="35" t="s">
        <v>302</v>
      </c>
      <c r="E319" s="75" t="s">
        <v>303</v>
      </c>
      <c r="F319" s="20"/>
      <c r="G319" s="20"/>
      <c r="H319" s="432">
        <v>2022</v>
      </c>
      <c r="I319" s="36"/>
      <c r="J319" s="94"/>
      <c r="K319" s="94"/>
      <c r="L319" s="94"/>
      <c r="M319" s="94"/>
      <c r="N319" s="36" t="s">
        <v>174</v>
      </c>
      <c r="O319" s="94" t="s">
        <v>686</v>
      </c>
      <c r="P319" s="380" t="s">
        <v>280</v>
      </c>
      <c r="Q319" s="94"/>
      <c r="R319" s="94"/>
      <c r="S319" s="36" t="s">
        <v>1568</v>
      </c>
      <c r="T319" s="94"/>
      <c r="U319" s="94" t="s">
        <v>1569</v>
      </c>
      <c r="V319" s="36"/>
      <c r="W319" s="36"/>
      <c r="X319" s="36" t="s">
        <v>1570</v>
      </c>
      <c r="Y319" s="94"/>
      <c r="Z319" s="94" t="s">
        <v>1569</v>
      </c>
      <c r="AA319" s="36"/>
      <c r="AB319" s="36"/>
      <c r="AC319" s="36"/>
      <c r="AD319" s="94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81"/>
    </row>
    <row r="320" spans="1:48" ht="28.8" hidden="1">
      <c r="A320" s="394" t="s">
        <v>1571</v>
      </c>
      <c r="B320" s="375" t="s">
        <v>1572</v>
      </c>
      <c r="C320" s="375"/>
      <c r="D320" s="395" t="s">
        <v>782</v>
      </c>
      <c r="E320" s="370" t="s">
        <v>303</v>
      </c>
      <c r="F320" s="372"/>
      <c r="G320" s="372"/>
      <c r="H320" s="431">
        <v>2022</v>
      </c>
      <c r="I320" s="375"/>
      <c r="J320" s="374"/>
      <c r="K320" s="374"/>
      <c r="L320" s="374"/>
      <c r="M320" s="374"/>
      <c r="N320" s="375" t="s">
        <v>174</v>
      </c>
      <c r="O320" s="374" t="s">
        <v>686</v>
      </c>
      <c r="P320" s="373" t="s">
        <v>280</v>
      </c>
      <c r="Q320" s="374"/>
      <c r="R320" s="374"/>
      <c r="S320" s="375" t="s">
        <v>1573</v>
      </c>
      <c r="T320" s="374" t="s">
        <v>686</v>
      </c>
      <c r="U320" s="373" t="s">
        <v>280</v>
      </c>
      <c r="V320" s="375"/>
      <c r="W320" s="375"/>
      <c r="X320" s="375"/>
      <c r="Y320" s="374"/>
      <c r="Z320" s="375"/>
      <c r="AA320" s="375"/>
      <c r="AB320" s="375"/>
      <c r="AC320" s="375"/>
      <c r="AD320" s="374"/>
      <c r="AE320" s="375"/>
      <c r="AF320" s="375"/>
      <c r="AG320" s="375"/>
      <c r="AH320" s="375"/>
      <c r="AI320" s="375"/>
      <c r="AJ320" s="375"/>
      <c r="AK320" s="375"/>
      <c r="AL320" s="375"/>
      <c r="AM320" s="375"/>
      <c r="AN320" s="375"/>
      <c r="AO320" s="375"/>
      <c r="AP320" s="375"/>
      <c r="AQ320" s="375"/>
      <c r="AR320" s="375"/>
      <c r="AS320" s="375"/>
      <c r="AT320" s="375"/>
      <c r="AU320" s="375"/>
      <c r="AV320" s="376"/>
    </row>
    <row r="321" spans="1:48" ht="43.2" hidden="1">
      <c r="A321" s="137" t="s">
        <v>1574</v>
      </c>
      <c r="B321" s="36" t="s">
        <v>1575</v>
      </c>
      <c r="C321" s="36"/>
      <c r="D321" s="35" t="s">
        <v>313</v>
      </c>
      <c r="E321" s="35"/>
      <c r="F321" s="20"/>
      <c r="G321" s="20"/>
      <c r="H321" s="432">
        <v>2022</v>
      </c>
      <c r="I321" s="36"/>
      <c r="J321" s="94"/>
      <c r="K321" s="94"/>
      <c r="L321" s="94"/>
      <c r="M321" s="94"/>
      <c r="N321" s="36" t="s">
        <v>121</v>
      </c>
      <c r="O321" s="94" t="s">
        <v>809</v>
      </c>
      <c r="P321" s="380" t="s">
        <v>280</v>
      </c>
      <c r="Q321" s="94"/>
      <c r="R321" s="94"/>
      <c r="S321" s="36" t="s">
        <v>1576</v>
      </c>
      <c r="T321" s="94" t="s">
        <v>809</v>
      </c>
      <c r="U321" s="380" t="s">
        <v>280</v>
      </c>
      <c r="V321" s="36"/>
      <c r="W321" s="36"/>
      <c r="X321" s="36" t="s">
        <v>1577</v>
      </c>
      <c r="Y321" s="94"/>
      <c r="Z321" s="380" t="s">
        <v>514</v>
      </c>
      <c r="AA321" s="36"/>
      <c r="AB321" s="36"/>
      <c r="AC321" s="36"/>
      <c r="AD321" s="94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81"/>
    </row>
    <row r="322" spans="1:48" ht="28.8" hidden="1">
      <c r="A322" s="394" t="s">
        <v>1578</v>
      </c>
      <c r="B322" s="375" t="s">
        <v>1579</v>
      </c>
      <c r="C322" s="375"/>
      <c r="D322" s="395" t="s">
        <v>766</v>
      </c>
      <c r="E322" s="395"/>
      <c r="F322" s="372"/>
      <c r="G322" s="372"/>
      <c r="H322" s="431">
        <v>2022</v>
      </c>
      <c r="I322" s="375" t="s">
        <v>114</v>
      </c>
      <c r="J322" s="374"/>
      <c r="K322" s="374"/>
      <c r="L322" s="374" t="s">
        <v>449</v>
      </c>
      <c r="M322" s="373" t="s">
        <v>280</v>
      </c>
      <c r="N322" s="375" t="s">
        <v>114</v>
      </c>
      <c r="O322" s="374" t="s">
        <v>449</v>
      </c>
      <c r="P322" s="373" t="s">
        <v>280</v>
      </c>
      <c r="Q322" s="374"/>
      <c r="R322" s="374"/>
      <c r="S322" s="375"/>
      <c r="T322" s="374"/>
      <c r="U322" s="375"/>
      <c r="V322" s="375"/>
      <c r="W322" s="375"/>
      <c r="X322" s="375"/>
      <c r="Y322" s="374"/>
      <c r="Z322" s="375"/>
      <c r="AA322" s="375"/>
      <c r="AB322" s="375"/>
      <c r="AC322" s="375"/>
      <c r="AD322" s="374"/>
      <c r="AE322" s="375"/>
      <c r="AF322" s="375"/>
      <c r="AG322" s="375"/>
      <c r="AH322" s="375"/>
      <c r="AI322" s="375"/>
      <c r="AJ322" s="375"/>
      <c r="AK322" s="375"/>
      <c r="AL322" s="375"/>
      <c r="AM322" s="375"/>
      <c r="AN322" s="375"/>
      <c r="AO322" s="375"/>
      <c r="AP322" s="375"/>
      <c r="AQ322" s="375"/>
      <c r="AR322" s="375"/>
      <c r="AS322" s="375"/>
      <c r="AT322" s="375"/>
      <c r="AU322" s="375"/>
      <c r="AV322" s="376"/>
    </row>
    <row r="323" spans="1:48" ht="28.8" hidden="1">
      <c r="A323" s="137" t="s">
        <v>1580</v>
      </c>
      <c r="B323" s="36" t="s">
        <v>1581</v>
      </c>
      <c r="C323" s="36"/>
      <c r="D323" s="35" t="s">
        <v>302</v>
      </c>
      <c r="E323" s="75" t="s">
        <v>303</v>
      </c>
      <c r="F323" s="20"/>
      <c r="G323" s="20"/>
      <c r="H323" s="432">
        <v>2022</v>
      </c>
      <c r="I323" s="36" t="s">
        <v>421</v>
      </c>
      <c r="J323" s="94"/>
      <c r="K323" s="94"/>
      <c r="L323" s="94"/>
      <c r="M323" s="94" t="s">
        <v>420</v>
      </c>
      <c r="N323" s="36" t="s">
        <v>421</v>
      </c>
      <c r="O323" s="94"/>
      <c r="P323" s="94" t="s">
        <v>420</v>
      </c>
      <c r="Q323" s="94"/>
      <c r="R323" s="94"/>
      <c r="S323" s="36" t="s">
        <v>789</v>
      </c>
      <c r="T323" s="94"/>
      <c r="U323" s="94" t="s">
        <v>420</v>
      </c>
      <c r="V323" s="36"/>
      <c r="W323" s="36"/>
      <c r="X323" s="36" t="s">
        <v>188</v>
      </c>
      <c r="Y323" s="94" t="s">
        <v>353</v>
      </c>
      <c r="Z323" s="380" t="s">
        <v>280</v>
      </c>
      <c r="AA323" s="36"/>
      <c r="AB323" s="36"/>
      <c r="AC323" s="36" t="s">
        <v>1582</v>
      </c>
      <c r="AD323" s="94"/>
      <c r="AE323" s="94" t="s">
        <v>420</v>
      </c>
      <c r="AF323" s="36"/>
      <c r="AG323" s="36"/>
      <c r="AH323" s="36" t="s">
        <v>1583</v>
      </c>
      <c r="AI323" s="36"/>
      <c r="AJ323" s="94" t="s">
        <v>420</v>
      </c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81"/>
    </row>
    <row r="324" spans="1:48" ht="43.2" hidden="1">
      <c r="A324" s="394" t="s">
        <v>1584</v>
      </c>
      <c r="B324" s="375" t="s">
        <v>1585</v>
      </c>
      <c r="C324" s="375"/>
      <c r="D324" s="395" t="s">
        <v>277</v>
      </c>
      <c r="E324" s="395"/>
      <c r="F324" s="372"/>
      <c r="G324" s="372"/>
      <c r="H324" s="431">
        <v>2022</v>
      </c>
      <c r="I324" s="375"/>
      <c r="J324" s="374"/>
      <c r="K324" s="374"/>
      <c r="L324" s="374"/>
      <c r="M324" s="374"/>
      <c r="N324" s="375" t="s">
        <v>188</v>
      </c>
      <c r="O324" s="374" t="s">
        <v>353</v>
      </c>
      <c r="P324" s="373" t="s">
        <v>280</v>
      </c>
      <c r="Q324" s="374"/>
      <c r="R324" s="374"/>
      <c r="S324" s="375" t="s">
        <v>1586</v>
      </c>
      <c r="T324" s="374"/>
      <c r="U324" s="374" t="s">
        <v>420</v>
      </c>
      <c r="V324" s="375"/>
      <c r="W324" s="375"/>
      <c r="X324" s="375"/>
      <c r="Y324" s="374"/>
      <c r="Z324" s="375"/>
      <c r="AA324" s="375"/>
      <c r="AB324" s="375"/>
      <c r="AC324" s="375"/>
      <c r="AD324" s="374"/>
      <c r="AE324" s="375"/>
      <c r="AF324" s="375"/>
      <c r="AG324" s="375"/>
      <c r="AH324" s="375"/>
      <c r="AI324" s="375"/>
      <c r="AJ324" s="375"/>
      <c r="AK324" s="375"/>
      <c r="AL324" s="375"/>
      <c r="AM324" s="375"/>
      <c r="AN324" s="375"/>
      <c r="AO324" s="375"/>
      <c r="AP324" s="375"/>
      <c r="AQ324" s="375"/>
      <c r="AR324" s="375"/>
      <c r="AS324" s="375"/>
      <c r="AT324" s="375"/>
      <c r="AU324" s="375"/>
      <c r="AV324" s="376"/>
    </row>
    <row r="325" spans="1:48" ht="28.8" hidden="1">
      <c r="A325" s="137" t="s">
        <v>1587</v>
      </c>
      <c r="B325" s="36" t="s">
        <v>1588</v>
      </c>
      <c r="C325" s="36"/>
      <c r="D325" s="35" t="s">
        <v>416</v>
      </c>
      <c r="E325" s="75"/>
      <c r="F325" s="20"/>
      <c r="G325" s="20"/>
      <c r="H325" s="432">
        <v>2022</v>
      </c>
      <c r="I325" s="36" t="s">
        <v>421</v>
      </c>
      <c r="J325" s="94"/>
      <c r="K325" s="94"/>
      <c r="L325" s="94"/>
      <c r="M325" s="94" t="s">
        <v>420</v>
      </c>
      <c r="N325" s="36" t="s">
        <v>421</v>
      </c>
      <c r="O325" s="94"/>
      <c r="P325" s="94" t="s">
        <v>420</v>
      </c>
      <c r="Q325" s="94"/>
      <c r="R325" s="94"/>
      <c r="S325" s="36" t="s">
        <v>789</v>
      </c>
      <c r="T325" s="94"/>
      <c r="U325" s="94" t="s">
        <v>420</v>
      </c>
      <c r="V325" s="36"/>
      <c r="W325" s="36"/>
      <c r="X325" s="36" t="s">
        <v>1589</v>
      </c>
      <c r="Y325" s="94" t="s">
        <v>353</v>
      </c>
      <c r="Z325" s="380" t="s">
        <v>280</v>
      </c>
      <c r="AA325" s="36"/>
      <c r="AB325" s="36"/>
      <c r="AC325" s="36" t="s">
        <v>1590</v>
      </c>
      <c r="AD325" s="94"/>
      <c r="AE325" s="94" t="s">
        <v>420</v>
      </c>
      <c r="AF325" s="36"/>
      <c r="AG325" s="36"/>
      <c r="AH325" s="36" t="s">
        <v>1591</v>
      </c>
      <c r="AI325" s="36"/>
      <c r="AJ325" s="94" t="s">
        <v>420</v>
      </c>
      <c r="AK325" s="36"/>
      <c r="AL325" s="36"/>
      <c r="AM325" s="36" t="s">
        <v>1592</v>
      </c>
      <c r="AN325" s="36"/>
      <c r="AO325" s="94" t="s">
        <v>420</v>
      </c>
      <c r="AP325" s="36"/>
      <c r="AQ325" s="36"/>
      <c r="AR325" s="36"/>
      <c r="AS325" s="36"/>
      <c r="AT325" s="36"/>
      <c r="AU325" s="36"/>
      <c r="AV325" s="381"/>
    </row>
    <row r="326" spans="1:48" ht="28.8" hidden="1">
      <c r="A326" s="394" t="s">
        <v>1593</v>
      </c>
      <c r="B326" s="375" t="s">
        <v>1594</v>
      </c>
      <c r="C326" s="375"/>
      <c r="D326" s="395" t="s">
        <v>416</v>
      </c>
      <c r="E326" s="370"/>
      <c r="F326" s="372"/>
      <c r="G326" s="372"/>
      <c r="H326" s="431">
        <v>2022</v>
      </c>
      <c r="I326" s="375" t="s">
        <v>1586</v>
      </c>
      <c r="J326" s="374"/>
      <c r="K326" s="374"/>
      <c r="L326" s="374"/>
      <c r="M326" s="374" t="s">
        <v>420</v>
      </c>
      <c r="N326" s="375" t="s">
        <v>1586</v>
      </c>
      <c r="O326" s="374"/>
      <c r="P326" s="374" t="s">
        <v>420</v>
      </c>
      <c r="Q326" s="374"/>
      <c r="R326" s="374"/>
      <c r="S326" s="375" t="s">
        <v>1589</v>
      </c>
      <c r="T326" s="374" t="s">
        <v>353</v>
      </c>
      <c r="U326" s="373" t="s">
        <v>280</v>
      </c>
      <c r="V326" s="375"/>
      <c r="W326" s="375"/>
      <c r="X326" s="375" t="s">
        <v>1595</v>
      </c>
      <c r="Y326" s="374"/>
      <c r="Z326" s="374" t="s">
        <v>420</v>
      </c>
      <c r="AA326" s="375"/>
      <c r="AB326" s="375"/>
      <c r="AC326" s="375"/>
      <c r="AD326" s="374"/>
      <c r="AE326" s="375"/>
      <c r="AF326" s="375"/>
      <c r="AG326" s="375"/>
      <c r="AH326" s="375"/>
      <c r="AI326" s="375"/>
      <c r="AJ326" s="375"/>
      <c r="AK326" s="375"/>
      <c r="AL326" s="375"/>
      <c r="AM326" s="375"/>
      <c r="AN326" s="375"/>
      <c r="AO326" s="375"/>
      <c r="AP326" s="375"/>
      <c r="AQ326" s="375"/>
      <c r="AR326" s="375"/>
      <c r="AS326" s="375"/>
      <c r="AT326" s="375"/>
      <c r="AU326" s="375"/>
      <c r="AV326" s="376"/>
    </row>
    <row r="327" spans="1:48" ht="28.8" hidden="1">
      <c r="A327" s="137" t="s">
        <v>1596</v>
      </c>
      <c r="B327" s="36" t="s">
        <v>1579</v>
      </c>
      <c r="C327" s="36"/>
      <c r="D327" s="35" t="s">
        <v>766</v>
      </c>
      <c r="E327" s="35"/>
      <c r="F327" s="20"/>
      <c r="G327" s="20"/>
      <c r="H327" s="432">
        <v>2022</v>
      </c>
      <c r="I327" s="36" t="s">
        <v>1589</v>
      </c>
      <c r="J327" s="94"/>
      <c r="K327" s="94"/>
      <c r="L327" s="94" t="s">
        <v>353</v>
      </c>
      <c r="M327" s="380" t="s">
        <v>280</v>
      </c>
      <c r="N327" s="36" t="s">
        <v>1589</v>
      </c>
      <c r="O327" s="94" t="s">
        <v>353</v>
      </c>
      <c r="P327" s="380" t="s">
        <v>280</v>
      </c>
      <c r="Q327" s="94"/>
      <c r="R327" s="94"/>
      <c r="S327" s="36"/>
      <c r="T327" s="94"/>
      <c r="U327" s="36"/>
      <c r="V327" s="36"/>
      <c r="W327" s="36"/>
      <c r="X327" s="36"/>
      <c r="Y327" s="94"/>
      <c r="Z327" s="36"/>
      <c r="AA327" s="36"/>
      <c r="AB327" s="36"/>
      <c r="AC327" s="36"/>
      <c r="AD327" s="94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81"/>
    </row>
    <row r="328" spans="1:48" ht="57.6" hidden="1">
      <c r="A328" s="394" t="s">
        <v>1597</v>
      </c>
      <c r="B328" s="375" t="s">
        <v>1598</v>
      </c>
      <c r="C328" s="375"/>
      <c r="D328" s="395" t="s">
        <v>286</v>
      </c>
      <c r="E328" s="395"/>
      <c r="F328" s="372"/>
      <c r="G328" s="372"/>
      <c r="H328" s="431">
        <v>2022</v>
      </c>
      <c r="I328" s="375" t="s">
        <v>1599</v>
      </c>
      <c r="J328" s="374"/>
      <c r="K328" s="374"/>
      <c r="L328" s="374"/>
      <c r="M328" s="374" t="s">
        <v>885</v>
      </c>
      <c r="N328" s="375" t="s">
        <v>1599</v>
      </c>
      <c r="O328" s="374"/>
      <c r="P328" s="374" t="s">
        <v>885</v>
      </c>
      <c r="Q328" s="374"/>
      <c r="R328" s="374"/>
      <c r="S328" s="375" t="s">
        <v>1600</v>
      </c>
      <c r="T328" s="374"/>
      <c r="U328" s="374" t="s">
        <v>885</v>
      </c>
      <c r="V328" s="375"/>
      <c r="W328" s="375"/>
      <c r="X328" s="375" t="s">
        <v>37</v>
      </c>
      <c r="Y328" s="374" t="s">
        <v>353</v>
      </c>
      <c r="Z328" s="373" t="s">
        <v>280</v>
      </c>
      <c r="AA328" s="375"/>
      <c r="AB328" s="375"/>
      <c r="AC328" s="375"/>
      <c r="AD328" s="374"/>
      <c r="AE328" s="375"/>
      <c r="AF328" s="375"/>
      <c r="AG328" s="375"/>
      <c r="AH328" s="375"/>
      <c r="AI328" s="375"/>
      <c r="AJ328" s="375"/>
      <c r="AK328" s="375"/>
      <c r="AL328" s="375"/>
      <c r="AM328" s="375"/>
      <c r="AN328" s="375"/>
      <c r="AO328" s="375"/>
      <c r="AP328" s="375"/>
      <c r="AQ328" s="375"/>
      <c r="AR328" s="375"/>
      <c r="AS328" s="375"/>
      <c r="AT328" s="375"/>
      <c r="AU328" s="375"/>
      <c r="AV328" s="376"/>
    </row>
    <row r="329" spans="1:48" ht="57.6" hidden="1">
      <c r="A329" s="137" t="s">
        <v>1601</v>
      </c>
      <c r="B329" s="36" t="s">
        <v>1598</v>
      </c>
      <c r="C329" s="36"/>
      <c r="D329" s="35" t="s">
        <v>286</v>
      </c>
      <c r="E329" s="35"/>
      <c r="F329" s="20"/>
      <c r="G329" s="20"/>
      <c r="H329" s="432">
        <v>2022</v>
      </c>
      <c r="I329" s="36" t="s">
        <v>1602</v>
      </c>
      <c r="J329" s="94"/>
      <c r="K329" s="94"/>
      <c r="L329" s="94"/>
      <c r="M329" s="94" t="s">
        <v>885</v>
      </c>
      <c r="N329" s="36" t="s">
        <v>1602</v>
      </c>
      <c r="O329" s="94"/>
      <c r="P329" s="94" t="s">
        <v>885</v>
      </c>
      <c r="Q329" s="94"/>
      <c r="R329" s="94"/>
      <c r="S329" s="36" t="s">
        <v>1603</v>
      </c>
      <c r="T329" s="94"/>
      <c r="U329" s="94" t="s">
        <v>885</v>
      </c>
      <c r="V329" s="36"/>
      <c r="W329" s="36"/>
      <c r="X329" s="36" t="s">
        <v>37</v>
      </c>
      <c r="Y329" s="94" t="s">
        <v>353</v>
      </c>
      <c r="Z329" s="380" t="s">
        <v>280</v>
      </c>
      <c r="AA329" s="36"/>
      <c r="AB329" s="36"/>
      <c r="AC329" s="36"/>
      <c r="AD329" s="94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81"/>
    </row>
    <row r="330" spans="1:48" ht="43.2" hidden="1">
      <c r="A330" s="394" t="s">
        <v>1604</v>
      </c>
      <c r="B330" s="375" t="s">
        <v>1605</v>
      </c>
      <c r="C330" s="375"/>
      <c r="D330" s="395" t="s">
        <v>277</v>
      </c>
      <c r="E330" s="395"/>
      <c r="F330" s="372"/>
      <c r="G330" s="372"/>
      <c r="H330" s="431">
        <v>2022</v>
      </c>
      <c r="I330" s="375"/>
      <c r="J330" s="374"/>
      <c r="K330" s="374"/>
      <c r="L330" s="374"/>
      <c r="M330" s="374"/>
      <c r="N330" s="375" t="s">
        <v>41</v>
      </c>
      <c r="O330" s="374" t="s">
        <v>353</v>
      </c>
      <c r="P330" s="373" t="s">
        <v>280</v>
      </c>
      <c r="Q330" s="374"/>
      <c r="R330" s="374"/>
      <c r="S330" s="375" t="s">
        <v>1606</v>
      </c>
      <c r="T330" s="374"/>
      <c r="U330" s="374" t="s">
        <v>1607</v>
      </c>
      <c r="V330" s="375"/>
      <c r="W330" s="375"/>
      <c r="X330" s="375" t="s">
        <v>1608</v>
      </c>
      <c r="Y330" s="374"/>
      <c r="Z330" s="374" t="s">
        <v>1607</v>
      </c>
      <c r="AA330" s="375"/>
      <c r="AB330" s="375"/>
      <c r="AC330" s="375" t="s">
        <v>1609</v>
      </c>
      <c r="AD330" s="374"/>
      <c r="AE330" s="374" t="s">
        <v>1607</v>
      </c>
      <c r="AF330" s="375"/>
      <c r="AG330" s="375"/>
      <c r="AH330" s="375"/>
      <c r="AI330" s="375"/>
      <c r="AJ330" s="375"/>
      <c r="AK330" s="375"/>
      <c r="AL330" s="375"/>
      <c r="AM330" s="375"/>
      <c r="AN330" s="375"/>
      <c r="AO330" s="375"/>
      <c r="AP330" s="375"/>
      <c r="AQ330" s="375"/>
      <c r="AR330" s="375"/>
      <c r="AS330" s="375"/>
      <c r="AT330" s="375"/>
      <c r="AU330" s="375"/>
      <c r="AV330" s="376"/>
    </row>
    <row r="331" spans="1:48" ht="43.2" hidden="1">
      <c r="A331" s="137" t="s">
        <v>1610</v>
      </c>
      <c r="B331" s="36" t="s">
        <v>1611</v>
      </c>
      <c r="C331" s="36"/>
      <c r="D331" s="35" t="s">
        <v>321</v>
      </c>
      <c r="E331" s="75" t="s">
        <v>303</v>
      </c>
      <c r="F331" s="20"/>
      <c r="G331" s="20"/>
      <c r="H331" s="432">
        <v>2022</v>
      </c>
      <c r="I331" s="36" t="s">
        <v>1612</v>
      </c>
      <c r="J331" s="94"/>
      <c r="K331" s="94"/>
      <c r="L331" s="94"/>
      <c r="M331" s="94" t="s">
        <v>641</v>
      </c>
      <c r="N331" s="36" t="s">
        <v>1612</v>
      </c>
      <c r="O331" s="94"/>
      <c r="P331" s="94" t="s">
        <v>641</v>
      </c>
      <c r="Q331" s="94"/>
      <c r="R331" s="94"/>
      <c r="S331" s="36" t="s">
        <v>1613</v>
      </c>
      <c r="T331" s="94"/>
      <c r="U331" s="94" t="s">
        <v>641</v>
      </c>
      <c r="V331" s="36"/>
      <c r="W331" s="36"/>
      <c r="X331" s="36" t="s">
        <v>1614</v>
      </c>
      <c r="Y331" s="94"/>
      <c r="Z331" s="94" t="s">
        <v>641</v>
      </c>
      <c r="AA331" s="36"/>
      <c r="AB331" s="36"/>
      <c r="AC331" s="36" t="s">
        <v>1615</v>
      </c>
      <c r="AD331" s="94"/>
      <c r="AE331" s="94" t="s">
        <v>641</v>
      </c>
      <c r="AF331" s="36"/>
      <c r="AG331" s="36"/>
      <c r="AH331" s="36" t="s">
        <v>190</v>
      </c>
      <c r="AI331" s="94" t="s">
        <v>279</v>
      </c>
      <c r="AJ331" s="380" t="s">
        <v>280</v>
      </c>
      <c r="AK331" s="36"/>
      <c r="AL331" s="36"/>
      <c r="AM331" s="36" t="s">
        <v>1616</v>
      </c>
      <c r="AN331" s="36"/>
      <c r="AO331" s="94" t="s">
        <v>641</v>
      </c>
      <c r="AP331" s="36"/>
      <c r="AQ331" s="36"/>
      <c r="AR331" s="36" t="s">
        <v>1617</v>
      </c>
      <c r="AS331" s="36"/>
      <c r="AT331" s="94" t="s">
        <v>641</v>
      </c>
      <c r="AU331" s="36"/>
      <c r="AV331" s="381"/>
    </row>
    <row r="332" spans="1:48" ht="43.2" hidden="1">
      <c r="A332" s="394" t="s">
        <v>1618</v>
      </c>
      <c r="B332" s="375" t="s">
        <v>1619</v>
      </c>
      <c r="C332" s="375"/>
      <c r="D332" s="395" t="s">
        <v>528</v>
      </c>
      <c r="E332" s="395"/>
      <c r="F332" s="372"/>
      <c r="G332" s="372"/>
      <c r="H332" s="431">
        <v>2022</v>
      </c>
      <c r="I332" s="375" t="s">
        <v>1620</v>
      </c>
      <c r="J332" s="374"/>
      <c r="K332" s="374"/>
      <c r="L332" s="374"/>
      <c r="M332" s="374" t="s">
        <v>910</v>
      </c>
      <c r="N332" s="375" t="s">
        <v>1621</v>
      </c>
      <c r="O332" s="374"/>
      <c r="P332" s="374" t="s">
        <v>910</v>
      </c>
      <c r="Q332" s="374"/>
      <c r="R332" s="374"/>
      <c r="S332" s="375" t="s">
        <v>1620</v>
      </c>
      <c r="T332" s="374"/>
      <c r="U332" s="374" t="s">
        <v>910</v>
      </c>
      <c r="V332" s="375"/>
      <c r="W332" s="375"/>
      <c r="X332" s="375" t="s">
        <v>911</v>
      </c>
      <c r="Y332" s="374"/>
      <c r="Z332" s="374" t="s">
        <v>910</v>
      </c>
      <c r="AA332" s="375"/>
      <c r="AB332" s="375"/>
      <c r="AC332" s="375" t="s">
        <v>190</v>
      </c>
      <c r="AD332" s="374" t="s">
        <v>279</v>
      </c>
      <c r="AE332" s="373" t="s">
        <v>280</v>
      </c>
      <c r="AF332" s="375"/>
      <c r="AG332" s="375"/>
      <c r="AH332" s="375" t="s">
        <v>1622</v>
      </c>
      <c r="AI332" s="375"/>
      <c r="AJ332" s="374" t="s">
        <v>910</v>
      </c>
      <c r="AK332" s="375"/>
      <c r="AL332" s="375"/>
      <c r="AM332" s="375" t="s">
        <v>1623</v>
      </c>
      <c r="AN332" s="375"/>
      <c r="AO332" s="374" t="s">
        <v>910</v>
      </c>
      <c r="AP332" s="375"/>
      <c r="AQ332" s="375"/>
      <c r="AR332" s="375"/>
      <c r="AS332" s="375"/>
      <c r="AT332" s="375"/>
      <c r="AU332" s="375"/>
      <c r="AV332" s="376"/>
    </row>
    <row r="333" spans="1:48" ht="28.8" hidden="1">
      <c r="A333" s="137" t="s">
        <v>1624</v>
      </c>
      <c r="B333" s="36" t="s">
        <v>1625</v>
      </c>
      <c r="C333" s="36"/>
      <c r="D333" s="35" t="s">
        <v>277</v>
      </c>
      <c r="E333" s="35"/>
      <c r="F333" s="20"/>
      <c r="G333" s="20"/>
      <c r="H333" s="432">
        <v>2022</v>
      </c>
      <c r="I333" s="36"/>
      <c r="J333" s="94"/>
      <c r="K333" s="94"/>
      <c r="L333" s="94"/>
      <c r="M333" s="94"/>
      <c r="N333" s="36" t="s">
        <v>1626</v>
      </c>
      <c r="O333" s="94"/>
      <c r="P333" s="94" t="s">
        <v>641</v>
      </c>
      <c r="Q333" s="94"/>
      <c r="R333" s="94"/>
      <c r="S333" s="36" t="s">
        <v>1627</v>
      </c>
      <c r="T333" s="94"/>
      <c r="U333" s="94" t="s">
        <v>641</v>
      </c>
      <c r="V333" s="36"/>
      <c r="W333" s="36"/>
      <c r="X333" s="36" t="s">
        <v>190</v>
      </c>
      <c r="Y333" s="94" t="s">
        <v>279</v>
      </c>
      <c r="Z333" s="380" t="s">
        <v>280</v>
      </c>
      <c r="AA333" s="36"/>
      <c r="AB333" s="36"/>
      <c r="AC333" s="36"/>
      <c r="AD333" s="94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81"/>
    </row>
    <row r="334" spans="1:48" ht="43.2" hidden="1">
      <c r="A334" s="394" t="s">
        <v>1628</v>
      </c>
      <c r="B334" s="375" t="s">
        <v>1629</v>
      </c>
      <c r="C334" s="375"/>
      <c r="D334" s="395" t="s">
        <v>374</v>
      </c>
      <c r="E334" s="370" t="s">
        <v>303</v>
      </c>
      <c r="F334" s="372"/>
      <c r="G334" s="372"/>
      <c r="H334" s="431">
        <v>2022</v>
      </c>
      <c r="I334" s="375" t="s">
        <v>1630</v>
      </c>
      <c r="J334" s="374"/>
      <c r="K334" s="374"/>
      <c r="L334" s="374"/>
      <c r="M334" s="374" t="s">
        <v>420</v>
      </c>
      <c r="N334" s="375" t="s">
        <v>1630</v>
      </c>
      <c r="O334" s="374"/>
      <c r="P334" s="374" t="s">
        <v>420</v>
      </c>
      <c r="Q334" s="374"/>
      <c r="R334" s="374"/>
      <c r="S334" s="375" t="s">
        <v>1631</v>
      </c>
      <c r="T334" s="374"/>
      <c r="U334" s="374" t="s">
        <v>420</v>
      </c>
      <c r="V334" s="375"/>
      <c r="W334" s="375"/>
      <c r="X334" s="375" t="s">
        <v>1632</v>
      </c>
      <c r="Y334" s="374"/>
      <c r="Z334" s="374" t="s">
        <v>420</v>
      </c>
      <c r="AA334" s="375"/>
      <c r="AB334" s="375"/>
      <c r="AC334" s="375" t="s">
        <v>1633</v>
      </c>
      <c r="AD334" s="374"/>
      <c r="AE334" s="374" t="s">
        <v>420</v>
      </c>
      <c r="AF334" s="375"/>
      <c r="AG334" s="375"/>
      <c r="AH334" s="375" t="s">
        <v>190</v>
      </c>
      <c r="AI334" s="374" t="s">
        <v>279</v>
      </c>
      <c r="AJ334" s="373" t="s">
        <v>280</v>
      </c>
      <c r="AK334" s="375"/>
      <c r="AL334" s="375"/>
      <c r="AM334" s="375" t="s">
        <v>1634</v>
      </c>
      <c r="AN334" s="375"/>
      <c r="AO334" s="374" t="s">
        <v>420</v>
      </c>
      <c r="AP334" s="375"/>
      <c r="AQ334" s="375"/>
      <c r="AR334" s="375"/>
      <c r="AS334" s="375"/>
      <c r="AT334" s="375"/>
      <c r="AU334" s="375"/>
      <c r="AV334" s="376"/>
    </row>
    <row r="335" spans="1:48" ht="28.8" hidden="1">
      <c r="A335" s="137" t="s">
        <v>1635</v>
      </c>
      <c r="B335" s="36" t="s">
        <v>1636</v>
      </c>
      <c r="C335" s="36"/>
      <c r="D335" s="35" t="s">
        <v>321</v>
      </c>
      <c r="E335" s="75" t="s">
        <v>303</v>
      </c>
      <c r="F335" s="20"/>
      <c r="G335" s="20"/>
      <c r="H335" s="432">
        <v>2022</v>
      </c>
      <c r="I335" s="36" t="s">
        <v>190</v>
      </c>
      <c r="J335" s="94"/>
      <c r="K335" s="94"/>
      <c r="L335" s="94" t="s">
        <v>279</v>
      </c>
      <c r="M335" s="380" t="s">
        <v>280</v>
      </c>
      <c r="N335" s="36" t="s">
        <v>190</v>
      </c>
      <c r="O335" s="94" t="s">
        <v>279</v>
      </c>
      <c r="P335" s="380" t="s">
        <v>280</v>
      </c>
      <c r="Q335" s="94"/>
      <c r="R335" s="94"/>
      <c r="S335" s="36"/>
      <c r="T335" s="94"/>
      <c r="U335" s="36"/>
      <c r="V335" s="36"/>
      <c r="W335" s="36"/>
      <c r="X335" s="36"/>
      <c r="Y335" s="94"/>
      <c r="Z335" s="36"/>
      <c r="AA335" s="36"/>
      <c r="AB335" s="36"/>
      <c r="AC335" s="36"/>
      <c r="AD335" s="94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81"/>
    </row>
    <row r="336" spans="1:48" ht="28.8" hidden="1">
      <c r="A336" s="394" t="s">
        <v>1637</v>
      </c>
      <c r="B336" s="375" t="s">
        <v>1638</v>
      </c>
      <c r="C336" s="375"/>
      <c r="D336" s="395" t="s">
        <v>306</v>
      </c>
      <c r="E336" s="370" t="s">
        <v>303</v>
      </c>
      <c r="F336" s="372"/>
      <c r="G336" s="372"/>
      <c r="H336" s="431">
        <v>2022</v>
      </c>
      <c r="I336" s="375" t="s">
        <v>1639</v>
      </c>
      <c r="J336" s="374"/>
      <c r="K336" s="374"/>
      <c r="L336" s="374"/>
      <c r="M336" s="374" t="s">
        <v>641</v>
      </c>
      <c r="N336" s="375" t="s">
        <v>1639</v>
      </c>
      <c r="O336" s="374"/>
      <c r="P336" s="374" t="s">
        <v>641</v>
      </c>
      <c r="Q336" s="374"/>
      <c r="R336" s="374"/>
      <c r="S336" s="375" t="s">
        <v>1640</v>
      </c>
      <c r="T336" s="374"/>
      <c r="U336" s="374" t="s">
        <v>641</v>
      </c>
      <c r="V336" s="375"/>
      <c r="W336" s="375"/>
      <c r="X336" s="375" t="s">
        <v>1641</v>
      </c>
      <c r="Y336" s="374"/>
      <c r="Z336" s="374" t="s">
        <v>641</v>
      </c>
      <c r="AA336" s="375"/>
      <c r="AB336" s="375"/>
      <c r="AC336" s="375" t="s">
        <v>1642</v>
      </c>
      <c r="AD336" s="374"/>
      <c r="AE336" s="374" t="s">
        <v>641</v>
      </c>
      <c r="AF336" s="375"/>
      <c r="AG336" s="375"/>
      <c r="AH336" s="375" t="s">
        <v>1643</v>
      </c>
      <c r="AI336" s="375"/>
      <c r="AJ336" s="374" t="s">
        <v>641</v>
      </c>
      <c r="AK336" s="375"/>
      <c r="AL336" s="375"/>
      <c r="AM336" s="375" t="s">
        <v>190</v>
      </c>
      <c r="AN336" s="374" t="s">
        <v>279</v>
      </c>
      <c r="AO336" s="373" t="s">
        <v>280</v>
      </c>
      <c r="AP336" s="375"/>
      <c r="AQ336" s="375"/>
      <c r="AR336" s="375"/>
      <c r="AS336" s="375"/>
      <c r="AT336" s="375"/>
      <c r="AU336" s="375"/>
      <c r="AV336" s="376"/>
    </row>
    <row r="337" spans="1:48" ht="28.8" hidden="1">
      <c r="A337" s="137" t="s">
        <v>1644</v>
      </c>
      <c r="B337" s="36" t="s">
        <v>1645</v>
      </c>
      <c r="C337" s="36"/>
      <c r="D337" s="35" t="s">
        <v>277</v>
      </c>
      <c r="E337" s="35"/>
      <c r="F337" s="20"/>
      <c r="G337" s="20"/>
      <c r="H337" s="432">
        <v>2022</v>
      </c>
      <c r="I337" s="36"/>
      <c r="J337" s="94"/>
      <c r="K337" s="94"/>
      <c r="L337" s="94"/>
      <c r="M337" s="94"/>
      <c r="N337" s="36" t="s">
        <v>1646</v>
      </c>
      <c r="O337" s="94"/>
      <c r="P337" s="94" t="s">
        <v>641</v>
      </c>
      <c r="Q337" s="94"/>
      <c r="R337" s="94"/>
      <c r="S337" s="36" t="s">
        <v>1647</v>
      </c>
      <c r="T337" s="94"/>
      <c r="U337" s="94" t="s">
        <v>641</v>
      </c>
      <c r="V337" s="36"/>
      <c r="W337" s="36"/>
      <c r="X337" s="36" t="s">
        <v>1648</v>
      </c>
      <c r="Y337" s="94"/>
      <c r="Z337" s="94" t="s">
        <v>641</v>
      </c>
      <c r="AA337" s="36"/>
      <c r="AB337" s="36"/>
      <c r="AC337" s="36" t="s">
        <v>190</v>
      </c>
      <c r="AD337" s="94" t="s">
        <v>279</v>
      </c>
      <c r="AE337" s="380" t="s">
        <v>280</v>
      </c>
      <c r="AF337" s="36"/>
      <c r="AG337" s="36"/>
      <c r="AH337" s="36" t="s">
        <v>1643</v>
      </c>
      <c r="AI337" s="36"/>
      <c r="AJ337" s="94" t="s">
        <v>641</v>
      </c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81"/>
    </row>
    <row r="338" spans="1:48" ht="28.8" hidden="1">
      <c r="A338" s="394" t="s">
        <v>1649</v>
      </c>
      <c r="B338" s="375" t="s">
        <v>1650</v>
      </c>
      <c r="C338" s="375"/>
      <c r="D338" s="395" t="s">
        <v>277</v>
      </c>
      <c r="E338" s="395"/>
      <c r="F338" s="372"/>
      <c r="G338" s="372"/>
      <c r="H338" s="431">
        <v>2022</v>
      </c>
      <c r="I338" s="375"/>
      <c r="J338" s="374"/>
      <c r="K338" s="374"/>
      <c r="L338" s="374"/>
      <c r="M338" s="374"/>
      <c r="N338" s="375" t="s">
        <v>1651</v>
      </c>
      <c r="O338" s="374"/>
      <c r="P338" s="374" t="s">
        <v>641</v>
      </c>
      <c r="Q338" s="374"/>
      <c r="R338" s="374"/>
      <c r="S338" s="375" t="s">
        <v>1646</v>
      </c>
      <c r="T338" s="374"/>
      <c r="U338" s="374" t="s">
        <v>641</v>
      </c>
      <c r="V338" s="375"/>
      <c r="W338" s="375"/>
      <c r="X338" s="375" t="s">
        <v>1647</v>
      </c>
      <c r="Y338" s="374"/>
      <c r="Z338" s="374" t="s">
        <v>641</v>
      </c>
      <c r="AA338" s="375"/>
      <c r="AB338" s="375"/>
      <c r="AC338" s="375" t="s">
        <v>1652</v>
      </c>
      <c r="AD338" s="374"/>
      <c r="AE338" s="374" t="s">
        <v>641</v>
      </c>
      <c r="AF338" s="375"/>
      <c r="AG338" s="375"/>
      <c r="AH338" s="375" t="s">
        <v>1643</v>
      </c>
      <c r="AI338" s="375"/>
      <c r="AJ338" s="374" t="s">
        <v>641</v>
      </c>
      <c r="AK338" s="375"/>
      <c r="AL338" s="375"/>
      <c r="AM338" s="375" t="s">
        <v>190</v>
      </c>
      <c r="AN338" s="374" t="s">
        <v>279</v>
      </c>
      <c r="AO338" s="373" t="s">
        <v>280</v>
      </c>
      <c r="AP338" s="375"/>
      <c r="AQ338" s="375"/>
      <c r="AR338" s="375"/>
      <c r="AS338" s="375"/>
      <c r="AT338" s="375"/>
      <c r="AU338" s="375"/>
      <c r="AV338" s="376"/>
    </row>
    <row r="339" spans="1:48" ht="43.2" hidden="1">
      <c r="A339" s="137" t="s">
        <v>1653</v>
      </c>
      <c r="B339" s="36" t="s">
        <v>1654</v>
      </c>
      <c r="C339" s="36"/>
      <c r="D339" s="35" t="s">
        <v>306</v>
      </c>
      <c r="E339" s="75" t="s">
        <v>303</v>
      </c>
      <c r="F339" s="20"/>
      <c r="G339" s="20"/>
      <c r="H339" s="432">
        <v>2022</v>
      </c>
      <c r="I339" s="36" t="s">
        <v>1651</v>
      </c>
      <c r="J339" s="94"/>
      <c r="K339" s="94"/>
      <c r="L339" s="94"/>
      <c r="M339" s="94" t="s">
        <v>641</v>
      </c>
      <c r="N339" s="36" t="s">
        <v>1651</v>
      </c>
      <c r="O339" s="94"/>
      <c r="P339" s="94" t="s">
        <v>641</v>
      </c>
      <c r="Q339" s="94"/>
      <c r="R339" s="94"/>
      <c r="S339" s="36" t="s">
        <v>1652</v>
      </c>
      <c r="T339" s="94"/>
      <c r="U339" s="94" t="s">
        <v>641</v>
      </c>
      <c r="V339" s="36"/>
      <c r="W339" s="36"/>
      <c r="X339" s="36" t="s">
        <v>190</v>
      </c>
      <c r="Y339" s="94" t="s">
        <v>279</v>
      </c>
      <c r="Z339" s="380" t="s">
        <v>280</v>
      </c>
      <c r="AA339" s="36"/>
      <c r="AB339" s="36"/>
      <c r="AC339" s="36" t="s">
        <v>1643</v>
      </c>
      <c r="AD339" s="36"/>
      <c r="AE339" s="94" t="s">
        <v>641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81"/>
    </row>
    <row r="340" spans="1:48" ht="52.8" hidden="1">
      <c r="A340" s="368" t="s">
        <v>1655</v>
      </c>
      <c r="B340" s="369" t="s">
        <v>1656</v>
      </c>
      <c r="C340" s="369"/>
      <c r="D340" s="370" t="s">
        <v>277</v>
      </c>
      <c r="E340" s="370" t="s">
        <v>1122</v>
      </c>
      <c r="F340" s="371">
        <v>2023</v>
      </c>
      <c r="G340" s="372">
        <v>2022</v>
      </c>
      <c r="H340" s="431">
        <v>2023</v>
      </c>
      <c r="I340" s="369" t="s">
        <v>6</v>
      </c>
      <c r="J340" s="373">
        <v>6681051</v>
      </c>
      <c r="K340" s="373" t="s">
        <v>1657</v>
      </c>
      <c r="L340" s="373" t="s">
        <v>351</v>
      </c>
      <c r="M340" s="373" t="s">
        <v>280</v>
      </c>
      <c r="N340" s="369" t="s">
        <v>17</v>
      </c>
      <c r="O340" s="373" t="s">
        <v>353</v>
      </c>
      <c r="P340" s="373" t="s">
        <v>280</v>
      </c>
      <c r="Q340" s="374">
        <v>6680648</v>
      </c>
      <c r="R340" s="374" t="s">
        <v>1036</v>
      </c>
      <c r="S340" s="369" t="s">
        <v>6</v>
      </c>
      <c r="T340" s="373" t="s">
        <v>351</v>
      </c>
      <c r="U340" s="373" t="s">
        <v>280</v>
      </c>
      <c r="V340" s="369">
        <v>6681051</v>
      </c>
      <c r="W340" s="369" t="s">
        <v>1657</v>
      </c>
      <c r="X340" s="369" t="s">
        <v>1658</v>
      </c>
      <c r="Y340" s="374" t="s">
        <v>353</v>
      </c>
      <c r="Z340" s="373" t="s">
        <v>280</v>
      </c>
      <c r="AA340" s="375" t="s">
        <v>942</v>
      </c>
      <c r="AB340" s="375">
        <v>1204200124</v>
      </c>
      <c r="AC340" s="375" t="s">
        <v>580</v>
      </c>
      <c r="AD340" s="374" t="s">
        <v>351</v>
      </c>
      <c r="AE340" s="373" t="s">
        <v>280</v>
      </c>
      <c r="AF340" s="375" t="s">
        <v>942</v>
      </c>
      <c r="AG340" s="369">
        <v>1203190036</v>
      </c>
      <c r="AH340" s="375" t="s">
        <v>1659</v>
      </c>
      <c r="AI340" s="374" t="s">
        <v>351</v>
      </c>
      <c r="AJ340" s="373" t="s">
        <v>280</v>
      </c>
      <c r="AK340" s="375" t="s">
        <v>942</v>
      </c>
      <c r="AL340" s="375">
        <v>1203190012</v>
      </c>
      <c r="AM340" s="375"/>
      <c r="AN340" s="375"/>
      <c r="AO340" s="375"/>
      <c r="AP340" s="375"/>
      <c r="AQ340" s="375"/>
      <c r="AR340" s="375"/>
      <c r="AS340" s="375"/>
      <c r="AT340" s="375"/>
      <c r="AU340" s="375"/>
      <c r="AV340" s="376"/>
    </row>
    <row r="341" spans="1:48" ht="26.4" hidden="1">
      <c r="A341" s="377" t="s">
        <v>1660</v>
      </c>
      <c r="B341" s="378" t="s">
        <v>1661</v>
      </c>
      <c r="C341" s="378"/>
      <c r="D341" s="75" t="s">
        <v>306</v>
      </c>
      <c r="E341" s="75" t="s">
        <v>303</v>
      </c>
      <c r="F341" s="379">
        <v>2022</v>
      </c>
      <c r="G341" s="20">
        <v>2023</v>
      </c>
      <c r="H341" s="432">
        <v>2023</v>
      </c>
      <c r="I341" s="378" t="s">
        <v>93</v>
      </c>
      <c r="J341" s="380">
        <v>6680726</v>
      </c>
      <c r="K341" s="380" t="s">
        <v>943</v>
      </c>
      <c r="L341" s="380" t="s">
        <v>449</v>
      </c>
      <c r="M341" s="380" t="s">
        <v>280</v>
      </c>
      <c r="N341" s="378" t="s">
        <v>93</v>
      </c>
      <c r="O341" s="380" t="s">
        <v>449</v>
      </c>
      <c r="P341" s="380" t="s">
        <v>280</v>
      </c>
      <c r="Q341" s="380">
        <v>6680726</v>
      </c>
      <c r="R341" s="380" t="s">
        <v>943</v>
      </c>
      <c r="S341" s="378" t="s">
        <v>6</v>
      </c>
      <c r="T341" s="380" t="s">
        <v>351</v>
      </c>
      <c r="U341" s="380" t="s">
        <v>280</v>
      </c>
      <c r="V341" s="378">
        <v>6681051</v>
      </c>
      <c r="W341" s="378" t="s">
        <v>1657</v>
      </c>
      <c r="X341" s="378" t="s">
        <v>1662</v>
      </c>
      <c r="Y341" s="94" t="s">
        <v>351</v>
      </c>
      <c r="Z341" s="380" t="s">
        <v>280</v>
      </c>
      <c r="AA341" s="36" t="s">
        <v>942</v>
      </c>
      <c r="AB341" s="36">
        <v>1202202044</v>
      </c>
      <c r="AC341" s="36" t="s">
        <v>1663</v>
      </c>
      <c r="AD341" s="94" t="s">
        <v>351</v>
      </c>
      <c r="AE341" s="380" t="s">
        <v>280</v>
      </c>
      <c r="AF341" s="36" t="s">
        <v>942</v>
      </c>
      <c r="AG341" s="36">
        <v>1202190031</v>
      </c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81"/>
    </row>
    <row r="342" spans="1:48" ht="39.6" hidden="1">
      <c r="A342" s="368" t="s">
        <v>1664</v>
      </c>
      <c r="B342" s="369" t="s">
        <v>1665</v>
      </c>
      <c r="C342" s="369"/>
      <c r="D342" s="370" t="s">
        <v>277</v>
      </c>
      <c r="E342" s="370" t="s">
        <v>1666</v>
      </c>
      <c r="F342" s="371">
        <v>2023</v>
      </c>
      <c r="G342" s="372">
        <v>2023</v>
      </c>
      <c r="H342" s="431">
        <v>2023</v>
      </c>
      <c r="I342" s="369" t="s">
        <v>6</v>
      </c>
      <c r="J342" s="373">
        <v>6681051</v>
      </c>
      <c r="K342" s="373" t="s">
        <v>1657</v>
      </c>
      <c r="L342" s="373" t="s">
        <v>351</v>
      </c>
      <c r="M342" s="373" t="s">
        <v>280</v>
      </c>
      <c r="N342" s="369" t="s">
        <v>6</v>
      </c>
      <c r="O342" s="373" t="s">
        <v>351</v>
      </c>
      <c r="P342" s="373" t="s">
        <v>280</v>
      </c>
      <c r="Q342" s="373">
        <v>6681051</v>
      </c>
      <c r="R342" s="373" t="s">
        <v>1657</v>
      </c>
      <c r="S342" s="375" t="s">
        <v>1667</v>
      </c>
      <c r="T342" s="374"/>
      <c r="U342" s="373" t="s">
        <v>280</v>
      </c>
      <c r="V342" s="375"/>
      <c r="W342" s="375"/>
      <c r="X342" s="369" t="s">
        <v>20</v>
      </c>
      <c r="Y342" s="374" t="s">
        <v>449</v>
      </c>
      <c r="Z342" s="373" t="s">
        <v>280</v>
      </c>
      <c r="AA342" s="375">
        <v>6682174</v>
      </c>
      <c r="AB342" s="375" t="s">
        <v>944</v>
      </c>
      <c r="AC342" s="375" t="s">
        <v>94</v>
      </c>
      <c r="AD342" s="374" t="s">
        <v>279</v>
      </c>
      <c r="AE342" s="373" t="s">
        <v>280</v>
      </c>
      <c r="AF342" s="375">
        <v>6663582</v>
      </c>
      <c r="AG342" s="375" t="s">
        <v>1668</v>
      </c>
      <c r="AH342" s="375"/>
      <c r="AI342" s="375"/>
      <c r="AJ342" s="375"/>
      <c r="AK342" s="375"/>
      <c r="AL342" s="375"/>
      <c r="AM342" s="375"/>
      <c r="AN342" s="375"/>
      <c r="AO342" s="375"/>
      <c r="AP342" s="375"/>
      <c r="AQ342" s="375"/>
      <c r="AR342" s="375"/>
      <c r="AS342" s="375"/>
      <c r="AT342" s="375"/>
      <c r="AU342" s="375"/>
      <c r="AV342" s="376"/>
    </row>
    <row r="343" spans="1:48" ht="26.4" hidden="1">
      <c r="A343" s="377" t="s">
        <v>1531</v>
      </c>
      <c r="B343" s="378" t="s">
        <v>1669</v>
      </c>
      <c r="C343" s="378"/>
      <c r="D343" s="75" t="s">
        <v>416</v>
      </c>
      <c r="E343" s="75" t="s">
        <v>1122</v>
      </c>
      <c r="F343" s="379">
        <v>2022</v>
      </c>
      <c r="G343" s="20">
        <v>2022</v>
      </c>
      <c r="H343" s="432">
        <v>2023</v>
      </c>
      <c r="I343" s="378" t="s">
        <v>826</v>
      </c>
      <c r="J343" s="380">
        <v>1778</v>
      </c>
      <c r="K343" s="380" t="s">
        <v>1670</v>
      </c>
      <c r="L343" s="380" t="s">
        <v>351</v>
      </c>
      <c r="M343" s="380" t="s">
        <v>1671</v>
      </c>
      <c r="N343" s="378" t="s">
        <v>56</v>
      </c>
      <c r="O343" s="380" t="s">
        <v>351</v>
      </c>
      <c r="P343" s="380" t="s">
        <v>280</v>
      </c>
      <c r="Q343" s="380">
        <v>6795859</v>
      </c>
      <c r="R343" s="380" t="s">
        <v>1672</v>
      </c>
      <c r="S343" s="378" t="s">
        <v>826</v>
      </c>
      <c r="T343" s="380" t="s">
        <v>351</v>
      </c>
      <c r="U343" s="380" t="s">
        <v>1671</v>
      </c>
      <c r="V343" s="378">
        <v>1778</v>
      </c>
      <c r="W343" s="378" t="s">
        <v>1670</v>
      </c>
      <c r="X343" s="378" t="s">
        <v>1534</v>
      </c>
      <c r="Y343" s="94" t="s">
        <v>351</v>
      </c>
      <c r="Z343" s="380" t="s">
        <v>1671</v>
      </c>
      <c r="AA343" s="36">
        <v>1776</v>
      </c>
      <c r="AB343" s="36" t="s">
        <v>1673</v>
      </c>
      <c r="AC343" s="36" t="s">
        <v>1535</v>
      </c>
      <c r="AD343" s="94" t="s">
        <v>942</v>
      </c>
      <c r="AE343" s="36" t="s">
        <v>1674</v>
      </c>
      <c r="AF343" s="36" t="s">
        <v>942</v>
      </c>
      <c r="AG343" s="36" t="s">
        <v>942</v>
      </c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81"/>
    </row>
    <row r="344" spans="1:48" ht="39.6" hidden="1">
      <c r="A344" s="368" t="s">
        <v>1056</v>
      </c>
      <c r="B344" s="369" t="s">
        <v>1675</v>
      </c>
      <c r="C344" s="369"/>
      <c r="D344" s="370" t="s">
        <v>277</v>
      </c>
      <c r="E344" s="370" t="s">
        <v>1666</v>
      </c>
      <c r="F344" s="371">
        <v>2022</v>
      </c>
      <c r="G344" s="372">
        <v>2022</v>
      </c>
      <c r="H344" s="431">
        <v>2023</v>
      </c>
      <c r="I344" s="369" t="s">
        <v>67</v>
      </c>
      <c r="J344" s="373">
        <v>6099359</v>
      </c>
      <c r="K344" s="373" t="s">
        <v>977</v>
      </c>
      <c r="L344" s="373" t="s">
        <v>353</v>
      </c>
      <c r="M344" s="373" t="s">
        <v>280</v>
      </c>
      <c r="N344" s="369" t="s">
        <v>67</v>
      </c>
      <c r="O344" s="373" t="s">
        <v>353</v>
      </c>
      <c r="P344" s="373" t="s">
        <v>280</v>
      </c>
      <c r="Q344" s="373">
        <v>6099359</v>
      </c>
      <c r="R344" s="373" t="s">
        <v>977</v>
      </c>
      <c r="S344" s="369" t="s">
        <v>180</v>
      </c>
      <c r="T344" s="373" t="s">
        <v>353</v>
      </c>
      <c r="U344" s="373" t="s">
        <v>280</v>
      </c>
      <c r="V344" s="369">
        <v>6787771</v>
      </c>
      <c r="W344" s="369" t="s">
        <v>1676</v>
      </c>
      <c r="X344" s="369" t="s">
        <v>179</v>
      </c>
      <c r="Y344" s="373" t="s">
        <v>353</v>
      </c>
      <c r="Z344" s="373" t="s">
        <v>280</v>
      </c>
      <c r="AA344" s="375">
        <v>6789028</v>
      </c>
      <c r="AB344" s="375">
        <v>719109401</v>
      </c>
      <c r="AC344" s="375"/>
      <c r="AD344" s="374"/>
      <c r="AE344" s="375"/>
      <c r="AF344" s="375"/>
      <c r="AG344" s="375"/>
      <c r="AH344" s="375"/>
      <c r="AI344" s="375"/>
      <c r="AJ344" s="375"/>
      <c r="AK344" s="375"/>
      <c r="AL344" s="375"/>
      <c r="AM344" s="375"/>
      <c r="AN344" s="375"/>
      <c r="AO344" s="375"/>
      <c r="AP344" s="375"/>
      <c r="AQ344" s="375"/>
      <c r="AR344" s="375"/>
      <c r="AS344" s="375"/>
      <c r="AT344" s="375"/>
      <c r="AU344" s="375"/>
      <c r="AV344" s="376"/>
    </row>
    <row r="345" spans="1:48" ht="39.6" hidden="1">
      <c r="A345" s="377" t="s">
        <v>1677</v>
      </c>
      <c r="B345" s="378" t="s">
        <v>940</v>
      </c>
      <c r="C345" s="378"/>
      <c r="D345" s="75" t="s">
        <v>277</v>
      </c>
      <c r="E345" s="75" t="s">
        <v>1122</v>
      </c>
      <c r="F345" s="379">
        <v>2022</v>
      </c>
      <c r="G345" s="20">
        <v>2022</v>
      </c>
      <c r="H345" s="432">
        <v>2023</v>
      </c>
      <c r="I345" s="378" t="s">
        <v>1678</v>
      </c>
      <c r="J345" s="380">
        <v>6835639</v>
      </c>
      <c r="K345" s="380" t="s">
        <v>1679</v>
      </c>
      <c r="L345" s="380" t="s">
        <v>809</v>
      </c>
      <c r="M345" s="380" t="s">
        <v>1680</v>
      </c>
      <c r="N345" s="378" t="s">
        <v>180</v>
      </c>
      <c r="O345" s="380" t="s">
        <v>353</v>
      </c>
      <c r="P345" s="380" t="s">
        <v>280</v>
      </c>
      <c r="Q345" s="378">
        <v>6787771</v>
      </c>
      <c r="R345" s="378" t="s">
        <v>1676</v>
      </c>
      <c r="S345" s="378"/>
      <c r="T345" s="380"/>
      <c r="U345" s="380"/>
      <c r="V345" s="378"/>
      <c r="W345" s="378"/>
      <c r="X345" s="378"/>
      <c r="Y345" s="94"/>
      <c r="Z345" s="36"/>
      <c r="AA345" s="36"/>
      <c r="AB345" s="36"/>
      <c r="AC345" s="36"/>
      <c r="AD345" s="94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81"/>
    </row>
    <row r="346" spans="1:48" ht="48" hidden="1" customHeight="1">
      <c r="A346" s="368" t="s">
        <v>1681</v>
      </c>
      <c r="B346" s="369" t="s">
        <v>1682</v>
      </c>
      <c r="C346" s="369"/>
      <c r="D346" s="370" t="s">
        <v>321</v>
      </c>
      <c r="E346" s="370" t="s">
        <v>1683</v>
      </c>
      <c r="F346" s="371">
        <v>2022</v>
      </c>
      <c r="G346" s="372">
        <v>2022</v>
      </c>
      <c r="H346" s="431">
        <v>2023</v>
      </c>
      <c r="I346" s="369"/>
      <c r="J346" s="373"/>
      <c r="K346" s="373"/>
      <c r="L346" s="373"/>
      <c r="M346" s="373"/>
      <c r="N346" s="369" t="s">
        <v>47</v>
      </c>
      <c r="O346" s="373" t="s">
        <v>353</v>
      </c>
      <c r="P346" s="373" t="s">
        <v>280</v>
      </c>
      <c r="Q346" s="373">
        <v>6680634</v>
      </c>
      <c r="R346" s="373" t="s">
        <v>989</v>
      </c>
      <c r="S346" s="369" t="s">
        <v>57</v>
      </c>
      <c r="T346" s="373" t="s">
        <v>353</v>
      </c>
      <c r="U346" s="373" t="s">
        <v>280</v>
      </c>
      <c r="V346" s="369">
        <v>6744406</v>
      </c>
      <c r="W346" s="369" t="s">
        <v>985</v>
      </c>
      <c r="X346" s="369" t="s">
        <v>25</v>
      </c>
      <c r="Y346" s="373" t="s">
        <v>353</v>
      </c>
      <c r="Z346" s="373" t="s">
        <v>280</v>
      </c>
      <c r="AA346" s="369">
        <v>6764236</v>
      </c>
      <c r="AB346" s="369" t="s">
        <v>1684</v>
      </c>
      <c r="AC346" s="375" t="s">
        <v>1376</v>
      </c>
      <c r="AD346" s="373" t="s">
        <v>353</v>
      </c>
      <c r="AE346" s="373" t="s">
        <v>280</v>
      </c>
      <c r="AF346" s="375" t="s">
        <v>942</v>
      </c>
      <c r="AG346" s="375">
        <v>1204200004</v>
      </c>
      <c r="AH346" s="375" t="s">
        <v>1685</v>
      </c>
      <c r="AI346" s="373" t="s">
        <v>353</v>
      </c>
      <c r="AJ346" s="373" t="s">
        <v>280</v>
      </c>
      <c r="AK346" s="375" t="s">
        <v>942</v>
      </c>
      <c r="AL346" s="375">
        <v>1204200108</v>
      </c>
      <c r="AM346" s="375" t="s">
        <v>1686</v>
      </c>
      <c r="AN346" s="373" t="s">
        <v>353</v>
      </c>
      <c r="AO346" s="373" t="s">
        <v>280</v>
      </c>
      <c r="AP346" s="375" t="s">
        <v>942</v>
      </c>
      <c r="AQ346" s="375">
        <v>1204200166</v>
      </c>
      <c r="AR346" s="375"/>
      <c r="AS346" s="375"/>
      <c r="AT346" s="375"/>
      <c r="AU346" s="375"/>
      <c r="AV346" s="376"/>
    </row>
    <row r="347" spans="1:48" ht="26.4" hidden="1">
      <c r="A347" s="377" t="s">
        <v>1687</v>
      </c>
      <c r="B347" s="378" t="s">
        <v>1682</v>
      </c>
      <c r="C347" s="378"/>
      <c r="D347" s="75" t="s">
        <v>321</v>
      </c>
      <c r="E347" s="75" t="s">
        <v>303</v>
      </c>
      <c r="F347" s="379">
        <v>2022</v>
      </c>
      <c r="G347" s="20">
        <v>2022</v>
      </c>
      <c r="H347" s="432">
        <v>2023</v>
      </c>
      <c r="I347" s="378" t="s">
        <v>25</v>
      </c>
      <c r="J347" s="380">
        <v>6764236</v>
      </c>
      <c r="K347" s="380" t="s">
        <v>1684</v>
      </c>
      <c r="L347" s="380" t="s">
        <v>353</v>
      </c>
      <c r="M347" s="380" t="s">
        <v>280</v>
      </c>
      <c r="N347" s="378" t="s">
        <v>25</v>
      </c>
      <c r="O347" s="380" t="s">
        <v>353</v>
      </c>
      <c r="P347" s="380" t="s">
        <v>280</v>
      </c>
      <c r="Q347" s="380">
        <v>6764236</v>
      </c>
      <c r="R347" s="380" t="s">
        <v>1684</v>
      </c>
      <c r="S347" s="378" t="s">
        <v>57</v>
      </c>
      <c r="T347" s="380" t="s">
        <v>353</v>
      </c>
      <c r="U347" s="380" t="s">
        <v>280</v>
      </c>
      <c r="V347" s="378">
        <v>6744406</v>
      </c>
      <c r="W347" s="378" t="s">
        <v>985</v>
      </c>
      <c r="X347" s="378" t="s">
        <v>47</v>
      </c>
      <c r="Y347" s="380" t="s">
        <v>353</v>
      </c>
      <c r="Z347" s="380" t="s">
        <v>280</v>
      </c>
      <c r="AA347" s="378">
        <v>6680634</v>
      </c>
      <c r="AB347" s="378" t="s">
        <v>989</v>
      </c>
      <c r="AC347" s="378" t="s">
        <v>1688</v>
      </c>
      <c r="AD347" s="380" t="s">
        <v>353</v>
      </c>
      <c r="AE347" s="380" t="s">
        <v>280</v>
      </c>
      <c r="AF347" s="36" t="s">
        <v>942</v>
      </c>
      <c r="AG347" s="36">
        <v>1204190068</v>
      </c>
      <c r="AH347" s="36" t="s">
        <v>1689</v>
      </c>
      <c r="AI347" s="380" t="s">
        <v>353</v>
      </c>
      <c r="AJ347" s="380" t="s">
        <v>280</v>
      </c>
      <c r="AK347" s="36" t="s">
        <v>942</v>
      </c>
      <c r="AL347" s="36">
        <v>1204199061</v>
      </c>
      <c r="AM347" s="36"/>
      <c r="AN347" s="36"/>
      <c r="AO347" s="36"/>
      <c r="AP347" s="36"/>
      <c r="AQ347" s="36"/>
      <c r="AR347" s="36"/>
      <c r="AS347" s="36"/>
      <c r="AT347" s="36"/>
      <c r="AU347" s="36"/>
      <c r="AV347" s="381"/>
    </row>
    <row r="348" spans="1:48" ht="39.6" hidden="1">
      <c r="A348" s="368" t="s">
        <v>1690</v>
      </c>
      <c r="B348" s="369" t="s">
        <v>1691</v>
      </c>
      <c r="C348" s="369"/>
      <c r="D348" s="370" t="s">
        <v>302</v>
      </c>
      <c r="E348" s="370" t="s">
        <v>1692</v>
      </c>
      <c r="F348" s="371">
        <v>2023</v>
      </c>
      <c r="G348" s="372">
        <v>2023</v>
      </c>
      <c r="H348" s="431">
        <v>2023</v>
      </c>
      <c r="I348" s="369" t="s">
        <v>29</v>
      </c>
      <c r="J348" s="373">
        <v>6680687</v>
      </c>
      <c r="K348" s="373" t="s">
        <v>1693</v>
      </c>
      <c r="L348" s="373" t="s">
        <v>351</v>
      </c>
      <c r="M348" s="373" t="s">
        <v>280</v>
      </c>
      <c r="N348" s="369" t="s">
        <v>26</v>
      </c>
      <c r="O348" s="373" t="s">
        <v>162</v>
      </c>
      <c r="P348" s="373" t="s">
        <v>280</v>
      </c>
      <c r="Q348" s="369">
        <v>259781</v>
      </c>
      <c r="R348" s="369" t="s">
        <v>982</v>
      </c>
      <c r="S348" s="369" t="s">
        <v>165</v>
      </c>
      <c r="T348" s="374" t="s">
        <v>162</v>
      </c>
      <c r="U348" s="373" t="s">
        <v>280</v>
      </c>
      <c r="V348" s="375">
        <v>6680698</v>
      </c>
      <c r="W348" s="375" t="s">
        <v>1002</v>
      </c>
      <c r="X348" s="375"/>
      <c r="Y348" s="374"/>
      <c r="Z348" s="374"/>
      <c r="AA348" s="375"/>
      <c r="AB348" s="375"/>
      <c r="AC348" s="375"/>
      <c r="AD348" s="374"/>
      <c r="AE348" s="375"/>
      <c r="AF348" s="375"/>
      <c r="AG348" s="375"/>
      <c r="AH348" s="375"/>
      <c r="AI348" s="375"/>
      <c r="AJ348" s="375"/>
      <c r="AK348" s="375"/>
      <c r="AL348" s="375"/>
      <c r="AM348" s="375"/>
      <c r="AN348" s="375"/>
      <c r="AO348" s="375"/>
      <c r="AP348" s="375"/>
      <c r="AQ348" s="375"/>
      <c r="AR348" s="375"/>
      <c r="AS348" s="375"/>
      <c r="AT348" s="375"/>
      <c r="AU348" s="375"/>
      <c r="AV348" s="376"/>
    </row>
    <row r="349" spans="1:48" ht="39.6" hidden="1">
      <c r="A349" s="377" t="s">
        <v>1694</v>
      </c>
      <c r="B349" s="378" t="s">
        <v>1695</v>
      </c>
      <c r="C349" s="378"/>
      <c r="D349" s="75" t="s">
        <v>416</v>
      </c>
      <c r="E349" s="75" t="s">
        <v>1122</v>
      </c>
      <c r="F349" s="379">
        <v>2021</v>
      </c>
      <c r="G349" s="20">
        <v>2022</v>
      </c>
      <c r="H349" s="432">
        <v>2023</v>
      </c>
      <c r="I349" s="378" t="s">
        <v>965</v>
      </c>
      <c r="J349" s="380" t="s">
        <v>942</v>
      </c>
      <c r="K349" s="380" t="s">
        <v>942</v>
      </c>
      <c r="L349" s="380" t="s">
        <v>942</v>
      </c>
      <c r="M349" s="380" t="s">
        <v>1696</v>
      </c>
      <c r="N349" s="378" t="s">
        <v>79</v>
      </c>
      <c r="O349" s="380" t="s">
        <v>809</v>
      </c>
      <c r="P349" s="380" t="s">
        <v>280</v>
      </c>
      <c r="Q349" s="380">
        <v>6793410</v>
      </c>
      <c r="R349" s="380" t="s">
        <v>947</v>
      </c>
      <c r="S349" s="378" t="s">
        <v>967</v>
      </c>
      <c r="T349" s="380" t="s">
        <v>951</v>
      </c>
      <c r="U349" s="380" t="s">
        <v>420</v>
      </c>
      <c r="V349" s="378">
        <v>5986317</v>
      </c>
      <c r="W349" s="378" t="s">
        <v>968</v>
      </c>
      <c r="X349" s="378" t="s">
        <v>808</v>
      </c>
      <c r="Y349" s="94" t="s">
        <v>951</v>
      </c>
      <c r="Z349" s="380" t="s">
        <v>420</v>
      </c>
      <c r="AA349" s="36">
        <v>5978220</v>
      </c>
      <c r="AB349" s="36" t="s">
        <v>952</v>
      </c>
      <c r="AC349" s="36" t="s">
        <v>965</v>
      </c>
      <c r="AD349" s="94" t="s">
        <v>942</v>
      </c>
      <c r="AE349" s="380" t="s">
        <v>420</v>
      </c>
      <c r="AF349" s="36" t="s">
        <v>942</v>
      </c>
      <c r="AG349" s="36" t="s">
        <v>942</v>
      </c>
      <c r="AH349" s="36" t="s">
        <v>807</v>
      </c>
      <c r="AI349" s="36" t="s">
        <v>951</v>
      </c>
      <c r="AJ349" s="380" t="s">
        <v>420</v>
      </c>
      <c r="AK349" s="36">
        <v>5978399</v>
      </c>
      <c r="AL349" s="36" t="s">
        <v>964</v>
      </c>
      <c r="AM349" s="36"/>
      <c r="AN349" s="36"/>
      <c r="AO349" s="36"/>
      <c r="AP349" s="36"/>
      <c r="AQ349" s="36"/>
      <c r="AR349" s="36"/>
      <c r="AS349" s="36"/>
      <c r="AT349" s="36"/>
      <c r="AU349" s="36"/>
      <c r="AV349" s="381"/>
    </row>
    <row r="350" spans="1:48" ht="39.6" hidden="1">
      <c r="A350" s="368" t="s">
        <v>1697</v>
      </c>
      <c r="B350" s="369" t="s">
        <v>1698</v>
      </c>
      <c r="C350" s="369"/>
      <c r="D350" s="370" t="s">
        <v>306</v>
      </c>
      <c r="E350" s="370" t="s">
        <v>303</v>
      </c>
      <c r="F350" s="371">
        <v>2022</v>
      </c>
      <c r="G350" s="372">
        <v>2023</v>
      </c>
      <c r="H350" s="431">
        <v>2023</v>
      </c>
      <c r="I350" s="369" t="s">
        <v>1651</v>
      </c>
      <c r="J350" s="373" t="s">
        <v>942</v>
      </c>
      <c r="K350" s="373">
        <v>2221640003</v>
      </c>
      <c r="L350" s="373" t="s">
        <v>494</v>
      </c>
      <c r="M350" s="373" t="s">
        <v>641</v>
      </c>
      <c r="N350" s="369" t="s">
        <v>1652</v>
      </c>
      <c r="O350" s="373" t="s">
        <v>494</v>
      </c>
      <c r="P350" s="373" t="s">
        <v>641</v>
      </c>
      <c r="Q350" s="373" t="s">
        <v>942</v>
      </c>
      <c r="R350" s="373" t="s">
        <v>1699</v>
      </c>
      <c r="S350" s="369" t="s">
        <v>190</v>
      </c>
      <c r="T350" s="373" t="s">
        <v>279</v>
      </c>
      <c r="U350" s="373" t="s">
        <v>280</v>
      </c>
      <c r="V350" s="369">
        <v>6843797</v>
      </c>
      <c r="W350" s="369">
        <v>8950850022</v>
      </c>
      <c r="X350" s="369" t="s">
        <v>1643</v>
      </c>
      <c r="Y350" s="374" t="s">
        <v>494</v>
      </c>
      <c r="Z350" s="373" t="s">
        <v>641</v>
      </c>
      <c r="AA350" s="375" t="s">
        <v>942</v>
      </c>
      <c r="AB350" s="375" t="s">
        <v>1700</v>
      </c>
      <c r="AC350" s="375"/>
      <c r="AD350" s="374"/>
      <c r="AE350" s="375"/>
      <c r="AF350" s="375"/>
      <c r="AG350" s="375"/>
      <c r="AH350" s="375"/>
      <c r="AI350" s="375"/>
      <c r="AJ350" s="375"/>
      <c r="AK350" s="375"/>
      <c r="AL350" s="375"/>
      <c r="AM350" s="375"/>
      <c r="AN350" s="375"/>
      <c r="AO350" s="375"/>
      <c r="AP350" s="375"/>
      <c r="AQ350" s="375"/>
      <c r="AR350" s="375"/>
      <c r="AS350" s="375"/>
      <c r="AT350" s="375"/>
      <c r="AU350" s="375"/>
      <c r="AV350" s="376"/>
    </row>
    <row r="351" spans="1:48" ht="39.6" hidden="1">
      <c r="A351" s="368" t="s">
        <v>1701</v>
      </c>
      <c r="B351" s="369" t="s">
        <v>1702</v>
      </c>
      <c r="C351" s="369"/>
      <c r="D351" s="370" t="s">
        <v>277</v>
      </c>
      <c r="E351" s="370" t="s">
        <v>1122</v>
      </c>
      <c r="F351" s="371">
        <v>2023</v>
      </c>
      <c r="G351" s="372">
        <v>2023</v>
      </c>
      <c r="H351" s="431">
        <v>2023</v>
      </c>
      <c r="I351" s="369"/>
      <c r="J351" s="373"/>
      <c r="K351" s="373"/>
      <c r="L351" s="373"/>
      <c r="M351" s="373"/>
      <c r="N351" s="369" t="s">
        <v>1100</v>
      </c>
      <c r="O351" s="373" t="s">
        <v>449</v>
      </c>
      <c r="P351" s="373" t="s">
        <v>280</v>
      </c>
      <c r="Q351" s="373" t="s">
        <v>942</v>
      </c>
      <c r="R351" s="373">
        <v>1202180011</v>
      </c>
      <c r="S351" s="369" t="s">
        <v>20</v>
      </c>
      <c r="T351" s="373" t="s">
        <v>449</v>
      </c>
      <c r="U351" s="373" t="s">
        <v>280</v>
      </c>
      <c r="V351" s="375">
        <v>6682174</v>
      </c>
      <c r="W351" s="375" t="s">
        <v>944</v>
      </c>
      <c r="X351" s="375" t="s">
        <v>18</v>
      </c>
      <c r="Y351" s="373" t="s">
        <v>449</v>
      </c>
      <c r="Z351" s="373" t="s">
        <v>280</v>
      </c>
      <c r="AA351" s="375">
        <v>6680633</v>
      </c>
      <c r="AB351" s="375" t="s">
        <v>1703</v>
      </c>
      <c r="AC351" s="375"/>
      <c r="AD351" s="374"/>
      <c r="AE351" s="375"/>
      <c r="AF351" s="375"/>
      <c r="AG351" s="375"/>
      <c r="AH351" s="375"/>
      <c r="AI351" s="375"/>
      <c r="AJ351" s="375"/>
      <c r="AK351" s="375"/>
      <c r="AL351" s="375"/>
      <c r="AM351" s="375"/>
      <c r="AN351" s="375"/>
      <c r="AO351" s="375"/>
      <c r="AP351" s="375"/>
      <c r="AQ351" s="375"/>
      <c r="AR351" s="375"/>
      <c r="AS351" s="375"/>
      <c r="AT351" s="375"/>
      <c r="AU351" s="375"/>
      <c r="AV351" s="376"/>
    </row>
    <row r="352" spans="1:48" ht="28.8" hidden="1">
      <c r="A352" s="377" t="s">
        <v>1704</v>
      </c>
      <c r="B352" s="378" t="s">
        <v>946</v>
      </c>
      <c r="C352" s="378"/>
      <c r="D352" s="75" t="s">
        <v>277</v>
      </c>
      <c r="E352" s="75" t="s">
        <v>1122</v>
      </c>
      <c r="F352" s="20">
        <v>2023</v>
      </c>
      <c r="G352" s="20">
        <v>2023</v>
      </c>
      <c r="H352" s="432">
        <v>2023</v>
      </c>
      <c r="I352" s="378" t="s">
        <v>20</v>
      </c>
      <c r="J352" s="94">
        <v>6682174</v>
      </c>
      <c r="K352" s="94" t="s">
        <v>944</v>
      </c>
      <c r="L352" s="380" t="s">
        <v>449</v>
      </c>
      <c r="M352" s="380" t="s">
        <v>280</v>
      </c>
      <c r="N352" s="378" t="s">
        <v>20</v>
      </c>
      <c r="O352" s="380" t="s">
        <v>449</v>
      </c>
      <c r="P352" s="380" t="s">
        <v>280</v>
      </c>
      <c r="Q352" s="94">
        <v>6682174</v>
      </c>
      <c r="R352" s="94" t="s">
        <v>944</v>
      </c>
      <c r="S352" s="378" t="s">
        <v>48</v>
      </c>
      <c r="T352" s="380" t="s">
        <v>449</v>
      </c>
      <c r="U352" s="380" t="s">
        <v>280</v>
      </c>
      <c r="V352" s="378">
        <v>6681205</v>
      </c>
      <c r="W352" s="378" t="s">
        <v>1705</v>
      </c>
      <c r="X352" s="36" t="s">
        <v>18</v>
      </c>
      <c r="Y352" s="380" t="s">
        <v>449</v>
      </c>
      <c r="Z352" s="380" t="s">
        <v>280</v>
      </c>
      <c r="AA352" s="36">
        <v>6680633</v>
      </c>
      <c r="AB352" s="36" t="s">
        <v>1703</v>
      </c>
      <c r="AC352" s="36" t="s">
        <v>1223</v>
      </c>
      <c r="AD352" s="380" t="s">
        <v>449</v>
      </c>
      <c r="AE352" s="380" t="s">
        <v>280</v>
      </c>
      <c r="AF352" s="36" t="s">
        <v>942</v>
      </c>
      <c r="AG352" s="36">
        <v>1202190063</v>
      </c>
      <c r="AH352" s="36" t="s">
        <v>1224</v>
      </c>
      <c r="AI352" s="380" t="s">
        <v>449</v>
      </c>
      <c r="AJ352" s="380" t="s">
        <v>280</v>
      </c>
      <c r="AK352" s="36" t="s">
        <v>942</v>
      </c>
      <c r="AL352" s="36">
        <v>1202190045</v>
      </c>
      <c r="AM352" s="36"/>
      <c r="AN352" s="36"/>
      <c r="AO352" s="36"/>
      <c r="AP352" s="36"/>
      <c r="AQ352" s="36"/>
      <c r="AR352" s="36"/>
      <c r="AS352" s="36"/>
      <c r="AT352" s="36"/>
      <c r="AU352" s="36"/>
      <c r="AV352" s="381"/>
    </row>
    <row r="353" spans="1:48" ht="39.6" hidden="1">
      <c r="A353" s="377" t="s">
        <v>1706</v>
      </c>
      <c r="B353" s="378" t="s">
        <v>963</v>
      </c>
      <c r="C353" s="378"/>
      <c r="D353" s="75" t="s">
        <v>277</v>
      </c>
      <c r="E353" s="75" t="s">
        <v>1122</v>
      </c>
      <c r="F353" s="379">
        <v>2022</v>
      </c>
      <c r="G353" s="20">
        <v>2022</v>
      </c>
      <c r="H353" s="432">
        <v>2023</v>
      </c>
      <c r="I353" s="378"/>
      <c r="J353" s="380"/>
      <c r="K353" s="380"/>
      <c r="L353" s="380"/>
      <c r="M353" s="380"/>
      <c r="N353" s="378" t="s">
        <v>1707</v>
      </c>
      <c r="O353" s="380" t="s">
        <v>309</v>
      </c>
      <c r="P353" s="380" t="s">
        <v>420</v>
      </c>
      <c r="Q353" s="380" t="s">
        <v>942</v>
      </c>
      <c r="R353" s="380">
        <v>6022201020</v>
      </c>
      <c r="S353" s="378" t="s">
        <v>480</v>
      </c>
      <c r="T353" s="380" t="s">
        <v>309</v>
      </c>
      <c r="U353" s="380" t="s">
        <v>420</v>
      </c>
      <c r="V353" s="378">
        <v>5986157</v>
      </c>
      <c r="W353" s="378" t="s">
        <v>1708</v>
      </c>
      <c r="X353" s="378" t="s">
        <v>479</v>
      </c>
      <c r="Y353" s="94" t="s">
        <v>309</v>
      </c>
      <c r="Z353" s="380" t="s">
        <v>420</v>
      </c>
      <c r="AA353" s="36">
        <v>6165227</v>
      </c>
      <c r="AB353" s="36" t="s">
        <v>961</v>
      </c>
      <c r="AC353" s="36" t="s">
        <v>482</v>
      </c>
      <c r="AD353" s="94" t="s">
        <v>942</v>
      </c>
      <c r="AE353" s="380" t="s">
        <v>483</v>
      </c>
      <c r="AF353" s="36" t="s">
        <v>942</v>
      </c>
      <c r="AG353" s="36" t="s">
        <v>942</v>
      </c>
      <c r="AH353" s="36" t="s">
        <v>19</v>
      </c>
      <c r="AI353" s="380" t="s">
        <v>309</v>
      </c>
      <c r="AJ353" s="380" t="s">
        <v>280</v>
      </c>
      <c r="AK353" s="36">
        <v>6680612</v>
      </c>
      <c r="AL353" s="36" t="s">
        <v>960</v>
      </c>
      <c r="AM353" s="36"/>
      <c r="AN353" s="36"/>
      <c r="AO353" s="36"/>
      <c r="AP353" s="36"/>
      <c r="AQ353" s="36"/>
      <c r="AR353" s="36"/>
      <c r="AS353" s="36"/>
      <c r="AT353" s="36"/>
      <c r="AU353" s="36"/>
      <c r="AV353" s="381"/>
    </row>
    <row r="354" spans="1:48" ht="28.8" hidden="1">
      <c r="A354" s="368" t="s">
        <v>1709</v>
      </c>
      <c r="B354" s="369" t="s">
        <v>1710</v>
      </c>
      <c r="C354" s="369"/>
      <c r="D354" s="370" t="s">
        <v>416</v>
      </c>
      <c r="E354" s="370" t="s">
        <v>1122</v>
      </c>
      <c r="F354" s="371">
        <v>2022</v>
      </c>
      <c r="G354" s="372">
        <v>2022</v>
      </c>
      <c r="H354" s="431">
        <v>2023</v>
      </c>
      <c r="I354" s="369" t="s">
        <v>484</v>
      </c>
      <c r="J354" s="373">
        <v>6005015</v>
      </c>
      <c r="K354" s="373" t="s">
        <v>955</v>
      </c>
      <c r="L354" s="373" t="s">
        <v>279</v>
      </c>
      <c r="M354" s="373" t="s">
        <v>420</v>
      </c>
      <c r="N354" s="369" t="s">
        <v>956</v>
      </c>
      <c r="O354" s="373" t="s">
        <v>309</v>
      </c>
      <c r="P354" s="373" t="s">
        <v>1711</v>
      </c>
      <c r="Q354" s="373">
        <v>6660360</v>
      </c>
      <c r="R354" s="373" t="s">
        <v>1712</v>
      </c>
      <c r="S354" s="369" t="s">
        <v>1713</v>
      </c>
      <c r="T354" s="373" t="s">
        <v>942</v>
      </c>
      <c r="U354" s="373" t="s">
        <v>420</v>
      </c>
      <c r="V354" s="369" t="s">
        <v>942</v>
      </c>
      <c r="W354" s="369" t="s">
        <v>942</v>
      </c>
      <c r="X354" s="375" t="s">
        <v>19</v>
      </c>
      <c r="Y354" s="373" t="s">
        <v>309</v>
      </c>
      <c r="Z354" s="373" t="s">
        <v>280</v>
      </c>
      <c r="AA354" s="375">
        <v>6680612</v>
      </c>
      <c r="AB354" s="375" t="s">
        <v>960</v>
      </c>
      <c r="AC354" s="375" t="s">
        <v>479</v>
      </c>
      <c r="AD354" s="374" t="s">
        <v>309</v>
      </c>
      <c r="AE354" s="373" t="s">
        <v>420</v>
      </c>
      <c r="AF354" s="375">
        <v>6165227</v>
      </c>
      <c r="AG354" s="375" t="s">
        <v>961</v>
      </c>
      <c r="AH354" s="375" t="s">
        <v>1714</v>
      </c>
      <c r="AI354" s="375" t="s">
        <v>942</v>
      </c>
      <c r="AJ354" s="373" t="s">
        <v>420</v>
      </c>
      <c r="AK354" s="375" t="s">
        <v>942</v>
      </c>
      <c r="AL354" s="375" t="s">
        <v>942</v>
      </c>
      <c r="AM354" s="375" t="s">
        <v>484</v>
      </c>
      <c r="AN354" s="373" t="s">
        <v>279</v>
      </c>
      <c r="AO354" s="373" t="s">
        <v>420</v>
      </c>
      <c r="AP354" s="369">
        <v>6005015</v>
      </c>
      <c r="AQ354" s="369" t="s">
        <v>955</v>
      </c>
      <c r="AR354" s="375"/>
      <c r="AS354" s="375"/>
      <c r="AT354" s="375"/>
      <c r="AU354" s="375"/>
      <c r="AV354" s="376"/>
    </row>
    <row r="355" spans="1:48" ht="39.6" hidden="1">
      <c r="A355" s="368" t="s">
        <v>1715</v>
      </c>
      <c r="B355" s="369" t="s">
        <v>1716</v>
      </c>
      <c r="C355" s="369"/>
      <c r="D355" s="370" t="s">
        <v>277</v>
      </c>
      <c r="E355" s="370" t="s">
        <v>1666</v>
      </c>
      <c r="F355" s="372">
        <v>2023</v>
      </c>
      <c r="G355" s="372">
        <v>2023</v>
      </c>
      <c r="H355" s="431">
        <v>2023</v>
      </c>
      <c r="I355" s="369" t="s">
        <v>148</v>
      </c>
      <c r="J355" s="373">
        <v>6099359</v>
      </c>
      <c r="K355" s="373" t="s">
        <v>977</v>
      </c>
      <c r="L355" s="373" t="s">
        <v>353</v>
      </c>
      <c r="M355" s="373" t="s">
        <v>280</v>
      </c>
      <c r="N355" s="369" t="s">
        <v>148</v>
      </c>
      <c r="O355" s="373" t="s">
        <v>353</v>
      </c>
      <c r="P355" s="373" t="s">
        <v>280</v>
      </c>
      <c r="Q355" s="373">
        <v>6099359</v>
      </c>
      <c r="R355" s="373" t="s">
        <v>977</v>
      </c>
      <c r="S355" s="369" t="s">
        <v>1043</v>
      </c>
      <c r="T355" s="373" t="s">
        <v>353</v>
      </c>
      <c r="U355" s="373" t="s">
        <v>280</v>
      </c>
      <c r="V355" s="369" t="s">
        <v>942</v>
      </c>
      <c r="W355" s="369" t="s">
        <v>942</v>
      </c>
      <c r="X355" s="369"/>
      <c r="Y355" s="374"/>
      <c r="Z355" s="375"/>
      <c r="AA355" s="375"/>
      <c r="AB355" s="375"/>
      <c r="AC355" s="375"/>
      <c r="AD355" s="374"/>
      <c r="AE355" s="375"/>
      <c r="AF355" s="375"/>
      <c r="AG355" s="375"/>
      <c r="AH355" s="375"/>
      <c r="AI355" s="375"/>
      <c r="AJ355" s="375"/>
      <c r="AK355" s="375"/>
      <c r="AL355" s="375"/>
      <c r="AM355" s="375"/>
      <c r="AN355" s="375"/>
      <c r="AO355" s="375"/>
      <c r="AP355" s="375"/>
      <c r="AQ355" s="375"/>
      <c r="AR355" s="375"/>
      <c r="AS355" s="375"/>
      <c r="AT355" s="375"/>
      <c r="AU355" s="375"/>
      <c r="AV355" s="376"/>
    </row>
    <row r="356" spans="1:48" ht="26.4" hidden="1">
      <c r="A356" s="377" t="s">
        <v>1717</v>
      </c>
      <c r="B356" s="378" t="s">
        <v>946</v>
      </c>
      <c r="C356" s="378"/>
      <c r="D356" s="75" t="s">
        <v>502</v>
      </c>
      <c r="E356" s="75" t="s">
        <v>1122</v>
      </c>
      <c r="F356" s="379">
        <v>2021</v>
      </c>
      <c r="G356" s="20">
        <v>2023</v>
      </c>
      <c r="H356" s="432">
        <v>2023</v>
      </c>
      <c r="I356" s="378" t="s">
        <v>6</v>
      </c>
      <c r="J356" s="380">
        <v>6681051</v>
      </c>
      <c r="K356" s="380" t="s">
        <v>1657</v>
      </c>
      <c r="L356" s="380" t="s">
        <v>351</v>
      </c>
      <c r="M356" s="380" t="s">
        <v>280</v>
      </c>
      <c r="N356" s="378" t="s">
        <v>6</v>
      </c>
      <c r="O356" s="380" t="s">
        <v>351</v>
      </c>
      <c r="P356" s="380" t="s">
        <v>280</v>
      </c>
      <c r="Q356" s="380">
        <v>6681051</v>
      </c>
      <c r="R356" s="380" t="s">
        <v>1657</v>
      </c>
      <c r="S356" s="378" t="s">
        <v>580</v>
      </c>
      <c r="T356" s="380" t="s">
        <v>353</v>
      </c>
      <c r="U356" s="380" t="s">
        <v>280</v>
      </c>
      <c r="V356" s="378" t="s">
        <v>942</v>
      </c>
      <c r="W356" s="378">
        <v>1203190036</v>
      </c>
      <c r="X356" s="378" t="s">
        <v>17</v>
      </c>
      <c r="Y356" s="380" t="s">
        <v>353</v>
      </c>
      <c r="Z356" s="380" t="s">
        <v>280</v>
      </c>
      <c r="AA356" s="36">
        <v>6680648</v>
      </c>
      <c r="AB356" s="36" t="s">
        <v>1036</v>
      </c>
      <c r="AC356" s="36"/>
      <c r="AD356" s="94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81"/>
    </row>
    <row r="357" spans="1:48" ht="26.4" hidden="1">
      <c r="A357" s="368" t="s">
        <v>1718</v>
      </c>
      <c r="B357" s="369" t="s">
        <v>1719</v>
      </c>
      <c r="C357" s="369"/>
      <c r="D357" s="370" t="s">
        <v>321</v>
      </c>
      <c r="E357" s="370" t="s">
        <v>303</v>
      </c>
      <c r="F357" s="372">
        <v>2023</v>
      </c>
      <c r="G357" s="372">
        <v>2023</v>
      </c>
      <c r="H357" s="431">
        <v>2023</v>
      </c>
      <c r="I357" s="369" t="s">
        <v>6</v>
      </c>
      <c r="J357" s="373">
        <v>6681051</v>
      </c>
      <c r="K357" s="373" t="s">
        <v>1657</v>
      </c>
      <c r="L357" s="373" t="s">
        <v>351</v>
      </c>
      <c r="M357" s="373" t="s">
        <v>280</v>
      </c>
      <c r="N357" s="369" t="s">
        <v>1720</v>
      </c>
      <c r="O357" s="373" t="s">
        <v>351</v>
      </c>
      <c r="P357" s="373" t="s">
        <v>280</v>
      </c>
      <c r="Q357" s="373" t="s">
        <v>942</v>
      </c>
      <c r="R357" s="373">
        <v>1203190021</v>
      </c>
      <c r="S357" s="369" t="s">
        <v>6</v>
      </c>
      <c r="T357" s="373" t="s">
        <v>351</v>
      </c>
      <c r="U357" s="373" t="s">
        <v>280</v>
      </c>
      <c r="V357" s="369">
        <v>6681051</v>
      </c>
      <c r="W357" s="369" t="s">
        <v>1657</v>
      </c>
      <c r="X357" s="369"/>
      <c r="Y357" s="374"/>
      <c r="Z357" s="375"/>
      <c r="AA357" s="375"/>
      <c r="AB357" s="375"/>
      <c r="AC357" s="375"/>
      <c r="AD357" s="374"/>
      <c r="AE357" s="375"/>
      <c r="AF357" s="375"/>
      <c r="AG357" s="375"/>
      <c r="AH357" s="375"/>
      <c r="AI357" s="375"/>
      <c r="AJ357" s="375"/>
      <c r="AK357" s="375"/>
      <c r="AL357" s="375"/>
      <c r="AM357" s="375"/>
      <c r="AN357" s="375"/>
      <c r="AO357" s="375"/>
      <c r="AP357" s="375"/>
      <c r="AQ357" s="375"/>
      <c r="AR357" s="375"/>
      <c r="AS357" s="375"/>
      <c r="AT357" s="375"/>
      <c r="AU357" s="375"/>
      <c r="AV357" s="376"/>
    </row>
    <row r="358" spans="1:48" ht="28.8" hidden="1">
      <c r="A358" s="377" t="s">
        <v>1721</v>
      </c>
      <c r="B358" s="378" t="s">
        <v>1722</v>
      </c>
      <c r="C358" s="378"/>
      <c r="D358" s="75" t="s">
        <v>321</v>
      </c>
      <c r="E358" s="75" t="s">
        <v>303</v>
      </c>
      <c r="F358" s="379">
        <v>2023</v>
      </c>
      <c r="G358" s="20">
        <v>2023</v>
      </c>
      <c r="H358" s="432">
        <v>2023</v>
      </c>
      <c r="I358" s="378" t="s">
        <v>20</v>
      </c>
      <c r="J358" s="94">
        <v>6682174</v>
      </c>
      <c r="K358" s="94" t="s">
        <v>944</v>
      </c>
      <c r="L358" s="380" t="s">
        <v>449</v>
      </c>
      <c r="M358" s="380" t="s">
        <v>280</v>
      </c>
      <c r="N358" s="378" t="s">
        <v>134</v>
      </c>
      <c r="O358" s="380" t="s">
        <v>449</v>
      </c>
      <c r="P358" s="380" t="s">
        <v>280</v>
      </c>
      <c r="Q358" s="380">
        <v>6801945</v>
      </c>
      <c r="R358" s="380" t="s">
        <v>1723</v>
      </c>
      <c r="S358" s="378" t="s">
        <v>20</v>
      </c>
      <c r="T358" s="380" t="s">
        <v>449</v>
      </c>
      <c r="U358" s="380" t="s">
        <v>280</v>
      </c>
      <c r="V358" s="36">
        <v>6682174</v>
      </c>
      <c r="W358" s="36" t="s">
        <v>944</v>
      </c>
      <c r="X358" s="36" t="s">
        <v>18</v>
      </c>
      <c r="Y358" s="380" t="s">
        <v>449</v>
      </c>
      <c r="Z358" s="380" t="s">
        <v>280</v>
      </c>
      <c r="AA358" s="36">
        <v>6680633</v>
      </c>
      <c r="AB358" s="36" t="s">
        <v>1703</v>
      </c>
      <c r="AC358" s="36" t="s">
        <v>323</v>
      </c>
      <c r="AD358" s="380" t="s">
        <v>309</v>
      </c>
      <c r="AE358" s="380" t="s">
        <v>280</v>
      </c>
      <c r="AF358" s="36" t="s">
        <v>942</v>
      </c>
      <c r="AG358" s="36">
        <v>1103208049</v>
      </c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81"/>
    </row>
    <row r="359" spans="1:48" ht="28.8" hidden="1">
      <c r="A359" s="368" t="s">
        <v>1724</v>
      </c>
      <c r="B359" s="369" t="s">
        <v>946</v>
      </c>
      <c r="C359" s="369"/>
      <c r="D359" s="370" t="s">
        <v>277</v>
      </c>
      <c r="E359" s="370"/>
      <c r="F359" s="371"/>
      <c r="G359" s="372"/>
      <c r="H359" s="431">
        <v>2023</v>
      </c>
      <c r="I359" s="369" t="s">
        <v>20</v>
      </c>
      <c r="J359" s="374">
        <v>6682174</v>
      </c>
      <c r="K359" s="374" t="s">
        <v>944</v>
      </c>
      <c r="L359" s="373" t="s">
        <v>449</v>
      </c>
      <c r="M359" s="373" t="s">
        <v>280</v>
      </c>
      <c r="N359" s="369" t="s">
        <v>20</v>
      </c>
      <c r="O359" s="373" t="s">
        <v>449</v>
      </c>
      <c r="P359" s="373" t="s">
        <v>280</v>
      </c>
      <c r="Q359" s="374">
        <v>6682174</v>
      </c>
      <c r="R359" s="374" t="s">
        <v>944</v>
      </c>
      <c r="S359" s="375" t="s">
        <v>18</v>
      </c>
      <c r="T359" s="373" t="s">
        <v>449</v>
      </c>
      <c r="U359" s="373" t="s">
        <v>280</v>
      </c>
      <c r="V359" s="375">
        <v>6680633</v>
      </c>
      <c r="W359" s="375" t="s">
        <v>1703</v>
      </c>
      <c r="X359" s="375" t="s">
        <v>14</v>
      </c>
      <c r="Y359" s="373" t="s">
        <v>279</v>
      </c>
      <c r="Z359" s="373" t="s">
        <v>280</v>
      </c>
      <c r="AA359" s="375">
        <v>6680678</v>
      </c>
      <c r="AB359" s="375" t="s">
        <v>1725</v>
      </c>
      <c r="AC359" s="375" t="s">
        <v>1223</v>
      </c>
      <c r="AD359" s="373" t="s">
        <v>449</v>
      </c>
      <c r="AE359" s="373" t="s">
        <v>280</v>
      </c>
      <c r="AF359" s="375" t="s">
        <v>942</v>
      </c>
      <c r="AG359" s="375">
        <v>1202190063</v>
      </c>
      <c r="AH359" s="375"/>
      <c r="AI359" s="375"/>
      <c r="AJ359" s="375"/>
      <c r="AK359" s="375"/>
      <c r="AL359" s="375"/>
      <c r="AM359" s="375"/>
      <c r="AN359" s="375"/>
      <c r="AO359" s="375"/>
      <c r="AP359" s="375"/>
      <c r="AQ359" s="375"/>
      <c r="AR359" s="375"/>
      <c r="AS359" s="375"/>
      <c r="AT359" s="375"/>
      <c r="AU359" s="375"/>
      <c r="AV359" s="376"/>
    </row>
    <row r="360" spans="1:48" ht="39.6" hidden="1">
      <c r="A360" s="377" t="s">
        <v>1726</v>
      </c>
      <c r="B360" s="378" t="s">
        <v>1054</v>
      </c>
      <c r="C360" s="378"/>
      <c r="D360" s="75" t="s">
        <v>277</v>
      </c>
      <c r="E360" s="75"/>
      <c r="F360" s="379"/>
      <c r="G360" s="20"/>
      <c r="H360" s="432">
        <v>2023</v>
      </c>
      <c r="I360" s="378"/>
      <c r="J360" s="380"/>
      <c r="K360" s="380"/>
      <c r="L360" s="20"/>
      <c r="M360" s="20"/>
      <c r="N360" s="378" t="s">
        <v>148</v>
      </c>
      <c r="O360" s="380" t="s">
        <v>353</v>
      </c>
      <c r="P360" s="380" t="s">
        <v>280</v>
      </c>
      <c r="Q360" s="380">
        <v>6099359</v>
      </c>
      <c r="R360" s="380" t="s">
        <v>977</v>
      </c>
      <c r="S360" s="378" t="s">
        <v>1043</v>
      </c>
      <c r="T360" s="380" t="s">
        <v>353</v>
      </c>
      <c r="U360" s="380" t="s">
        <v>280</v>
      </c>
      <c r="V360" s="378" t="s">
        <v>942</v>
      </c>
      <c r="W360" s="378" t="s">
        <v>942</v>
      </c>
      <c r="X360" s="378" t="s">
        <v>57</v>
      </c>
      <c r="Y360" s="380" t="s">
        <v>353</v>
      </c>
      <c r="Z360" s="380" t="s">
        <v>280</v>
      </c>
      <c r="AA360" s="378">
        <v>6744406</v>
      </c>
      <c r="AB360" s="378" t="s">
        <v>985</v>
      </c>
      <c r="AC360" s="36" t="s">
        <v>1055</v>
      </c>
      <c r="AD360" s="380" t="s">
        <v>353</v>
      </c>
      <c r="AE360" s="380" t="s">
        <v>280</v>
      </c>
      <c r="AF360" s="36" t="s">
        <v>942</v>
      </c>
      <c r="AG360" s="36" t="s">
        <v>942</v>
      </c>
      <c r="AH360" s="36" t="s">
        <v>28</v>
      </c>
      <c r="AI360" s="380" t="s">
        <v>353</v>
      </c>
      <c r="AJ360" s="380" t="s">
        <v>280</v>
      </c>
      <c r="AK360" s="378">
        <v>6665306</v>
      </c>
      <c r="AL360" s="378" t="s">
        <v>1727</v>
      </c>
      <c r="AM360" s="378" t="s">
        <v>17</v>
      </c>
      <c r="AN360" s="380" t="s">
        <v>353</v>
      </c>
      <c r="AO360" s="380" t="s">
        <v>280</v>
      </c>
      <c r="AP360" s="36">
        <v>6680648</v>
      </c>
      <c r="AQ360" s="36" t="s">
        <v>1036</v>
      </c>
      <c r="AR360" s="36"/>
      <c r="AS360" s="36"/>
      <c r="AT360" s="36"/>
      <c r="AU360" s="36"/>
      <c r="AV360" s="381"/>
    </row>
    <row r="361" spans="1:48" ht="43.2" hidden="1">
      <c r="A361" s="377" t="s">
        <v>1728</v>
      </c>
      <c r="B361" s="378" t="s">
        <v>1729</v>
      </c>
      <c r="C361" s="378"/>
      <c r="D361" s="75" t="s">
        <v>306</v>
      </c>
      <c r="E361" s="75" t="s">
        <v>303</v>
      </c>
      <c r="F361" s="379">
        <v>2023</v>
      </c>
      <c r="G361" s="20">
        <v>2023</v>
      </c>
      <c r="H361" s="432">
        <v>2023</v>
      </c>
      <c r="I361" s="378" t="s">
        <v>12</v>
      </c>
      <c r="J361" s="380">
        <v>6680651</v>
      </c>
      <c r="K361" s="380" t="s">
        <v>1016</v>
      </c>
      <c r="L361" s="380" t="s">
        <v>309</v>
      </c>
      <c r="M361" s="380" t="s">
        <v>280</v>
      </c>
      <c r="N361" s="378" t="s">
        <v>12</v>
      </c>
      <c r="O361" s="380" t="s">
        <v>309</v>
      </c>
      <c r="P361" s="380" t="s">
        <v>280</v>
      </c>
      <c r="Q361" s="380">
        <v>6680651</v>
      </c>
      <c r="R361" s="380" t="s">
        <v>1016</v>
      </c>
      <c r="S361" s="378" t="s">
        <v>26</v>
      </c>
      <c r="T361" s="380" t="s">
        <v>686</v>
      </c>
      <c r="U361" s="380" t="s">
        <v>280</v>
      </c>
      <c r="V361" s="378">
        <v>259781</v>
      </c>
      <c r="W361" s="378" t="s">
        <v>982</v>
      </c>
      <c r="X361" s="378" t="s">
        <v>8</v>
      </c>
      <c r="Y361" s="380" t="s">
        <v>758</v>
      </c>
      <c r="Z361" s="380" t="s">
        <v>280</v>
      </c>
      <c r="AA361" s="36">
        <v>6680643</v>
      </c>
      <c r="AB361" s="36" t="s">
        <v>1017</v>
      </c>
      <c r="AC361" s="36" t="s">
        <v>1730</v>
      </c>
      <c r="AD361" s="94" t="s">
        <v>309</v>
      </c>
      <c r="AE361" s="380" t="s">
        <v>280</v>
      </c>
      <c r="AF361" s="36" t="s">
        <v>942</v>
      </c>
      <c r="AG361" s="36">
        <v>1103200032</v>
      </c>
      <c r="AH361" s="36" t="s">
        <v>1019</v>
      </c>
      <c r="AI361" s="380" t="s">
        <v>309</v>
      </c>
      <c r="AJ361" s="380" t="s">
        <v>280</v>
      </c>
      <c r="AK361" s="36" t="s">
        <v>942</v>
      </c>
      <c r="AL361" s="36">
        <v>1103200001</v>
      </c>
      <c r="AM361" s="36" t="s">
        <v>1020</v>
      </c>
      <c r="AN361" s="380" t="s">
        <v>309</v>
      </c>
      <c r="AO361" s="380" t="s">
        <v>280</v>
      </c>
      <c r="AP361" s="36" t="s">
        <v>942</v>
      </c>
      <c r="AQ361" s="36">
        <v>1103200021</v>
      </c>
      <c r="AR361" s="36" t="s">
        <v>1731</v>
      </c>
      <c r="AS361" s="380" t="s">
        <v>1732</v>
      </c>
      <c r="AT361" s="380" t="s">
        <v>280</v>
      </c>
      <c r="AU361" s="36" t="s">
        <v>942</v>
      </c>
      <c r="AV361" s="381" t="s">
        <v>1733</v>
      </c>
    </row>
    <row r="362" spans="1:48" ht="26.4" hidden="1">
      <c r="A362" s="368" t="s">
        <v>1734</v>
      </c>
      <c r="B362" s="369" t="s">
        <v>1735</v>
      </c>
      <c r="C362" s="369"/>
      <c r="D362" s="370" t="s">
        <v>374</v>
      </c>
      <c r="E362" s="370" t="s">
        <v>303</v>
      </c>
      <c r="F362" s="371">
        <v>2023</v>
      </c>
      <c r="G362" s="372">
        <v>2023</v>
      </c>
      <c r="H362" s="431">
        <v>2023</v>
      </c>
      <c r="I362" s="369" t="s">
        <v>6</v>
      </c>
      <c r="J362" s="373">
        <v>6681051</v>
      </c>
      <c r="K362" s="373" t="s">
        <v>1657</v>
      </c>
      <c r="L362" s="373" t="s">
        <v>351</v>
      </c>
      <c r="M362" s="373" t="s">
        <v>280</v>
      </c>
      <c r="N362" s="369" t="s">
        <v>6</v>
      </c>
      <c r="O362" s="373" t="s">
        <v>351</v>
      </c>
      <c r="P362" s="373" t="s">
        <v>280</v>
      </c>
      <c r="Q362" s="373">
        <v>6681051</v>
      </c>
      <c r="R362" s="373" t="s">
        <v>1657</v>
      </c>
      <c r="S362" s="369" t="s">
        <v>13</v>
      </c>
      <c r="T362" s="373" t="s">
        <v>686</v>
      </c>
      <c r="U362" s="373" t="s">
        <v>280</v>
      </c>
      <c r="V362" s="369">
        <v>6682237</v>
      </c>
      <c r="W362" s="369" t="s">
        <v>1736</v>
      </c>
      <c r="X362" s="369" t="s">
        <v>24</v>
      </c>
      <c r="Y362" s="373" t="s">
        <v>351</v>
      </c>
      <c r="Z362" s="373" t="s">
        <v>280</v>
      </c>
      <c r="AA362" s="375">
        <v>6680618</v>
      </c>
      <c r="AB362" s="375" t="s">
        <v>1737</v>
      </c>
      <c r="AC362" s="375"/>
      <c r="AD362" s="374"/>
      <c r="AE362" s="375"/>
      <c r="AF362" s="375"/>
      <c r="AG362" s="375"/>
      <c r="AH362" s="375"/>
      <c r="AI362" s="375"/>
      <c r="AJ362" s="375"/>
      <c r="AK362" s="375"/>
      <c r="AL362" s="375"/>
      <c r="AM362" s="375"/>
      <c r="AN362" s="375"/>
      <c r="AO362" s="375"/>
      <c r="AP362" s="375"/>
      <c r="AQ362" s="375"/>
      <c r="AR362" s="375"/>
      <c r="AS362" s="375"/>
      <c r="AT362" s="375"/>
      <c r="AU362" s="375"/>
      <c r="AV362" s="376"/>
    </row>
    <row r="363" spans="1:48" ht="39.6" hidden="1">
      <c r="A363" s="377" t="s">
        <v>1738</v>
      </c>
      <c r="B363" s="378" t="s">
        <v>1739</v>
      </c>
      <c r="C363" s="378"/>
      <c r="D363" s="75" t="s">
        <v>277</v>
      </c>
      <c r="E363" s="75"/>
      <c r="F363" s="379"/>
      <c r="G363" s="20"/>
      <c r="H363" s="432">
        <v>2023</v>
      </c>
      <c r="I363" s="378" t="s">
        <v>25</v>
      </c>
      <c r="J363" s="380"/>
      <c r="K363" s="380"/>
      <c r="L363" s="380"/>
      <c r="M363" s="380"/>
      <c r="N363" s="378" t="s">
        <v>25</v>
      </c>
      <c r="O363" s="380" t="s">
        <v>353</v>
      </c>
      <c r="P363" s="380"/>
      <c r="Q363" s="380"/>
      <c r="R363" s="380"/>
      <c r="S363" s="378" t="s">
        <v>352</v>
      </c>
      <c r="T363" s="380" t="s">
        <v>353</v>
      </c>
      <c r="U363" s="378"/>
      <c r="V363" s="378"/>
      <c r="W363" s="378"/>
      <c r="X363" s="378" t="s">
        <v>1740</v>
      </c>
      <c r="Y363" s="380" t="s">
        <v>353</v>
      </c>
      <c r="Z363" s="36"/>
      <c r="AA363" s="36"/>
      <c r="AB363" s="36"/>
      <c r="AC363" s="36" t="s">
        <v>1741</v>
      </c>
      <c r="AD363" s="94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81"/>
    </row>
    <row r="364" spans="1:48" ht="28.8" hidden="1">
      <c r="A364" s="368" t="s">
        <v>1742</v>
      </c>
      <c r="B364" s="369" t="s">
        <v>1743</v>
      </c>
      <c r="C364" s="369"/>
      <c r="D364" s="370" t="s">
        <v>568</v>
      </c>
      <c r="E364" s="370" t="s">
        <v>1122</v>
      </c>
      <c r="F364" s="371">
        <v>2023</v>
      </c>
      <c r="G364" s="372">
        <v>2023</v>
      </c>
      <c r="H364" s="431">
        <v>2023</v>
      </c>
      <c r="I364" s="369" t="s">
        <v>12</v>
      </c>
      <c r="J364" s="373">
        <v>6680651</v>
      </c>
      <c r="K364" s="373" t="s">
        <v>1016</v>
      </c>
      <c r="L364" s="373" t="s">
        <v>309</v>
      </c>
      <c r="M364" s="373" t="s">
        <v>280</v>
      </c>
      <c r="N364" s="369" t="s">
        <v>12</v>
      </c>
      <c r="O364" s="373" t="s">
        <v>309</v>
      </c>
      <c r="P364" s="373" t="s">
        <v>280</v>
      </c>
      <c r="Q364" s="373">
        <v>6680651</v>
      </c>
      <c r="R364" s="373" t="s">
        <v>1016</v>
      </c>
      <c r="S364" s="369" t="s">
        <v>49</v>
      </c>
      <c r="T364" s="373" t="s">
        <v>162</v>
      </c>
      <c r="U364" s="373" t="s">
        <v>280</v>
      </c>
      <c r="V364" s="369">
        <v>6682794</v>
      </c>
      <c r="W364" s="369" t="s">
        <v>1744</v>
      </c>
      <c r="X364" s="369" t="s">
        <v>1745</v>
      </c>
      <c r="Y364" s="373" t="s">
        <v>309</v>
      </c>
      <c r="Z364" s="373" t="s">
        <v>280</v>
      </c>
      <c r="AA364" s="375" t="s">
        <v>942</v>
      </c>
      <c r="AB364" s="375">
        <v>1103192024</v>
      </c>
      <c r="AC364" s="375" t="s">
        <v>1746</v>
      </c>
      <c r="AD364" s="373" t="s">
        <v>309</v>
      </c>
      <c r="AE364" s="373" t="s">
        <v>280</v>
      </c>
      <c r="AF364" s="375" t="s">
        <v>942</v>
      </c>
      <c r="AG364" s="375">
        <v>1103190002</v>
      </c>
      <c r="AH364" s="375" t="s">
        <v>1747</v>
      </c>
      <c r="AI364" s="373" t="s">
        <v>309</v>
      </c>
      <c r="AJ364" s="373" t="s">
        <v>280</v>
      </c>
      <c r="AK364" s="375" t="s">
        <v>942</v>
      </c>
      <c r="AL364" s="375">
        <v>1103192023</v>
      </c>
      <c r="AM364" s="375"/>
      <c r="AN364" s="375"/>
      <c r="AO364" s="375"/>
      <c r="AP364" s="375"/>
      <c r="AQ364" s="375"/>
      <c r="AR364" s="375"/>
      <c r="AS364" s="375"/>
      <c r="AT364" s="375"/>
      <c r="AU364" s="375"/>
      <c r="AV364" s="376"/>
    </row>
    <row r="365" spans="1:48" ht="26.4" hidden="1">
      <c r="A365" s="377" t="s">
        <v>1748</v>
      </c>
      <c r="B365" s="378" t="s">
        <v>1749</v>
      </c>
      <c r="C365" s="378"/>
      <c r="D365" s="75" t="s">
        <v>328</v>
      </c>
      <c r="E365" s="75" t="s">
        <v>1750</v>
      </c>
      <c r="F365" s="379">
        <v>2023</v>
      </c>
      <c r="G365" s="20">
        <v>2023</v>
      </c>
      <c r="H365" s="432">
        <v>2023</v>
      </c>
      <c r="I365" s="378"/>
      <c r="J365" s="380"/>
      <c r="K365" s="380"/>
      <c r="L365" s="380"/>
      <c r="M365" s="380" t="s">
        <v>280</v>
      </c>
      <c r="N365" s="378" t="s">
        <v>148</v>
      </c>
      <c r="O365" s="380" t="s">
        <v>353</v>
      </c>
      <c r="P365" s="380" t="s">
        <v>280</v>
      </c>
      <c r="Q365" s="380">
        <v>6099359</v>
      </c>
      <c r="R365" s="380" t="s">
        <v>977</v>
      </c>
      <c r="S365" s="378" t="s">
        <v>17</v>
      </c>
      <c r="T365" s="380" t="s">
        <v>353</v>
      </c>
      <c r="U365" s="380" t="s">
        <v>280</v>
      </c>
      <c r="V365" s="36">
        <v>6680648</v>
      </c>
      <c r="W365" s="36" t="s">
        <v>1036</v>
      </c>
      <c r="X365" s="378" t="s">
        <v>39</v>
      </c>
      <c r="Y365" s="380" t="s">
        <v>353</v>
      </c>
      <c r="Z365" s="380" t="s">
        <v>280</v>
      </c>
      <c r="AA365" s="36">
        <v>6801883</v>
      </c>
      <c r="AB365" s="36" t="s">
        <v>1751</v>
      </c>
      <c r="AC365" s="36"/>
      <c r="AD365" s="94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81"/>
    </row>
    <row r="366" spans="1:48" ht="28.8" hidden="1">
      <c r="A366" s="368" t="s">
        <v>1752</v>
      </c>
      <c r="B366" s="369" t="s">
        <v>1753</v>
      </c>
      <c r="C366" s="369"/>
      <c r="D366" s="370" t="s">
        <v>313</v>
      </c>
      <c r="E366" s="370"/>
      <c r="F366" s="371"/>
      <c r="G366" s="372"/>
      <c r="H366" s="431">
        <v>2023</v>
      </c>
      <c r="I366" s="369" t="s">
        <v>44</v>
      </c>
      <c r="J366" s="373">
        <v>6784457</v>
      </c>
      <c r="K366" s="373" t="s">
        <v>1754</v>
      </c>
      <c r="L366" s="373" t="s">
        <v>758</v>
      </c>
      <c r="M366" s="373" t="s">
        <v>280</v>
      </c>
      <c r="N366" s="369" t="s">
        <v>761</v>
      </c>
      <c r="O366" s="373" t="s">
        <v>758</v>
      </c>
      <c r="P366" s="373" t="s">
        <v>280</v>
      </c>
      <c r="Q366" s="373">
        <v>6756289</v>
      </c>
      <c r="R366" s="373" t="s">
        <v>1755</v>
      </c>
      <c r="S366" s="369" t="s">
        <v>44</v>
      </c>
      <c r="T366" s="373" t="s">
        <v>758</v>
      </c>
      <c r="U366" s="373" t="s">
        <v>280</v>
      </c>
      <c r="V366" s="373">
        <v>6784457</v>
      </c>
      <c r="W366" s="373" t="s">
        <v>1754</v>
      </c>
      <c r="X366" s="369" t="s">
        <v>71</v>
      </c>
      <c r="Y366" s="373" t="s">
        <v>620</v>
      </c>
      <c r="Z366" s="373" t="s">
        <v>280</v>
      </c>
      <c r="AA366" s="375">
        <v>6778837</v>
      </c>
      <c r="AB366" s="375" t="s">
        <v>979</v>
      </c>
      <c r="AC366" s="375" t="s">
        <v>43</v>
      </c>
      <c r="AD366" s="373" t="s">
        <v>758</v>
      </c>
      <c r="AE366" s="373" t="s">
        <v>280</v>
      </c>
      <c r="AF366" s="375">
        <v>6787821</v>
      </c>
      <c r="AG366" s="375" t="s">
        <v>1756</v>
      </c>
      <c r="AH366" s="375" t="s">
        <v>1757</v>
      </c>
      <c r="AI366" s="373" t="s">
        <v>758</v>
      </c>
      <c r="AJ366" s="373" t="s">
        <v>280</v>
      </c>
      <c r="AK366" s="375" t="s">
        <v>942</v>
      </c>
      <c r="AL366" s="375">
        <v>1105210004</v>
      </c>
      <c r="AM366" s="375"/>
      <c r="AN366" s="375"/>
      <c r="AO366" s="375"/>
      <c r="AP366" s="375"/>
      <c r="AQ366" s="375"/>
      <c r="AR366" s="375"/>
      <c r="AS366" s="375"/>
      <c r="AT366" s="375"/>
      <c r="AU366" s="375"/>
      <c r="AV366" s="376"/>
    </row>
    <row r="367" spans="1:48" ht="39.6" hidden="1">
      <c r="A367" s="377" t="s">
        <v>1758</v>
      </c>
      <c r="B367" s="378" t="s">
        <v>1759</v>
      </c>
      <c r="C367" s="378"/>
      <c r="D367" s="75" t="s">
        <v>313</v>
      </c>
      <c r="E367" s="75"/>
      <c r="F367" s="379"/>
      <c r="G367" s="20"/>
      <c r="H367" s="432">
        <v>2023</v>
      </c>
      <c r="I367" s="378" t="s">
        <v>40</v>
      </c>
      <c r="J367" s="380">
        <v>6658545</v>
      </c>
      <c r="K367" s="380" t="s">
        <v>984</v>
      </c>
      <c r="L367" s="380" t="s">
        <v>351</v>
      </c>
      <c r="M367" s="380" t="s">
        <v>280</v>
      </c>
      <c r="N367" s="378" t="s">
        <v>40</v>
      </c>
      <c r="O367" s="380" t="s">
        <v>351</v>
      </c>
      <c r="P367" s="380" t="s">
        <v>280</v>
      </c>
      <c r="Q367" s="380">
        <v>6658545</v>
      </c>
      <c r="R367" s="380" t="s">
        <v>984</v>
      </c>
      <c r="S367" s="378" t="s">
        <v>1760</v>
      </c>
      <c r="T367" s="380" t="s">
        <v>942</v>
      </c>
      <c r="U367" s="380" t="s">
        <v>280</v>
      </c>
      <c r="V367" s="378" t="s">
        <v>942</v>
      </c>
      <c r="W367" s="378" t="s">
        <v>942</v>
      </c>
      <c r="X367" s="378" t="s">
        <v>1761</v>
      </c>
      <c r="Y367" s="94" t="s">
        <v>351</v>
      </c>
      <c r="Z367" s="380" t="s">
        <v>280</v>
      </c>
      <c r="AA367" s="36" t="s">
        <v>942</v>
      </c>
      <c r="AB367" s="36">
        <v>1203190022</v>
      </c>
      <c r="AC367" s="36"/>
      <c r="AD367" s="94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81"/>
    </row>
    <row r="368" spans="1:48" ht="39.6" hidden="1">
      <c r="A368" s="389" t="s">
        <v>1762</v>
      </c>
      <c r="B368" s="369" t="s">
        <v>1763</v>
      </c>
      <c r="C368" s="369"/>
      <c r="D368" s="370" t="s">
        <v>306</v>
      </c>
      <c r="E368" s="370" t="s">
        <v>303</v>
      </c>
      <c r="F368" s="371">
        <v>2023</v>
      </c>
      <c r="G368" s="372">
        <v>2023</v>
      </c>
      <c r="H368" s="431">
        <v>2023</v>
      </c>
      <c r="I368" s="369" t="s">
        <v>443</v>
      </c>
      <c r="J368" s="373" t="s">
        <v>942</v>
      </c>
      <c r="K368" s="373">
        <v>1204181004</v>
      </c>
      <c r="L368" s="373" t="s">
        <v>353</v>
      </c>
      <c r="M368" s="373" t="s">
        <v>280</v>
      </c>
      <c r="N368" s="369" t="s">
        <v>443</v>
      </c>
      <c r="O368" s="373" t="s">
        <v>353</v>
      </c>
      <c r="P368" s="373" t="s">
        <v>280</v>
      </c>
      <c r="Q368" s="373" t="s">
        <v>942</v>
      </c>
      <c r="R368" s="373">
        <v>1204181004</v>
      </c>
      <c r="S368" s="369" t="s">
        <v>17</v>
      </c>
      <c r="T368" s="373" t="s">
        <v>353</v>
      </c>
      <c r="U368" s="373" t="s">
        <v>280</v>
      </c>
      <c r="V368" s="375">
        <v>6680648</v>
      </c>
      <c r="W368" s="375" t="s">
        <v>1036</v>
      </c>
      <c r="X368" s="369" t="s">
        <v>39</v>
      </c>
      <c r="Y368" s="373" t="s">
        <v>353</v>
      </c>
      <c r="Z368" s="373" t="s">
        <v>280</v>
      </c>
      <c r="AA368" s="375">
        <v>6801883</v>
      </c>
      <c r="AB368" s="375" t="s">
        <v>1751</v>
      </c>
      <c r="AC368" s="375"/>
      <c r="AD368" s="374"/>
      <c r="AE368" s="375"/>
      <c r="AF368" s="375"/>
      <c r="AG368" s="375"/>
      <c r="AH368" s="375"/>
      <c r="AI368" s="375"/>
      <c r="AJ368" s="375"/>
      <c r="AK368" s="375"/>
      <c r="AL368" s="375"/>
      <c r="AM368" s="375"/>
      <c r="AN368" s="375"/>
      <c r="AO368" s="375"/>
      <c r="AP368" s="375"/>
      <c r="AQ368" s="375"/>
      <c r="AR368" s="375"/>
      <c r="AS368" s="375"/>
      <c r="AT368" s="375"/>
      <c r="AU368" s="375"/>
      <c r="AV368" s="376"/>
    </row>
    <row r="369" spans="1:48" ht="39.6" hidden="1">
      <c r="A369" s="390" t="s">
        <v>1764</v>
      </c>
      <c r="B369" s="378" t="s">
        <v>1765</v>
      </c>
      <c r="C369" s="378"/>
      <c r="D369" s="75" t="s">
        <v>302</v>
      </c>
      <c r="E369" s="75" t="s">
        <v>303</v>
      </c>
      <c r="F369" s="379">
        <v>2023</v>
      </c>
      <c r="G369" s="20">
        <v>2023</v>
      </c>
      <c r="H369" s="432">
        <v>2023</v>
      </c>
      <c r="I369" s="378" t="s">
        <v>39</v>
      </c>
      <c r="J369" s="36">
        <v>6801883</v>
      </c>
      <c r="K369" s="36" t="s">
        <v>1751</v>
      </c>
      <c r="L369" s="380" t="s">
        <v>353</v>
      </c>
      <c r="M369" s="380" t="s">
        <v>280</v>
      </c>
      <c r="N369" s="378" t="s">
        <v>39</v>
      </c>
      <c r="O369" s="380" t="s">
        <v>353</v>
      </c>
      <c r="P369" s="380" t="s">
        <v>280</v>
      </c>
      <c r="Q369" s="36">
        <v>6801883</v>
      </c>
      <c r="R369" s="36" t="s">
        <v>1751</v>
      </c>
      <c r="S369" s="378" t="s">
        <v>28</v>
      </c>
      <c r="T369" s="380" t="s">
        <v>353</v>
      </c>
      <c r="U369" s="380" t="s">
        <v>280</v>
      </c>
      <c r="V369" s="378">
        <v>6665306</v>
      </c>
      <c r="W369" s="378" t="s">
        <v>1727</v>
      </c>
      <c r="X369" s="378" t="s">
        <v>1766</v>
      </c>
      <c r="Y369" s="380" t="s">
        <v>353</v>
      </c>
      <c r="Z369" s="380" t="s">
        <v>280</v>
      </c>
      <c r="AA369" s="36" t="s">
        <v>942</v>
      </c>
      <c r="AB369" s="36" t="s">
        <v>942</v>
      </c>
      <c r="AC369" s="36" t="s">
        <v>1551</v>
      </c>
      <c r="AD369" s="380" t="s">
        <v>353</v>
      </c>
      <c r="AE369" s="380" t="s">
        <v>280</v>
      </c>
      <c r="AF369" s="36" t="s">
        <v>942</v>
      </c>
      <c r="AG369" s="36" t="s">
        <v>942</v>
      </c>
      <c r="AH369" s="36" t="s">
        <v>1767</v>
      </c>
      <c r="AI369" s="380" t="s">
        <v>353</v>
      </c>
      <c r="AJ369" s="380" t="s">
        <v>280</v>
      </c>
      <c r="AK369" s="36" t="s">
        <v>942</v>
      </c>
      <c r="AL369" s="36" t="s">
        <v>942</v>
      </c>
      <c r="AM369" s="36"/>
      <c r="AN369" s="36"/>
      <c r="AO369" s="36"/>
      <c r="AP369" s="36"/>
      <c r="AQ369" s="36"/>
      <c r="AR369" s="36"/>
      <c r="AS369" s="36"/>
      <c r="AT369" s="36"/>
      <c r="AU369" s="36"/>
      <c r="AV369" s="381"/>
    </row>
    <row r="370" spans="1:48" ht="26.4" hidden="1">
      <c r="A370" s="389" t="s">
        <v>1768</v>
      </c>
      <c r="B370" s="369" t="s">
        <v>1769</v>
      </c>
      <c r="C370" s="369"/>
      <c r="D370" s="370" t="s">
        <v>416</v>
      </c>
      <c r="E370" s="370"/>
      <c r="F370" s="371">
        <v>2023</v>
      </c>
      <c r="G370" s="372">
        <v>2023</v>
      </c>
      <c r="H370" s="431">
        <v>2023</v>
      </c>
      <c r="I370" s="375" t="s">
        <v>545</v>
      </c>
      <c r="J370" s="373" t="s">
        <v>942</v>
      </c>
      <c r="K370" s="373" t="s">
        <v>942</v>
      </c>
      <c r="L370" s="373" t="s">
        <v>942</v>
      </c>
      <c r="M370" s="373" t="s">
        <v>541</v>
      </c>
      <c r="N370" s="369" t="s">
        <v>77</v>
      </c>
      <c r="O370" s="373" t="s">
        <v>309</v>
      </c>
      <c r="P370" s="373" t="s">
        <v>280</v>
      </c>
      <c r="Q370" s="373">
        <v>6680631</v>
      </c>
      <c r="R370" s="373" t="s">
        <v>1770</v>
      </c>
      <c r="S370" s="369" t="s">
        <v>1771</v>
      </c>
      <c r="T370" s="373" t="s">
        <v>942</v>
      </c>
      <c r="U370" s="373" t="s">
        <v>541</v>
      </c>
      <c r="V370" s="369" t="s">
        <v>942</v>
      </c>
      <c r="W370" s="369" t="s">
        <v>942</v>
      </c>
      <c r="X370" s="369" t="s">
        <v>540</v>
      </c>
      <c r="Y370" s="374" t="s">
        <v>942</v>
      </c>
      <c r="Z370" s="373" t="s">
        <v>541</v>
      </c>
      <c r="AA370" s="375" t="s">
        <v>942</v>
      </c>
      <c r="AB370" s="375" t="s">
        <v>942</v>
      </c>
      <c r="AC370" s="375" t="s">
        <v>1187</v>
      </c>
      <c r="AD370" s="374" t="s">
        <v>942</v>
      </c>
      <c r="AE370" s="373" t="s">
        <v>541</v>
      </c>
      <c r="AF370" s="375" t="s">
        <v>942</v>
      </c>
      <c r="AG370" s="375" t="s">
        <v>942</v>
      </c>
      <c r="AH370" s="375" t="s">
        <v>543</v>
      </c>
      <c r="AI370" s="375" t="s">
        <v>942</v>
      </c>
      <c r="AJ370" s="373" t="s">
        <v>541</v>
      </c>
      <c r="AK370" s="375" t="s">
        <v>942</v>
      </c>
      <c r="AL370" s="375" t="s">
        <v>942</v>
      </c>
      <c r="AM370" s="375" t="s">
        <v>544</v>
      </c>
      <c r="AN370" s="375" t="s">
        <v>942</v>
      </c>
      <c r="AO370" s="373" t="s">
        <v>541</v>
      </c>
      <c r="AP370" s="375" t="s">
        <v>942</v>
      </c>
      <c r="AQ370" s="375" t="s">
        <v>942</v>
      </c>
      <c r="AR370" s="375" t="s">
        <v>545</v>
      </c>
      <c r="AS370" s="375" t="s">
        <v>942</v>
      </c>
      <c r="AT370" s="373" t="s">
        <v>541</v>
      </c>
      <c r="AU370" s="375" t="s">
        <v>942</v>
      </c>
      <c r="AV370" s="376" t="s">
        <v>942</v>
      </c>
    </row>
    <row r="371" spans="1:48" ht="26.4" hidden="1">
      <c r="A371" s="390" t="s">
        <v>1772</v>
      </c>
      <c r="B371" s="378" t="s">
        <v>1773</v>
      </c>
      <c r="C371" s="378"/>
      <c r="D371" s="75" t="s">
        <v>321</v>
      </c>
      <c r="E371" s="75" t="s">
        <v>303</v>
      </c>
      <c r="F371" s="379">
        <v>2023</v>
      </c>
      <c r="G371" s="20">
        <v>2023</v>
      </c>
      <c r="H371" s="432">
        <v>2023</v>
      </c>
      <c r="I371" s="378" t="s">
        <v>186</v>
      </c>
      <c r="J371" s="380">
        <v>6006395</v>
      </c>
      <c r="K371" s="380" t="s">
        <v>1774</v>
      </c>
      <c r="L371" s="380" t="s">
        <v>449</v>
      </c>
      <c r="M371" s="380" t="s">
        <v>280</v>
      </c>
      <c r="N371" s="378" t="s">
        <v>186</v>
      </c>
      <c r="O371" s="380" t="s">
        <v>449</v>
      </c>
      <c r="P371" s="380" t="s">
        <v>280</v>
      </c>
      <c r="Q371" s="380">
        <v>6006395</v>
      </c>
      <c r="R371" s="380" t="s">
        <v>1774</v>
      </c>
      <c r="S371" s="378"/>
      <c r="T371" s="380"/>
      <c r="U371" s="378"/>
      <c r="V371" s="378"/>
      <c r="W371" s="378"/>
      <c r="X371" s="378"/>
      <c r="Y371" s="94"/>
      <c r="Z371" s="36"/>
      <c r="AA371" s="36"/>
      <c r="AB371" s="36"/>
      <c r="AC371" s="36"/>
      <c r="AD371" s="94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81"/>
    </row>
    <row r="372" spans="1:48" ht="26.4" hidden="1">
      <c r="A372" s="389" t="s">
        <v>1775</v>
      </c>
      <c r="B372" s="369" t="s">
        <v>1776</v>
      </c>
      <c r="C372" s="369"/>
      <c r="D372" s="370" t="s">
        <v>374</v>
      </c>
      <c r="E372" s="370" t="s">
        <v>303</v>
      </c>
      <c r="F372" s="371">
        <v>2023</v>
      </c>
      <c r="G372" s="372">
        <v>2023</v>
      </c>
      <c r="H372" s="431">
        <v>2023</v>
      </c>
      <c r="I372" s="369"/>
      <c r="J372" s="373"/>
      <c r="K372" s="373"/>
      <c r="L372" s="373"/>
      <c r="M372" s="373"/>
      <c r="N372" s="369" t="s">
        <v>1777</v>
      </c>
      <c r="O372" s="373" t="s">
        <v>162</v>
      </c>
      <c r="P372" s="373" t="s">
        <v>280</v>
      </c>
      <c r="Q372" s="373" t="s">
        <v>942</v>
      </c>
      <c r="R372" s="373">
        <v>1201102009</v>
      </c>
      <c r="S372" s="369" t="s">
        <v>89</v>
      </c>
      <c r="T372" s="373" t="s">
        <v>162</v>
      </c>
      <c r="U372" s="373" t="s">
        <v>280</v>
      </c>
      <c r="V372" s="369">
        <v>6680628</v>
      </c>
      <c r="W372" s="369" t="s">
        <v>1007</v>
      </c>
      <c r="X372" s="369" t="s">
        <v>1778</v>
      </c>
      <c r="Y372" s="373" t="s">
        <v>162</v>
      </c>
      <c r="Z372" s="373" t="s">
        <v>280</v>
      </c>
      <c r="AA372" s="375">
        <v>6680698</v>
      </c>
      <c r="AB372" s="375" t="s">
        <v>1002</v>
      </c>
      <c r="AC372" s="375"/>
      <c r="AD372" s="374"/>
      <c r="AE372" s="375"/>
      <c r="AF372" s="375"/>
      <c r="AG372" s="375"/>
      <c r="AH372" s="375"/>
      <c r="AI372" s="375"/>
      <c r="AJ372" s="375"/>
      <c r="AK372" s="375"/>
      <c r="AL372" s="375"/>
      <c r="AM372" s="375"/>
      <c r="AN372" s="375"/>
      <c r="AO372" s="375"/>
      <c r="AP372" s="375"/>
      <c r="AQ372" s="375"/>
      <c r="AR372" s="375"/>
      <c r="AS372" s="375"/>
      <c r="AT372" s="375"/>
      <c r="AU372" s="375"/>
      <c r="AV372" s="376"/>
    </row>
    <row r="373" spans="1:48" ht="39.6" hidden="1">
      <c r="A373" s="390" t="s">
        <v>1779</v>
      </c>
      <c r="B373" s="378" t="s">
        <v>1780</v>
      </c>
      <c r="C373" s="378"/>
      <c r="D373" s="75" t="s">
        <v>277</v>
      </c>
      <c r="E373" s="75"/>
      <c r="F373" s="379"/>
      <c r="G373" s="20"/>
      <c r="H373" s="432">
        <v>2023</v>
      </c>
      <c r="I373" s="378" t="s">
        <v>108</v>
      </c>
      <c r="J373" s="380">
        <v>6724784</v>
      </c>
      <c r="K373" s="380" t="s">
        <v>1781</v>
      </c>
      <c r="L373" s="380" t="s">
        <v>494</v>
      </c>
      <c r="M373" s="380" t="s">
        <v>280</v>
      </c>
      <c r="N373" s="378" t="s">
        <v>108</v>
      </c>
      <c r="O373" s="380" t="s">
        <v>494</v>
      </c>
      <c r="P373" s="380" t="s">
        <v>280</v>
      </c>
      <c r="Q373" s="380">
        <v>6724784</v>
      </c>
      <c r="R373" s="380" t="s">
        <v>1781</v>
      </c>
      <c r="S373" s="378" t="s">
        <v>23</v>
      </c>
      <c r="T373" s="380" t="s">
        <v>494</v>
      </c>
      <c r="U373" s="380" t="s">
        <v>280</v>
      </c>
      <c r="V373" s="378">
        <v>6680625</v>
      </c>
      <c r="W373" s="378" t="s">
        <v>1782</v>
      </c>
      <c r="X373" s="378"/>
      <c r="Y373" s="94"/>
      <c r="Z373" s="36"/>
      <c r="AA373" s="36"/>
      <c r="AB373" s="36"/>
      <c r="AC373" s="36"/>
      <c r="AD373" s="94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81"/>
    </row>
    <row r="374" spans="1:48" ht="28.8" hidden="1">
      <c r="A374" s="389" t="s">
        <v>1783</v>
      </c>
      <c r="B374" s="369" t="s">
        <v>1784</v>
      </c>
      <c r="C374" s="369"/>
      <c r="D374" s="370" t="s">
        <v>528</v>
      </c>
      <c r="E374" s="370" t="s">
        <v>1122</v>
      </c>
      <c r="F374" s="371">
        <v>2023</v>
      </c>
      <c r="G374" s="372">
        <v>2023</v>
      </c>
      <c r="H374" s="431">
        <v>2023</v>
      </c>
      <c r="I374" s="369" t="s">
        <v>484</v>
      </c>
      <c r="J374" s="373">
        <v>6005015</v>
      </c>
      <c r="K374" s="373" t="s">
        <v>955</v>
      </c>
      <c r="L374" s="373" t="s">
        <v>279</v>
      </c>
      <c r="M374" s="373" t="s">
        <v>420</v>
      </c>
      <c r="N374" s="375" t="s">
        <v>19</v>
      </c>
      <c r="O374" s="373" t="s">
        <v>309</v>
      </c>
      <c r="P374" s="373" t="s">
        <v>280</v>
      </c>
      <c r="Q374" s="373">
        <v>6680612</v>
      </c>
      <c r="R374" s="373" t="s">
        <v>1785</v>
      </c>
      <c r="S374" s="369" t="s">
        <v>1786</v>
      </c>
      <c r="T374" s="373" t="s">
        <v>1787</v>
      </c>
      <c r="U374" s="373" t="s">
        <v>420</v>
      </c>
      <c r="V374" s="369">
        <v>6165227</v>
      </c>
      <c r="W374" s="369" t="s">
        <v>961</v>
      </c>
      <c r="X374" s="369" t="s">
        <v>1788</v>
      </c>
      <c r="Y374" s="374" t="s">
        <v>309</v>
      </c>
      <c r="Z374" s="373" t="s">
        <v>420</v>
      </c>
      <c r="AA374" s="375">
        <v>5986157</v>
      </c>
      <c r="AB374" s="375" t="s">
        <v>1708</v>
      </c>
      <c r="AC374" s="375" t="s">
        <v>1789</v>
      </c>
      <c r="AD374" s="374" t="s">
        <v>351</v>
      </c>
      <c r="AE374" s="374" t="s">
        <v>641</v>
      </c>
      <c r="AF374" s="375">
        <v>6673571</v>
      </c>
      <c r="AG374" s="375" t="s">
        <v>1790</v>
      </c>
      <c r="AH374" s="375" t="s">
        <v>1791</v>
      </c>
      <c r="AI374" s="373" t="s">
        <v>279</v>
      </c>
      <c r="AJ374" s="373" t="s">
        <v>420</v>
      </c>
      <c r="AK374" s="375">
        <v>6005015</v>
      </c>
      <c r="AL374" s="375" t="s">
        <v>955</v>
      </c>
      <c r="AM374" s="375"/>
      <c r="AN374" s="375"/>
      <c r="AO374" s="375"/>
      <c r="AP374" s="375"/>
      <c r="AQ374" s="375"/>
      <c r="AR374" s="375"/>
      <c r="AS374" s="375"/>
      <c r="AT374" s="375"/>
      <c r="AU374" s="375"/>
      <c r="AV374" s="376"/>
    </row>
    <row r="375" spans="1:48" ht="26.4" hidden="1">
      <c r="A375" s="390" t="s">
        <v>1792</v>
      </c>
      <c r="B375" s="378" t="s">
        <v>1793</v>
      </c>
      <c r="C375" s="378"/>
      <c r="D375" s="75" t="s">
        <v>321</v>
      </c>
      <c r="E375" s="75" t="s">
        <v>303</v>
      </c>
      <c r="F375" s="379">
        <v>2023</v>
      </c>
      <c r="G375" s="20">
        <v>2023</v>
      </c>
      <c r="H375" s="432">
        <v>2023</v>
      </c>
      <c r="I375" s="378" t="s">
        <v>92</v>
      </c>
      <c r="J375" s="380">
        <v>6680641</v>
      </c>
      <c r="K375" s="380" t="s">
        <v>1794</v>
      </c>
      <c r="L375" s="380" t="s">
        <v>279</v>
      </c>
      <c r="M375" s="380" t="s">
        <v>280</v>
      </c>
      <c r="N375" s="378" t="s">
        <v>92</v>
      </c>
      <c r="O375" s="380" t="s">
        <v>279</v>
      </c>
      <c r="P375" s="380" t="s">
        <v>280</v>
      </c>
      <c r="Q375" s="380">
        <v>6680641</v>
      </c>
      <c r="R375" s="380" t="s">
        <v>1794</v>
      </c>
      <c r="S375" s="378" t="s">
        <v>1795</v>
      </c>
      <c r="T375" s="380" t="s">
        <v>279</v>
      </c>
      <c r="U375" s="380" t="s">
        <v>280</v>
      </c>
      <c r="V375" s="378" t="s">
        <v>942</v>
      </c>
      <c r="W375" s="378">
        <v>1102180003</v>
      </c>
      <c r="X375" s="378"/>
      <c r="Y375" s="94"/>
      <c r="Z375" s="36"/>
      <c r="AA375" s="36"/>
      <c r="AB375" s="36"/>
      <c r="AC375" s="36"/>
      <c r="AD375" s="94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81"/>
    </row>
    <row r="376" spans="1:48" ht="52.8" hidden="1">
      <c r="A376" s="389" t="s">
        <v>1796</v>
      </c>
      <c r="B376" s="369" t="s">
        <v>1797</v>
      </c>
      <c r="C376" s="369"/>
      <c r="D376" s="370" t="s">
        <v>416</v>
      </c>
      <c r="E376" s="370" t="s">
        <v>1122</v>
      </c>
      <c r="F376" s="371">
        <v>2023</v>
      </c>
      <c r="G376" s="372">
        <v>2023</v>
      </c>
      <c r="H376" s="431">
        <v>2023</v>
      </c>
      <c r="I376" s="369" t="s">
        <v>1798</v>
      </c>
      <c r="J376" s="373" t="s">
        <v>942</v>
      </c>
      <c r="K376" s="373" t="s">
        <v>942</v>
      </c>
      <c r="L376" s="373" t="s">
        <v>942</v>
      </c>
      <c r="M376" s="373" t="s">
        <v>1799</v>
      </c>
      <c r="N376" s="369" t="s">
        <v>1798</v>
      </c>
      <c r="O376" s="373" t="s">
        <v>942</v>
      </c>
      <c r="P376" s="373" t="s">
        <v>1799</v>
      </c>
      <c r="Q376" s="373" t="s">
        <v>942</v>
      </c>
      <c r="R376" s="373" t="s">
        <v>942</v>
      </c>
      <c r="S376" s="369" t="s">
        <v>1800</v>
      </c>
      <c r="T376" s="373" t="s">
        <v>1801</v>
      </c>
      <c r="U376" s="373" t="s">
        <v>1799</v>
      </c>
      <c r="V376" s="369">
        <v>6000935</v>
      </c>
      <c r="W376" s="369" t="s">
        <v>1802</v>
      </c>
      <c r="X376" s="369" t="s">
        <v>1803</v>
      </c>
      <c r="Y376" s="374" t="s">
        <v>1804</v>
      </c>
      <c r="Z376" s="373" t="s">
        <v>1799</v>
      </c>
      <c r="AA376" s="375" t="s">
        <v>942</v>
      </c>
      <c r="AB376" s="375" t="s">
        <v>1805</v>
      </c>
      <c r="AC376" s="369" t="s">
        <v>92</v>
      </c>
      <c r="AD376" s="373" t="s">
        <v>279</v>
      </c>
      <c r="AE376" s="373" t="s">
        <v>280</v>
      </c>
      <c r="AF376" s="373">
        <v>6680641</v>
      </c>
      <c r="AG376" s="373" t="s">
        <v>1794</v>
      </c>
      <c r="AH376" s="375"/>
      <c r="AI376" s="375"/>
      <c r="AJ376" s="375"/>
      <c r="AK376" s="375"/>
      <c r="AL376" s="375"/>
      <c r="AM376" s="375"/>
      <c r="AN376" s="375"/>
      <c r="AO376" s="375"/>
      <c r="AP376" s="375"/>
      <c r="AQ376" s="375"/>
      <c r="AR376" s="375"/>
      <c r="AS376" s="375"/>
      <c r="AT376" s="375"/>
      <c r="AU376" s="375"/>
      <c r="AV376" s="376"/>
    </row>
    <row r="377" spans="1:48" ht="26.4" hidden="1">
      <c r="A377" s="390" t="s">
        <v>1806</v>
      </c>
      <c r="B377" s="378" t="s">
        <v>1807</v>
      </c>
      <c r="C377" s="378"/>
      <c r="D377" s="75" t="s">
        <v>321</v>
      </c>
      <c r="E377" s="75" t="s">
        <v>303</v>
      </c>
      <c r="F377" s="379">
        <v>2023</v>
      </c>
      <c r="G377" s="20">
        <v>2023</v>
      </c>
      <c r="H377" s="432">
        <v>2023</v>
      </c>
      <c r="I377" s="378" t="s">
        <v>1808</v>
      </c>
      <c r="J377" s="380">
        <v>6732129</v>
      </c>
      <c r="K377" s="380" t="s">
        <v>1809</v>
      </c>
      <c r="L377" s="380" t="s">
        <v>1810</v>
      </c>
      <c r="M377" s="380" t="s">
        <v>366</v>
      </c>
      <c r="N377" s="378" t="s">
        <v>1808</v>
      </c>
      <c r="O377" s="380" t="s">
        <v>1810</v>
      </c>
      <c r="P377" s="380" t="s">
        <v>366</v>
      </c>
      <c r="Q377" s="380">
        <v>6732129</v>
      </c>
      <c r="R377" s="380" t="s">
        <v>1809</v>
      </c>
      <c r="S377" s="378" t="s">
        <v>1811</v>
      </c>
      <c r="T377" s="380" t="s">
        <v>494</v>
      </c>
      <c r="U377" s="380" t="s">
        <v>366</v>
      </c>
      <c r="V377" s="378">
        <v>6742842</v>
      </c>
      <c r="W377" s="378" t="s">
        <v>1812</v>
      </c>
      <c r="X377" s="378" t="s">
        <v>1813</v>
      </c>
      <c r="Y377" s="94" t="s">
        <v>494</v>
      </c>
      <c r="Z377" s="380" t="s">
        <v>366</v>
      </c>
      <c r="AA377" s="36" t="s">
        <v>942</v>
      </c>
      <c r="AB377" s="36">
        <v>19101133</v>
      </c>
      <c r="AC377" s="36" t="s">
        <v>12</v>
      </c>
      <c r="AD377" s="380" t="s">
        <v>309</v>
      </c>
      <c r="AE377" s="380" t="s">
        <v>280</v>
      </c>
      <c r="AF377" s="380">
        <v>6680651</v>
      </c>
      <c r="AG377" s="380" t="s">
        <v>1016</v>
      </c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81"/>
    </row>
    <row r="378" spans="1:48" ht="39.6" hidden="1">
      <c r="A378" s="391" t="s">
        <v>1814</v>
      </c>
      <c r="B378" s="382" t="s">
        <v>1815</v>
      </c>
      <c r="C378" s="382"/>
      <c r="D378" s="383" t="s">
        <v>528</v>
      </c>
      <c r="E378" s="383" t="s">
        <v>1122</v>
      </c>
      <c r="F378" s="384"/>
      <c r="G378" s="214"/>
      <c r="H378" s="434">
        <v>2023</v>
      </c>
      <c r="I378" s="214"/>
      <c r="J378" s="214"/>
      <c r="K378" s="214"/>
      <c r="L378" s="214"/>
      <c r="M378" s="214"/>
      <c r="N378" s="382" t="s">
        <v>77</v>
      </c>
      <c r="O378" s="385"/>
      <c r="P378" s="385"/>
      <c r="Q378" s="385" t="s">
        <v>155</v>
      </c>
      <c r="R378" s="385" t="s">
        <v>280</v>
      </c>
      <c r="S378" s="382"/>
      <c r="T378" s="385"/>
      <c r="U378" s="382"/>
      <c r="V378" s="382"/>
      <c r="W378" s="382"/>
      <c r="X378" s="382"/>
      <c r="Y378" s="386"/>
      <c r="Z378" s="387"/>
      <c r="AA378" s="387"/>
      <c r="AB378" s="387"/>
      <c r="AC378" s="387"/>
      <c r="AD378" s="386"/>
      <c r="AE378" s="387"/>
      <c r="AF378" s="387"/>
      <c r="AG378" s="387"/>
      <c r="AH378" s="387"/>
      <c r="AI378" s="387"/>
      <c r="AJ378" s="387"/>
      <c r="AK378" s="387"/>
      <c r="AL378" s="387"/>
      <c r="AM378" s="387"/>
      <c r="AN378" s="387"/>
      <c r="AO378" s="387"/>
      <c r="AP378" s="387"/>
      <c r="AQ378" s="387"/>
      <c r="AR378" s="387"/>
      <c r="AS378" s="387"/>
      <c r="AT378" s="387"/>
      <c r="AU378" s="387"/>
      <c r="AV378" s="388"/>
    </row>
    <row r="379" spans="1:48" ht="28.8" hidden="1">
      <c r="A379" s="390" t="s">
        <v>1816</v>
      </c>
      <c r="B379" s="378" t="s">
        <v>1817</v>
      </c>
      <c r="C379" s="378"/>
      <c r="D379" s="35" t="s">
        <v>395</v>
      </c>
      <c r="E379" s="35"/>
      <c r="F379" s="379"/>
      <c r="G379" s="20"/>
      <c r="H379" s="432">
        <v>2023</v>
      </c>
      <c r="I379" s="36"/>
      <c r="J379" s="380"/>
      <c r="K379" s="380"/>
      <c r="L379" s="380"/>
      <c r="M379" s="94"/>
      <c r="N379" s="378" t="s">
        <v>1818</v>
      </c>
      <c r="O379" s="380" t="s">
        <v>942</v>
      </c>
      <c r="P379" s="380" t="s">
        <v>280</v>
      </c>
      <c r="Q379" s="380" t="s">
        <v>942</v>
      </c>
      <c r="R379" s="380" t="s">
        <v>942</v>
      </c>
      <c r="S379" s="378" t="s">
        <v>1819</v>
      </c>
      <c r="T379" s="380" t="s">
        <v>449</v>
      </c>
      <c r="U379" s="380" t="s">
        <v>280</v>
      </c>
      <c r="V379" s="378" t="s">
        <v>942</v>
      </c>
      <c r="W379" s="378">
        <v>1202200015</v>
      </c>
      <c r="X379" s="378" t="s">
        <v>1820</v>
      </c>
      <c r="Y379" s="94" t="s">
        <v>449</v>
      </c>
      <c r="Z379" s="380" t="s">
        <v>280</v>
      </c>
      <c r="AA379" s="36" t="s">
        <v>942</v>
      </c>
      <c r="AB379" s="36">
        <v>1202200021</v>
      </c>
      <c r="AC379" s="36" t="s">
        <v>134</v>
      </c>
      <c r="AD379" s="380" t="s">
        <v>449</v>
      </c>
      <c r="AE379" s="380" t="s">
        <v>280</v>
      </c>
      <c r="AF379" s="36">
        <v>6801945</v>
      </c>
      <c r="AG379" s="36" t="s">
        <v>1723</v>
      </c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81"/>
    </row>
    <row r="380" spans="1:48" ht="26.4" hidden="1">
      <c r="A380" s="390" t="s">
        <v>1821</v>
      </c>
      <c r="B380" s="378" t="s">
        <v>1822</v>
      </c>
      <c r="C380" s="378"/>
      <c r="D380" s="75" t="s">
        <v>568</v>
      </c>
      <c r="E380" s="75" t="s">
        <v>1122</v>
      </c>
      <c r="F380" s="379"/>
      <c r="G380" s="20"/>
      <c r="H380" s="432">
        <v>2023</v>
      </c>
      <c r="I380" s="378" t="s">
        <v>167</v>
      </c>
      <c r="J380" s="380"/>
      <c r="K380" s="380"/>
      <c r="L380" s="380"/>
      <c r="M380" s="380"/>
      <c r="N380" s="378" t="s">
        <v>167</v>
      </c>
      <c r="O380" s="380"/>
      <c r="P380" s="380"/>
      <c r="Q380" s="380"/>
      <c r="R380" s="380"/>
      <c r="S380" s="378" t="s">
        <v>1823</v>
      </c>
      <c r="T380" s="380"/>
      <c r="U380" s="378"/>
      <c r="V380" s="378"/>
      <c r="W380" s="378"/>
      <c r="X380" s="378" t="s">
        <v>1824</v>
      </c>
      <c r="Y380" s="94"/>
      <c r="Z380" s="36"/>
      <c r="AA380" s="36"/>
      <c r="AB380" s="36"/>
      <c r="AC380" s="36" t="s">
        <v>1825</v>
      </c>
      <c r="AD380" s="94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81"/>
    </row>
    <row r="381" spans="1:48" hidden="1">
      <c r="A381" s="390" t="s">
        <v>1826</v>
      </c>
      <c r="B381" s="378" t="s">
        <v>1827</v>
      </c>
      <c r="C381" s="378"/>
      <c r="D381" s="75" t="s">
        <v>416</v>
      </c>
      <c r="E381" s="75" t="s">
        <v>1122</v>
      </c>
      <c r="F381" s="379">
        <v>2023</v>
      </c>
      <c r="G381" s="20">
        <v>2023</v>
      </c>
      <c r="H381" s="432">
        <v>2023</v>
      </c>
      <c r="I381" s="378"/>
      <c r="J381" s="380"/>
      <c r="K381" s="380"/>
      <c r="L381" s="380"/>
      <c r="M381" s="380"/>
      <c r="N381" s="378" t="s">
        <v>564</v>
      </c>
      <c r="O381" s="380" t="s">
        <v>279</v>
      </c>
      <c r="P381" s="380" t="s">
        <v>565</v>
      </c>
      <c r="Q381" s="380">
        <v>5988077</v>
      </c>
      <c r="R381" s="380" t="s">
        <v>1828</v>
      </c>
      <c r="S381" s="378" t="s">
        <v>12</v>
      </c>
      <c r="T381" s="380" t="s">
        <v>309</v>
      </c>
      <c r="U381" s="380" t="s">
        <v>280</v>
      </c>
      <c r="V381" s="380">
        <v>6680651</v>
      </c>
      <c r="W381" s="380" t="s">
        <v>1016</v>
      </c>
      <c r="X381" s="378"/>
      <c r="Y381" s="94"/>
      <c r="Z381" s="36"/>
      <c r="AA381" s="36"/>
      <c r="AB381" s="36"/>
      <c r="AC381" s="36"/>
      <c r="AD381" s="94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81"/>
    </row>
    <row r="382" spans="1:48" ht="39.6" hidden="1">
      <c r="A382" s="389" t="s">
        <v>1829</v>
      </c>
      <c r="B382" s="369" t="s">
        <v>1830</v>
      </c>
      <c r="C382" s="369"/>
      <c r="D382" s="370" t="s">
        <v>528</v>
      </c>
      <c r="E382" s="370" t="s">
        <v>1122</v>
      </c>
      <c r="F382" s="371">
        <v>2022</v>
      </c>
      <c r="G382" s="372">
        <v>2023</v>
      </c>
      <c r="H382" s="431">
        <v>2023</v>
      </c>
      <c r="I382" s="369" t="s">
        <v>12</v>
      </c>
      <c r="J382" s="373">
        <v>6680651</v>
      </c>
      <c r="K382" s="373" t="s">
        <v>1016</v>
      </c>
      <c r="L382" s="373" t="s">
        <v>309</v>
      </c>
      <c r="M382" s="373" t="s">
        <v>280</v>
      </c>
      <c r="N382" s="369" t="s">
        <v>12</v>
      </c>
      <c r="O382" s="373" t="s">
        <v>309</v>
      </c>
      <c r="P382" s="373" t="s">
        <v>280</v>
      </c>
      <c r="Q382" s="373">
        <v>6680651</v>
      </c>
      <c r="R382" s="373" t="s">
        <v>1016</v>
      </c>
      <c r="S382" s="369" t="s">
        <v>28</v>
      </c>
      <c r="T382" s="373" t="s">
        <v>353</v>
      </c>
      <c r="U382" s="373" t="s">
        <v>280</v>
      </c>
      <c r="V382" s="369">
        <v>6665306</v>
      </c>
      <c r="W382" s="369" t="s">
        <v>1727</v>
      </c>
      <c r="X382" s="369" t="s">
        <v>168</v>
      </c>
      <c r="Y382" s="374" t="s">
        <v>942</v>
      </c>
      <c r="Z382" s="375" t="s">
        <v>823</v>
      </c>
      <c r="AA382" s="375" t="s">
        <v>942</v>
      </c>
      <c r="AB382" s="375" t="s">
        <v>942</v>
      </c>
      <c r="AC382" s="375" t="s">
        <v>586</v>
      </c>
      <c r="AD382" s="374" t="s">
        <v>942</v>
      </c>
      <c r="AE382" s="375" t="s">
        <v>1831</v>
      </c>
      <c r="AF382" s="375" t="s">
        <v>942</v>
      </c>
      <c r="AG382" s="375" t="s">
        <v>942</v>
      </c>
      <c r="AH382" s="375" t="s">
        <v>1832</v>
      </c>
      <c r="AI382" s="375" t="s">
        <v>942</v>
      </c>
      <c r="AJ382" s="375" t="s">
        <v>1266</v>
      </c>
      <c r="AK382" s="375" t="s">
        <v>942</v>
      </c>
      <c r="AL382" s="375" t="s">
        <v>942</v>
      </c>
      <c r="AM382" s="375"/>
      <c r="AN382" s="375"/>
      <c r="AO382" s="375"/>
      <c r="AP382" s="375"/>
      <c r="AQ382" s="375"/>
      <c r="AR382" s="375"/>
      <c r="AS382" s="375"/>
      <c r="AT382" s="375"/>
      <c r="AU382" s="375"/>
      <c r="AV382" s="376"/>
    </row>
    <row r="383" spans="1:48" ht="26.4" hidden="1">
      <c r="A383" s="390" t="s">
        <v>1833</v>
      </c>
      <c r="B383" s="378" t="s">
        <v>1834</v>
      </c>
      <c r="C383" s="378"/>
      <c r="D383" s="75" t="s">
        <v>374</v>
      </c>
      <c r="E383" s="75" t="s">
        <v>303</v>
      </c>
      <c r="F383" s="379">
        <v>2023</v>
      </c>
      <c r="G383" s="20">
        <v>2023</v>
      </c>
      <c r="H383" s="432">
        <v>2023</v>
      </c>
      <c r="I383" s="378" t="s">
        <v>6</v>
      </c>
      <c r="J383" s="380">
        <v>6681051</v>
      </c>
      <c r="K383" s="380" t="s">
        <v>1657</v>
      </c>
      <c r="L383" s="380" t="s">
        <v>351</v>
      </c>
      <c r="M383" s="380" t="s">
        <v>280</v>
      </c>
      <c r="N383" s="378" t="s">
        <v>1835</v>
      </c>
      <c r="O383" s="380" t="s">
        <v>351</v>
      </c>
      <c r="P383" s="380" t="s">
        <v>280</v>
      </c>
      <c r="Q383" s="380" t="s">
        <v>942</v>
      </c>
      <c r="R383" s="380">
        <v>1203190023</v>
      </c>
      <c r="S383" s="378" t="s">
        <v>6</v>
      </c>
      <c r="T383" s="380" t="s">
        <v>351</v>
      </c>
      <c r="U383" s="380" t="s">
        <v>280</v>
      </c>
      <c r="V383" s="380">
        <v>6681051</v>
      </c>
      <c r="W383" s="380" t="s">
        <v>1657</v>
      </c>
      <c r="X383" s="378"/>
      <c r="Y383" s="94"/>
      <c r="Z383" s="36"/>
      <c r="AA383" s="36"/>
      <c r="AB383" s="36"/>
      <c r="AC383" s="36"/>
      <c r="AD383" s="94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81"/>
    </row>
    <row r="384" spans="1:48" ht="26.4" hidden="1">
      <c r="A384" s="389" t="s">
        <v>1836</v>
      </c>
      <c r="B384" s="369" t="s">
        <v>1837</v>
      </c>
      <c r="C384" s="369"/>
      <c r="D384" s="370" t="s">
        <v>313</v>
      </c>
      <c r="E384" s="370"/>
      <c r="F384" s="371"/>
      <c r="G384" s="372"/>
      <c r="H384" s="431">
        <v>2023</v>
      </c>
      <c r="I384" s="369" t="s">
        <v>108</v>
      </c>
      <c r="J384" s="373">
        <v>6724784</v>
      </c>
      <c r="K384" s="373" t="s">
        <v>1781</v>
      </c>
      <c r="L384" s="373" t="s">
        <v>494</v>
      </c>
      <c r="M384" s="373" t="s">
        <v>280</v>
      </c>
      <c r="N384" s="369" t="s">
        <v>108</v>
      </c>
      <c r="O384" s="373" t="s">
        <v>494</v>
      </c>
      <c r="P384" s="373" t="s">
        <v>280</v>
      </c>
      <c r="Q384" s="373">
        <v>6724784</v>
      </c>
      <c r="R384" s="373" t="s">
        <v>1781</v>
      </c>
      <c r="S384" s="369" t="s">
        <v>23</v>
      </c>
      <c r="T384" s="373" t="s">
        <v>494</v>
      </c>
      <c r="U384" s="373" t="s">
        <v>280</v>
      </c>
      <c r="V384" s="369">
        <v>6680625</v>
      </c>
      <c r="W384" s="369" t="s">
        <v>1782</v>
      </c>
      <c r="X384" s="369" t="s">
        <v>16</v>
      </c>
      <c r="Y384" s="373" t="s">
        <v>494</v>
      </c>
      <c r="Z384" s="373" t="s">
        <v>280</v>
      </c>
      <c r="AA384" s="375">
        <v>6680741</v>
      </c>
      <c r="AB384" s="375" t="s">
        <v>1838</v>
      </c>
      <c r="AC384" s="375"/>
      <c r="AD384" s="374"/>
      <c r="AE384" s="375"/>
      <c r="AF384" s="375"/>
      <c r="AG384" s="375"/>
      <c r="AH384" s="375"/>
      <c r="AI384" s="375"/>
      <c r="AJ384" s="375"/>
      <c r="AK384" s="375"/>
      <c r="AL384" s="375"/>
      <c r="AM384" s="375"/>
      <c r="AN384" s="375"/>
      <c r="AO384" s="375"/>
      <c r="AP384" s="375"/>
      <c r="AQ384" s="375"/>
      <c r="AR384" s="375"/>
      <c r="AS384" s="375"/>
      <c r="AT384" s="375"/>
      <c r="AU384" s="375"/>
      <c r="AV384" s="376"/>
    </row>
    <row r="385" spans="1:48" ht="39.6" hidden="1">
      <c r="A385" s="390" t="s">
        <v>1839</v>
      </c>
      <c r="B385" s="378" t="s">
        <v>1840</v>
      </c>
      <c r="C385" s="378"/>
      <c r="D385" s="75" t="s">
        <v>302</v>
      </c>
      <c r="E385" s="75" t="s">
        <v>303</v>
      </c>
      <c r="F385" s="379">
        <v>2023</v>
      </c>
      <c r="G385" s="20">
        <v>2023</v>
      </c>
      <c r="H385" s="432">
        <v>2023</v>
      </c>
      <c r="I385" s="378" t="s">
        <v>412</v>
      </c>
      <c r="J385" s="380" t="s">
        <v>942</v>
      </c>
      <c r="K385" s="380">
        <v>1204190069</v>
      </c>
      <c r="L385" s="380" t="s">
        <v>353</v>
      </c>
      <c r="M385" s="380" t="s">
        <v>280</v>
      </c>
      <c r="N385" s="378" t="s">
        <v>412</v>
      </c>
      <c r="O385" s="380" t="s">
        <v>353</v>
      </c>
      <c r="P385" s="380" t="s">
        <v>280</v>
      </c>
      <c r="Q385" s="380" t="s">
        <v>942</v>
      </c>
      <c r="R385" s="380">
        <v>1204190069</v>
      </c>
      <c r="S385" s="378" t="s">
        <v>30</v>
      </c>
      <c r="T385" s="380" t="s">
        <v>353</v>
      </c>
      <c r="U385" s="380" t="s">
        <v>280</v>
      </c>
      <c r="V385" s="378">
        <v>6680623</v>
      </c>
      <c r="W385" s="378" t="s">
        <v>1841</v>
      </c>
      <c r="X385" s="378" t="s">
        <v>39</v>
      </c>
      <c r="Y385" s="380" t="s">
        <v>353</v>
      </c>
      <c r="Z385" s="380" t="s">
        <v>280</v>
      </c>
      <c r="AA385" s="36">
        <v>6801883</v>
      </c>
      <c r="AB385" s="36" t="s">
        <v>1751</v>
      </c>
      <c r="AC385" s="36"/>
      <c r="AD385" s="94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81"/>
    </row>
    <row r="386" spans="1:48" ht="39.6" hidden="1">
      <c r="A386" s="389" t="s">
        <v>1842</v>
      </c>
      <c r="B386" s="369" t="s">
        <v>1843</v>
      </c>
      <c r="C386" s="369"/>
      <c r="D386" s="370" t="s">
        <v>1844</v>
      </c>
      <c r="E386" s="370"/>
      <c r="F386" s="371"/>
      <c r="G386" s="372"/>
      <c r="H386" s="431">
        <v>2023</v>
      </c>
      <c r="I386" s="375"/>
      <c r="J386" s="373"/>
      <c r="K386" s="373"/>
      <c r="L386" s="373"/>
      <c r="M386" s="373"/>
      <c r="N386" s="369" t="s">
        <v>1227</v>
      </c>
      <c r="O386" s="373" t="s">
        <v>449</v>
      </c>
      <c r="P386" s="373" t="s">
        <v>514</v>
      </c>
      <c r="Q386" s="373">
        <v>5972549</v>
      </c>
      <c r="R386" s="373" t="s">
        <v>942</v>
      </c>
      <c r="S386" s="369" t="s">
        <v>1845</v>
      </c>
      <c r="T386" s="373" t="s">
        <v>351</v>
      </c>
      <c r="U386" s="373" t="s">
        <v>514</v>
      </c>
      <c r="V386" s="369">
        <v>5994573</v>
      </c>
      <c r="W386" s="369" t="s">
        <v>1846</v>
      </c>
      <c r="X386" s="369" t="s">
        <v>1847</v>
      </c>
      <c r="Y386" s="374" t="s">
        <v>1848</v>
      </c>
      <c r="Z386" s="373" t="s">
        <v>514</v>
      </c>
      <c r="AA386" s="375">
        <v>6650037</v>
      </c>
      <c r="AB386" s="375" t="s">
        <v>1849</v>
      </c>
      <c r="AC386" s="375" t="s">
        <v>1850</v>
      </c>
      <c r="AD386" s="374" t="s">
        <v>353</v>
      </c>
      <c r="AE386" s="373" t="s">
        <v>514</v>
      </c>
      <c r="AF386" s="375">
        <v>5992085</v>
      </c>
      <c r="AG386" s="375" t="s">
        <v>1851</v>
      </c>
      <c r="AH386" s="375" t="s">
        <v>1229</v>
      </c>
      <c r="AI386" s="375" t="s">
        <v>1852</v>
      </c>
      <c r="AJ386" s="373" t="s">
        <v>514</v>
      </c>
      <c r="AK386" s="375">
        <v>81328</v>
      </c>
      <c r="AL386" s="375" t="s">
        <v>1853</v>
      </c>
      <c r="AM386" s="375" t="s">
        <v>18</v>
      </c>
      <c r="AN386" s="373" t="s">
        <v>449</v>
      </c>
      <c r="AO386" s="373" t="s">
        <v>280</v>
      </c>
      <c r="AP386" s="375">
        <v>6680633</v>
      </c>
      <c r="AQ386" s="375" t="s">
        <v>1703</v>
      </c>
      <c r="AR386" s="375" t="s">
        <v>1854</v>
      </c>
      <c r="AS386" s="373" t="s">
        <v>279</v>
      </c>
      <c r="AT386" s="373" t="s">
        <v>308</v>
      </c>
      <c r="AU386" s="375">
        <v>6071222</v>
      </c>
      <c r="AV386" s="376" t="s">
        <v>942</v>
      </c>
    </row>
    <row r="387" spans="1:48" ht="43.2" hidden="1">
      <c r="A387" s="390" t="s">
        <v>1855</v>
      </c>
      <c r="B387" s="378" t="s">
        <v>1856</v>
      </c>
      <c r="C387" s="378"/>
      <c r="D387" s="75" t="s">
        <v>313</v>
      </c>
      <c r="E387" s="75"/>
      <c r="F387" s="379">
        <v>2023</v>
      </c>
      <c r="G387" s="20">
        <v>2023</v>
      </c>
      <c r="H387" s="432">
        <v>2023</v>
      </c>
      <c r="I387" s="378" t="s">
        <v>1857</v>
      </c>
      <c r="J387" s="378" t="s">
        <v>942</v>
      </c>
      <c r="K387" s="380">
        <v>20120066</v>
      </c>
      <c r="L387" s="380" t="s">
        <v>353</v>
      </c>
      <c r="M387" s="380" t="s">
        <v>1858</v>
      </c>
      <c r="N387" s="378" t="s">
        <v>1859</v>
      </c>
      <c r="O387" s="380" t="s">
        <v>353</v>
      </c>
      <c r="P387" s="380" t="s">
        <v>1858</v>
      </c>
      <c r="Q387" s="380" t="s">
        <v>942</v>
      </c>
      <c r="R387" s="380">
        <v>20120053</v>
      </c>
      <c r="S387" s="378" t="s">
        <v>1857</v>
      </c>
      <c r="T387" s="380" t="s">
        <v>353</v>
      </c>
      <c r="U387" s="380" t="s">
        <v>1858</v>
      </c>
      <c r="V387" s="378" t="s">
        <v>942</v>
      </c>
      <c r="W387" s="380">
        <v>20120066</v>
      </c>
      <c r="X387" s="378" t="s">
        <v>26</v>
      </c>
      <c r="Y387" s="380" t="s">
        <v>686</v>
      </c>
      <c r="Z387" s="380" t="s">
        <v>280</v>
      </c>
      <c r="AA387" s="36">
        <v>259781</v>
      </c>
      <c r="AB387" s="36" t="s">
        <v>982</v>
      </c>
      <c r="AC387" s="36" t="s">
        <v>1860</v>
      </c>
      <c r="AD387" s="94" t="s">
        <v>1861</v>
      </c>
      <c r="AE387" s="36" t="s">
        <v>1862</v>
      </c>
      <c r="AF387" s="36">
        <v>6195236</v>
      </c>
      <c r="AG387" s="36" t="s">
        <v>1863</v>
      </c>
      <c r="AH387" s="36" t="s">
        <v>1864</v>
      </c>
      <c r="AI387" s="36" t="s">
        <v>1865</v>
      </c>
      <c r="AJ387" s="94" t="s">
        <v>1866</v>
      </c>
      <c r="AK387" s="36">
        <v>6096358</v>
      </c>
      <c r="AL387" s="36">
        <v>1020078801</v>
      </c>
      <c r="AM387" s="36" t="s">
        <v>1867</v>
      </c>
      <c r="AN387" s="36" t="s">
        <v>1865</v>
      </c>
      <c r="AO387" s="94" t="s">
        <v>1868</v>
      </c>
      <c r="AP387" s="36">
        <v>6657462</v>
      </c>
      <c r="AQ387" s="36">
        <v>1013049001</v>
      </c>
      <c r="AR387" s="36"/>
      <c r="AS387" s="36"/>
      <c r="AT387" s="36"/>
      <c r="AU387" s="36"/>
      <c r="AV387" s="381"/>
    </row>
    <row r="388" spans="1:48" ht="28.8" hidden="1">
      <c r="A388" s="389" t="s">
        <v>1869</v>
      </c>
      <c r="B388" s="369" t="s">
        <v>1870</v>
      </c>
      <c r="C388" s="369"/>
      <c r="D388" s="370" t="s">
        <v>306</v>
      </c>
      <c r="E388" s="370" t="s">
        <v>303</v>
      </c>
      <c r="F388" s="371"/>
      <c r="G388" s="372"/>
      <c r="H388" s="431">
        <v>2023</v>
      </c>
      <c r="I388" s="369" t="s">
        <v>15</v>
      </c>
      <c r="J388" s="373">
        <v>6680664</v>
      </c>
      <c r="K388" s="373" t="s">
        <v>1871</v>
      </c>
      <c r="L388" s="373" t="s">
        <v>449</v>
      </c>
      <c r="M388" s="373" t="s">
        <v>280</v>
      </c>
      <c r="N388" s="369" t="s">
        <v>15</v>
      </c>
      <c r="O388" s="373" t="s">
        <v>449</v>
      </c>
      <c r="P388" s="373" t="s">
        <v>280</v>
      </c>
      <c r="Q388" s="373">
        <v>6680664</v>
      </c>
      <c r="R388" s="373" t="s">
        <v>1871</v>
      </c>
      <c r="S388" s="369" t="s">
        <v>9</v>
      </c>
      <c r="T388" s="373" t="s">
        <v>449</v>
      </c>
      <c r="U388" s="373" t="s">
        <v>280</v>
      </c>
      <c r="V388" s="369">
        <v>6680680</v>
      </c>
      <c r="W388" s="369" t="s">
        <v>959</v>
      </c>
      <c r="X388" s="369" t="s">
        <v>48</v>
      </c>
      <c r="Y388" s="373" t="s">
        <v>449</v>
      </c>
      <c r="Z388" s="373" t="s">
        <v>280</v>
      </c>
      <c r="AA388" s="375">
        <v>6681205</v>
      </c>
      <c r="AB388" s="375" t="s">
        <v>1705</v>
      </c>
      <c r="AC388" s="375" t="s">
        <v>1872</v>
      </c>
      <c r="AD388" s="373" t="s">
        <v>449</v>
      </c>
      <c r="AE388" s="373" t="s">
        <v>280</v>
      </c>
      <c r="AF388" s="375" t="s">
        <v>942</v>
      </c>
      <c r="AG388" s="375">
        <v>1202200003</v>
      </c>
      <c r="AH388" s="375" t="s">
        <v>1873</v>
      </c>
      <c r="AI388" s="373" t="s">
        <v>809</v>
      </c>
      <c r="AJ388" s="373" t="s">
        <v>280</v>
      </c>
      <c r="AK388" s="375">
        <v>6756318</v>
      </c>
      <c r="AL388" s="375" t="s">
        <v>950</v>
      </c>
      <c r="AM388" s="375"/>
      <c r="AN388" s="375"/>
      <c r="AO388" s="375"/>
      <c r="AP388" s="375"/>
      <c r="AQ388" s="375"/>
      <c r="AR388" s="375"/>
      <c r="AS388" s="375"/>
      <c r="AT388" s="375"/>
      <c r="AU388" s="375"/>
      <c r="AV388" s="376"/>
    </row>
    <row r="389" spans="1:48" ht="39.6" hidden="1">
      <c r="A389" s="390" t="s">
        <v>1874</v>
      </c>
      <c r="B389" s="378" t="s">
        <v>1875</v>
      </c>
      <c r="C389" s="378"/>
      <c r="D389" s="75" t="s">
        <v>302</v>
      </c>
      <c r="E389" s="75" t="s">
        <v>303</v>
      </c>
      <c r="F389" s="379"/>
      <c r="G389" s="20"/>
      <c r="H389" s="432">
        <v>2023</v>
      </c>
      <c r="I389" s="378"/>
      <c r="J389" s="380"/>
      <c r="K389" s="380"/>
      <c r="L389" s="380"/>
      <c r="M389" s="380"/>
      <c r="N389" s="378" t="s">
        <v>44</v>
      </c>
      <c r="O389" s="380" t="s">
        <v>758</v>
      </c>
      <c r="P389" s="380" t="s">
        <v>280</v>
      </c>
      <c r="Q389" s="380">
        <v>6784457</v>
      </c>
      <c r="R389" s="380" t="s">
        <v>1754</v>
      </c>
      <c r="S389" s="378" t="s">
        <v>71</v>
      </c>
      <c r="T389" s="380" t="s">
        <v>620</v>
      </c>
      <c r="U389" s="380" t="s">
        <v>280</v>
      </c>
      <c r="V389" s="36">
        <v>6778837</v>
      </c>
      <c r="W389" s="36" t="s">
        <v>979</v>
      </c>
      <c r="X389" s="378" t="s">
        <v>761</v>
      </c>
      <c r="Y389" s="380" t="s">
        <v>758</v>
      </c>
      <c r="Z389" s="380" t="s">
        <v>280</v>
      </c>
      <c r="AA389" s="380">
        <v>6756289</v>
      </c>
      <c r="AB389" s="380" t="s">
        <v>1755</v>
      </c>
      <c r="AC389" s="378" t="s">
        <v>177</v>
      </c>
      <c r="AD389" s="380" t="s">
        <v>758</v>
      </c>
      <c r="AE389" s="380" t="s">
        <v>280</v>
      </c>
      <c r="AF389" s="36">
        <v>6778519</v>
      </c>
      <c r="AG389" s="36" t="s">
        <v>1876</v>
      </c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81"/>
    </row>
    <row r="390" spans="1:48" ht="28.8" hidden="1">
      <c r="A390" s="389" t="s">
        <v>1877</v>
      </c>
      <c r="B390" s="392" t="s">
        <v>1878</v>
      </c>
      <c r="C390" s="392"/>
      <c r="D390" s="370" t="s">
        <v>528</v>
      </c>
      <c r="E390" s="370" t="s">
        <v>1122</v>
      </c>
      <c r="F390" s="371"/>
      <c r="G390" s="372"/>
      <c r="H390" s="431">
        <v>2023</v>
      </c>
      <c r="I390" s="369"/>
      <c r="J390" s="373"/>
      <c r="K390" s="373"/>
      <c r="L390" s="373"/>
      <c r="M390" s="373"/>
      <c r="N390" s="369" t="s">
        <v>540</v>
      </c>
      <c r="O390" s="373"/>
      <c r="P390" s="373" t="s">
        <v>541</v>
      </c>
      <c r="Q390" s="373"/>
      <c r="R390" s="373"/>
      <c r="S390" s="369" t="s">
        <v>77</v>
      </c>
      <c r="T390" s="373" t="s">
        <v>309</v>
      </c>
      <c r="U390" s="373" t="s">
        <v>280</v>
      </c>
      <c r="V390" s="369"/>
      <c r="W390" s="369"/>
      <c r="X390" s="369" t="s">
        <v>1187</v>
      </c>
      <c r="Y390" s="374"/>
      <c r="Z390" s="373" t="s">
        <v>541</v>
      </c>
      <c r="AA390" s="375"/>
      <c r="AB390" s="375"/>
      <c r="AC390" s="375" t="s">
        <v>542</v>
      </c>
      <c r="AD390" s="374"/>
      <c r="AE390" s="373" t="s">
        <v>541</v>
      </c>
      <c r="AF390" s="375"/>
      <c r="AG390" s="375"/>
      <c r="AH390" s="375" t="s">
        <v>543</v>
      </c>
      <c r="AI390" s="375"/>
      <c r="AJ390" s="373" t="s">
        <v>541</v>
      </c>
      <c r="AK390" s="375"/>
      <c r="AL390" s="375"/>
      <c r="AM390" s="375" t="s">
        <v>544</v>
      </c>
      <c r="AN390" s="375"/>
      <c r="AO390" s="373" t="s">
        <v>541</v>
      </c>
      <c r="AP390" s="375"/>
      <c r="AQ390" s="375"/>
      <c r="AR390" s="375" t="s">
        <v>545</v>
      </c>
      <c r="AS390" s="375"/>
      <c r="AT390" s="373" t="s">
        <v>541</v>
      </c>
      <c r="AU390" s="375"/>
      <c r="AV390" s="376"/>
    </row>
    <row r="391" spans="1:48" ht="28.8" hidden="1">
      <c r="A391" s="390" t="s">
        <v>1879</v>
      </c>
      <c r="B391" s="378" t="s">
        <v>1735</v>
      </c>
      <c r="C391" s="378"/>
      <c r="D391" s="75" t="s">
        <v>374</v>
      </c>
      <c r="E391" s="75" t="s">
        <v>303</v>
      </c>
      <c r="F391" s="379">
        <v>2023</v>
      </c>
      <c r="G391" s="379">
        <v>2023</v>
      </c>
      <c r="H391" s="432">
        <v>2023</v>
      </c>
      <c r="I391" s="378" t="s">
        <v>6</v>
      </c>
      <c r="J391" s="380">
        <v>6681051</v>
      </c>
      <c r="K391" s="380" t="s">
        <v>1657</v>
      </c>
      <c r="L391" s="380" t="s">
        <v>351</v>
      </c>
      <c r="M391" s="380" t="s">
        <v>280</v>
      </c>
      <c r="N391" s="378" t="s">
        <v>6</v>
      </c>
      <c r="O391" s="380" t="s">
        <v>351</v>
      </c>
      <c r="P391" s="380" t="s">
        <v>280</v>
      </c>
      <c r="Q391" s="380">
        <v>6681051</v>
      </c>
      <c r="R391" s="380" t="s">
        <v>1657</v>
      </c>
      <c r="S391" s="378" t="s">
        <v>45</v>
      </c>
      <c r="T391" s="380" t="s">
        <v>351</v>
      </c>
      <c r="U391" s="380" t="s">
        <v>280</v>
      </c>
      <c r="V391" s="378">
        <v>6826743</v>
      </c>
      <c r="W391" s="378" t="s">
        <v>1880</v>
      </c>
      <c r="X391" s="378" t="s">
        <v>40</v>
      </c>
      <c r="Y391" s="380" t="s">
        <v>351</v>
      </c>
      <c r="Z391" s="380" t="s">
        <v>280</v>
      </c>
      <c r="AA391" s="380">
        <v>6658545</v>
      </c>
      <c r="AB391" s="380" t="s">
        <v>984</v>
      </c>
      <c r="AC391" s="36" t="s">
        <v>1881</v>
      </c>
      <c r="AD391" s="380" t="s">
        <v>351</v>
      </c>
      <c r="AE391" s="380" t="s">
        <v>280</v>
      </c>
      <c r="AF391" s="36" t="s">
        <v>942</v>
      </c>
      <c r="AG391" s="36">
        <v>1203200058</v>
      </c>
      <c r="AH391" s="36" t="s">
        <v>1882</v>
      </c>
      <c r="AI391" s="380" t="s">
        <v>351</v>
      </c>
      <c r="AJ391" s="380" t="s">
        <v>280</v>
      </c>
      <c r="AK391" s="36" t="s">
        <v>942</v>
      </c>
      <c r="AL391" s="36">
        <v>1203200063</v>
      </c>
      <c r="AM391" s="36" t="s">
        <v>1883</v>
      </c>
      <c r="AN391" s="380" t="s">
        <v>351</v>
      </c>
      <c r="AO391" s="380" t="s">
        <v>280</v>
      </c>
      <c r="AP391" s="36" t="s">
        <v>942</v>
      </c>
      <c r="AQ391" s="36">
        <v>1203200036</v>
      </c>
      <c r="AR391" s="36" t="s">
        <v>1884</v>
      </c>
      <c r="AS391" s="380" t="s">
        <v>351</v>
      </c>
      <c r="AT391" s="380" t="s">
        <v>280</v>
      </c>
      <c r="AU391" s="36" t="s">
        <v>942</v>
      </c>
      <c r="AV391" s="381">
        <v>1203200014</v>
      </c>
    </row>
    <row r="392" spans="1:48" ht="26.4" hidden="1">
      <c r="A392" s="389" t="s">
        <v>1885</v>
      </c>
      <c r="B392" s="369" t="s">
        <v>1886</v>
      </c>
      <c r="C392" s="369"/>
      <c r="D392" s="370" t="s">
        <v>313</v>
      </c>
      <c r="E392" s="370" t="s">
        <v>1692</v>
      </c>
      <c r="F392" s="371">
        <v>2023</v>
      </c>
      <c r="G392" s="372">
        <v>2023</v>
      </c>
      <c r="H392" s="431">
        <v>2023</v>
      </c>
      <c r="I392" s="369" t="s">
        <v>11</v>
      </c>
      <c r="J392" s="373">
        <v>6680622</v>
      </c>
      <c r="K392" s="373" t="s">
        <v>983</v>
      </c>
      <c r="L392" s="373" t="s">
        <v>162</v>
      </c>
      <c r="M392" s="373" t="s">
        <v>280</v>
      </c>
      <c r="N392" s="369" t="s">
        <v>11</v>
      </c>
      <c r="O392" s="373" t="s">
        <v>162</v>
      </c>
      <c r="P392" s="373" t="s">
        <v>280</v>
      </c>
      <c r="Q392" s="373">
        <v>6680622</v>
      </c>
      <c r="R392" s="373" t="s">
        <v>983</v>
      </c>
      <c r="S392" s="369" t="s">
        <v>26</v>
      </c>
      <c r="T392" s="373" t="s">
        <v>686</v>
      </c>
      <c r="U392" s="373" t="s">
        <v>280</v>
      </c>
      <c r="V392" s="369">
        <v>259781</v>
      </c>
      <c r="W392" s="369" t="s">
        <v>982</v>
      </c>
      <c r="X392" s="369" t="s">
        <v>40</v>
      </c>
      <c r="Y392" s="373" t="s">
        <v>351</v>
      </c>
      <c r="Z392" s="373" t="s">
        <v>280</v>
      </c>
      <c r="AA392" s="373">
        <v>6658545</v>
      </c>
      <c r="AB392" s="373" t="s">
        <v>984</v>
      </c>
      <c r="AC392" s="375" t="s">
        <v>352</v>
      </c>
      <c r="AD392" s="373" t="s">
        <v>353</v>
      </c>
      <c r="AE392" s="373" t="s">
        <v>280</v>
      </c>
      <c r="AF392" s="369">
        <v>6744406</v>
      </c>
      <c r="AG392" s="369" t="s">
        <v>985</v>
      </c>
      <c r="AH392" s="375" t="s">
        <v>354</v>
      </c>
      <c r="AI392" s="373" t="s">
        <v>162</v>
      </c>
      <c r="AJ392" s="373" t="s">
        <v>280</v>
      </c>
      <c r="AK392" s="375" t="s">
        <v>942</v>
      </c>
      <c r="AL392" s="375">
        <v>1201190023</v>
      </c>
      <c r="AM392" s="375" t="s">
        <v>355</v>
      </c>
      <c r="AN392" s="373" t="s">
        <v>162</v>
      </c>
      <c r="AO392" s="373" t="s">
        <v>280</v>
      </c>
      <c r="AP392" s="375" t="s">
        <v>942</v>
      </c>
      <c r="AQ392" s="375">
        <v>1201190013</v>
      </c>
      <c r="AR392" s="375"/>
      <c r="AS392" s="375"/>
      <c r="AT392" s="375"/>
      <c r="AU392" s="375"/>
      <c r="AV392" s="376"/>
    </row>
    <row r="393" spans="1:48" ht="28.8" hidden="1">
      <c r="A393" s="390" t="s">
        <v>1887</v>
      </c>
      <c r="B393" s="378" t="s">
        <v>1888</v>
      </c>
      <c r="C393" s="378"/>
      <c r="D393" s="75" t="s">
        <v>374</v>
      </c>
      <c r="E393" s="75" t="s">
        <v>303</v>
      </c>
      <c r="F393" s="379"/>
      <c r="G393" s="20"/>
      <c r="H393" s="432">
        <v>2023</v>
      </c>
      <c r="I393" s="378" t="s">
        <v>96</v>
      </c>
      <c r="J393" s="380">
        <v>6727245</v>
      </c>
      <c r="K393" s="380" t="s">
        <v>1889</v>
      </c>
      <c r="L393" s="380" t="s">
        <v>686</v>
      </c>
      <c r="M393" s="380" t="s">
        <v>280</v>
      </c>
      <c r="N393" s="378" t="s">
        <v>96</v>
      </c>
      <c r="O393" s="380" t="s">
        <v>686</v>
      </c>
      <c r="P393" s="380" t="s">
        <v>280</v>
      </c>
      <c r="Q393" s="380">
        <v>6727245</v>
      </c>
      <c r="R393" s="380" t="s">
        <v>1889</v>
      </c>
      <c r="S393" s="378" t="s">
        <v>174</v>
      </c>
      <c r="T393" s="380" t="s">
        <v>686</v>
      </c>
      <c r="U393" s="380" t="s">
        <v>280</v>
      </c>
      <c r="V393" s="378">
        <v>6801989</v>
      </c>
      <c r="W393" s="378" t="s">
        <v>1890</v>
      </c>
      <c r="X393" s="378" t="s">
        <v>139</v>
      </c>
      <c r="Y393" s="380" t="s">
        <v>686</v>
      </c>
      <c r="Z393" s="380" t="s">
        <v>280</v>
      </c>
      <c r="AA393" s="36">
        <v>6833162</v>
      </c>
      <c r="AB393" s="36" t="s">
        <v>1891</v>
      </c>
      <c r="AC393" s="36" t="s">
        <v>1892</v>
      </c>
      <c r="AD393" s="380" t="s">
        <v>686</v>
      </c>
      <c r="AE393" s="380" t="s">
        <v>280</v>
      </c>
      <c r="AF393" s="36" t="s">
        <v>942</v>
      </c>
      <c r="AG393" s="36">
        <v>1205220032</v>
      </c>
      <c r="AH393" s="36" t="s">
        <v>1893</v>
      </c>
      <c r="AI393" s="380" t="s">
        <v>686</v>
      </c>
      <c r="AJ393" s="380" t="s">
        <v>280</v>
      </c>
      <c r="AK393" s="36" t="s">
        <v>942</v>
      </c>
      <c r="AL393" s="36">
        <v>1205220085</v>
      </c>
      <c r="AM393" s="36" t="s">
        <v>1894</v>
      </c>
      <c r="AN393" s="380" t="s">
        <v>686</v>
      </c>
      <c r="AO393" s="380" t="s">
        <v>280</v>
      </c>
      <c r="AP393" s="36" t="s">
        <v>942</v>
      </c>
      <c r="AQ393" s="36">
        <v>1205220076</v>
      </c>
      <c r="AR393" s="36"/>
      <c r="AS393" s="36"/>
      <c r="AT393" s="36"/>
      <c r="AU393" s="36"/>
      <c r="AV393" s="381"/>
    </row>
    <row r="394" spans="1:48" ht="39.6" hidden="1">
      <c r="A394" s="389" t="s">
        <v>1895</v>
      </c>
      <c r="B394" s="369" t="s">
        <v>1896</v>
      </c>
      <c r="C394" s="369"/>
      <c r="D394" s="370" t="s">
        <v>374</v>
      </c>
      <c r="E394" s="370" t="s">
        <v>303</v>
      </c>
      <c r="F394" s="371">
        <v>2022</v>
      </c>
      <c r="G394" s="372">
        <v>2023</v>
      </c>
      <c r="H394" s="431">
        <v>2023</v>
      </c>
      <c r="I394" s="369" t="s">
        <v>51</v>
      </c>
      <c r="J394" s="373">
        <v>6806662</v>
      </c>
      <c r="K394" s="373" t="s">
        <v>1897</v>
      </c>
      <c r="L394" s="373" t="s">
        <v>809</v>
      </c>
      <c r="M394" s="373" t="s">
        <v>280</v>
      </c>
      <c r="N394" s="369" t="s">
        <v>51</v>
      </c>
      <c r="O394" s="373" t="s">
        <v>809</v>
      </c>
      <c r="P394" s="373" t="s">
        <v>280</v>
      </c>
      <c r="Q394" s="373">
        <v>6806662</v>
      </c>
      <c r="R394" s="373" t="s">
        <v>1897</v>
      </c>
      <c r="S394" s="369" t="s">
        <v>949</v>
      </c>
      <c r="T394" s="373" t="s">
        <v>809</v>
      </c>
      <c r="U394" s="373" t="s">
        <v>280</v>
      </c>
      <c r="V394" s="375">
        <v>6756318</v>
      </c>
      <c r="W394" s="375" t="s">
        <v>950</v>
      </c>
      <c r="X394" s="369" t="s">
        <v>9</v>
      </c>
      <c r="Y394" s="373" t="s">
        <v>449</v>
      </c>
      <c r="Z394" s="373" t="s">
        <v>280</v>
      </c>
      <c r="AA394" s="375">
        <v>6680680</v>
      </c>
      <c r="AB394" s="375" t="s">
        <v>959</v>
      </c>
      <c r="AC394" s="375"/>
      <c r="AD394" s="374"/>
      <c r="AE394" s="375"/>
      <c r="AF394" s="375"/>
      <c r="AG394" s="375"/>
      <c r="AH394" s="375"/>
      <c r="AI394" s="375"/>
      <c r="AJ394" s="375"/>
      <c r="AK394" s="375"/>
      <c r="AL394" s="375"/>
      <c r="AM394" s="375"/>
      <c r="AN394" s="375"/>
      <c r="AO394" s="375"/>
      <c r="AP394" s="375"/>
      <c r="AQ394" s="375"/>
      <c r="AR394" s="375"/>
      <c r="AS394" s="375"/>
      <c r="AT394" s="375"/>
      <c r="AU394" s="375"/>
      <c r="AV394" s="376"/>
    </row>
    <row r="395" spans="1:48" ht="26.4" hidden="1">
      <c r="A395" s="390" t="s">
        <v>1898</v>
      </c>
      <c r="B395" s="378" t="s">
        <v>1899</v>
      </c>
      <c r="C395" s="378"/>
      <c r="D395" s="75" t="s">
        <v>374</v>
      </c>
      <c r="E395" s="75" t="s">
        <v>303</v>
      </c>
      <c r="F395" s="379">
        <v>2023</v>
      </c>
      <c r="G395" s="20">
        <v>2023</v>
      </c>
      <c r="H395" s="432">
        <v>2023</v>
      </c>
      <c r="I395" s="378"/>
      <c r="J395" s="380"/>
      <c r="K395" s="380"/>
      <c r="L395" s="380"/>
      <c r="M395" s="380"/>
      <c r="N395" s="378" t="s">
        <v>26</v>
      </c>
      <c r="O395" s="380" t="s">
        <v>686</v>
      </c>
      <c r="P395" s="380" t="s">
        <v>280</v>
      </c>
      <c r="Q395" s="378">
        <v>259781</v>
      </c>
      <c r="R395" s="378" t="s">
        <v>982</v>
      </c>
      <c r="S395" s="378" t="s">
        <v>11</v>
      </c>
      <c r="T395" s="380" t="s">
        <v>162</v>
      </c>
      <c r="U395" s="380" t="s">
        <v>280</v>
      </c>
      <c r="V395" s="378">
        <v>6680622</v>
      </c>
      <c r="W395" s="378" t="s">
        <v>1900</v>
      </c>
      <c r="X395" s="378" t="s">
        <v>32</v>
      </c>
      <c r="Y395" s="380" t="s">
        <v>162</v>
      </c>
      <c r="Z395" s="380" t="s">
        <v>280</v>
      </c>
      <c r="AA395" s="36">
        <v>6658755</v>
      </c>
      <c r="AB395" s="36" t="s">
        <v>1901</v>
      </c>
      <c r="AC395" s="36"/>
      <c r="AD395" s="94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81"/>
    </row>
    <row r="396" spans="1:48" ht="26.4" hidden="1">
      <c r="A396" s="389" t="s">
        <v>1902</v>
      </c>
      <c r="B396" s="369" t="s">
        <v>1903</v>
      </c>
      <c r="C396" s="369"/>
      <c r="D396" s="370" t="s">
        <v>302</v>
      </c>
      <c r="E396" s="370" t="s">
        <v>303</v>
      </c>
      <c r="F396" s="371"/>
      <c r="G396" s="372"/>
      <c r="H396" s="431">
        <v>2023</v>
      </c>
      <c r="I396" s="369"/>
      <c r="J396" s="373"/>
      <c r="K396" s="373"/>
      <c r="L396" s="373"/>
      <c r="M396" s="373"/>
      <c r="N396" s="369" t="s">
        <v>26</v>
      </c>
      <c r="O396" s="373" t="s">
        <v>686</v>
      </c>
      <c r="P396" s="373" t="s">
        <v>280</v>
      </c>
      <c r="Q396" s="369">
        <v>259781</v>
      </c>
      <c r="R396" s="369" t="s">
        <v>982</v>
      </c>
      <c r="S396" s="369" t="s">
        <v>775</v>
      </c>
      <c r="T396" s="373" t="s">
        <v>686</v>
      </c>
      <c r="U396" s="373" t="s">
        <v>280</v>
      </c>
      <c r="V396" s="369">
        <v>6785861</v>
      </c>
      <c r="W396" s="369" t="s">
        <v>1904</v>
      </c>
      <c r="X396" s="369" t="s">
        <v>33</v>
      </c>
      <c r="Y396" s="373" t="s">
        <v>353</v>
      </c>
      <c r="Z396" s="373" t="s">
        <v>280</v>
      </c>
      <c r="AA396" s="375">
        <v>6826699</v>
      </c>
      <c r="AB396" s="375" t="s">
        <v>1905</v>
      </c>
      <c r="AC396" s="375"/>
      <c r="AD396" s="374"/>
      <c r="AE396" s="375"/>
      <c r="AF396" s="375"/>
      <c r="AG396" s="375"/>
      <c r="AH396" s="375"/>
      <c r="AI396" s="375"/>
      <c r="AJ396" s="375"/>
      <c r="AK396" s="375"/>
      <c r="AL396" s="375"/>
      <c r="AM396" s="375"/>
      <c r="AN396" s="375"/>
      <c r="AO396" s="375"/>
      <c r="AP396" s="375"/>
      <c r="AQ396" s="375"/>
      <c r="AR396" s="375"/>
      <c r="AS396" s="375"/>
      <c r="AT396" s="375"/>
      <c r="AU396" s="375"/>
      <c r="AV396" s="376"/>
    </row>
    <row r="397" spans="1:48" ht="39.6" hidden="1">
      <c r="A397" s="390" t="s">
        <v>1906</v>
      </c>
      <c r="B397" s="378" t="s">
        <v>1907</v>
      </c>
      <c r="C397" s="378"/>
      <c r="D397" s="75" t="s">
        <v>374</v>
      </c>
      <c r="E397" s="75" t="s">
        <v>303</v>
      </c>
      <c r="F397" s="379"/>
      <c r="G397" s="20"/>
      <c r="H397" s="432">
        <v>2023</v>
      </c>
      <c r="I397" s="378"/>
      <c r="J397" s="380"/>
      <c r="K397" s="380"/>
      <c r="L397" s="380"/>
      <c r="M397" s="380"/>
      <c r="N397" s="378" t="s">
        <v>1908</v>
      </c>
      <c r="O397" s="380" t="s">
        <v>1909</v>
      </c>
      <c r="P397" s="380" t="s">
        <v>1343</v>
      </c>
      <c r="Q397" s="380" t="s">
        <v>942</v>
      </c>
      <c r="R397" s="380">
        <v>1801121022</v>
      </c>
      <c r="S397" s="378" t="s">
        <v>96</v>
      </c>
      <c r="T397" s="380" t="s">
        <v>686</v>
      </c>
      <c r="U397" s="380" t="s">
        <v>280</v>
      </c>
      <c r="V397" s="380">
        <v>6727245</v>
      </c>
      <c r="W397" s="380" t="s">
        <v>1889</v>
      </c>
      <c r="X397" s="378"/>
      <c r="Y397" s="94"/>
      <c r="Z397" s="36"/>
      <c r="AA397" s="36"/>
      <c r="AB397" s="36"/>
      <c r="AC397" s="36"/>
      <c r="AD397" s="94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81"/>
    </row>
    <row r="398" spans="1:48" ht="39.6" hidden="1">
      <c r="A398" s="389" t="s">
        <v>1910</v>
      </c>
      <c r="B398" s="369" t="s">
        <v>1911</v>
      </c>
      <c r="C398" s="369"/>
      <c r="D398" s="370" t="s">
        <v>313</v>
      </c>
      <c r="E398" s="370" t="s">
        <v>1692</v>
      </c>
      <c r="F398" s="371">
        <v>2022</v>
      </c>
      <c r="G398" s="372">
        <v>2023</v>
      </c>
      <c r="H398" s="431">
        <v>2023</v>
      </c>
      <c r="I398" s="369" t="s">
        <v>88</v>
      </c>
      <c r="J398" s="373">
        <v>6680627</v>
      </c>
      <c r="K398" s="373" t="s">
        <v>1912</v>
      </c>
      <c r="L398" s="373" t="s">
        <v>351</v>
      </c>
      <c r="M398" s="373" t="s">
        <v>280</v>
      </c>
      <c r="N398" s="369" t="s">
        <v>13</v>
      </c>
      <c r="O398" s="373" t="s">
        <v>686</v>
      </c>
      <c r="P398" s="373" t="s">
        <v>280</v>
      </c>
      <c r="Q398" s="373">
        <v>6682237</v>
      </c>
      <c r="R398" s="373" t="s">
        <v>1913</v>
      </c>
      <c r="S398" s="369" t="s">
        <v>56</v>
      </c>
      <c r="T398" s="373" t="s">
        <v>351</v>
      </c>
      <c r="U398" s="373" t="s">
        <v>280</v>
      </c>
      <c r="V398" s="369">
        <v>6795859</v>
      </c>
      <c r="W398" s="369" t="s">
        <v>1672</v>
      </c>
      <c r="X398" s="369" t="s">
        <v>88</v>
      </c>
      <c r="Y398" s="373" t="s">
        <v>351</v>
      </c>
      <c r="Z398" s="373" t="s">
        <v>280</v>
      </c>
      <c r="AA398" s="373">
        <v>6680627</v>
      </c>
      <c r="AB398" s="373" t="s">
        <v>1912</v>
      </c>
      <c r="AC398" s="375" t="s">
        <v>1914</v>
      </c>
      <c r="AD398" s="373" t="s">
        <v>351</v>
      </c>
      <c r="AE398" s="373" t="s">
        <v>280</v>
      </c>
      <c r="AF398" s="375" t="s">
        <v>942</v>
      </c>
      <c r="AG398" s="375">
        <v>1203200101</v>
      </c>
      <c r="AH398" s="375" t="s">
        <v>1915</v>
      </c>
      <c r="AI398" s="373" t="s">
        <v>351</v>
      </c>
      <c r="AJ398" s="373" t="s">
        <v>280</v>
      </c>
      <c r="AK398" s="375" t="s">
        <v>942</v>
      </c>
      <c r="AL398" s="375">
        <v>1203200087</v>
      </c>
      <c r="AM398" s="375"/>
      <c r="AN398" s="375"/>
      <c r="AO398" s="375"/>
      <c r="AP398" s="375"/>
      <c r="AQ398" s="375"/>
      <c r="AR398" s="375"/>
      <c r="AS398" s="375"/>
      <c r="AT398" s="375"/>
      <c r="AU398" s="375"/>
      <c r="AV398" s="376"/>
    </row>
    <row r="399" spans="1:48" ht="26.4" hidden="1">
      <c r="A399" s="390" t="s">
        <v>1916</v>
      </c>
      <c r="B399" s="378" t="s">
        <v>1682</v>
      </c>
      <c r="C399" s="378"/>
      <c r="D399" s="75" t="s">
        <v>321</v>
      </c>
      <c r="E399" s="75" t="s">
        <v>303</v>
      </c>
      <c r="F399" s="379">
        <v>2023</v>
      </c>
      <c r="G399" s="20">
        <v>2023</v>
      </c>
      <c r="H399" s="432">
        <v>2023</v>
      </c>
      <c r="I399" s="378" t="s">
        <v>39</v>
      </c>
      <c r="J399" s="380">
        <v>6801883</v>
      </c>
      <c r="K399" s="380" t="s">
        <v>1751</v>
      </c>
      <c r="L399" s="380" t="s">
        <v>353</v>
      </c>
      <c r="M399" s="380" t="s">
        <v>280</v>
      </c>
      <c r="N399" s="378" t="s">
        <v>39</v>
      </c>
      <c r="O399" s="380" t="s">
        <v>353</v>
      </c>
      <c r="P399" s="380" t="s">
        <v>280</v>
      </c>
      <c r="Q399" s="380">
        <v>6801883</v>
      </c>
      <c r="R399" s="380" t="s">
        <v>1751</v>
      </c>
      <c r="S399" s="378" t="s">
        <v>179</v>
      </c>
      <c r="T399" s="380" t="s">
        <v>353</v>
      </c>
      <c r="U399" s="380" t="s">
        <v>280</v>
      </c>
      <c r="V399" s="378">
        <v>6789028</v>
      </c>
      <c r="W399" s="378" t="s">
        <v>1917</v>
      </c>
      <c r="X399" s="378" t="s">
        <v>180</v>
      </c>
      <c r="Y399" s="380" t="s">
        <v>353</v>
      </c>
      <c r="Z399" s="380" t="s">
        <v>280</v>
      </c>
      <c r="AA399" s="36">
        <v>6787771</v>
      </c>
      <c r="AB399" s="36" t="s">
        <v>1676</v>
      </c>
      <c r="AC399" s="36" t="s">
        <v>1767</v>
      </c>
      <c r="AD399" s="380" t="s">
        <v>353</v>
      </c>
      <c r="AE399" s="380" t="s">
        <v>280</v>
      </c>
      <c r="AF399" s="36" t="s">
        <v>942</v>
      </c>
      <c r="AG399" s="36" t="s">
        <v>942</v>
      </c>
      <c r="AH399" s="36" t="s">
        <v>1918</v>
      </c>
      <c r="AI399" s="380" t="s">
        <v>353</v>
      </c>
      <c r="AJ399" s="380" t="s">
        <v>280</v>
      </c>
      <c r="AK399" s="36" t="s">
        <v>942</v>
      </c>
      <c r="AL399" s="36" t="s">
        <v>942</v>
      </c>
      <c r="AM399" s="36" t="s">
        <v>1919</v>
      </c>
      <c r="AN399" s="380" t="s">
        <v>353</v>
      </c>
      <c r="AO399" s="380" t="s">
        <v>280</v>
      </c>
      <c r="AP399" s="36" t="s">
        <v>942</v>
      </c>
      <c r="AQ399" s="36" t="s">
        <v>942</v>
      </c>
      <c r="AR399" s="36"/>
      <c r="AS399" s="380" t="s">
        <v>353</v>
      </c>
      <c r="AT399" s="380" t="s">
        <v>280</v>
      </c>
      <c r="AU399" s="36"/>
      <c r="AV399" s="381"/>
    </row>
    <row r="400" spans="1:48" ht="26.4" hidden="1">
      <c r="A400" s="389" t="s">
        <v>1920</v>
      </c>
      <c r="B400" s="369" t="s">
        <v>1921</v>
      </c>
      <c r="C400" s="369"/>
      <c r="D400" s="370" t="s">
        <v>302</v>
      </c>
      <c r="E400" s="370" t="s">
        <v>303</v>
      </c>
      <c r="F400" s="371"/>
      <c r="G400" s="372"/>
      <c r="H400" s="431">
        <v>2023</v>
      </c>
      <c r="I400" s="369" t="s">
        <v>761</v>
      </c>
      <c r="J400" s="373">
        <v>6756289</v>
      </c>
      <c r="K400" s="373" t="s">
        <v>1755</v>
      </c>
      <c r="L400" s="373" t="s">
        <v>758</v>
      </c>
      <c r="M400" s="373" t="s">
        <v>280</v>
      </c>
      <c r="N400" s="369" t="s">
        <v>761</v>
      </c>
      <c r="O400" s="373" t="s">
        <v>758</v>
      </c>
      <c r="P400" s="373" t="s">
        <v>280</v>
      </c>
      <c r="Q400" s="373">
        <v>6756289</v>
      </c>
      <c r="R400" s="373" t="s">
        <v>1755</v>
      </c>
      <c r="S400" s="369"/>
      <c r="T400" s="373"/>
      <c r="U400" s="369"/>
      <c r="V400" s="369"/>
      <c r="W400" s="369"/>
      <c r="X400" s="369"/>
      <c r="Y400" s="374"/>
      <c r="Z400" s="375"/>
      <c r="AA400" s="375"/>
      <c r="AB400" s="375"/>
      <c r="AC400" s="375"/>
      <c r="AD400" s="374"/>
      <c r="AE400" s="375"/>
      <c r="AF400" s="375"/>
      <c r="AG400" s="375"/>
      <c r="AH400" s="375"/>
      <c r="AI400" s="375"/>
      <c r="AJ400" s="375"/>
      <c r="AK400" s="375"/>
      <c r="AL400" s="375"/>
      <c r="AM400" s="375"/>
      <c r="AN400" s="375"/>
      <c r="AO400" s="375"/>
      <c r="AP400" s="375"/>
      <c r="AQ400" s="375"/>
      <c r="AR400" s="375"/>
      <c r="AS400" s="375"/>
      <c r="AT400" s="375"/>
      <c r="AU400" s="375"/>
      <c r="AV400" s="376"/>
    </row>
    <row r="401" spans="1:48" ht="26.4" hidden="1">
      <c r="A401" s="390" t="s">
        <v>1922</v>
      </c>
      <c r="B401" s="378" t="s">
        <v>946</v>
      </c>
      <c r="C401" s="378"/>
      <c r="D401" s="75" t="s">
        <v>568</v>
      </c>
      <c r="E401" s="75" t="s">
        <v>1122</v>
      </c>
      <c r="F401" s="379"/>
      <c r="G401" s="20"/>
      <c r="H401" s="432">
        <v>2023</v>
      </c>
      <c r="I401" s="378" t="s">
        <v>168</v>
      </c>
      <c r="J401" s="380">
        <v>6091537</v>
      </c>
      <c r="K401" s="380"/>
      <c r="L401" s="380"/>
      <c r="M401" s="380" t="s">
        <v>823</v>
      </c>
      <c r="N401" s="378" t="s">
        <v>1923</v>
      </c>
      <c r="O401" s="380"/>
      <c r="P401" s="380" t="s">
        <v>823</v>
      </c>
      <c r="Q401" s="380"/>
      <c r="R401" s="380"/>
      <c r="S401" s="378" t="s">
        <v>168</v>
      </c>
      <c r="T401" s="380"/>
      <c r="U401" s="380" t="s">
        <v>823</v>
      </c>
      <c r="V401" s="380">
        <v>6091537</v>
      </c>
      <c r="W401" s="378"/>
      <c r="X401" s="378" t="s">
        <v>1924</v>
      </c>
      <c r="Y401" s="94" t="s">
        <v>1925</v>
      </c>
      <c r="Z401" s="380" t="s">
        <v>823</v>
      </c>
      <c r="AA401" s="36">
        <v>6743644</v>
      </c>
      <c r="AB401" s="36" t="s">
        <v>1926</v>
      </c>
      <c r="AC401" s="36" t="s">
        <v>1927</v>
      </c>
      <c r="AD401" s="94" t="s">
        <v>1925</v>
      </c>
      <c r="AE401" s="380" t="s">
        <v>823</v>
      </c>
      <c r="AF401" s="36">
        <v>6718375</v>
      </c>
      <c r="AG401" s="36" t="s">
        <v>1928</v>
      </c>
      <c r="AH401" s="36" t="s">
        <v>12</v>
      </c>
      <c r="AI401" s="380" t="s">
        <v>309</v>
      </c>
      <c r="AJ401" s="380" t="s">
        <v>280</v>
      </c>
      <c r="AK401" s="380">
        <v>6680651</v>
      </c>
      <c r="AL401" s="380" t="s">
        <v>1016</v>
      </c>
      <c r="AM401" s="36"/>
      <c r="AN401" s="36"/>
      <c r="AO401" s="36"/>
      <c r="AP401" s="36"/>
      <c r="AQ401" s="36"/>
      <c r="AR401" s="36"/>
      <c r="AS401" s="36"/>
      <c r="AT401" s="36"/>
      <c r="AU401" s="36"/>
      <c r="AV401" s="381"/>
    </row>
    <row r="402" spans="1:48" ht="26.4" hidden="1">
      <c r="A402" s="389" t="s">
        <v>1929</v>
      </c>
      <c r="B402" s="369" t="s">
        <v>1930</v>
      </c>
      <c r="C402" s="369"/>
      <c r="D402" s="370" t="s">
        <v>374</v>
      </c>
      <c r="E402" s="370" t="s">
        <v>303</v>
      </c>
      <c r="F402" s="371"/>
      <c r="G402" s="372"/>
      <c r="H402" s="431">
        <v>2023</v>
      </c>
      <c r="I402" s="375"/>
      <c r="J402" s="373"/>
      <c r="K402" s="373"/>
      <c r="L402" s="373"/>
      <c r="M402" s="373"/>
      <c r="N402" s="369" t="s">
        <v>790</v>
      </c>
      <c r="O402" s="373" t="s">
        <v>620</v>
      </c>
      <c r="P402" s="373" t="s">
        <v>1523</v>
      </c>
      <c r="Q402" s="373">
        <v>6785350</v>
      </c>
      <c r="R402" s="373" t="s">
        <v>1931</v>
      </c>
      <c r="S402" s="369" t="s">
        <v>1524</v>
      </c>
      <c r="T402" s="373" t="s">
        <v>353</v>
      </c>
      <c r="U402" s="373" t="s">
        <v>1525</v>
      </c>
      <c r="V402" s="369">
        <v>6794088</v>
      </c>
      <c r="W402" s="369">
        <v>2004079701</v>
      </c>
      <c r="X402" s="369" t="s">
        <v>179</v>
      </c>
      <c r="Y402" s="373" t="s">
        <v>353</v>
      </c>
      <c r="Z402" s="373" t="s">
        <v>280</v>
      </c>
      <c r="AA402" s="369">
        <v>6789028</v>
      </c>
      <c r="AB402" s="369" t="s">
        <v>1917</v>
      </c>
      <c r="AC402" s="375"/>
      <c r="AD402" s="374"/>
      <c r="AE402" s="375"/>
      <c r="AF402" s="375"/>
      <c r="AG402" s="375"/>
      <c r="AH402" s="375"/>
      <c r="AI402" s="375"/>
      <c r="AJ402" s="375"/>
      <c r="AK402" s="375"/>
      <c r="AL402" s="375"/>
      <c r="AM402" s="375"/>
      <c r="AN402" s="375"/>
      <c r="AO402" s="375"/>
      <c r="AP402" s="375"/>
      <c r="AQ402" s="375"/>
      <c r="AR402" s="375"/>
      <c r="AS402" s="375"/>
      <c r="AT402" s="375"/>
      <c r="AU402" s="375"/>
      <c r="AV402" s="376"/>
    </row>
    <row r="403" spans="1:48" ht="28.8" hidden="1">
      <c r="A403" s="389" t="s">
        <v>1932</v>
      </c>
      <c r="B403" s="369" t="s">
        <v>1735</v>
      </c>
      <c r="C403" s="369"/>
      <c r="D403" s="370" t="s">
        <v>374</v>
      </c>
      <c r="E403" s="370" t="s">
        <v>303</v>
      </c>
      <c r="F403" s="371">
        <v>2022</v>
      </c>
      <c r="G403" s="372">
        <v>2022</v>
      </c>
      <c r="H403" s="431">
        <v>2023</v>
      </c>
      <c r="I403" s="369" t="s">
        <v>6</v>
      </c>
      <c r="J403" s="369">
        <v>6681051</v>
      </c>
      <c r="K403" s="369" t="s">
        <v>1657</v>
      </c>
      <c r="L403" s="373" t="s">
        <v>351</v>
      </c>
      <c r="M403" s="373" t="s">
        <v>280</v>
      </c>
      <c r="N403" s="369" t="s">
        <v>6</v>
      </c>
      <c r="O403" s="373" t="s">
        <v>351</v>
      </c>
      <c r="P403" s="373" t="s">
        <v>280</v>
      </c>
      <c r="Q403" s="369">
        <v>6681051</v>
      </c>
      <c r="R403" s="369" t="s">
        <v>1657</v>
      </c>
      <c r="S403" s="369" t="s">
        <v>40</v>
      </c>
      <c r="T403" s="373" t="s">
        <v>351</v>
      </c>
      <c r="U403" s="373" t="s">
        <v>280</v>
      </c>
      <c r="V403" s="373">
        <v>6658545</v>
      </c>
      <c r="W403" s="373" t="s">
        <v>984</v>
      </c>
      <c r="X403" s="369" t="s">
        <v>1933</v>
      </c>
      <c r="Y403" s="373" t="s">
        <v>351</v>
      </c>
      <c r="Z403" s="373" t="s">
        <v>280</v>
      </c>
      <c r="AA403" s="375">
        <v>6680618</v>
      </c>
      <c r="AB403" s="375" t="s">
        <v>1737</v>
      </c>
      <c r="AC403" s="375" t="s">
        <v>1934</v>
      </c>
      <c r="AD403" s="373" t="s">
        <v>351</v>
      </c>
      <c r="AE403" s="373" t="s">
        <v>280</v>
      </c>
      <c r="AF403" s="375" t="s">
        <v>942</v>
      </c>
      <c r="AG403" s="375">
        <v>1203200073</v>
      </c>
      <c r="AH403" s="375" t="s">
        <v>1935</v>
      </c>
      <c r="AI403" s="373" t="s">
        <v>351</v>
      </c>
      <c r="AJ403" s="373" t="s">
        <v>280</v>
      </c>
      <c r="AK403" s="375" t="s">
        <v>942</v>
      </c>
      <c r="AL403" s="375">
        <v>1203200100</v>
      </c>
      <c r="AM403" s="375" t="s">
        <v>1936</v>
      </c>
      <c r="AN403" s="373" t="s">
        <v>351</v>
      </c>
      <c r="AO403" s="373" t="s">
        <v>280</v>
      </c>
      <c r="AP403" s="375"/>
      <c r="AQ403" s="375"/>
      <c r="AR403" s="375" t="s">
        <v>1937</v>
      </c>
      <c r="AS403" s="373" t="s">
        <v>351</v>
      </c>
      <c r="AT403" s="373" t="s">
        <v>280</v>
      </c>
      <c r="AU403" s="375"/>
      <c r="AV403" s="376"/>
    </row>
    <row r="404" spans="1:48" ht="28.8" hidden="1">
      <c r="A404" s="390" t="s">
        <v>1938</v>
      </c>
      <c r="B404" s="378" t="s">
        <v>1939</v>
      </c>
      <c r="C404" s="378"/>
      <c r="D404" s="75" t="s">
        <v>374</v>
      </c>
      <c r="E404" s="75" t="s">
        <v>303</v>
      </c>
      <c r="F404" s="379">
        <v>2022</v>
      </c>
      <c r="G404" s="20">
        <v>2022</v>
      </c>
      <c r="H404" s="432">
        <v>2023</v>
      </c>
      <c r="I404" s="378" t="s">
        <v>6</v>
      </c>
      <c r="J404" s="378">
        <v>6681051</v>
      </c>
      <c r="K404" s="378" t="s">
        <v>1657</v>
      </c>
      <c r="L404" s="380" t="s">
        <v>351</v>
      </c>
      <c r="M404" s="380" t="s">
        <v>280</v>
      </c>
      <c r="N404" s="378" t="s">
        <v>6</v>
      </c>
      <c r="O404" s="380" t="s">
        <v>351</v>
      </c>
      <c r="P404" s="380" t="s">
        <v>280</v>
      </c>
      <c r="Q404" s="378">
        <v>6681051</v>
      </c>
      <c r="R404" s="378" t="s">
        <v>1657</v>
      </c>
      <c r="S404" s="378" t="s">
        <v>40</v>
      </c>
      <c r="T404" s="380" t="s">
        <v>351</v>
      </c>
      <c r="U404" s="380" t="s">
        <v>280</v>
      </c>
      <c r="V404" s="380">
        <v>6658545</v>
      </c>
      <c r="W404" s="380" t="s">
        <v>984</v>
      </c>
      <c r="X404" s="378" t="s">
        <v>1933</v>
      </c>
      <c r="Y404" s="380" t="s">
        <v>351</v>
      </c>
      <c r="Z404" s="380" t="s">
        <v>280</v>
      </c>
      <c r="AA404" s="36">
        <v>6680618</v>
      </c>
      <c r="AB404" s="36" t="s">
        <v>1737</v>
      </c>
      <c r="AC404" s="36" t="s">
        <v>1934</v>
      </c>
      <c r="AD404" s="380" t="s">
        <v>351</v>
      </c>
      <c r="AE404" s="380" t="s">
        <v>280</v>
      </c>
      <c r="AF404" s="36" t="s">
        <v>942</v>
      </c>
      <c r="AG404" s="36">
        <v>1203200073</v>
      </c>
      <c r="AH404" s="36" t="s">
        <v>1935</v>
      </c>
      <c r="AI404" s="380" t="s">
        <v>351</v>
      </c>
      <c r="AJ404" s="380" t="s">
        <v>280</v>
      </c>
      <c r="AK404" s="36" t="s">
        <v>942</v>
      </c>
      <c r="AL404" s="36">
        <v>1203200100</v>
      </c>
      <c r="AM404" s="36" t="s">
        <v>1936</v>
      </c>
      <c r="AN404" s="380" t="s">
        <v>351</v>
      </c>
      <c r="AO404" s="380" t="s">
        <v>280</v>
      </c>
      <c r="AP404" s="36"/>
      <c r="AQ404" s="36"/>
      <c r="AR404" s="36" t="s">
        <v>1937</v>
      </c>
      <c r="AS404" s="380" t="s">
        <v>351</v>
      </c>
      <c r="AT404" s="380" t="s">
        <v>280</v>
      </c>
      <c r="AU404" s="36"/>
      <c r="AV404" s="381"/>
    </row>
    <row r="405" spans="1:48" ht="39.6" hidden="1">
      <c r="A405" s="389" t="s">
        <v>1940</v>
      </c>
      <c r="B405" s="369" t="s">
        <v>1941</v>
      </c>
      <c r="C405" s="369"/>
      <c r="D405" s="370" t="s">
        <v>1942</v>
      </c>
      <c r="E405" s="370" t="s">
        <v>1122</v>
      </c>
      <c r="F405" s="371">
        <v>2023</v>
      </c>
      <c r="G405" s="372">
        <v>2023</v>
      </c>
      <c r="H405" s="431">
        <v>2023</v>
      </c>
      <c r="I405" s="369" t="s">
        <v>1943</v>
      </c>
      <c r="J405" s="373" t="s">
        <v>942</v>
      </c>
      <c r="K405" s="373">
        <v>1205210018</v>
      </c>
      <c r="L405" s="373" t="s">
        <v>686</v>
      </c>
      <c r="M405" s="373" t="s">
        <v>280</v>
      </c>
      <c r="N405" s="369" t="s">
        <v>1943</v>
      </c>
      <c r="O405" s="373" t="s">
        <v>686</v>
      </c>
      <c r="P405" s="373" t="s">
        <v>280</v>
      </c>
      <c r="Q405" s="373" t="s">
        <v>942</v>
      </c>
      <c r="R405" s="373">
        <v>1205210018</v>
      </c>
      <c r="S405" s="369" t="s">
        <v>1944</v>
      </c>
      <c r="T405" s="373" t="s">
        <v>686</v>
      </c>
      <c r="U405" s="373" t="s">
        <v>280</v>
      </c>
      <c r="V405" s="369" t="s">
        <v>942</v>
      </c>
      <c r="W405" s="369">
        <v>1205210028</v>
      </c>
      <c r="X405" s="369" t="s">
        <v>26</v>
      </c>
      <c r="Y405" s="373" t="s">
        <v>686</v>
      </c>
      <c r="Z405" s="373" t="s">
        <v>280</v>
      </c>
      <c r="AA405" s="369">
        <v>259781</v>
      </c>
      <c r="AB405" s="369" t="s">
        <v>982</v>
      </c>
      <c r="AC405" s="375" t="s">
        <v>1945</v>
      </c>
      <c r="AD405" s="373" t="s">
        <v>686</v>
      </c>
      <c r="AE405" s="373" t="s">
        <v>280</v>
      </c>
      <c r="AF405" s="369">
        <v>6682237</v>
      </c>
      <c r="AG405" s="369" t="s">
        <v>1736</v>
      </c>
      <c r="AH405" s="375"/>
      <c r="AI405" s="373"/>
      <c r="AJ405" s="373"/>
      <c r="AK405" s="375"/>
      <c r="AL405" s="375"/>
      <c r="AM405" s="375"/>
      <c r="AN405" s="369"/>
      <c r="AO405" s="373"/>
      <c r="AP405" s="375"/>
      <c r="AQ405" s="375"/>
      <c r="AR405" s="375"/>
      <c r="AS405" s="369"/>
      <c r="AT405" s="369"/>
      <c r="AU405" s="375"/>
      <c r="AV405" s="376"/>
    </row>
    <row r="406" spans="1:48" ht="52.8" hidden="1">
      <c r="A406" s="390" t="s">
        <v>1946</v>
      </c>
      <c r="B406" s="378" t="s">
        <v>1947</v>
      </c>
      <c r="C406" s="378"/>
      <c r="D406" s="35" t="s">
        <v>395</v>
      </c>
      <c r="E406" s="75" t="s">
        <v>942</v>
      </c>
      <c r="F406" s="379"/>
      <c r="G406" s="20"/>
      <c r="H406" s="432">
        <v>2023</v>
      </c>
      <c r="I406" s="378" t="s">
        <v>1948</v>
      </c>
      <c r="J406" s="380" t="s">
        <v>942</v>
      </c>
      <c r="K406" s="380">
        <v>17110357</v>
      </c>
      <c r="L406" s="380" t="s">
        <v>620</v>
      </c>
      <c r="M406" s="380" t="s">
        <v>1949</v>
      </c>
      <c r="N406" s="378" t="s">
        <v>1948</v>
      </c>
      <c r="O406" s="380" t="s">
        <v>620</v>
      </c>
      <c r="P406" s="380" t="s">
        <v>1949</v>
      </c>
      <c r="Q406" s="380" t="s">
        <v>942</v>
      </c>
      <c r="R406" s="380">
        <v>17110357</v>
      </c>
      <c r="S406" s="378" t="s">
        <v>26</v>
      </c>
      <c r="T406" s="380" t="s">
        <v>686</v>
      </c>
      <c r="U406" s="380" t="s">
        <v>280</v>
      </c>
      <c r="V406" s="378">
        <v>259781</v>
      </c>
      <c r="W406" s="378" t="s">
        <v>982</v>
      </c>
      <c r="X406" s="378" t="s">
        <v>1867</v>
      </c>
      <c r="Y406" s="380" t="s">
        <v>620</v>
      </c>
      <c r="Z406" s="380" t="s">
        <v>1950</v>
      </c>
      <c r="AA406" s="36">
        <v>6657462</v>
      </c>
      <c r="AB406" s="36">
        <v>1013049001</v>
      </c>
      <c r="AC406" s="36" t="s">
        <v>1951</v>
      </c>
      <c r="AD406" s="380" t="s">
        <v>620</v>
      </c>
      <c r="AE406" s="380" t="s">
        <v>1952</v>
      </c>
      <c r="AF406" s="36">
        <v>6167744</v>
      </c>
      <c r="AG406" s="36" t="s">
        <v>942</v>
      </c>
      <c r="AH406" s="36" t="s">
        <v>1953</v>
      </c>
      <c r="AI406" s="380" t="s">
        <v>1954</v>
      </c>
      <c r="AJ406" s="380" t="s">
        <v>1955</v>
      </c>
      <c r="AK406" s="36">
        <v>6694650</v>
      </c>
      <c r="AL406" s="36" t="s">
        <v>1956</v>
      </c>
      <c r="AM406" s="36" t="s">
        <v>1957</v>
      </c>
      <c r="AN406" s="378"/>
      <c r="AO406" s="380" t="s">
        <v>1958</v>
      </c>
      <c r="AP406" s="36"/>
      <c r="AQ406" s="36"/>
      <c r="AR406" s="36"/>
      <c r="AS406" s="378"/>
      <c r="AT406" s="378"/>
      <c r="AU406" s="36"/>
      <c r="AV406" s="381"/>
    </row>
    <row r="407" spans="1:48" ht="28.8" hidden="1">
      <c r="A407" s="389" t="s">
        <v>1959</v>
      </c>
      <c r="B407" s="369" t="s">
        <v>1960</v>
      </c>
      <c r="C407" s="369"/>
      <c r="D407" s="370" t="s">
        <v>502</v>
      </c>
      <c r="E407" s="370" t="s">
        <v>1122</v>
      </c>
      <c r="F407" s="371"/>
      <c r="G407" s="372"/>
      <c r="H407" s="431">
        <v>2023</v>
      </c>
      <c r="I407" s="369"/>
      <c r="J407" s="373"/>
      <c r="K407" s="373"/>
      <c r="L407" s="373"/>
      <c r="M407" s="373"/>
      <c r="N407" s="369" t="s">
        <v>1961</v>
      </c>
      <c r="O407" s="373" t="s">
        <v>309</v>
      </c>
      <c r="P407" s="373" t="s">
        <v>420</v>
      </c>
      <c r="Q407" s="373"/>
      <c r="R407" s="373"/>
      <c r="S407" s="369" t="s">
        <v>1603</v>
      </c>
      <c r="T407" s="373" t="s">
        <v>620</v>
      </c>
      <c r="U407" s="373" t="s">
        <v>885</v>
      </c>
      <c r="V407" s="369">
        <v>6190178</v>
      </c>
      <c r="W407" s="369" t="s">
        <v>1962</v>
      </c>
      <c r="X407" s="369" t="s">
        <v>19</v>
      </c>
      <c r="Y407" s="373" t="s">
        <v>309</v>
      </c>
      <c r="Z407" s="373" t="s">
        <v>280</v>
      </c>
      <c r="AA407" s="373">
        <v>6680612</v>
      </c>
      <c r="AB407" s="373" t="s">
        <v>960</v>
      </c>
      <c r="AC407" s="375" t="s">
        <v>140</v>
      </c>
      <c r="AD407" s="373" t="s">
        <v>309</v>
      </c>
      <c r="AE407" s="373" t="s">
        <v>420</v>
      </c>
      <c r="AF407" s="375">
        <v>6008604</v>
      </c>
      <c r="AG407" s="375" t="s">
        <v>1963</v>
      </c>
      <c r="AH407" s="375" t="s">
        <v>1964</v>
      </c>
      <c r="AI407" s="373" t="s">
        <v>309</v>
      </c>
      <c r="AJ407" s="373" t="s">
        <v>420</v>
      </c>
      <c r="AK407" s="375">
        <v>5978377</v>
      </c>
      <c r="AL407" s="375" t="s">
        <v>1965</v>
      </c>
      <c r="AM407" s="375" t="s">
        <v>484</v>
      </c>
      <c r="AN407" s="369" t="s">
        <v>309</v>
      </c>
      <c r="AO407" s="373" t="s">
        <v>420</v>
      </c>
      <c r="AP407" s="375">
        <v>6005015</v>
      </c>
      <c r="AQ407" s="375" t="s">
        <v>955</v>
      </c>
      <c r="AR407" s="375"/>
      <c r="AS407" s="369"/>
      <c r="AT407" s="369"/>
      <c r="AU407" s="375"/>
      <c r="AV407" s="376"/>
    </row>
    <row r="408" spans="1:48" ht="39.6" hidden="1">
      <c r="A408" s="390" t="s">
        <v>1966</v>
      </c>
      <c r="B408" s="378" t="s">
        <v>1967</v>
      </c>
      <c r="C408" s="378"/>
      <c r="D408" s="75" t="s">
        <v>277</v>
      </c>
      <c r="E408" s="75" t="s">
        <v>930</v>
      </c>
      <c r="F408" s="379">
        <v>2023</v>
      </c>
      <c r="G408" s="20">
        <v>2023</v>
      </c>
      <c r="H408" s="432">
        <v>2023</v>
      </c>
      <c r="I408" s="378"/>
      <c r="J408" s="380"/>
      <c r="K408" s="380"/>
      <c r="L408" s="380"/>
      <c r="M408" s="380"/>
      <c r="N408" s="378" t="s">
        <v>19</v>
      </c>
      <c r="O408" s="380" t="s">
        <v>309</v>
      </c>
      <c r="P408" s="380" t="s">
        <v>280</v>
      </c>
      <c r="Q408" s="380">
        <v>6680612</v>
      </c>
      <c r="R408" s="380" t="s">
        <v>960</v>
      </c>
      <c r="S408" s="378" t="s">
        <v>479</v>
      </c>
      <c r="T408" s="380" t="s">
        <v>309</v>
      </c>
      <c r="U408" s="380" t="s">
        <v>420</v>
      </c>
      <c r="V408" s="378">
        <v>6165227</v>
      </c>
      <c r="W408" s="378" t="s">
        <v>961</v>
      </c>
      <c r="X408" s="378" t="s">
        <v>480</v>
      </c>
      <c r="Y408" s="380" t="s">
        <v>309</v>
      </c>
      <c r="Z408" s="380" t="s">
        <v>420</v>
      </c>
      <c r="AA408" s="36">
        <v>5986157</v>
      </c>
      <c r="AB408" s="36" t="s">
        <v>1708</v>
      </c>
      <c r="AC408" s="36" t="s">
        <v>1968</v>
      </c>
      <c r="AD408" s="380" t="s">
        <v>309</v>
      </c>
      <c r="AE408" s="380" t="s">
        <v>420</v>
      </c>
      <c r="AF408" s="36" t="s">
        <v>942</v>
      </c>
      <c r="AG408" s="36">
        <v>2214201012</v>
      </c>
      <c r="AH408" s="36" t="s">
        <v>484</v>
      </c>
      <c r="AI408" s="380" t="s">
        <v>279</v>
      </c>
      <c r="AJ408" s="380" t="s">
        <v>420</v>
      </c>
      <c r="AK408" s="36">
        <v>6005015</v>
      </c>
      <c r="AL408" s="36" t="s">
        <v>955</v>
      </c>
      <c r="AM408" s="36"/>
      <c r="AN408" s="378"/>
      <c r="AO408" s="380"/>
      <c r="AP408" s="36"/>
      <c r="AQ408" s="36"/>
      <c r="AR408" s="36"/>
      <c r="AS408" s="378"/>
      <c r="AT408" s="378"/>
      <c r="AU408" s="36"/>
      <c r="AV408" s="381"/>
    </row>
    <row r="409" spans="1:48" ht="132" hidden="1">
      <c r="A409" s="389" t="s">
        <v>1969</v>
      </c>
      <c r="B409" s="369" t="s">
        <v>1970</v>
      </c>
      <c r="C409" s="369"/>
      <c r="D409" s="370" t="s">
        <v>416</v>
      </c>
      <c r="E409" s="369" t="s">
        <v>1971</v>
      </c>
      <c r="F409" s="371">
        <v>2023</v>
      </c>
      <c r="G409" s="371">
        <v>2023</v>
      </c>
      <c r="H409" s="431">
        <v>2023</v>
      </c>
      <c r="I409" s="369" t="s">
        <v>1972</v>
      </c>
      <c r="J409" s="374">
        <v>6691755</v>
      </c>
      <c r="K409" s="374" t="s">
        <v>1973</v>
      </c>
      <c r="L409" s="373" t="s">
        <v>279</v>
      </c>
      <c r="M409" s="373" t="s">
        <v>1974</v>
      </c>
      <c r="N409" s="369" t="s">
        <v>1972</v>
      </c>
      <c r="O409" s="373" t="s">
        <v>279</v>
      </c>
      <c r="P409" s="373" t="s">
        <v>1974</v>
      </c>
      <c r="Q409" s="374">
        <v>6691755</v>
      </c>
      <c r="R409" s="374" t="s">
        <v>1973</v>
      </c>
      <c r="S409" s="369" t="s">
        <v>1975</v>
      </c>
      <c r="T409" s="373" t="s">
        <v>279</v>
      </c>
      <c r="U409" s="373" t="s">
        <v>1974</v>
      </c>
      <c r="V409" s="369">
        <v>6691603</v>
      </c>
      <c r="W409" s="369" t="s">
        <v>1976</v>
      </c>
      <c r="X409" s="369" t="s">
        <v>1977</v>
      </c>
      <c r="Y409" s="373" t="s">
        <v>162</v>
      </c>
      <c r="Z409" s="373" t="s">
        <v>1974</v>
      </c>
      <c r="AA409" s="375">
        <v>6765105</v>
      </c>
      <c r="AB409" s="375" t="s">
        <v>1978</v>
      </c>
      <c r="AC409" s="375" t="s">
        <v>1979</v>
      </c>
      <c r="AD409" s="373" t="s">
        <v>1980</v>
      </c>
      <c r="AE409" s="373" t="s">
        <v>1974</v>
      </c>
      <c r="AF409" s="375">
        <v>6729299</v>
      </c>
      <c r="AG409" s="375" t="s">
        <v>1981</v>
      </c>
      <c r="AH409" s="369" t="s">
        <v>77</v>
      </c>
      <c r="AI409" s="373" t="s">
        <v>309</v>
      </c>
      <c r="AJ409" s="373" t="s">
        <v>280</v>
      </c>
      <c r="AK409" s="373">
        <v>6680631</v>
      </c>
      <c r="AL409" s="373" t="s">
        <v>1770</v>
      </c>
      <c r="AM409" s="375" t="s">
        <v>1982</v>
      </c>
      <c r="AN409" s="369" t="s">
        <v>309</v>
      </c>
      <c r="AO409" s="373" t="s">
        <v>1983</v>
      </c>
      <c r="AP409" s="375">
        <v>6850966</v>
      </c>
      <c r="AQ409" s="375" t="s">
        <v>1984</v>
      </c>
      <c r="AR409" s="375" t="s">
        <v>1985</v>
      </c>
      <c r="AS409" s="369" t="s">
        <v>1986</v>
      </c>
      <c r="AT409" s="369" t="s">
        <v>1987</v>
      </c>
      <c r="AU409" s="375" t="s">
        <v>1988</v>
      </c>
      <c r="AV409" s="376" t="s">
        <v>1989</v>
      </c>
    </row>
    <row r="410" spans="1:48" ht="26.4" hidden="1">
      <c r="A410" s="390" t="s">
        <v>1990</v>
      </c>
      <c r="B410" s="378" t="s">
        <v>1991</v>
      </c>
      <c r="C410" s="378"/>
      <c r="D410" s="75" t="s">
        <v>306</v>
      </c>
      <c r="E410" s="75" t="s">
        <v>303</v>
      </c>
      <c r="F410" s="379">
        <v>2023</v>
      </c>
      <c r="G410" s="379">
        <v>2023</v>
      </c>
      <c r="H410" s="432">
        <v>2023</v>
      </c>
      <c r="I410" s="378"/>
      <c r="J410" s="380"/>
      <c r="K410" s="380"/>
      <c r="L410" s="380"/>
      <c r="M410" s="380"/>
      <c r="N410" s="378" t="s">
        <v>21</v>
      </c>
      <c r="O410" s="380" t="s">
        <v>309</v>
      </c>
      <c r="P410" s="380" t="s">
        <v>280</v>
      </c>
      <c r="Q410" s="380">
        <v>6680685</v>
      </c>
      <c r="R410" s="380" t="s">
        <v>944</v>
      </c>
      <c r="S410" s="378" t="s">
        <v>92</v>
      </c>
      <c r="T410" s="380" t="s">
        <v>279</v>
      </c>
      <c r="U410" s="380" t="s">
        <v>280</v>
      </c>
      <c r="V410" s="380">
        <v>6680641</v>
      </c>
      <c r="W410" s="380" t="s">
        <v>1794</v>
      </c>
      <c r="X410" s="378" t="s">
        <v>1992</v>
      </c>
      <c r="Y410" s="380"/>
      <c r="Z410" s="380" t="s">
        <v>280</v>
      </c>
      <c r="AA410" s="36" t="s">
        <v>942</v>
      </c>
      <c r="AB410" s="36">
        <v>1103180001</v>
      </c>
      <c r="AC410" s="36"/>
      <c r="AD410" s="380"/>
      <c r="AE410" s="380"/>
      <c r="AF410" s="36"/>
      <c r="AG410" s="36"/>
      <c r="AH410" s="36"/>
      <c r="AI410" s="380"/>
      <c r="AJ410" s="380"/>
      <c r="AK410" s="36"/>
      <c r="AL410" s="36"/>
      <c r="AM410" s="36"/>
      <c r="AN410" s="378"/>
      <c r="AO410" s="380"/>
      <c r="AP410" s="36"/>
      <c r="AQ410" s="36"/>
      <c r="AR410" s="36"/>
      <c r="AS410" s="378"/>
      <c r="AT410" s="378"/>
      <c r="AU410" s="36"/>
      <c r="AV410" s="381"/>
    </row>
    <row r="411" spans="1:48" ht="26.4" hidden="1">
      <c r="A411" s="389" t="s">
        <v>1993</v>
      </c>
      <c r="B411" s="369" t="s">
        <v>1991</v>
      </c>
      <c r="C411" s="369"/>
      <c r="D411" s="75" t="s">
        <v>306</v>
      </c>
      <c r="E411" s="75" t="s">
        <v>303</v>
      </c>
      <c r="F411" s="371">
        <v>2023</v>
      </c>
      <c r="G411" s="372">
        <v>2023</v>
      </c>
      <c r="H411" s="431">
        <v>2023</v>
      </c>
      <c r="I411" s="369"/>
      <c r="J411" s="373"/>
      <c r="K411" s="373"/>
      <c r="L411" s="373"/>
      <c r="M411" s="373"/>
      <c r="N411" s="369" t="s">
        <v>92</v>
      </c>
      <c r="O411" s="373" t="s">
        <v>279</v>
      </c>
      <c r="P411" s="373" t="s">
        <v>280</v>
      </c>
      <c r="Q411" s="373">
        <v>6680641</v>
      </c>
      <c r="R411" s="373" t="s">
        <v>1794</v>
      </c>
      <c r="S411" s="369" t="s">
        <v>1994</v>
      </c>
      <c r="T411" s="373" t="s">
        <v>279</v>
      </c>
      <c r="U411" s="373" t="s">
        <v>280</v>
      </c>
      <c r="V411" s="369" t="s">
        <v>942</v>
      </c>
      <c r="W411" s="369">
        <v>1102190033</v>
      </c>
      <c r="X411" s="369"/>
      <c r="Y411" s="373"/>
      <c r="Z411" s="373"/>
      <c r="AA411" s="375"/>
      <c r="AB411" s="375"/>
      <c r="AC411" s="375"/>
      <c r="AD411" s="373"/>
      <c r="AE411" s="373"/>
      <c r="AF411" s="375"/>
      <c r="AG411" s="375"/>
      <c r="AH411" s="375"/>
      <c r="AI411" s="373"/>
      <c r="AJ411" s="373"/>
      <c r="AK411" s="375"/>
      <c r="AL411" s="375"/>
      <c r="AM411" s="375"/>
      <c r="AN411" s="369"/>
      <c r="AO411" s="373"/>
      <c r="AP411" s="375"/>
      <c r="AQ411" s="375"/>
      <c r="AR411" s="375"/>
      <c r="AS411" s="369"/>
      <c r="AT411" s="369"/>
      <c r="AU411" s="375"/>
      <c r="AV411" s="376"/>
    </row>
    <row r="412" spans="1:48" ht="28.8" hidden="1">
      <c r="A412" s="390" t="s">
        <v>1995</v>
      </c>
      <c r="B412" s="378" t="s">
        <v>1996</v>
      </c>
      <c r="C412" s="378"/>
      <c r="D412" s="75" t="s">
        <v>321</v>
      </c>
      <c r="E412" s="75" t="s">
        <v>303</v>
      </c>
      <c r="F412" s="379">
        <v>2022</v>
      </c>
      <c r="G412" s="20">
        <v>2023</v>
      </c>
      <c r="H412" s="432">
        <v>2023</v>
      </c>
      <c r="I412" s="378"/>
      <c r="J412" s="380"/>
      <c r="K412" s="380"/>
      <c r="L412" s="380"/>
      <c r="M412" s="380"/>
      <c r="N412" s="378" t="s">
        <v>6</v>
      </c>
      <c r="O412" s="380" t="s">
        <v>351</v>
      </c>
      <c r="P412" s="380" t="s">
        <v>280</v>
      </c>
      <c r="Q412" s="380">
        <v>6681051</v>
      </c>
      <c r="R412" s="380" t="s">
        <v>1657</v>
      </c>
      <c r="S412" s="378" t="s">
        <v>1997</v>
      </c>
      <c r="T412" s="380" t="s">
        <v>351</v>
      </c>
      <c r="U412" s="380" t="s">
        <v>280</v>
      </c>
      <c r="V412" s="378" t="s">
        <v>942</v>
      </c>
      <c r="W412" s="378">
        <v>1203190036</v>
      </c>
      <c r="X412" s="378" t="s">
        <v>1998</v>
      </c>
      <c r="Y412" s="94" t="s">
        <v>351</v>
      </c>
      <c r="Z412" s="380" t="s">
        <v>280</v>
      </c>
      <c r="AA412" s="36" t="s">
        <v>942</v>
      </c>
      <c r="AB412" s="36">
        <v>1203190012</v>
      </c>
      <c r="AC412" s="378" t="s">
        <v>17</v>
      </c>
      <c r="AD412" s="380" t="s">
        <v>353</v>
      </c>
      <c r="AE412" s="380" t="s">
        <v>280</v>
      </c>
      <c r="AF412" s="94">
        <v>6680648</v>
      </c>
      <c r="AG412" s="94" t="s">
        <v>1036</v>
      </c>
      <c r="AH412" s="36" t="s">
        <v>1999</v>
      </c>
      <c r="AI412" s="380" t="s">
        <v>353</v>
      </c>
      <c r="AJ412" s="380" t="s">
        <v>280</v>
      </c>
      <c r="AK412" s="36" t="s">
        <v>942</v>
      </c>
      <c r="AL412" s="36">
        <v>1204200124</v>
      </c>
      <c r="AM412" s="36"/>
      <c r="AN412" s="378"/>
      <c r="AO412" s="380"/>
      <c r="AP412" s="36"/>
      <c r="AQ412" s="36"/>
      <c r="AR412" s="36"/>
      <c r="AS412" s="378"/>
      <c r="AT412" s="378"/>
      <c r="AU412" s="36"/>
      <c r="AV412" s="381"/>
    </row>
    <row r="413" spans="1:48" ht="26.4" hidden="1">
      <c r="A413" s="390" t="s">
        <v>2000</v>
      </c>
      <c r="B413" s="378" t="s">
        <v>2001</v>
      </c>
      <c r="C413" s="378"/>
      <c r="D413" s="75" t="s">
        <v>277</v>
      </c>
      <c r="E413" s="75"/>
      <c r="F413" s="379">
        <v>2023</v>
      </c>
      <c r="G413" s="379">
        <v>2023</v>
      </c>
      <c r="H413" s="432">
        <v>2023</v>
      </c>
      <c r="I413" s="378"/>
      <c r="J413" s="380"/>
      <c r="K413" s="380"/>
      <c r="L413" s="380"/>
      <c r="M413" s="380"/>
      <c r="N413" s="378" t="s">
        <v>165</v>
      </c>
      <c r="O413" s="380" t="s">
        <v>162</v>
      </c>
      <c r="P413" s="380" t="s">
        <v>280</v>
      </c>
      <c r="Q413" s="36">
        <v>6680698</v>
      </c>
      <c r="R413" s="36" t="s">
        <v>1002</v>
      </c>
      <c r="S413" s="378" t="s">
        <v>533</v>
      </c>
      <c r="T413" s="380" t="s">
        <v>620</v>
      </c>
      <c r="U413" s="380" t="s">
        <v>420</v>
      </c>
      <c r="V413" s="378">
        <v>5976088</v>
      </c>
      <c r="W413" s="378" t="s">
        <v>2002</v>
      </c>
      <c r="X413" s="378" t="s">
        <v>2003</v>
      </c>
      <c r="Y413" s="380" t="s">
        <v>620</v>
      </c>
      <c r="Z413" s="380" t="s">
        <v>420</v>
      </c>
      <c r="AA413" s="36">
        <v>5993170</v>
      </c>
      <c r="AB413" s="36" t="s">
        <v>2004</v>
      </c>
      <c r="AC413" s="36"/>
      <c r="AD413" s="380"/>
      <c r="AE413" s="380"/>
      <c r="AF413" s="36"/>
      <c r="AG413" s="36"/>
      <c r="AH413" s="36"/>
      <c r="AI413" s="380"/>
      <c r="AJ413" s="380"/>
      <c r="AK413" s="36"/>
      <c r="AL413" s="36"/>
      <c r="AM413" s="36"/>
      <c r="AN413" s="378"/>
      <c r="AO413" s="380"/>
      <c r="AP413" s="36"/>
      <c r="AQ413" s="36"/>
      <c r="AR413" s="36"/>
      <c r="AS413" s="378"/>
      <c r="AT413" s="378"/>
      <c r="AU413" s="36"/>
      <c r="AV413" s="381"/>
    </row>
    <row r="414" spans="1:48" ht="39.6" hidden="1">
      <c r="A414" s="389" t="s">
        <v>2005</v>
      </c>
      <c r="B414" s="369" t="s">
        <v>2006</v>
      </c>
      <c r="C414" s="369"/>
      <c r="D414" s="370" t="s">
        <v>302</v>
      </c>
      <c r="E414" s="75" t="s">
        <v>303</v>
      </c>
      <c r="F414" s="371">
        <v>2023</v>
      </c>
      <c r="G414" s="371">
        <v>2023</v>
      </c>
      <c r="H414" s="431">
        <v>2023</v>
      </c>
      <c r="I414" s="369"/>
      <c r="J414" s="373"/>
      <c r="K414" s="373"/>
      <c r="L414" s="373"/>
      <c r="M414" s="373"/>
      <c r="N414" s="369" t="s">
        <v>355</v>
      </c>
      <c r="O414" s="373" t="s">
        <v>942</v>
      </c>
      <c r="P414" s="373" t="s">
        <v>942</v>
      </c>
      <c r="Q414" s="373" t="s">
        <v>942</v>
      </c>
      <c r="R414" s="373" t="s">
        <v>942</v>
      </c>
      <c r="S414" s="369" t="s">
        <v>11</v>
      </c>
      <c r="T414" s="373" t="s">
        <v>162</v>
      </c>
      <c r="U414" s="373" t="s">
        <v>280</v>
      </c>
      <c r="V414" s="369">
        <v>6680622</v>
      </c>
      <c r="W414" s="369" t="s">
        <v>983</v>
      </c>
      <c r="X414" s="369" t="s">
        <v>165</v>
      </c>
      <c r="Y414" s="373" t="s">
        <v>162</v>
      </c>
      <c r="Z414" s="373" t="s">
        <v>280</v>
      </c>
      <c r="AA414" s="375">
        <v>6680698</v>
      </c>
      <c r="AB414" s="375" t="s">
        <v>1002</v>
      </c>
      <c r="AC414" s="375"/>
      <c r="AD414" s="373"/>
      <c r="AE414" s="373"/>
      <c r="AF414" s="375"/>
      <c r="AG414" s="375"/>
      <c r="AH414" s="375"/>
      <c r="AI414" s="373"/>
      <c r="AJ414" s="373"/>
      <c r="AK414" s="375"/>
      <c r="AL414" s="375"/>
      <c r="AM414" s="375"/>
      <c r="AN414" s="369"/>
      <c r="AO414" s="373"/>
      <c r="AP414" s="375"/>
      <c r="AQ414" s="375"/>
      <c r="AR414" s="375"/>
      <c r="AS414" s="369"/>
      <c r="AT414" s="369"/>
      <c r="AU414" s="375"/>
      <c r="AV414" s="376"/>
    </row>
    <row r="415" spans="1:48" ht="28.8" hidden="1">
      <c r="A415" s="390" t="s">
        <v>2007</v>
      </c>
      <c r="B415" s="378" t="s">
        <v>2008</v>
      </c>
      <c r="C415" s="378"/>
      <c r="D415" s="75" t="s">
        <v>321</v>
      </c>
      <c r="E415" s="75" t="s">
        <v>303</v>
      </c>
      <c r="F415" s="379">
        <v>2023</v>
      </c>
      <c r="G415" s="379">
        <v>2023</v>
      </c>
      <c r="H415" s="432">
        <v>2023</v>
      </c>
      <c r="I415" s="378"/>
      <c r="J415" s="380"/>
      <c r="K415" s="380"/>
      <c r="L415" s="380"/>
      <c r="M415" s="380"/>
      <c r="N415" s="378" t="s">
        <v>179</v>
      </c>
      <c r="O415" s="380" t="s">
        <v>353</v>
      </c>
      <c r="P415" s="380" t="s">
        <v>280</v>
      </c>
      <c r="Q415" s="378">
        <v>6789028</v>
      </c>
      <c r="R415" s="378" t="s">
        <v>1917</v>
      </c>
      <c r="S415" s="378" t="s">
        <v>37</v>
      </c>
      <c r="T415" s="380" t="s">
        <v>353</v>
      </c>
      <c r="U415" s="380" t="s">
        <v>280</v>
      </c>
      <c r="V415" s="378">
        <v>6835039</v>
      </c>
      <c r="W415" s="378" t="s">
        <v>2009</v>
      </c>
      <c r="X415" s="378" t="s">
        <v>41</v>
      </c>
      <c r="Y415" s="380" t="s">
        <v>353</v>
      </c>
      <c r="Z415" s="380" t="s">
        <v>280</v>
      </c>
      <c r="AA415" s="380">
        <v>6843087</v>
      </c>
      <c r="AB415" s="380" t="s">
        <v>2010</v>
      </c>
      <c r="AC415" s="36" t="s">
        <v>2011</v>
      </c>
      <c r="AD415" s="380" t="s">
        <v>353</v>
      </c>
      <c r="AE415" s="380" t="s">
        <v>280</v>
      </c>
      <c r="AF415" s="36" t="s">
        <v>942</v>
      </c>
      <c r="AG415" s="36">
        <v>1204200016</v>
      </c>
      <c r="AH415" s="36" t="s">
        <v>2012</v>
      </c>
      <c r="AI415" s="380" t="s">
        <v>353</v>
      </c>
      <c r="AJ415" s="380" t="s">
        <v>280</v>
      </c>
      <c r="AK415" s="36" t="s">
        <v>942</v>
      </c>
      <c r="AL415" s="36">
        <v>1204200100</v>
      </c>
      <c r="AM415" s="36" t="s">
        <v>2013</v>
      </c>
      <c r="AN415" s="380" t="s">
        <v>353</v>
      </c>
      <c r="AO415" s="380" t="s">
        <v>280</v>
      </c>
      <c r="AP415" s="36" t="s">
        <v>942</v>
      </c>
      <c r="AQ415" s="36">
        <v>1204200157</v>
      </c>
      <c r="AR415" s="36" t="s">
        <v>2014</v>
      </c>
      <c r="AS415" s="380" t="s">
        <v>353</v>
      </c>
      <c r="AT415" s="380" t="s">
        <v>280</v>
      </c>
      <c r="AU415" s="36" t="s">
        <v>942</v>
      </c>
      <c r="AV415" s="381">
        <v>1204200054</v>
      </c>
    </row>
    <row r="416" spans="1:48" ht="39.6" hidden="1">
      <c r="A416" s="389" t="s">
        <v>1764</v>
      </c>
      <c r="B416" s="369" t="s">
        <v>2015</v>
      </c>
      <c r="C416" s="369"/>
      <c r="D416" s="370" t="s">
        <v>302</v>
      </c>
      <c r="E416" s="370" t="s">
        <v>303</v>
      </c>
      <c r="F416" s="371">
        <v>2023</v>
      </c>
      <c r="G416" s="371">
        <v>2023</v>
      </c>
      <c r="H416" s="431">
        <v>2023</v>
      </c>
      <c r="I416" s="369"/>
      <c r="J416" s="373"/>
      <c r="K416" s="373"/>
      <c r="L416" s="373"/>
      <c r="M416" s="373"/>
      <c r="N416" s="369" t="s">
        <v>39</v>
      </c>
      <c r="O416" s="373" t="s">
        <v>353</v>
      </c>
      <c r="P416" s="373" t="s">
        <v>280</v>
      </c>
      <c r="Q416" s="375">
        <v>6801883</v>
      </c>
      <c r="R416" s="375" t="s">
        <v>1751</v>
      </c>
      <c r="S416" s="369" t="s">
        <v>28</v>
      </c>
      <c r="T416" s="373" t="s">
        <v>353</v>
      </c>
      <c r="U416" s="373" t="s">
        <v>280</v>
      </c>
      <c r="V416" s="369">
        <v>6665306</v>
      </c>
      <c r="W416" s="369" t="s">
        <v>1727</v>
      </c>
      <c r="X416" s="369" t="s">
        <v>2016</v>
      </c>
      <c r="Y416" s="373" t="s">
        <v>353</v>
      </c>
      <c r="Z416" s="373" t="s">
        <v>280</v>
      </c>
      <c r="AA416" s="375" t="s">
        <v>942</v>
      </c>
      <c r="AB416" s="375">
        <v>1204210021</v>
      </c>
      <c r="AC416" s="375" t="s">
        <v>2017</v>
      </c>
      <c r="AD416" s="373" t="s">
        <v>353</v>
      </c>
      <c r="AE416" s="373" t="s">
        <v>280</v>
      </c>
      <c r="AF416" s="375" t="s">
        <v>942</v>
      </c>
      <c r="AG416" s="375">
        <v>1204210126</v>
      </c>
      <c r="AH416" s="375" t="s">
        <v>2018</v>
      </c>
      <c r="AI416" s="369" t="s">
        <v>353</v>
      </c>
      <c r="AJ416" s="373" t="s">
        <v>280</v>
      </c>
      <c r="AK416" s="375" t="s">
        <v>942</v>
      </c>
      <c r="AL416" s="375">
        <v>1204215118</v>
      </c>
      <c r="AM416" s="375"/>
      <c r="AN416" s="369"/>
      <c r="AO416" s="373"/>
      <c r="AP416" s="375"/>
      <c r="AQ416" s="375"/>
      <c r="AR416" s="375"/>
      <c r="AS416" s="369"/>
      <c r="AT416" s="369"/>
      <c r="AU416" s="375"/>
      <c r="AV416" s="376"/>
    </row>
    <row r="417" spans="1:48" ht="39.6" hidden="1">
      <c r="A417" s="390" t="s">
        <v>2019</v>
      </c>
      <c r="B417" s="378" t="s">
        <v>1840</v>
      </c>
      <c r="C417" s="378"/>
      <c r="D417" s="75" t="s">
        <v>302</v>
      </c>
      <c r="E417" s="75" t="s">
        <v>303</v>
      </c>
      <c r="F417" s="379">
        <v>2023</v>
      </c>
      <c r="G417" s="20">
        <v>2023</v>
      </c>
      <c r="H417" s="432">
        <v>2023</v>
      </c>
      <c r="I417" s="378"/>
      <c r="J417" s="380"/>
      <c r="K417" s="380"/>
      <c r="L417" s="380"/>
      <c r="M417" s="380"/>
      <c r="N417" s="378" t="s">
        <v>2020</v>
      </c>
      <c r="O417" s="380" t="s">
        <v>353</v>
      </c>
      <c r="P417" s="380" t="s">
        <v>280</v>
      </c>
      <c r="Q417" s="380" t="s">
        <v>942</v>
      </c>
      <c r="R417" s="380">
        <v>1204190069</v>
      </c>
      <c r="S417" s="378" t="s">
        <v>30</v>
      </c>
      <c r="T417" s="380" t="s">
        <v>353</v>
      </c>
      <c r="U417" s="380" t="s">
        <v>280</v>
      </c>
      <c r="V417" s="378">
        <v>6680623</v>
      </c>
      <c r="W417" s="378" t="s">
        <v>1841</v>
      </c>
      <c r="X417" s="378" t="s">
        <v>39</v>
      </c>
      <c r="Y417" s="380" t="s">
        <v>353</v>
      </c>
      <c r="Z417" s="380" t="s">
        <v>280</v>
      </c>
      <c r="AA417" s="36">
        <v>6801883</v>
      </c>
      <c r="AB417" s="36" t="s">
        <v>1751</v>
      </c>
      <c r="AC417" s="36"/>
      <c r="AD417" s="380"/>
      <c r="AE417" s="380"/>
      <c r="AF417" s="36"/>
      <c r="AG417" s="36"/>
      <c r="AH417" s="36"/>
      <c r="AI417" s="380"/>
      <c r="AJ417" s="380"/>
      <c r="AK417" s="36"/>
      <c r="AL417" s="36"/>
      <c r="AM417" s="36"/>
      <c r="AN417" s="378"/>
      <c r="AO417" s="380"/>
      <c r="AP417" s="36"/>
      <c r="AQ417" s="36"/>
      <c r="AR417" s="36"/>
      <c r="AS417" s="378"/>
      <c r="AT417" s="378"/>
      <c r="AU417" s="36"/>
      <c r="AV417" s="381"/>
    </row>
    <row r="418" spans="1:48" ht="39.6" hidden="1">
      <c r="A418" s="389" t="s">
        <v>2021</v>
      </c>
      <c r="B418" s="369" t="s">
        <v>2008</v>
      </c>
      <c r="C418" s="369"/>
      <c r="D418" s="370" t="s">
        <v>321</v>
      </c>
      <c r="E418" s="370" t="s">
        <v>303</v>
      </c>
      <c r="F418" s="371">
        <v>2023</v>
      </c>
      <c r="G418" s="372">
        <v>2023</v>
      </c>
      <c r="H418" s="431">
        <v>2023</v>
      </c>
      <c r="I418" s="369"/>
      <c r="J418" s="373"/>
      <c r="K418" s="373"/>
      <c r="L418" s="373"/>
      <c r="M418" s="373"/>
      <c r="N418" s="369" t="s">
        <v>39</v>
      </c>
      <c r="O418" s="373" t="s">
        <v>353</v>
      </c>
      <c r="P418" s="373" t="s">
        <v>280</v>
      </c>
      <c r="Q418" s="375">
        <v>6801883</v>
      </c>
      <c r="R418" s="375" t="s">
        <v>1751</v>
      </c>
      <c r="S418" s="369" t="s">
        <v>35</v>
      </c>
      <c r="T418" s="373" t="s">
        <v>353</v>
      </c>
      <c r="U418" s="373" t="s">
        <v>280</v>
      </c>
      <c r="V418" s="369">
        <v>6833034</v>
      </c>
      <c r="W418" s="369" t="s">
        <v>2022</v>
      </c>
      <c r="X418" s="369" t="s">
        <v>188</v>
      </c>
      <c r="Y418" s="373" t="s">
        <v>353</v>
      </c>
      <c r="Z418" s="373" t="s">
        <v>280</v>
      </c>
      <c r="AA418" s="375">
        <v>6833033</v>
      </c>
      <c r="AB418" s="375" t="s">
        <v>2023</v>
      </c>
      <c r="AC418" s="375" t="s">
        <v>2024</v>
      </c>
      <c r="AD418" s="373" t="s">
        <v>353</v>
      </c>
      <c r="AE418" s="373" t="s">
        <v>280</v>
      </c>
      <c r="AF418" s="375" t="s">
        <v>942</v>
      </c>
      <c r="AG418" s="375">
        <v>1204200004</v>
      </c>
      <c r="AH418" s="375" t="s">
        <v>2025</v>
      </c>
      <c r="AI418" s="373" t="s">
        <v>2026</v>
      </c>
      <c r="AJ418" s="373" t="s">
        <v>280</v>
      </c>
      <c r="AK418" s="375" t="s">
        <v>942</v>
      </c>
      <c r="AL418" s="375">
        <v>1204200002</v>
      </c>
      <c r="AM418" s="375" t="s">
        <v>2018</v>
      </c>
      <c r="AN418" s="369" t="s">
        <v>353</v>
      </c>
      <c r="AO418" s="373" t="s">
        <v>280</v>
      </c>
      <c r="AP418" s="375" t="s">
        <v>942</v>
      </c>
      <c r="AQ418" s="375">
        <v>1204215118</v>
      </c>
      <c r="AR418" s="375"/>
      <c r="AS418" s="369"/>
      <c r="AT418" s="369"/>
      <c r="AU418" s="375"/>
      <c r="AV418" s="376"/>
    </row>
    <row r="419" spans="1:48" ht="39.6" hidden="1">
      <c r="A419" s="390" t="s">
        <v>2027</v>
      </c>
      <c r="B419" s="378" t="s">
        <v>1763</v>
      </c>
      <c r="C419" s="378"/>
      <c r="D419" s="75" t="s">
        <v>306</v>
      </c>
      <c r="E419" s="75" t="s">
        <v>303</v>
      </c>
      <c r="F419" s="379">
        <v>2023</v>
      </c>
      <c r="G419" s="379" t="s">
        <v>1069</v>
      </c>
      <c r="H419" s="432">
        <v>2023</v>
      </c>
      <c r="I419" s="378"/>
      <c r="J419" s="380"/>
      <c r="K419" s="380"/>
      <c r="L419" s="380"/>
      <c r="M419" s="380"/>
      <c r="N419" s="378" t="s">
        <v>39</v>
      </c>
      <c r="O419" s="380" t="s">
        <v>353</v>
      </c>
      <c r="P419" s="380" t="s">
        <v>280</v>
      </c>
      <c r="Q419" s="36">
        <v>6801883</v>
      </c>
      <c r="R419" s="36" t="s">
        <v>1751</v>
      </c>
      <c r="S419" s="378" t="s">
        <v>28</v>
      </c>
      <c r="T419" s="380" t="s">
        <v>353</v>
      </c>
      <c r="U419" s="380" t="s">
        <v>280</v>
      </c>
      <c r="V419" s="378">
        <v>6665306</v>
      </c>
      <c r="W419" s="378" t="s">
        <v>1727</v>
      </c>
      <c r="X419" s="378" t="s">
        <v>2016</v>
      </c>
      <c r="Y419" s="380" t="s">
        <v>353</v>
      </c>
      <c r="Z419" s="380" t="s">
        <v>280</v>
      </c>
      <c r="AA419" s="36" t="s">
        <v>942</v>
      </c>
      <c r="AB419" s="36">
        <v>1204210021</v>
      </c>
      <c r="AC419" s="36" t="s">
        <v>2017</v>
      </c>
      <c r="AD419" s="380" t="s">
        <v>353</v>
      </c>
      <c r="AE419" s="380" t="s">
        <v>280</v>
      </c>
      <c r="AF419" s="36" t="s">
        <v>942</v>
      </c>
      <c r="AG419" s="36">
        <v>1204210126</v>
      </c>
      <c r="AH419" s="36" t="s">
        <v>2018</v>
      </c>
      <c r="AI419" s="380" t="s">
        <v>353</v>
      </c>
      <c r="AJ419" s="380" t="s">
        <v>280</v>
      </c>
      <c r="AK419" s="36" t="s">
        <v>942</v>
      </c>
      <c r="AL419" s="36">
        <v>1204215118</v>
      </c>
      <c r="AM419" s="36"/>
      <c r="AN419" s="378"/>
      <c r="AO419" s="380"/>
      <c r="AP419" s="36"/>
      <c r="AQ419" s="36"/>
      <c r="AR419" s="36"/>
      <c r="AS419" s="378"/>
      <c r="AT419" s="378"/>
      <c r="AU419" s="36"/>
      <c r="AV419" s="381"/>
    </row>
    <row r="420" spans="1:48" ht="39.6" hidden="1">
      <c r="A420" s="389" t="s">
        <v>2028</v>
      </c>
      <c r="B420" s="369" t="s">
        <v>2029</v>
      </c>
      <c r="C420" s="369"/>
      <c r="D420" s="370" t="s">
        <v>313</v>
      </c>
      <c r="E420" s="370" t="s">
        <v>2030</v>
      </c>
      <c r="F420" s="371">
        <v>2023</v>
      </c>
      <c r="G420" s="371">
        <v>2023</v>
      </c>
      <c r="H420" s="431">
        <v>2023</v>
      </c>
      <c r="I420" s="369"/>
      <c r="J420" s="373"/>
      <c r="K420" s="373"/>
      <c r="L420" s="373"/>
      <c r="M420" s="373"/>
      <c r="N420" s="369" t="s">
        <v>139</v>
      </c>
      <c r="O420" s="373" t="s">
        <v>686</v>
      </c>
      <c r="P420" s="373" t="s">
        <v>280</v>
      </c>
      <c r="Q420" s="373">
        <v>6833162</v>
      </c>
      <c r="R420" s="373" t="s">
        <v>2031</v>
      </c>
      <c r="S420" s="369" t="s">
        <v>2032</v>
      </c>
      <c r="T420" s="373" t="s">
        <v>686</v>
      </c>
      <c r="U420" s="373" t="s">
        <v>280</v>
      </c>
      <c r="V420" s="369" t="s">
        <v>942</v>
      </c>
      <c r="W420" s="369">
        <v>1205210002</v>
      </c>
      <c r="X420" s="369"/>
      <c r="Y420" s="373"/>
      <c r="Z420" s="373"/>
      <c r="AA420" s="375"/>
      <c r="AB420" s="375"/>
      <c r="AC420" s="375"/>
      <c r="AD420" s="373"/>
      <c r="AE420" s="373"/>
      <c r="AF420" s="375"/>
      <c r="AG420" s="375"/>
      <c r="AH420" s="375"/>
      <c r="AI420" s="373"/>
      <c r="AJ420" s="373"/>
      <c r="AK420" s="375"/>
      <c r="AL420" s="375"/>
      <c r="AM420" s="375"/>
      <c r="AN420" s="369"/>
      <c r="AO420" s="373"/>
      <c r="AP420" s="375"/>
      <c r="AQ420" s="375"/>
      <c r="AR420" s="375"/>
      <c r="AS420" s="369"/>
      <c r="AT420" s="369"/>
      <c r="AU420" s="375"/>
      <c r="AV420" s="376"/>
    </row>
    <row r="421" spans="1:48" ht="39.6" hidden="1">
      <c r="A421" s="389" t="s">
        <v>2033</v>
      </c>
      <c r="B421" s="369" t="s">
        <v>2034</v>
      </c>
      <c r="C421" s="369"/>
      <c r="D421" s="370" t="s">
        <v>277</v>
      </c>
      <c r="E421" s="370" t="s">
        <v>930</v>
      </c>
      <c r="F421" s="371">
        <v>2023</v>
      </c>
      <c r="G421" s="372">
        <v>2023</v>
      </c>
      <c r="H421" s="431">
        <v>2023</v>
      </c>
      <c r="I421" s="369"/>
      <c r="J421" s="373"/>
      <c r="K421" s="373"/>
      <c r="L421" s="373"/>
      <c r="M421" s="373"/>
      <c r="N421" s="369" t="s">
        <v>41</v>
      </c>
      <c r="O421" s="373" t="s">
        <v>353</v>
      </c>
      <c r="P421" s="373" t="s">
        <v>280</v>
      </c>
      <c r="Q421" s="373">
        <v>6843087</v>
      </c>
      <c r="R421" s="373" t="s">
        <v>2010</v>
      </c>
      <c r="S421" s="369" t="s">
        <v>421</v>
      </c>
      <c r="T421" s="373" t="s">
        <v>353</v>
      </c>
      <c r="U421" s="373" t="s">
        <v>420</v>
      </c>
      <c r="V421" s="369">
        <v>5975820</v>
      </c>
      <c r="W421" s="369" t="s">
        <v>2035</v>
      </c>
      <c r="X421" s="369" t="s">
        <v>2036</v>
      </c>
      <c r="Y421" s="373" t="s">
        <v>353</v>
      </c>
      <c r="Z421" s="373" t="s">
        <v>420</v>
      </c>
      <c r="AA421" s="375">
        <v>6102637</v>
      </c>
      <c r="AB421" s="375" t="s">
        <v>2037</v>
      </c>
      <c r="AC421" s="375"/>
      <c r="AD421" s="373"/>
      <c r="AE421" s="373"/>
      <c r="AF421" s="375"/>
      <c r="AG421" s="375"/>
      <c r="AH421" s="375"/>
      <c r="AI421" s="373"/>
      <c r="AJ421" s="373"/>
      <c r="AK421" s="375"/>
      <c r="AL421" s="375"/>
      <c r="AM421" s="375"/>
      <c r="AN421" s="369"/>
      <c r="AO421" s="373"/>
      <c r="AP421" s="375"/>
      <c r="AQ421" s="375"/>
      <c r="AR421" s="375"/>
      <c r="AS421" s="369"/>
      <c r="AT421" s="369"/>
      <c r="AU421" s="375"/>
      <c r="AV421" s="376"/>
    </row>
    <row r="422" spans="1:48" ht="26.4" hidden="1">
      <c r="A422" s="390" t="s">
        <v>2038</v>
      </c>
      <c r="B422" s="378" t="s">
        <v>2039</v>
      </c>
      <c r="C422" s="378"/>
      <c r="D422" s="75" t="s">
        <v>306</v>
      </c>
      <c r="E422" s="75" t="s">
        <v>303</v>
      </c>
      <c r="F422" s="379">
        <v>2023</v>
      </c>
      <c r="G422" s="20">
        <v>2023</v>
      </c>
      <c r="H422" s="432">
        <v>2023</v>
      </c>
      <c r="I422" s="378"/>
      <c r="J422" s="380"/>
      <c r="K422" s="380"/>
      <c r="L422" s="380"/>
      <c r="M422" s="380"/>
      <c r="N422" s="378" t="s">
        <v>1641</v>
      </c>
      <c r="O422" s="380" t="s">
        <v>494</v>
      </c>
      <c r="P422" s="380" t="s">
        <v>641</v>
      </c>
      <c r="Q422" s="380" t="s">
        <v>942</v>
      </c>
      <c r="R422" s="380">
        <v>1210171003</v>
      </c>
      <c r="S422" s="378" t="s">
        <v>2040</v>
      </c>
      <c r="T422" s="380" t="s">
        <v>309</v>
      </c>
      <c r="U422" s="380" t="s">
        <v>641</v>
      </c>
      <c r="V422" s="378">
        <v>260004</v>
      </c>
      <c r="W422" s="378" t="s">
        <v>2041</v>
      </c>
      <c r="X422" s="378" t="s">
        <v>1648</v>
      </c>
      <c r="Y422" s="380" t="s">
        <v>942</v>
      </c>
      <c r="Z422" s="380" t="s">
        <v>641</v>
      </c>
      <c r="AA422" s="36" t="s">
        <v>942</v>
      </c>
      <c r="AB422" s="36" t="s">
        <v>942</v>
      </c>
      <c r="AC422" s="36" t="s">
        <v>1643</v>
      </c>
      <c r="AD422" s="380" t="s">
        <v>942</v>
      </c>
      <c r="AE422" s="380" t="s">
        <v>641</v>
      </c>
      <c r="AF422" s="36" t="s">
        <v>942</v>
      </c>
      <c r="AG422" s="36" t="s">
        <v>942</v>
      </c>
      <c r="AH422" s="36" t="s">
        <v>190</v>
      </c>
      <c r="AI422" s="380" t="s">
        <v>279</v>
      </c>
      <c r="AJ422" s="380" t="s">
        <v>280</v>
      </c>
      <c r="AK422" s="378">
        <v>6843797</v>
      </c>
      <c r="AL422" s="378">
        <v>8950850022</v>
      </c>
      <c r="AM422" s="36"/>
      <c r="AN422" s="378"/>
      <c r="AO422" s="380"/>
      <c r="AP422" s="36"/>
      <c r="AQ422" s="36"/>
      <c r="AR422" s="36"/>
      <c r="AS422" s="378"/>
      <c r="AT422" s="378"/>
      <c r="AU422" s="36"/>
      <c r="AV422" s="381"/>
    </row>
    <row r="423" spans="1:48" ht="39.6" hidden="1">
      <c r="A423" s="393" t="s">
        <v>2042</v>
      </c>
      <c r="B423" s="369" t="s">
        <v>2043</v>
      </c>
      <c r="C423" s="369"/>
      <c r="D423" s="370" t="s">
        <v>302</v>
      </c>
      <c r="E423" s="370" t="s">
        <v>303</v>
      </c>
      <c r="F423" s="371">
        <v>2022</v>
      </c>
      <c r="G423" s="372">
        <v>2022</v>
      </c>
      <c r="H423" s="431">
        <v>2023</v>
      </c>
      <c r="I423" s="369" t="s">
        <v>775</v>
      </c>
      <c r="J423" s="369">
        <v>6785861</v>
      </c>
      <c r="K423" s="369" t="s">
        <v>1904</v>
      </c>
      <c r="L423" s="373" t="s">
        <v>686</v>
      </c>
      <c r="M423" s="373" t="s">
        <v>280</v>
      </c>
      <c r="N423" s="369" t="s">
        <v>775</v>
      </c>
      <c r="O423" s="373" t="s">
        <v>686</v>
      </c>
      <c r="P423" s="373" t="s">
        <v>280</v>
      </c>
      <c r="Q423" s="369">
        <v>6785861</v>
      </c>
      <c r="R423" s="369" t="s">
        <v>1904</v>
      </c>
      <c r="S423" s="369" t="s">
        <v>53</v>
      </c>
      <c r="T423" s="373" t="s">
        <v>620</v>
      </c>
      <c r="U423" s="373" t="s">
        <v>280</v>
      </c>
      <c r="V423" s="369">
        <v>6768348</v>
      </c>
      <c r="W423" s="369" t="s">
        <v>2044</v>
      </c>
      <c r="X423" s="369" t="s">
        <v>761</v>
      </c>
      <c r="Y423" s="373" t="s">
        <v>758</v>
      </c>
      <c r="Z423" s="373" t="s">
        <v>280</v>
      </c>
      <c r="AA423" s="373">
        <v>6756289</v>
      </c>
      <c r="AB423" s="373" t="s">
        <v>1755</v>
      </c>
      <c r="AC423" s="375" t="s">
        <v>2045</v>
      </c>
      <c r="AD423" s="373" t="s">
        <v>686</v>
      </c>
      <c r="AE423" s="373" t="s">
        <v>280</v>
      </c>
      <c r="AF423" s="375" t="s">
        <v>942</v>
      </c>
      <c r="AG423" s="375">
        <v>1205210058</v>
      </c>
      <c r="AH423" s="375" t="s">
        <v>2046</v>
      </c>
      <c r="AI423" s="373" t="s">
        <v>351</v>
      </c>
      <c r="AJ423" s="373" t="s">
        <v>280</v>
      </c>
      <c r="AK423" s="375" t="s">
        <v>942</v>
      </c>
      <c r="AL423" s="375">
        <v>1203202090</v>
      </c>
      <c r="AM423" s="375" t="s">
        <v>2047</v>
      </c>
      <c r="AN423" s="373" t="s">
        <v>620</v>
      </c>
      <c r="AO423" s="373" t="s">
        <v>280</v>
      </c>
      <c r="AP423" s="375" t="s">
        <v>942</v>
      </c>
      <c r="AQ423" s="375">
        <v>1203210034</v>
      </c>
      <c r="AR423" s="375"/>
      <c r="AS423" s="375"/>
      <c r="AT423" s="375"/>
      <c r="AU423" s="375"/>
      <c r="AV423" s="376"/>
    </row>
    <row r="424" spans="1:48" ht="28.8" hidden="1">
      <c r="A424" s="404" t="s">
        <v>2048</v>
      </c>
      <c r="B424" s="375" t="s">
        <v>1822</v>
      </c>
      <c r="C424" s="375"/>
      <c r="D424" s="395" t="s">
        <v>568</v>
      </c>
      <c r="E424" s="395" t="s">
        <v>1122</v>
      </c>
      <c r="F424" s="372"/>
      <c r="G424" s="372"/>
      <c r="H424" s="431">
        <v>2023</v>
      </c>
      <c r="I424" s="375" t="s">
        <v>167</v>
      </c>
      <c r="J424" s="374"/>
      <c r="K424" s="374"/>
      <c r="L424" s="374" t="s">
        <v>279</v>
      </c>
      <c r="M424" s="374"/>
      <c r="N424" s="375" t="s">
        <v>167</v>
      </c>
      <c r="O424" s="374" t="s">
        <v>279</v>
      </c>
      <c r="P424" s="373" t="s">
        <v>280</v>
      </c>
      <c r="Q424" s="374"/>
      <c r="R424" s="374"/>
      <c r="S424" s="375" t="s">
        <v>2049</v>
      </c>
      <c r="T424" s="374"/>
      <c r="U424" s="374" t="s">
        <v>2050</v>
      </c>
      <c r="V424" s="375"/>
      <c r="W424" s="375"/>
      <c r="X424" s="375" t="s">
        <v>1824</v>
      </c>
      <c r="Y424" s="374"/>
      <c r="Z424" s="374" t="s">
        <v>2050</v>
      </c>
      <c r="AA424" s="375"/>
      <c r="AB424" s="375"/>
      <c r="AC424" s="375" t="s">
        <v>1825</v>
      </c>
      <c r="AD424" s="374"/>
      <c r="AE424" s="374" t="s">
        <v>2050</v>
      </c>
      <c r="AF424" s="375"/>
      <c r="AG424" s="375"/>
      <c r="AH424" s="375"/>
      <c r="AI424" s="374"/>
      <c r="AJ424" s="374"/>
      <c r="AK424" s="375"/>
      <c r="AL424" s="375"/>
      <c r="AM424" s="375"/>
      <c r="AN424" s="375"/>
      <c r="AO424" s="374"/>
      <c r="AP424" s="375"/>
      <c r="AQ424" s="375"/>
      <c r="AR424" s="375"/>
      <c r="AS424" s="375"/>
      <c r="AT424" s="375"/>
      <c r="AU424" s="375"/>
      <c r="AV424" s="376"/>
    </row>
    <row r="425" spans="1:48" ht="43.2" hidden="1">
      <c r="A425" s="405" t="s">
        <v>2051</v>
      </c>
      <c r="B425" s="419" t="s">
        <v>2052</v>
      </c>
      <c r="C425" s="419"/>
      <c r="D425" s="370" t="s">
        <v>277</v>
      </c>
      <c r="E425" s="35" t="s">
        <v>1122</v>
      </c>
      <c r="F425" s="20"/>
      <c r="G425" s="20"/>
      <c r="H425" s="432">
        <v>2023</v>
      </c>
      <c r="I425" s="36" t="s">
        <v>27</v>
      </c>
      <c r="J425" s="94"/>
      <c r="K425" s="94"/>
      <c r="L425" s="94"/>
      <c r="M425" s="94"/>
      <c r="N425" s="36" t="s">
        <v>27</v>
      </c>
      <c r="O425" s="94"/>
      <c r="P425" s="94"/>
      <c r="Q425" s="94"/>
      <c r="R425" s="94"/>
      <c r="S425" s="36" t="s">
        <v>140</v>
      </c>
      <c r="T425" s="94" t="s">
        <v>309</v>
      </c>
      <c r="U425" s="94"/>
      <c r="V425" s="36"/>
      <c r="W425" s="36"/>
      <c r="X425" s="36" t="s">
        <v>2053</v>
      </c>
      <c r="Y425" s="94"/>
      <c r="Z425" s="94"/>
      <c r="AA425" s="36"/>
      <c r="AB425" s="36"/>
      <c r="AC425" s="36"/>
      <c r="AD425" s="94"/>
      <c r="AE425" s="94"/>
      <c r="AF425" s="36"/>
      <c r="AG425" s="36"/>
      <c r="AH425" s="36"/>
      <c r="AI425" s="94"/>
      <c r="AJ425" s="94"/>
      <c r="AK425" s="36"/>
      <c r="AL425" s="36"/>
      <c r="AM425" s="36"/>
      <c r="AN425" s="36"/>
      <c r="AO425" s="94"/>
      <c r="AP425" s="36"/>
      <c r="AQ425" s="36"/>
      <c r="AR425" s="36"/>
      <c r="AS425" s="36"/>
      <c r="AT425" s="36"/>
      <c r="AU425" s="36"/>
      <c r="AV425" s="381"/>
    </row>
    <row r="426" spans="1:48" ht="43.2" hidden="1">
      <c r="A426" s="404" t="s">
        <v>2054</v>
      </c>
      <c r="B426" s="420" t="s">
        <v>2055</v>
      </c>
      <c r="C426" s="420"/>
      <c r="D426" s="395" t="s">
        <v>502</v>
      </c>
      <c r="E426" s="395" t="s">
        <v>1122</v>
      </c>
      <c r="F426" s="372"/>
      <c r="G426" s="372"/>
      <c r="H426" s="431">
        <v>2023</v>
      </c>
      <c r="I426" s="375"/>
      <c r="J426" s="374"/>
      <c r="K426" s="374"/>
      <c r="L426" s="374"/>
      <c r="M426" s="374"/>
      <c r="N426" s="375" t="s">
        <v>2056</v>
      </c>
      <c r="O426" s="374"/>
      <c r="P426" s="374"/>
      <c r="Q426" s="374"/>
      <c r="R426" s="374"/>
      <c r="S426" s="375" t="s">
        <v>2057</v>
      </c>
      <c r="T426" s="374"/>
      <c r="U426" s="374"/>
      <c r="V426" s="375"/>
      <c r="W426" s="375"/>
      <c r="X426" s="375" t="s">
        <v>2058</v>
      </c>
      <c r="Y426" s="374"/>
      <c r="Z426" s="374"/>
      <c r="AA426" s="375"/>
      <c r="AB426" s="375"/>
      <c r="AC426" s="375"/>
      <c r="AD426" s="374"/>
      <c r="AE426" s="374"/>
      <c r="AF426" s="375"/>
      <c r="AG426" s="375"/>
      <c r="AH426" s="375"/>
      <c r="AI426" s="374"/>
      <c r="AJ426" s="374"/>
      <c r="AK426" s="375"/>
      <c r="AL426" s="375"/>
      <c r="AM426" s="375"/>
      <c r="AN426" s="375"/>
      <c r="AO426" s="374"/>
      <c r="AP426" s="375"/>
      <c r="AQ426" s="375"/>
      <c r="AR426" s="375"/>
      <c r="AS426" s="375"/>
      <c r="AT426" s="375"/>
      <c r="AU426" s="375"/>
      <c r="AV426" s="376"/>
    </row>
    <row r="427" spans="1:48" hidden="1">
      <c r="A427" s="452" t="s">
        <v>2059</v>
      </c>
      <c r="B427" s="419" t="s">
        <v>946</v>
      </c>
      <c r="C427" s="419"/>
      <c r="D427" s="35" t="s">
        <v>502</v>
      </c>
      <c r="E427" s="35" t="s">
        <v>1122</v>
      </c>
      <c r="F427" s="20"/>
      <c r="G427" s="20"/>
      <c r="H427" s="432">
        <v>2023</v>
      </c>
      <c r="I427" s="36"/>
      <c r="J427" s="94"/>
      <c r="K427" s="94"/>
      <c r="L427" s="94"/>
      <c r="M427" s="94"/>
      <c r="N427" s="36"/>
      <c r="O427" s="94"/>
      <c r="P427" s="94"/>
      <c r="Q427" s="94"/>
      <c r="R427" s="94"/>
      <c r="S427" s="36"/>
      <c r="T427" s="94"/>
      <c r="U427" s="94"/>
      <c r="V427" s="36"/>
      <c r="W427" s="36"/>
      <c r="X427" s="36"/>
      <c r="Y427" s="94"/>
      <c r="Z427" s="94"/>
      <c r="AA427" s="36"/>
      <c r="AB427" s="36"/>
      <c r="AC427" s="36"/>
      <c r="AD427" s="94"/>
      <c r="AE427" s="94"/>
      <c r="AF427" s="36"/>
      <c r="AG427" s="36"/>
      <c r="AH427" s="36"/>
      <c r="AI427" s="94"/>
      <c r="AJ427" s="94"/>
      <c r="AK427" s="36"/>
      <c r="AL427" s="36"/>
      <c r="AM427" s="36"/>
      <c r="AN427" s="36"/>
      <c r="AO427" s="94"/>
      <c r="AP427" s="36"/>
      <c r="AQ427" s="36"/>
      <c r="AR427" s="36"/>
      <c r="AS427" s="36"/>
      <c r="AT427" s="36"/>
      <c r="AU427" s="36"/>
      <c r="AV427" s="381"/>
    </row>
    <row r="428" spans="1:48" ht="28.8" hidden="1">
      <c r="A428" s="404" t="s">
        <v>2060</v>
      </c>
      <c r="B428" s="420" t="s">
        <v>2061</v>
      </c>
      <c r="C428" s="420"/>
      <c r="D428" s="395" t="s">
        <v>568</v>
      </c>
      <c r="E428" s="395" t="s">
        <v>1122</v>
      </c>
      <c r="F428" s="372"/>
      <c r="G428" s="372"/>
      <c r="H428" s="431">
        <v>2023</v>
      </c>
      <c r="I428" s="375" t="s">
        <v>1132</v>
      </c>
      <c r="J428" s="374"/>
      <c r="K428" s="374"/>
      <c r="L428" s="374"/>
      <c r="M428" s="374"/>
      <c r="N428" s="375" t="s">
        <v>1131</v>
      </c>
      <c r="O428" s="374" t="s">
        <v>494</v>
      </c>
      <c r="P428" s="374"/>
      <c r="Q428" s="374"/>
      <c r="R428" s="374"/>
      <c r="S428" s="375" t="s">
        <v>1132</v>
      </c>
      <c r="T428" s="374"/>
      <c r="U428" s="374"/>
      <c r="V428" s="375"/>
      <c r="W428" s="375"/>
      <c r="X428" s="375" t="s">
        <v>1132</v>
      </c>
      <c r="Y428" s="374"/>
      <c r="Z428" s="374"/>
      <c r="AA428" s="375"/>
      <c r="AB428" s="375"/>
      <c r="AC428" s="375"/>
      <c r="AD428" s="374"/>
      <c r="AE428" s="374"/>
      <c r="AF428" s="375"/>
      <c r="AG428" s="375"/>
      <c r="AH428" s="375"/>
      <c r="AI428" s="374"/>
      <c r="AJ428" s="374"/>
      <c r="AK428" s="375"/>
      <c r="AL428" s="375"/>
      <c r="AM428" s="375"/>
      <c r="AN428" s="375"/>
      <c r="AO428" s="374"/>
      <c r="AP428" s="375"/>
      <c r="AQ428" s="375"/>
      <c r="AR428" s="375"/>
      <c r="AS428" s="375"/>
      <c r="AT428" s="375"/>
      <c r="AU428" s="375"/>
      <c r="AV428" s="376"/>
    </row>
    <row r="429" spans="1:48" ht="57.6" hidden="1">
      <c r="A429" s="405" t="s">
        <v>2062</v>
      </c>
      <c r="B429" s="419" t="s">
        <v>2063</v>
      </c>
      <c r="C429" s="419"/>
      <c r="D429" s="370" t="s">
        <v>277</v>
      </c>
      <c r="E429" s="35" t="s">
        <v>1122</v>
      </c>
      <c r="F429" s="20"/>
      <c r="G429" s="20"/>
      <c r="H429" s="432">
        <v>2023</v>
      </c>
      <c r="I429" s="36" t="s">
        <v>193</v>
      </c>
      <c r="J429" s="94" t="s">
        <v>353</v>
      </c>
      <c r="K429" s="94"/>
      <c r="L429" s="94"/>
      <c r="M429" s="94"/>
      <c r="N429" s="36" t="s">
        <v>193</v>
      </c>
      <c r="O429" s="94" t="s">
        <v>353</v>
      </c>
      <c r="P429" s="94"/>
      <c r="Q429" s="94"/>
      <c r="R429" s="94"/>
      <c r="S429" s="36" t="s">
        <v>2064</v>
      </c>
      <c r="T429" s="94"/>
      <c r="U429" s="94"/>
      <c r="V429" s="36"/>
      <c r="W429" s="36"/>
      <c r="X429" s="36"/>
      <c r="Y429" s="94"/>
      <c r="Z429" s="94"/>
      <c r="AA429" s="36"/>
      <c r="AB429" s="36"/>
      <c r="AC429" s="36"/>
      <c r="AD429" s="94"/>
      <c r="AE429" s="94"/>
      <c r="AF429" s="36"/>
      <c r="AG429" s="36"/>
      <c r="AH429" s="36"/>
      <c r="AI429" s="94"/>
      <c r="AJ429" s="94"/>
      <c r="AK429" s="36"/>
      <c r="AL429" s="36"/>
      <c r="AM429" s="36"/>
      <c r="AN429" s="36"/>
      <c r="AO429" s="94"/>
      <c r="AP429" s="36"/>
      <c r="AQ429" s="36"/>
      <c r="AR429" s="36"/>
      <c r="AS429" s="36"/>
      <c r="AT429" s="36"/>
      <c r="AU429" s="36"/>
      <c r="AV429" s="381"/>
    </row>
    <row r="430" spans="1:48" ht="57.6" hidden="1">
      <c r="A430" s="404" t="s">
        <v>2065</v>
      </c>
      <c r="B430" s="420" t="s">
        <v>2066</v>
      </c>
      <c r="C430" s="420"/>
      <c r="D430" s="370" t="s">
        <v>277</v>
      </c>
      <c r="E430" s="395" t="s">
        <v>1122</v>
      </c>
      <c r="F430" s="372"/>
      <c r="G430" s="372"/>
      <c r="H430" s="431">
        <v>2023</v>
      </c>
      <c r="I430" s="375" t="s">
        <v>21</v>
      </c>
      <c r="J430" s="374" t="s">
        <v>309</v>
      </c>
      <c r="K430" s="374"/>
      <c r="L430" s="374"/>
      <c r="M430" s="374"/>
      <c r="N430" s="375" t="s">
        <v>21</v>
      </c>
      <c r="O430" s="374" t="s">
        <v>309</v>
      </c>
      <c r="P430" s="374"/>
      <c r="Q430" s="374"/>
      <c r="R430" s="374"/>
      <c r="S430" s="375" t="s">
        <v>140</v>
      </c>
      <c r="T430" s="374" t="s">
        <v>309</v>
      </c>
      <c r="U430" s="374"/>
      <c r="V430" s="375"/>
      <c r="W430" s="375"/>
      <c r="X430" s="375" t="s">
        <v>2067</v>
      </c>
      <c r="Y430" s="374"/>
      <c r="Z430" s="374"/>
      <c r="AA430" s="375"/>
      <c r="AB430" s="375"/>
      <c r="AC430" s="375" t="s">
        <v>484</v>
      </c>
      <c r="AD430" s="374"/>
      <c r="AE430" s="374"/>
      <c r="AF430" s="375"/>
      <c r="AG430" s="375"/>
      <c r="AH430" s="375"/>
      <c r="AI430" s="374"/>
      <c r="AJ430" s="374"/>
      <c r="AK430" s="375"/>
      <c r="AL430" s="375"/>
      <c r="AM430" s="375"/>
      <c r="AN430" s="375"/>
      <c r="AO430" s="374"/>
      <c r="AP430" s="375"/>
      <c r="AQ430" s="375"/>
      <c r="AR430" s="375"/>
      <c r="AS430" s="375"/>
      <c r="AT430" s="375"/>
      <c r="AU430" s="375"/>
      <c r="AV430" s="376"/>
    </row>
    <row r="431" spans="1:48" ht="57.6" hidden="1">
      <c r="A431" s="405" t="s">
        <v>2068</v>
      </c>
      <c r="B431" s="36" t="s">
        <v>2066</v>
      </c>
      <c r="C431" s="36"/>
      <c r="D431" s="370" t="s">
        <v>277</v>
      </c>
      <c r="E431" s="35" t="s">
        <v>1122</v>
      </c>
      <c r="F431" s="20"/>
      <c r="G431" s="20"/>
      <c r="H431" s="432">
        <v>2023</v>
      </c>
      <c r="I431" s="36"/>
      <c r="J431" s="94"/>
      <c r="K431" s="94"/>
      <c r="L431" s="94"/>
      <c r="M431" s="94"/>
      <c r="N431" s="36" t="s">
        <v>2069</v>
      </c>
      <c r="O431" s="94"/>
      <c r="P431" s="94"/>
      <c r="Q431" s="94"/>
      <c r="R431" s="94"/>
      <c r="S431" s="36" t="s">
        <v>479</v>
      </c>
      <c r="T431" s="94"/>
      <c r="U431" s="94"/>
      <c r="V431" s="36"/>
      <c r="W431" s="36"/>
      <c r="X431" s="36" t="s">
        <v>2070</v>
      </c>
      <c r="Y431" s="94"/>
      <c r="Z431" s="94"/>
      <c r="AA431" s="36"/>
      <c r="AB431" s="36"/>
      <c r="AC431" s="36" t="s">
        <v>19</v>
      </c>
      <c r="AD431" s="94" t="s">
        <v>309</v>
      </c>
      <c r="AE431" s="94"/>
      <c r="AF431" s="36"/>
      <c r="AG431" s="36"/>
      <c r="AH431" s="36" t="s">
        <v>2071</v>
      </c>
      <c r="AI431" s="94"/>
      <c r="AJ431" s="94"/>
      <c r="AK431" s="36"/>
      <c r="AL431" s="36"/>
      <c r="AM431" s="36" t="s">
        <v>482</v>
      </c>
      <c r="AN431" s="36"/>
      <c r="AO431" s="94"/>
      <c r="AP431" s="36"/>
      <c r="AQ431" s="36"/>
      <c r="AR431" s="36"/>
      <c r="AS431" s="36"/>
      <c r="AT431" s="36"/>
      <c r="AU431" s="36"/>
      <c r="AV431" s="381"/>
    </row>
    <row r="432" spans="1:48" ht="28.8" hidden="1">
      <c r="A432" s="404" t="s">
        <v>2072</v>
      </c>
      <c r="B432" s="420" t="s">
        <v>2073</v>
      </c>
      <c r="C432" s="420"/>
      <c r="D432" s="395" t="s">
        <v>568</v>
      </c>
      <c r="E432" s="395" t="s">
        <v>1122</v>
      </c>
      <c r="F432" s="372"/>
      <c r="G432" s="372"/>
      <c r="H432" s="431">
        <v>2023</v>
      </c>
      <c r="I432" s="375" t="s">
        <v>1474</v>
      </c>
      <c r="J432" s="374" t="s">
        <v>162</v>
      </c>
      <c r="K432" s="374"/>
      <c r="L432" s="374"/>
      <c r="M432" s="374" t="s">
        <v>2074</v>
      </c>
      <c r="N432" s="375" t="s">
        <v>1474</v>
      </c>
      <c r="O432" s="374"/>
      <c r="P432" s="374" t="s">
        <v>2074</v>
      </c>
      <c r="Q432" s="374"/>
      <c r="R432" s="374"/>
      <c r="S432" s="375" t="s">
        <v>1475</v>
      </c>
      <c r="T432" s="374"/>
      <c r="U432" s="374" t="s">
        <v>2074</v>
      </c>
      <c r="V432" s="375"/>
      <c r="W432" s="375"/>
      <c r="X432" s="375" t="s">
        <v>1476</v>
      </c>
      <c r="Y432" s="374"/>
      <c r="Z432" s="374" t="s">
        <v>2074</v>
      </c>
      <c r="AA432" s="375"/>
      <c r="AB432" s="375"/>
      <c r="AC432" s="375" t="s">
        <v>71</v>
      </c>
      <c r="AD432" s="374" t="s">
        <v>620</v>
      </c>
      <c r="AE432" s="373" t="s">
        <v>280</v>
      </c>
      <c r="AF432" s="375"/>
      <c r="AG432" s="375"/>
      <c r="AH432" s="375"/>
      <c r="AI432" s="374"/>
      <c r="AJ432" s="374"/>
      <c r="AK432" s="375"/>
      <c r="AL432" s="375"/>
      <c r="AM432" s="375"/>
      <c r="AN432" s="375"/>
      <c r="AO432" s="374"/>
      <c r="AP432" s="375"/>
      <c r="AQ432" s="375"/>
      <c r="AR432" s="375"/>
      <c r="AS432" s="375"/>
      <c r="AT432" s="375"/>
      <c r="AU432" s="375"/>
      <c r="AV432" s="376"/>
    </row>
    <row r="433" spans="1:48" ht="28.8" hidden="1">
      <c r="A433" s="405" t="s">
        <v>2075</v>
      </c>
      <c r="B433" s="470" t="s">
        <v>2076</v>
      </c>
      <c r="C433" s="470"/>
      <c r="D433" s="35" t="s">
        <v>416</v>
      </c>
      <c r="E433" s="35" t="s">
        <v>1122</v>
      </c>
      <c r="F433" s="20"/>
      <c r="G433" s="20"/>
      <c r="H433" s="432">
        <v>2023</v>
      </c>
      <c r="I433" s="36"/>
      <c r="J433" s="94"/>
      <c r="K433" s="94"/>
      <c r="L433" s="94"/>
      <c r="M433" s="94"/>
      <c r="N433" s="36" t="s">
        <v>2077</v>
      </c>
      <c r="O433" s="94"/>
      <c r="P433" s="94"/>
      <c r="Q433" s="94"/>
      <c r="R433" s="94"/>
      <c r="S433" s="36" t="s">
        <v>2078</v>
      </c>
      <c r="T433" s="94" t="s">
        <v>309</v>
      </c>
      <c r="U433" s="94"/>
      <c r="V433" s="36"/>
      <c r="W433" s="36"/>
      <c r="X433" s="36" t="s">
        <v>12</v>
      </c>
      <c r="Y433" s="94" t="s">
        <v>309</v>
      </c>
      <c r="Z433" s="94"/>
      <c r="AA433" s="36"/>
      <c r="AB433" s="36"/>
      <c r="AC433" s="36" t="s">
        <v>2079</v>
      </c>
      <c r="AD433" s="94"/>
      <c r="AE433" s="94"/>
      <c r="AF433" s="36"/>
      <c r="AG433" s="36"/>
      <c r="AH433" s="36" t="s">
        <v>586</v>
      </c>
      <c r="AI433" s="94"/>
      <c r="AJ433" s="94"/>
      <c r="AK433" s="36"/>
      <c r="AL433" s="36"/>
      <c r="AM433" s="36" t="s">
        <v>2080</v>
      </c>
      <c r="AN433" s="36"/>
      <c r="AO433" s="94"/>
      <c r="AP433" s="36"/>
      <c r="AQ433" s="36"/>
      <c r="AR433" s="36" t="s">
        <v>2081</v>
      </c>
      <c r="AS433" s="36"/>
      <c r="AT433" s="36"/>
      <c r="AU433" s="36"/>
      <c r="AV433" s="381"/>
    </row>
    <row r="434" spans="1:48" ht="28.8" hidden="1">
      <c r="A434" s="404" t="s">
        <v>2082</v>
      </c>
      <c r="B434" s="420" t="s">
        <v>946</v>
      </c>
      <c r="C434" s="420"/>
      <c r="D434" s="395" t="s">
        <v>502</v>
      </c>
      <c r="E434" s="395" t="s">
        <v>1122</v>
      </c>
      <c r="F434" s="372"/>
      <c r="G434" s="372"/>
      <c r="H434" s="431">
        <v>2023</v>
      </c>
      <c r="I434" s="375"/>
      <c r="J434" s="374"/>
      <c r="K434" s="374"/>
      <c r="L434" s="374"/>
      <c r="M434" s="374"/>
      <c r="N434" s="375" t="s">
        <v>1923</v>
      </c>
      <c r="O434" s="374"/>
      <c r="P434" s="374"/>
      <c r="Q434" s="374"/>
      <c r="R434" s="374"/>
      <c r="S434" s="375" t="s">
        <v>168</v>
      </c>
      <c r="T434" s="374"/>
      <c r="U434" s="374"/>
      <c r="V434" s="375"/>
      <c r="W434" s="375"/>
      <c r="X434" s="375" t="s">
        <v>1924</v>
      </c>
      <c r="Y434" s="374"/>
      <c r="Z434" s="374"/>
      <c r="AA434" s="375"/>
      <c r="AB434" s="375"/>
      <c r="AC434" s="375" t="s">
        <v>1927</v>
      </c>
      <c r="AD434" s="374"/>
      <c r="AE434" s="374"/>
      <c r="AF434" s="375"/>
      <c r="AG434" s="375"/>
      <c r="AH434" s="375" t="s">
        <v>12</v>
      </c>
      <c r="AI434" s="374" t="s">
        <v>309</v>
      </c>
      <c r="AJ434" s="374"/>
      <c r="AK434" s="375"/>
      <c r="AL434" s="375"/>
      <c r="AM434" s="375"/>
      <c r="AN434" s="375"/>
      <c r="AO434" s="374"/>
      <c r="AP434" s="375"/>
      <c r="AQ434" s="375"/>
      <c r="AR434" s="375"/>
      <c r="AS434" s="375"/>
      <c r="AT434" s="375"/>
      <c r="AU434" s="375"/>
      <c r="AV434" s="376"/>
    </row>
    <row r="435" spans="1:48" ht="28.8" hidden="1">
      <c r="A435" s="404" t="s">
        <v>2083</v>
      </c>
      <c r="B435" s="375" t="s">
        <v>2084</v>
      </c>
      <c r="C435" s="375"/>
      <c r="D435" s="395" t="s">
        <v>568</v>
      </c>
      <c r="E435" s="395" t="s">
        <v>1122</v>
      </c>
      <c r="F435" s="372"/>
      <c r="G435" s="372"/>
      <c r="H435" s="431">
        <v>2023</v>
      </c>
      <c r="I435" s="375"/>
      <c r="J435" s="374"/>
      <c r="K435" s="374"/>
      <c r="L435" s="374"/>
      <c r="M435" s="374"/>
      <c r="N435" s="375" t="s">
        <v>167</v>
      </c>
      <c r="O435" s="374" t="s">
        <v>279</v>
      </c>
      <c r="P435" s="374"/>
      <c r="Q435" s="374"/>
      <c r="R435" s="374"/>
      <c r="S435" s="375" t="s">
        <v>642</v>
      </c>
      <c r="T435" s="374"/>
      <c r="U435" s="374" t="s">
        <v>635</v>
      </c>
      <c r="V435" s="375"/>
      <c r="W435" s="375"/>
      <c r="X435" s="375" t="s">
        <v>2085</v>
      </c>
      <c r="Y435" s="374"/>
      <c r="Z435" s="374" t="s">
        <v>635</v>
      </c>
      <c r="AA435" s="375"/>
      <c r="AB435" s="375"/>
      <c r="AC435" s="375" t="s">
        <v>637</v>
      </c>
      <c r="AD435" s="374"/>
      <c r="AE435" s="374" t="s">
        <v>635</v>
      </c>
      <c r="AF435" s="375"/>
      <c r="AG435" s="375"/>
      <c r="AH435" s="375"/>
      <c r="AI435" s="374"/>
      <c r="AJ435" s="374"/>
      <c r="AK435" s="375"/>
      <c r="AL435" s="375"/>
      <c r="AM435" s="375"/>
      <c r="AN435" s="375"/>
      <c r="AO435" s="374"/>
      <c r="AP435" s="375"/>
      <c r="AQ435" s="375"/>
      <c r="AR435" s="375"/>
      <c r="AS435" s="375"/>
      <c r="AT435" s="375"/>
      <c r="AU435" s="375"/>
      <c r="AV435" s="376"/>
    </row>
    <row r="436" spans="1:48" ht="28.8" hidden="1">
      <c r="A436" s="405" t="s">
        <v>1558</v>
      </c>
      <c r="B436" s="36" t="s">
        <v>2086</v>
      </c>
      <c r="C436" s="36"/>
      <c r="D436" s="35" t="s">
        <v>528</v>
      </c>
      <c r="E436" s="35" t="s">
        <v>1122</v>
      </c>
      <c r="F436" s="432">
        <v>2022</v>
      </c>
      <c r="G436" s="432">
        <v>2022</v>
      </c>
      <c r="H436" s="432">
        <v>2022</v>
      </c>
      <c r="I436" s="36"/>
      <c r="J436" s="94"/>
      <c r="K436" s="94"/>
      <c r="L436" s="94"/>
      <c r="M436" s="94"/>
      <c r="N436" s="36" t="s">
        <v>1560</v>
      </c>
      <c r="O436" s="94"/>
      <c r="P436" s="94"/>
      <c r="Q436" s="94"/>
      <c r="R436" s="94"/>
      <c r="S436" s="36" t="s">
        <v>1561</v>
      </c>
      <c r="T436" s="94"/>
      <c r="U436" s="94"/>
      <c r="V436" s="36"/>
      <c r="W436" s="36"/>
      <c r="X436" s="36" t="s">
        <v>1562</v>
      </c>
      <c r="Y436" s="94"/>
      <c r="Z436" s="94"/>
      <c r="AA436" s="36"/>
      <c r="AB436" s="36"/>
      <c r="AC436" s="36" t="s">
        <v>134</v>
      </c>
      <c r="AD436" s="94" t="s">
        <v>449</v>
      </c>
      <c r="AE436" s="94"/>
      <c r="AF436" s="36"/>
      <c r="AG436" s="36"/>
      <c r="AH436" s="36" t="s">
        <v>837</v>
      </c>
      <c r="AI436" s="94"/>
      <c r="AJ436" s="94"/>
      <c r="AK436" s="36"/>
      <c r="AL436" s="36"/>
      <c r="AM436" s="36" t="s">
        <v>1563</v>
      </c>
      <c r="AN436" s="36"/>
      <c r="AO436" s="94"/>
      <c r="AP436" s="36"/>
      <c r="AQ436" s="36"/>
      <c r="AR436" s="36"/>
      <c r="AS436" s="36"/>
      <c r="AT436" s="36"/>
      <c r="AU436" s="36"/>
      <c r="AV436" s="381"/>
    </row>
    <row r="437" spans="1:48" hidden="1">
      <c r="A437" s="404" t="s">
        <v>2087</v>
      </c>
      <c r="B437" s="375" t="s">
        <v>2088</v>
      </c>
      <c r="C437" s="375"/>
      <c r="D437" s="395" t="s">
        <v>313</v>
      </c>
      <c r="E437" s="395"/>
      <c r="F437" s="372"/>
      <c r="G437" s="372"/>
      <c r="H437" s="431">
        <v>2023</v>
      </c>
      <c r="I437" s="375"/>
      <c r="J437" s="374"/>
      <c r="K437" s="374"/>
      <c r="L437" s="374"/>
      <c r="M437" s="374"/>
      <c r="N437" s="375" t="s">
        <v>2089</v>
      </c>
      <c r="O437" s="374"/>
      <c r="P437" s="374"/>
      <c r="Q437" s="374"/>
      <c r="R437" s="374"/>
      <c r="S437" s="375" t="s">
        <v>189</v>
      </c>
      <c r="T437" s="374" t="s">
        <v>162</v>
      </c>
      <c r="U437" s="374"/>
      <c r="V437" s="375"/>
      <c r="W437" s="375"/>
      <c r="X437" s="375"/>
      <c r="Y437" s="374"/>
      <c r="Z437" s="374"/>
      <c r="AA437" s="375"/>
      <c r="AB437" s="375"/>
      <c r="AC437" s="375"/>
      <c r="AD437" s="374"/>
      <c r="AE437" s="374"/>
      <c r="AF437" s="375"/>
      <c r="AG437" s="375"/>
      <c r="AH437" s="375"/>
      <c r="AI437" s="374"/>
      <c r="AJ437" s="374"/>
      <c r="AK437" s="375"/>
      <c r="AL437" s="375"/>
      <c r="AM437" s="375"/>
      <c r="AN437" s="375"/>
      <c r="AO437" s="374"/>
      <c r="AP437" s="375"/>
      <c r="AQ437" s="375"/>
      <c r="AR437" s="375"/>
      <c r="AS437" s="375"/>
      <c r="AT437" s="375"/>
      <c r="AU437" s="375"/>
      <c r="AV437" s="376"/>
    </row>
    <row r="438" spans="1:48" ht="28.8" hidden="1">
      <c r="A438" s="405" t="s">
        <v>2090</v>
      </c>
      <c r="B438" s="36" t="s">
        <v>2088</v>
      </c>
      <c r="C438" s="36"/>
      <c r="D438" s="395" t="s">
        <v>313</v>
      </c>
      <c r="E438" s="35"/>
      <c r="F438" s="20"/>
      <c r="G438" s="20"/>
      <c r="H438" s="432">
        <v>2023</v>
      </c>
      <c r="I438" s="36"/>
      <c r="J438" s="94"/>
      <c r="K438" s="94"/>
      <c r="L438" s="94"/>
      <c r="M438" s="94"/>
      <c r="N438" s="36" t="s">
        <v>2091</v>
      </c>
      <c r="O438" s="94"/>
      <c r="P438" s="94"/>
      <c r="Q438" s="94"/>
      <c r="R438" s="94"/>
      <c r="S438" s="36" t="s">
        <v>189</v>
      </c>
      <c r="T438" s="374" t="s">
        <v>162</v>
      </c>
      <c r="U438" s="94"/>
      <c r="V438" s="36"/>
      <c r="W438" s="36"/>
      <c r="X438" s="36"/>
      <c r="Y438" s="94"/>
      <c r="Z438" s="94"/>
      <c r="AA438" s="36"/>
      <c r="AB438" s="36"/>
      <c r="AC438" s="36"/>
      <c r="AD438" s="94"/>
      <c r="AE438" s="94"/>
      <c r="AF438" s="36"/>
      <c r="AG438" s="36"/>
      <c r="AH438" s="36"/>
      <c r="AI438" s="94"/>
      <c r="AJ438" s="94"/>
      <c r="AK438" s="36"/>
      <c r="AL438" s="36"/>
      <c r="AM438" s="36"/>
      <c r="AN438" s="36"/>
      <c r="AO438" s="94"/>
      <c r="AP438" s="36"/>
      <c r="AQ438" s="36"/>
      <c r="AR438" s="36"/>
      <c r="AS438" s="36"/>
      <c r="AT438" s="36"/>
      <c r="AU438" s="36"/>
      <c r="AV438" s="381"/>
    </row>
    <row r="439" spans="1:48" ht="43.2" hidden="1">
      <c r="A439" s="404" t="s">
        <v>2092</v>
      </c>
      <c r="B439" s="420" t="s">
        <v>2093</v>
      </c>
      <c r="C439" s="420"/>
      <c r="D439" s="395" t="s">
        <v>313</v>
      </c>
      <c r="E439" s="395"/>
      <c r="F439" s="372"/>
      <c r="G439" s="372"/>
      <c r="H439" s="431">
        <v>2023</v>
      </c>
      <c r="I439" s="375"/>
      <c r="J439" s="374"/>
      <c r="K439" s="374"/>
      <c r="L439" s="374"/>
      <c r="M439" s="374"/>
      <c r="N439" s="375" t="s">
        <v>165</v>
      </c>
      <c r="O439" s="374" t="s">
        <v>162</v>
      </c>
      <c r="P439" s="374"/>
      <c r="Q439" s="374"/>
      <c r="R439" s="374"/>
      <c r="S439" s="375" t="s">
        <v>32</v>
      </c>
      <c r="T439" s="374" t="s">
        <v>162</v>
      </c>
      <c r="U439" s="374"/>
      <c r="V439" s="375"/>
      <c r="W439" s="375"/>
      <c r="X439" s="375" t="s">
        <v>38</v>
      </c>
      <c r="Y439" s="374" t="s">
        <v>162</v>
      </c>
      <c r="Z439" s="374"/>
      <c r="AA439" s="375"/>
      <c r="AB439" s="375"/>
      <c r="AC439" s="375"/>
      <c r="AD439" s="374"/>
      <c r="AE439" s="374"/>
      <c r="AF439" s="375"/>
      <c r="AG439" s="375"/>
      <c r="AH439" s="375"/>
      <c r="AI439" s="374"/>
      <c r="AJ439" s="374"/>
      <c r="AK439" s="375"/>
      <c r="AL439" s="375"/>
      <c r="AM439" s="375"/>
      <c r="AN439" s="375"/>
      <c r="AO439" s="374"/>
      <c r="AP439" s="375"/>
      <c r="AQ439" s="375"/>
      <c r="AR439" s="375"/>
      <c r="AS439" s="375"/>
      <c r="AT439" s="375"/>
      <c r="AU439" s="375"/>
      <c r="AV439" s="376"/>
    </row>
    <row r="440" spans="1:48" ht="28.8" hidden="1">
      <c r="A440" s="405" t="s">
        <v>2094</v>
      </c>
      <c r="B440" s="419" t="s">
        <v>2095</v>
      </c>
      <c r="C440" s="419"/>
      <c r="D440" s="35" t="s">
        <v>782</v>
      </c>
      <c r="E440" s="35" t="s">
        <v>303</v>
      </c>
      <c r="F440" s="20"/>
      <c r="G440" s="20"/>
      <c r="H440" s="432">
        <v>2023</v>
      </c>
      <c r="I440" s="36"/>
      <c r="J440" s="94"/>
      <c r="K440" s="94"/>
      <c r="L440" s="94"/>
      <c r="M440" s="94"/>
      <c r="N440" s="36" t="s">
        <v>27</v>
      </c>
      <c r="O440" s="94" t="s">
        <v>279</v>
      </c>
      <c r="P440" s="94"/>
      <c r="Q440" s="94"/>
      <c r="R440" s="94"/>
      <c r="S440" s="36" t="s">
        <v>94</v>
      </c>
      <c r="T440" s="94" t="s">
        <v>279</v>
      </c>
      <c r="U440" s="94"/>
      <c r="V440" s="36"/>
      <c r="W440" s="36"/>
      <c r="X440" s="36" t="s">
        <v>18</v>
      </c>
      <c r="Y440" s="94" t="s">
        <v>449</v>
      </c>
      <c r="Z440" s="94"/>
      <c r="AA440" s="36"/>
      <c r="AB440" s="36"/>
      <c r="AC440" s="36"/>
      <c r="AD440" s="94"/>
      <c r="AE440" s="94"/>
      <c r="AF440" s="36"/>
      <c r="AG440" s="36"/>
      <c r="AH440" s="36"/>
      <c r="AI440" s="94"/>
      <c r="AJ440" s="94"/>
      <c r="AK440" s="36"/>
      <c r="AL440" s="36"/>
      <c r="AM440" s="36"/>
      <c r="AN440" s="36"/>
      <c r="AO440" s="94"/>
      <c r="AP440" s="36"/>
      <c r="AQ440" s="36"/>
      <c r="AR440" s="36"/>
      <c r="AS440" s="36"/>
      <c r="AT440" s="36"/>
      <c r="AU440" s="36"/>
      <c r="AV440" s="381"/>
    </row>
    <row r="441" spans="1:48" ht="28.8" hidden="1">
      <c r="A441" s="404" t="s">
        <v>2096</v>
      </c>
      <c r="B441" s="420" t="s">
        <v>2097</v>
      </c>
      <c r="C441" s="420"/>
      <c r="D441" s="35" t="s">
        <v>321</v>
      </c>
      <c r="E441" s="35" t="s">
        <v>303</v>
      </c>
      <c r="F441" s="372"/>
      <c r="G441" s="372"/>
      <c r="H441" s="431">
        <v>2023</v>
      </c>
      <c r="I441" s="375"/>
      <c r="J441" s="374"/>
      <c r="K441" s="374"/>
      <c r="L441" s="374"/>
      <c r="M441" s="374"/>
      <c r="N441" s="375" t="s">
        <v>2098</v>
      </c>
      <c r="O441" s="374" t="s">
        <v>279</v>
      </c>
      <c r="P441" s="374"/>
      <c r="Q441" s="374"/>
      <c r="R441" s="374"/>
      <c r="S441" s="375" t="s">
        <v>2099</v>
      </c>
      <c r="T441" s="374"/>
      <c r="U441" s="374"/>
      <c r="V441" s="375"/>
      <c r="W441" s="375"/>
      <c r="X441" s="375"/>
      <c r="Y441" s="374"/>
      <c r="Z441" s="374"/>
      <c r="AA441" s="375"/>
      <c r="AB441" s="375"/>
      <c r="AC441" s="375"/>
      <c r="AD441" s="374"/>
      <c r="AE441" s="374"/>
      <c r="AF441" s="375"/>
      <c r="AG441" s="375"/>
      <c r="AH441" s="375"/>
      <c r="AI441" s="374"/>
      <c r="AJ441" s="374"/>
      <c r="AK441" s="375"/>
      <c r="AL441" s="375"/>
      <c r="AM441" s="375"/>
      <c r="AN441" s="375"/>
      <c r="AO441" s="374"/>
      <c r="AP441" s="375"/>
      <c r="AQ441" s="375"/>
      <c r="AR441" s="375"/>
      <c r="AS441" s="375"/>
      <c r="AT441" s="375"/>
      <c r="AU441" s="375"/>
      <c r="AV441" s="376"/>
    </row>
    <row r="442" spans="1:48" ht="28.8" hidden="1">
      <c r="A442" s="405" t="s">
        <v>2100</v>
      </c>
      <c r="B442" s="419" t="s">
        <v>2101</v>
      </c>
      <c r="C442" s="419"/>
      <c r="D442" s="35" t="s">
        <v>306</v>
      </c>
      <c r="E442" s="35" t="s">
        <v>303</v>
      </c>
      <c r="F442" s="20"/>
      <c r="G442" s="20"/>
      <c r="H442" s="432">
        <v>2023</v>
      </c>
      <c r="I442" s="36"/>
      <c r="J442" s="94"/>
      <c r="K442" s="94"/>
      <c r="L442" s="94"/>
      <c r="M442" s="94"/>
      <c r="N442" s="36" t="s">
        <v>21</v>
      </c>
      <c r="O442" s="94" t="s">
        <v>309</v>
      </c>
      <c r="P442" s="94"/>
      <c r="Q442" s="94"/>
      <c r="R442" s="94"/>
      <c r="S442" s="36" t="s">
        <v>92</v>
      </c>
      <c r="T442" s="94" t="s">
        <v>279</v>
      </c>
      <c r="U442" s="94"/>
      <c r="V442" s="36"/>
      <c r="W442" s="36"/>
      <c r="X442" s="36" t="s">
        <v>1239</v>
      </c>
      <c r="Y442" s="94"/>
      <c r="Z442" s="94"/>
      <c r="AA442" s="36"/>
      <c r="AB442" s="36"/>
      <c r="AC442" s="36"/>
      <c r="AD442" s="94"/>
      <c r="AE442" s="94"/>
      <c r="AF442" s="36"/>
      <c r="AG442" s="36"/>
      <c r="AH442" s="36"/>
      <c r="AI442" s="94"/>
      <c r="AJ442" s="94"/>
      <c r="AK442" s="36"/>
      <c r="AL442" s="36"/>
      <c r="AM442" s="36"/>
      <c r="AN442" s="36"/>
      <c r="AO442" s="94"/>
      <c r="AP442" s="36"/>
      <c r="AQ442" s="36"/>
      <c r="AR442" s="36"/>
      <c r="AS442" s="36"/>
      <c r="AT442" s="36"/>
      <c r="AU442" s="36"/>
      <c r="AV442" s="381"/>
    </row>
    <row r="443" spans="1:48" ht="43.2" hidden="1">
      <c r="A443" s="404" t="s">
        <v>2102</v>
      </c>
      <c r="B443" s="420" t="s">
        <v>2103</v>
      </c>
      <c r="C443" s="420"/>
      <c r="D443" s="395" t="s">
        <v>302</v>
      </c>
      <c r="E443" s="35" t="s">
        <v>303</v>
      </c>
      <c r="F443" s="372"/>
      <c r="G443" s="372"/>
      <c r="H443" s="431">
        <v>2023</v>
      </c>
      <c r="I443" s="375"/>
      <c r="J443" s="374"/>
      <c r="K443" s="374"/>
      <c r="L443" s="374"/>
      <c r="M443" s="374"/>
      <c r="N443" s="375" t="s">
        <v>2104</v>
      </c>
      <c r="O443" s="374"/>
      <c r="P443" s="374"/>
      <c r="Q443" s="374"/>
      <c r="R443" s="374"/>
      <c r="S443" s="375" t="s">
        <v>12</v>
      </c>
      <c r="T443" s="374" t="s">
        <v>309</v>
      </c>
      <c r="U443" s="374"/>
      <c r="V443" s="375"/>
      <c r="W443" s="375"/>
      <c r="X443" s="375" t="s">
        <v>19</v>
      </c>
      <c r="Y443" s="374" t="s">
        <v>309</v>
      </c>
      <c r="Z443" s="374"/>
      <c r="AA443" s="375"/>
      <c r="AB443" s="375"/>
      <c r="AC443" s="375"/>
      <c r="AD443" s="374"/>
      <c r="AE443" s="374"/>
      <c r="AF443" s="375"/>
      <c r="AG443" s="375"/>
      <c r="AH443" s="375"/>
      <c r="AI443" s="374"/>
      <c r="AJ443" s="374"/>
      <c r="AK443" s="375"/>
      <c r="AL443" s="375"/>
      <c r="AM443" s="375"/>
      <c r="AN443" s="375"/>
      <c r="AO443" s="374"/>
      <c r="AP443" s="375"/>
      <c r="AQ443" s="375"/>
      <c r="AR443" s="375"/>
      <c r="AS443" s="375"/>
      <c r="AT443" s="375"/>
      <c r="AU443" s="375"/>
      <c r="AV443" s="376"/>
    </row>
    <row r="444" spans="1:48" ht="28.8" hidden="1">
      <c r="A444" s="405" t="s">
        <v>2105</v>
      </c>
      <c r="B444" s="419" t="s">
        <v>2106</v>
      </c>
      <c r="C444" s="419"/>
      <c r="D444" s="35" t="s">
        <v>321</v>
      </c>
      <c r="E444" s="35" t="s">
        <v>303</v>
      </c>
      <c r="F444" s="20"/>
      <c r="G444" s="20"/>
      <c r="H444" s="432">
        <v>2023</v>
      </c>
      <c r="I444" s="36"/>
      <c r="J444" s="94"/>
      <c r="K444" s="94"/>
      <c r="L444" s="94"/>
      <c r="M444" s="94"/>
      <c r="N444" s="36" t="s">
        <v>2107</v>
      </c>
      <c r="O444" s="94"/>
      <c r="P444" s="94"/>
      <c r="Q444" s="94"/>
      <c r="R444" s="94"/>
      <c r="S444" s="36" t="s">
        <v>6</v>
      </c>
      <c r="T444" s="94" t="s">
        <v>351</v>
      </c>
      <c r="U444" s="94"/>
      <c r="V444" s="36"/>
      <c r="W444" s="36"/>
      <c r="X444" s="36"/>
      <c r="Y444" s="94"/>
      <c r="Z444" s="94"/>
      <c r="AA444" s="36"/>
      <c r="AB444" s="36"/>
      <c r="AC444" s="36"/>
      <c r="AD444" s="94"/>
      <c r="AE444" s="94"/>
      <c r="AF444" s="36"/>
      <c r="AG444" s="36"/>
      <c r="AH444" s="36"/>
      <c r="AI444" s="94"/>
      <c r="AJ444" s="94"/>
      <c r="AK444" s="36"/>
      <c r="AL444" s="36"/>
      <c r="AM444" s="36"/>
      <c r="AN444" s="36"/>
      <c r="AO444" s="94"/>
      <c r="AP444" s="36"/>
      <c r="AQ444" s="36"/>
      <c r="AR444" s="36"/>
      <c r="AS444" s="36"/>
      <c r="AT444" s="36"/>
      <c r="AU444" s="36"/>
      <c r="AV444" s="381"/>
    </row>
    <row r="445" spans="1:48" ht="28.8" hidden="1">
      <c r="A445" s="404" t="s">
        <v>2108</v>
      </c>
      <c r="B445" s="420" t="s">
        <v>2109</v>
      </c>
      <c r="C445" s="420"/>
      <c r="D445" s="395" t="s">
        <v>302</v>
      </c>
      <c r="E445" s="35" t="s">
        <v>303</v>
      </c>
      <c r="F445" s="372"/>
      <c r="G445" s="372"/>
      <c r="H445" s="431">
        <v>2023</v>
      </c>
      <c r="I445" s="375"/>
      <c r="J445" s="374"/>
      <c r="K445" s="374"/>
      <c r="L445" s="374"/>
      <c r="M445" s="374"/>
      <c r="N445" s="375" t="s">
        <v>775</v>
      </c>
      <c r="O445" s="374" t="s">
        <v>686</v>
      </c>
      <c r="P445" s="374"/>
      <c r="Q445" s="374"/>
      <c r="R445" s="374"/>
      <c r="S445" s="375" t="s">
        <v>761</v>
      </c>
      <c r="T445" s="374"/>
      <c r="U445" s="374"/>
      <c r="V445" s="375"/>
      <c r="W445" s="375"/>
      <c r="X445" s="375"/>
      <c r="Y445" s="374"/>
      <c r="Z445" s="374"/>
      <c r="AA445" s="375"/>
      <c r="AB445" s="375"/>
      <c r="AC445" s="375"/>
      <c r="AD445" s="374"/>
      <c r="AE445" s="374"/>
      <c r="AF445" s="375"/>
      <c r="AG445" s="375"/>
      <c r="AH445" s="375"/>
      <c r="AI445" s="374"/>
      <c r="AJ445" s="374"/>
      <c r="AK445" s="375"/>
      <c r="AL445" s="375"/>
      <c r="AM445" s="375"/>
      <c r="AN445" s="375"/>
      <c r="AO445" s="374"/>
      <c r="AP445" s="375"/>
      <c r="AQ445" s="375"/>
      <c r="AR445" s="375"/>
      <c r="AS445" s="375"/>
      <c r="AT445" s="375"/>
      <c r="AU445" s="375"/>
      <c r="AV445" s="376"/>
    </row>
    <row r="446" spans="1:48" ht="28.8" hidden="1">
      <c r="A446" s="405" t="s">
        <v>2110</v>
      </c>
      <c r="B446" s="419" t="s">
        <v>2111</v>
      </c>
      <c r="C446" s="419"/>
      <c r="D446" s="35" t="s">
        <v>374</v>
      </c>
      <c r="E446" s="35" t="s">
        <v>303</v>
      </c>
      <c r="F446" s="20"/>
      <c r="G446" s="20"/>
      <c r="H446" s="432">
        <v>2023</v>
      </c>
      <c r="I446" s="36"/>
      <c r="J446" s="94"/>
      <c r="K446" s="94"/>
      <c r="L446" s="94"/>
      <c r="M446" s="94"/>
      <c r="N446" s="36" t="s">
        <v>44</v>
      </c>
      <c r="O446" s="94" t="s">
        <v>758</v>
      </c>
      <c r="P446" s="94"/>
      <c r="Q446" s="94"/>
      <c r="R446" s="94"/>
      <c r="S446" s="36" t="s">
        <v>71</v>
      </c>
      <c r="T446" s="94" t="s">
        <v>620</v>
      </c>
      <c r="U446" s="94"/>
      <c r="V446" s="36"/>
      <c r="W446" s="36"/>
      <c r="X446" s="36" t="s">
        <v>761</v>
      </c>
      <c r="Y446" s="94"/>
      <c r="Z446" s="94"/>
      <c r="AA446" s="36"/>
      <c r="AB446" s="36"/>
      <c r="AC446" s="36" t="s">
        <v>2112</v>
      </c>
      <c r="AD446" s="94"/>
      <c r="AE446" s="94"/>
      <c r="AF446" s="36"/>
      <c r="AG446" s="36"/>
      <c r="AH446" s="36"/>
      <c r="AI446" s="94"/>
      <c r="AJ446" s="94"/>
      <c r="AK446" s="36"/>
      <c r="AL446" s="36"/>
      <c r="AM446" s="36"/>
      <c r="AN446" s="36"/>
      <c r="AO446" s="94"/>
      <c r="AP446" s="36"/>
      <c r="AQ446" s="36"/>
      <c r="AR446" s="36"/>
      <c r="AS446" s="36"/>
      <c r="AT446" s="36"/>
      <c r="AU446" s="36"/>
      <c r="AV446" s="381"/>
    </row>
    <row r="447" spans="1:48" ht="28.8" hidden="1">
      <c r="A447" s="394" t="s">
        <v>2113</v>
      </c>
      <c r="B447" s="420" t="s">
        <v>2114</v>
      </c>
      <c r="C447" s="420"/>
      <c r="D447" s="395" t="s">
        <v>302</v>
      </c>
      <c r="E447" s="35" t="s">
        <v>303</v>
      </c>
      <c r="F447" s="372"/>
      <c r="G447" s="372"/>
      <c r="H447" s="431">
        <v>2023</v>
      </c>
      <c r="I447" s="375"/>
      <c r="J447" s="374"/>
      <c r="K447" s="374"/>
      <c r="L447" s="374"/>
      <c r="M447" s="374"/>
      <c r="N447" s="375" t="s">
        <v>2115</v>
      </c>
      <c r="O447" s="374" t="s">
        <v>686</v>
      </c>
      <c r="P447" s="374"/>
      <c r="Q447" s="374"/>
      <c r="R447" s="374"/>
      <c r="S447" s="375" t="s">
        <v>2116</v>
      </c>
      <c r="T447" s="374"/>
      <c r="U447" s="374"/>
      <c r="V447" s="375"/>
      <c r="W447" s="375"/>
      <c r="X447" s="375"/>
      <c r="Y447" s="374"/>
      <c r="Z447" s="374"/>
      <c r="AA447" s="375"/>
      <c r="AB447" s="375"/>
      <c r="AC447" s="375"/>
      <c r="AD447" s="374"/>
      <c r="AE447" s="374"/>
      <c r="AF447" s="375"/>
      <c r="AG447" s="375"/>
      <c r="AH447" s="375"/>
      <c r="AI447" s="374"/>
      <c r="AJ447" s="374"/>
      <c r="AK447" s="375"/>
      <c r="AL447" s="375"/>
      <c r="AM447" s="375"/>
      <c r="AN447" s="375"/>
      <c r="AO447" s="374"/>
      <c r="AP447" s="375"/>
      <c r="AQ447" s="375"/>
      <c r="AR447" s="375"/>
      <c r="AS447" s="375"/>
      <c r="AT447" s="375"/>
      <c r="AU447" s="375"/>
      <c r="AV447" s="376"/>
    </row>
    <row r="448" spans="1:48" ht="28.8" hidden="1">
      <c r="A448" s="405" t="s">
        <v>2117</v>
      </c>
      <c r="B448" s="419" t="s">
        <v>2118</v>
      </c>
      <c r="C448" s="419"/>
      <c r="D448" s="35" t="s">
        <v>1942</v>
      </c>
      <c r="E448" s="35"/>
      <c r="F448" s="20"/>
      <c r="G448" s="20"/>
      <c r="H448" s="432">
        <v>2023</v>
      </c>
      <c r="I448" s="36"/>
      <c r="J448" s="94"/>
      <c r="K448" s="94"/>
      <c r="L448" s="94"/>
      <c r="M448" s="94"/>
      <c r="N448" s="36" t="s">
        <v>2119</v>
      </c>
      <c r="O448" s="94"/>
      <c r="P448" s="94"/>
      <c r="Q448" s="94"/>
      <c r="R448" s="94"/>
      <c r="S448" s="36" t="s">
        <v>2120</v>
      </c>
      <c r="T448" s="94"/>
      <c r="U448" s="94"/>
      <c r="V448" s="36"/>
      <c r="W448" s="36"/>
      <c r="X448" s="36" t="s">
        <v>775</v>
      </c>
      <c r="Y448" s="94" t="s">
        <v>686</v>
      </c>
      <c r="Z448" s="94"/>
      <c r="AA448" s="36"/>
      <c r="AB448" s="36"/>
      <c r="AC448" s="36" t="s">
        <v>2121</v>
      </c>
      <c r="AD448" s="94" t="s">
        <v>686</v>
      </c>
      <c r="AE448" s="94"/>
      <c r="AF448" s="36"/>
      <c r="AG448" s="36"/>
      <c r="AH448" s="36"/>
      <c r="AI448" s="94"/>
      <c r="AJ448" s="94"/>
      <c r="AK448" s="36"/>
      <c r="AL448" s="36"/>
      <c r="AM448" s="36"/>
      <c r="AN448" s="36"/>
      <c r="AO448" s="94"/>
      <c r="AP448" s="36"/>
      <c r="AQ448" s="36"/>
      <c r="AR448" s="36"/>
      <c r="AS448" s="36"/>
      <c r="AT448" s="36"/>
      <c r="AU448" s="36"/>
      <c r="AV448" s="381"/>
    </row>
    <row r="449" spans="1:48" ht="43.2" hidden="1">
      <c r="A449" s="404" t="s">
        <v>2122</v>
      </c>
      <c r="B449" s="420" t="s">
        <v>2043</v>
      </c>
      <c r="C449" s="420"/>
      <c r="D449" s="395" t="s">
        <v>321</v>
      </c>
      <c r="E449" s="35" t="s">
        <v>303</v>
      </c>
      <c r="F449" s="372"/>
      <c r="G449" s="372"/>
      <c r="H449" s="431">
        <v>2023</v>
      </c>
      <c r="I449" s="375"/>
      <c r="J449" s="374"/>
      <c r="K449" s="374"/>
      <c r="L449" s="374"/>
      <c r="M449" s="374"/>
      <c r="N449" s="375" t="s">
        <v>186</v>
      </c>
      <c r="O449" s="374" t="s">
        <v>449</v>
      </c>
      <c r="P449" s="374"/>
      <c r="Q449" s="374"/>
      <c r="R449" s="374"/>
      <c r="S449" s="375" t="s">
        <v>775</v>
      </c>
      <c r="T449" s="374"/>
      <c r="U449" s="374"/>
      <c r="V449" s="375"/>
      <c r="W449" s="375"/>
      <c r="X449" s="375" t="s">
        <v>2123</v>
      </c>
      <c r="Y449" s="374" t="s">
        <v>449</v>
      </c>
      <c r="Z449" s="374"/>
      <c r="AA449" s="375"/>
      <c r="AB449" s="375"/>
      <c r="AC449" s="375" t="s">
        <v>2124</v>
      </c>
      <c r="AD449" s="374"/>
      <c r="AE449" s="374"/>
      <c r="AF449" s="375"/>
      <c r="AG449" s="375"/>
      <c r="AH449" s="375" t="s">
        <v>1412</v>
      </c>
      <c r="AI449" s="374"/>
      <c r="AJ449" s="374"/>
      <c r="AK449" s="375"/>
      <c r="AL449" s="375"/>
      <c r="AM449" s="375" t="s">
        <v>2125</v>
      </c>
      <c r="AN449" s="375"/>
      <c r="AO449" s="374"/>
      <c r="AP449" s="375"/>
      <c r="AQ449" s="375"/>
      <c r="AR449" s="375"/>
      <c r="AS449" s="375"/>
      <c r="AT449" s="375"/>
      <c r="AU449" s="375"/>
      <c r="AV449" s="376"/>
    </row>
    <row r="450" spans="1:48" ht="28.8" hidden="1">
      <c r="A450" s="405" t="s">
        <v>2126</v>
      </c>
      <c r="B450" s="419" t="s">
        <v>2127</v>
      </c>
      <c r="C450" s="419"/>
      <c r="D450" s="35" t="s">
        <v>302</v>
      </c>
      <c r="E450" s="35" t="s">
        <v>303</v>
      </c>
      <c r="F450" s="20"/>
      <c r="G450" s="20"/>
      <c r="H450" s="432">
        <v>2023</v>
      </c>
      <c r="I450" s="36"/>
      <c r="J450" s="94"/>
      <c r="K450" s="94"/>
      <c r="L450" s="94"/>
      <c r="M450" s="94"/>
      <c r="N450" s="36" t="s">
        <v>2128</v>
      </c>
      <c r="O450" s="94" t="s">
        <v>686</v>
      </c>
      <c r="P450" s="94"/>
      <c r="Q450" s="94"/>
      <c r="R450" s="94"/>
      <c r="S450" s="36" t="s">
        <v>2123</v>
      </c>
      <c r="T450" s="94" t="s">
        <v>449</v>
      </c>
      <c r="U450" s="94"/>
      <c r="V450" s="36"/>
      <c r="W450" s="36"/>
      <c r="X450" s="36" t="s">
        <v>186</v>
      </c>
      <c r="Y450" s="94" t="s">
        <v>449</v>
      </c>
      <c r="Z450" s="94"/>
      <c r="AA450" s="36"/>
      <c r="AB450" s="36"/>
      <c r="AC450" s="36"/>
      <c r="AD450" s="94"/>
      <c r="AE450" s="94"/>
      <c r="AF450" s="36"/>
      <c r="AG450" s="36"/>
      <c r="AH450" s="36"/>
      <c r="AI450" s="94"/>
      <c r="AJ450" s="94"/>
      <c r="AK450" s="36"/>
      <c r="AL450" s="36"/>
      <c r="AM450" s="36"/>
      <c r="AN450" s="36"/>
      <c r="AO450" s="94"/>
      <c r="AP450" s="36"/>
      <c r="AQ450" s="36"/>
      <c r="AR450" s="36"/>
      <c r="AS450" s="36"/>
      <c r="AT450" s="36"/>
      <c r="AU450" s="36"/>
      <c r="AV450" s="381"/>
    </row>
    <row r="451" spans="1:48" ht="28.8" hidden="1">
      <c r="A451" s="404" t="s">
        <v>2129</v>
      </c>
      <c r="B451" s="420" t="s">
        <v>1903</v>
      </c>
      <c r="C451" s="420"/>
      <c r="D451" s="35" t="s">
        <v>302</v>
      </c>
      <c r="E451" s="35" t="s">
        <v>303</v>
      </c>
      <c r="F451" s="372"/>
      <c r="G451" s="372"/>
      <c r="H451" s="431">
        <v>2023</v>
      </c>
      <c r="I451" s="375"/>
      <c r="J451" s="374"/>
      <c r="K451" s="374"/>
      <c r="L451" s="374"/>
      <c r="M451" s="374"/>
      <c r="N451" s="375" t="s">
        <v>2130</v>
      </c>
      <c r="O451" s="374" t="s">
        <v>353</v>
      </c>
      <c r="P451" s="374"/>
      <c r="Q451" s="374"/>
      <c r="R451" s="374"/>
      <c r="S451" s="375" t="s">
        <v>775</v>
      </c>
      <c r="T451" s="374" t="s">
        <v>686</v>
      </c>
      <c r="U451" s="374"/>
      <c r="V451" s="375"/>
      <c r="W451" s="375"/>
      <c r="X451" s="375" t="s">
        <v>26</v>
      </c>
      <c r="Y451" s="374" t="s">
        <v>686</v>
      </c>
      <c r="Z451" s="374"/>
      <c r="AA451" s="375"/>
      <c r="AB451" s="375"/>
      <c r="AC451" s="375" t="s">
        <v>2131</v>
      </c>
      <c r="AD451" s="374"/>
      <c r="AE451" s="374" t="s">
        <v>2132</v>
      </c>
      <c r="AF451" s="375"/>
      <c r="AG451" s="375"/>
      <c r="AH451" s="375" t="s">
        <v>2133</v>
      </c>
      <c r="AI451" s="374"/>
      <c r="AJ451" s="374" t="s">
        <v>2134</v>
      </c>
      <c r="AK451" s="375"/>
      <c r="AL451" s="375"/>
      <c r="AM451" s="375"/>
      <c r="AN451" s="375"/>
      <c r="AO451" s="374"/>
      <c r="AP451" s="375"/>
      <c r="AQ451" s="375"/>
      <c r="AR451" s="375"/>
      <c r="AS451" s="375"/>
      <c r="AT451" s="375"/>
      <c r="AU451" s="375"/>
      <c r="AV451" s="376"/>
    </row>
    <row r="452" spans="1:48" ht="28.8" hidden="1">
      <c r="A452" s="405" t="s">
        <v>2135</v>
      </c>
      <c r="B452" s="419" t="s">
        <v>2136</v>
      </c>
      <c r="C452" s="419"/>
      <c r="D452" s="35" t="s">
        <v>374</v>
      </c>
      <c r="E452" s="35" t="s">
        <v>303</v>
      </c>
      <c r="F452" s="20"/>
      <c r="G452" s="20"/>
      <c r="H452" s="432">
        <v>2023</v>
      </c>
      <c r="I452" s="36"/>
      <c r="J452" s="94"/>
      <c r="K452" s="94"/>
      <c r="L452" s="94"/>
      <c r="M452" s="94"/>
      <c r="N452" s="36" t="s">
        <v>43</v>
      </c>
      <c r="O452" s="94" t="s">
        <v>758</v>
      </c>
      <c r="P452" s="94"/>
      <c r="Q452" s="94"/>
      <c r="R452" s="94"/>
      <c r="S452" s="36" t="s">
        <v>177</v>
      </c>
      <c r="T452" s="94" t="s">
        <v>758</v>
      </c>
      <c r="U452" s="94"/>
      <c r="V452" s="36"/>
      <c r="W452" s="36"/>
      <c r="X452" s="36"/>
      <c r="Y452" s="94"/>
      <c r="Z452" s="94"/>
      <c r="AA452" s="36"/>
      <c r="AB452" s="36"/>
      <c r="AC452" s="36" t="s">
        <v>2137</v>
      </c>
      <c r="AD452" s="94"/>
      <c r="AE452" s="94"/>
      <c r="AF452" s="36"/>
      <c r="AG452" s="36"/>
      <c r="AH452" s="36"/>
      <c r="AI452" s="94"/>
      <c r="AJ452" s="94"/>
      <c r="AK452" s="36"/>
      <c r="AL452" s="36"/>
      <c r="AM452" s="36"/>
      <c r="AN452" s="36"/>
      <c r="AO452" s="94"/>
      <c r="AP452" s="36"/>
      <c r="AQ452" s="36"/>
      <c r="AR452" s="36"/>
      <c r="AS452" s="36"/>
      <c r="AT452" s="36"/>
      <c r="AU452" s="36"/>
      <c r="AV452" s="381"/>
    </row>
    <row r="453" spans="1:48" ht="28.8" hidden="1">
      <c r="A453" s="404" t="s">
        <v>2138</v>
      </c>
      <c r="B453" s="420" t="s">
        <v>2139</v>
      </c>
      <c r="C453" s="420"/>
      <c r="D453" s="395" t="s">
        <v>302</v>
      </c>
      <c r="E453" s="35" t="s">
        <v>303</v>
      </c>
      <c r="F453" s="370">
        <v>2023</v>
      </c>
      <c r="G453" s="370">
        <v>2023</v>
      </c>
      <c r="H453" s="431">
        <v>2023</v>
      </c>
      <c r="I453" s="375"/>
      <c r="J453" s="374"/>
      <c r="K453" s="374"/>
      <c r="L453" s="374"/>
      <c r="M453" s="374"/>
      <c r="N453" s="375" t="s">
        <v>39</v>
      </c>
      <c r="O453" s="374" t="s">
        <v>353</v>
      </c>
      <c r="P453" s="374"/>
      <c r="Q453" s="374"/>
      <c r="R453" s="374"/>
      <c r="S453" s="375" t="s">
        <v>180</v>
      </c>
      <c r="T453" s="94" t="s">
        <v>353</v>
      </c>
      <c r="U453" s="374"/>
      <c r="V453" s="375"/>
      <c r="W453" s="375"/>
      <c r="X453" s="375" t="s">
        <v>179</v>
      </c>
      <c r="Y453" s="94" t="s">
        <v>353</v>
      </c>
      <c r="Z453" s="374"/>
      <c r="AA453" s="375"/>
      <c r="AB453" s="375"/>
      <c r="AC453" s="375" t="s">
        <v>2140</v>
      </c>
      <c r="AD453" s="374"/>
      <c r="AE453" s="374"/>
      <c r="AF453" s="375"/>
      <c r="AG453" s="375"/>
      <c r="AH453" s="375" t="s">
        <v>2141</v>
      </c>
      <c r="AI453" s="374"/>
      <c r="AJ453" s="374"/>
      <c r="AK453" s="375"/>
      <c r="AL453" s="375"/>
      <c r="AM453" s="375" t="s">
        <v>2142</v>
      </c>
      <c r="AN453" s="375"/>
      <c r="AO453" s="374"/>
      <c r="AP453" s="375"/>
      <c r="AQ453" s="375"/>
      <c r="AR453" s="375"/>
      <c r="AS453" s="375"/>
      <c r="AT453" s="375"/>
      <c r="AU453" s="375"/>
      <c r="AV453" s="376"/>
    </row>
    <row r="454" spans="1:48" ht="43.2" hidden="1">
      <c r="A454" s="405" t="s">
        <v>2143</v>
      </c>
      <c r="B454" s="419" t="s">
        <v>2144</v>
      </c>
      <c r="C454" s="419"/>
      <c r="D454" s="395" t="s">
        <v>302</v>
      </c>
      <c r="E454" s="35" t="s">
        <v>303</v>
      </c>
      <c r="F454" s="370">
        <v>2023</v>
      </c>
      <c r="G454" s="370">
        <v>2023</v>
      </c>
      <c r="H454" s="432">
        <v>2023</v>
      </c>
      <c r="I454" s="36"/>
      <c r="J454" s="94"/>
      <c r="K454" s="94"/>
      <c r="L454" s="94"/>
      <c r="M454" s="94"/>
      <c r="N454" s="36" t="s">
        <v>1382</v>
      </c>
      <c r="O454" s="94"/>
      <c r="P454" s="94"/>
      <c r="Q454" s="94"/>
      <c r="R454" s="94"/>
      <c r="S454" s="36" t="s">
        <v>30</v>
      </c>
      <c r="T454" s="94" t="s">
        <v>353</v>
      </c>
      <c r="U454" s="94"/>
      <c r="V454" s="36"/>
      <c r="W454" s="36"/>
      <c r="X454" s="36" t="s">
        <v>39</v>
      </c>
      <c r="Y454" s="94" t="s">
        <v>353</v>
      </c>
      <c r="Z454" s="94"/>
      <c r="AA454" s="36"/>
      <c r="AB454" s="36"/>
      <c r="AC454" s="36"/>
      <c r="AD454" s="94"/>
      <c r="AE454" s="94"/>
      <c r="AF454" s="36"/>
      <c r="AG454" s="36"/>
      <c r="AH454" s="36"/>
      <c r="AI454" s="94"/>
      <c r="AJ454" s="94"/>
      <c r="AK454" s="36"/>
      <c r="AL454" s="36"/>
      <c r="AM454" s="36"/>
      <c r="AN454" s="36"/>
      <c r="AO454" s="94"/>
      <c r="AP454" s="36"/>
      <c r="AQ454" s="36"/>
      <c r="AR454" s="36"/>
      <c r="AS454" s="36"/>
      <c r="AT454" s="36"/>
      <c r="AU454" s="36"/>
      <c r="AV454" s="381"/>
    </row>
    <row r="455" spans="1:48" ht="43.2" hidden="1">
      <c r="A455" s="404" t="s">
        <v>2145</v>
      </c>
      <c r="B455" s="420" t="s">
        <v>2146</v>
      </c>
      <c r="C455" s="420"/>
      <c r="D455" s="395" t="s">
        <v>306</v>
      </c>
      <c r="E455" s="35" t="s">
        <v>303</v>
      </c>
      <c r="F455" s="372"/>
      <c r="G455" s="372"/>
      <c r="H455" s="431">
        <v>2023</v>
      </c>
      <c r="I455" s="375"/>
      <c r="J455" s="374"/>
      <c r="K455" s="374"/>
      <c r="L455" s="374"/>
      <c r="M455" s="374"/>
      <c r="N455" s="375" t="s">
        <v>134</v>
      </c>
      <c r="O455" s="374" t="s">
        <v>449</v>
      </c>
      <c r="P455" s="374"/>
      <c r="Q455" s="374"/>
      <c r="R455" s="374"/>
      <c r="S455" s="375" t="s">
        <v>837</v>
      </c>
      <c r="T455" s="374"/>
      <c r="U455" s="374" t="s">
        <v>451</v>
      </c>
      <c r="V455" s="375"/>
      <c r="W455" s="375"/>
      <c r="X455" s="375"/>
      <c r="Y455" s="374"/>
      <c r="Z455" s="374"/>
      <c r="AA455" s="375"/>
      <c r="AB455" s="375"/>
      <c r="AC455" s="375"/>
      <c r="AD455" s="374"/>
      <c r="AE455" s="374"/>
      <c r="AF455" s="375"/>
      <c r="AG455" s="375"/>
      <c r="AH455" s="375"/>
      <c r="AI455" s="374"/>
      <c r="AJ455" s="374"/>
      <c r="AK455" s="375"/>
      <c r="AL455" s="375"/>
      <c r="AM455" s="375"/>
      <c r="AN455" s="375"/>
      <c r="AO455" s="374"/>
      <c r="AP455" s="375"/>
      <c r="AQ455" s="375"/>
      <c r="AR455" s="375"/>
      <c r="AS455" s="375"/>
      <c r="AT455" s="375"/>
      <c r="AU455" s="375"/>
      <c r="AV455" s="376"/>
    </row>
    <row r="456" spans="1:48" ht="28.8" hidden="1">
      <c r="A456" s="405" t="s">
        <v>2147</v>
      </c>
      <c r="B456" s="419" t="s">
        <v>2148</v>
      </c>
      <c r="C456" s="419"/>
      <c r="D456" s="35" t="s">
        <v>302</v>
      </c>
      <c r="E456" s="35" t="s">
        <v>303</v>
      </c>
      <c r="F456" s="20"/>
      <c r="G456" s="20"/>
      <c r="H456" s="432">
        <v>2023</v>
      </c>
      <c r="I456" s="36"/>
      <c r="J456" s="94"/>
      <c r="K456" s="94"/>
      <c r="L456" s="94"/>
      <c r="M456" s="94"/>
      <c r="N456" s="36" t="s">
        <v>121</v>
      </c>
      <c r="O456" s="94" t="s">
        <v>809</v>
      </c>
      <c r="P456" s="94"/>
      <c r="Q456" s="94"/>
      <c r="R456" s="94"/>
      <c r="S456" s="36" t="s">
        <v>51</v>
      </c>
      <c r="T456" s="94" t="s">
        <v>809</v>
      </c>
      <c r="U456" s="94"/>
      <c r="V456" s="36"/>
      <c r="W456" s="36"/>
      <c r="X456" s="36"/>
      <c r="Y456" s="94"/>
      <c r="Z456" s="94"/>
      <c r="AA456" s="36"/>
      <c r="AB456" s="36"/>
      <c r="AC456" s="36"/>
      <c r="AD456" s="94"/>
      <c r="AE456" s="94"/>
      <c r="AF456" s="36"/>
      <c r="AG456" s="36"/>
      <c r="AH456" s="36"/>
      <c r="AI456" s="94"/>
      <c r="AJ456" s="94"/>
      <c r="AK456" s="36"/>
      <c r="AL456" s="36"/>
      <c r="AM456" s="36"/>
      <c r="AN456" s="36"/>
      <c r="AO456" s="94"/>
      <c r="AP456" s="36"/>
      <c r="AQ456" s="36"/>
      <c r="AR456" s="36"/>
      <c r="AS456" s="36"/>
      <c r="AT456" s="36"/>
      <c r="AU456" s="36"/>
      <c r="AV456" s="381"/>
    </row>
    <row r="457" spans="1:48" ht="43.2" hidden="1">
      <c r="A457" s="404" t="s">
        <v>2149</v>
      </c>
      <c r="B457" s="420" t="s">
        <v>2150</v>
      </c>
      <c r="C457" s="420"/>
      <c r="D457" s="35" t="s">
        <v>302</v>
      </c>
      <c r="E457" s="35" t="s">
        <v>303</v>
      </c>
      <c r="F457" s="370"/>
      <c r="G457" s="370"/>
      <c r="H457" s="431">
        <v>2023</v>
      </c>
      <c r="I457" s="375"/>
      <c r="J457" s="374"/>
      <c r="K457" s="374"/>
      <c r="L457" s="374"/>
      <c r="M457" s="374"/>
      <c r="N457" s="375" t="s">
        <v>94</v>
      </c>
      <c r="O457" s="374" t="s">
        <v>279</v>
      </c>
      <c r="P457" s="374"/>
      <c r="Q457" s="374"/>
      <c r="R457" s="374"/>
      <c r="S457" s="375" t="s">
        <v>190</v>
      </c>
      <c r="T457" s="374" t="s">
        <v>279</v>
      </c>
      <c r="U457" s="374"/>
      <c r="V457" s="375"/>
      <c r="W457" s="375"/>
      <c r="X457" s="375" t="s">
        <v>704</v>
      </c>
      <c r="Y457" s="374"/>
      <c r="Z457" s="374"/>
      <c r="AA457" s="375"/>
      <c r="AB457" s="375"/>
      <c r="AC457" s="375" t="s">
        <v>2151</v>
      </c>
      <c r="AD457" s="374"/>
      <c r="AE457" s="374"/>
      <c r="AF457" s="375"/>
      <c r="AG457" s="375"/>
      <c r="AH457" s="375"/>
      <c r="AI457" s="374"/>
      <c r="AJ457" s="374"/>
      <c r="AK457" s="375"/>
      <c r="AL457" s="375"/>
      <c r="AM457" s="375"/>
      <c r="AN457" s="375"/>
      <c r="AO457" s="374"/>
      <c r="AP457" s="375"/>
      <c r="AQ457" s="375"/>
      <c r="AR457" s="375"/>
      <c r="AS457" s="375"/>
      <c r="AT457" s="375"/>
      <c r="AU457" s="375"/>
      <c r="AV457" s="376"/>
    </row>
    <row r="458" spans="1:48" ht="43.2" hidden="1">
      <c r="A458" s="405" t="s">
        <v>2152</v>
      </c>
      <c r="B458" s="419" t="s">
        <v>2153</v>
      </c>
      <c r="C458" s="419"/>
      <c r="D458" s="35" t="s">
        <v>302</v>
      </c>
      <c r="E458" s="35" t="s">
        <v>303</v>
      </c>
      <c r="F458" s="20"/>
      <c r="G458" s="20"/>
      <c r="H458" s="432">
        <v>2023</v>
      </c>
      <c r="I458" s="36"/>
      <c r="J458" s="94"/>
      <c r="K458" s="94"/>
      <c r="L458" s="94"/>
      <c r="M458" s="94"/>
      <c r="N458" s="36" t="s">
        <v>189</v>
      </c>
      <c r="O458" s="94" t="s">
        <v>162</v>
      </c>
      <c r="P458" s="94"/>
      <c r="Q458" s="94"/>
      <c r="R458" s="94"/>
      <c r="S458" s="36" t="s">
        <v>2154</v>
      </c>
      <c r="T458" s="94"/>
      <c r="U458" s="94"/>
      <c r="V458" s="36"/>
      <c r="W458" s="36"/>
      <c r="X458" s="36" t="s">
        <v>2155</v>
      </c>
      <c r="Y458" s="94"/>
      <c r="Z458" s="94"/>
      <c r="AA458" s="36"/>
      <c r="AB458" s="36"/>
      <c r="AC458" s="36"/>
      <c r="AD458" s="94"/>
      <c r="AE458" s="94"/>
      <c r="AF458" s="36"/>
      <c r="AG458" s="36"/>
      <c r="AH458" s="36"/>
      <c r="AI458" s="94"/>
      <c r="AJ458" s="94"/>
      <c r="AK458" s="36"/>
      <c r="AL458" s="36"/>
      <c r="AM458" s="36"/>
      <c r="AN458" s="36"/>
      <c r="AO458" s="94"/>
      <c r="AP458" s="36"/>
      <c r="AQ458" s="36"/>
      <c r="AR458" s="36"/>
      <c r="AS458" s="36"/>
      <c r="AT458" s="36"/>
      <c r="AU458" s="36"/>
      <c r="AV458" s="381"/>
    </row>
    <row r="459" spans="1:48" hidden="1">
      <c r="A459" s="451" t="s">
        <v>2156</v>
      </c>
      <c r="B459" s="420" t="s">
        <v>2157</v>
      </c>
      <c r="C459" s="420"/>
      <c r="D459" s="395" t="s">
        <v>328</v>
      </c>
      <c r="E459" s="395"/>
      <c r="F459" s="372"/>
      <c r="G459" s="372"/>
      <c r="H459" s="431">
        <v>2023</v>
      </c>
      <c r="I459" s="375"/>
      <c r="J459" s="374"/>
      <c r="K459" s="374"/>
      <c r="L459" s="374"/>
      <c r="M459" s="374"/>
      <c r="N459" s="375"/>
      <c r="O459" s="374"/>
      <c r="P459" s="374"/>
      <c r="Q459" s="374"/>
      <c r="R459" s="374"/>
      <c r="S459" s="375"/>
      <c r="T459" s="374"/>
      <c r="U459" s="374"/>
      <c r="V459" s="375"/>
      <c r="W459" s="375"/>
      <c r="X459" s="375"/>
      <c r="Y459" s="374"/>
      <c r="Z459" s="374"/>
      <c r="AA459" s="375"/>
      <c r="AB459" s="375"/>
      <c r="AC459" s="375"/>
      <c r="AD459" s="374"/>
      <c r="AE459" s="374"/>
      <c r="AF459" s="375"/>
      <c r="AG459" s="375"/>
      <c r="AH459" s="375"/>
      <c r="AI459" s="374"/>
      <c r="AJ459" s="374"/>
      <c r="AK459" s="375"/>
      <c r="AL459" s="375"/>
      <c r="AM459" s="375"/>
      <c r="AN459" s="375"/>
      <c r="AO459" s="374"/>
      <c r="AP459" s="375"/>
      <c r="AQ459" s="375"/>
      <c r="AR459" s="375"/>
      <c r="AS459" s="375"/>
      <c r="AT459" s="375"/>
      <c r="AU459" s="375"/>
      <c r="AV459" s="376"/>
    </row>
    <row r="460" spans="1:48" hidden="1">
      <c r="A460" s="452" t="s">
        <v>2158</v>
      </c>
      <c r="B460" s="419" t="s">
        <v>2159</v>
      </c>
      <c r="C460" s="419"/>
      <c r="D460" s="395" t="s">
        <v>328</v>
      </c>
      <c r="E460" s="35"/>
      <c r="F460" s="20"/>
      <c r="G460" s="20"/>
      <c r="H460" s="432">
        <v>2023</v>
      </c>
      <c r="I460" s="36"/>
      <c r="J460" s="94"/>
      <c r="K460" s="94"/>
      <c r="L460" s="94"/>
      <c r="M460" s="94"/>
      <c r="N460" s="36"/>
      <c r="O460" s="94"/>
      <c r="P460" s="94"/>
      <c r="Q460" s="94"/>
      <c r="R460" s="94"/>
      <c r="S460" s="36"/>
      <c r="T460" s="94"/>
      <c r="U460" s="94"/>
      <c r="V460" s="36"/>
      <c r="W460" s="36"/>
      <c r="X460" s="36"/>
      <c r="Y460" s="94"/>
      <c r="Z460" s="94"/>
      <c r="AA460" s="36"/>
      <c r="AB460" s="36"/>
      <c r="AC460" s="36"/>
      <c r="AD460" s="94"/>
      <c r="AE460" s="94"/>
      <c r="AF460" s="36"/>
      <c r="AG460" s="36"/>
      <c r="AH460" s="36"/>
      <c r="AI460" s="94"/>
      <c r="AJ460" s="94"/>
      <c r="AK460" s="36"/>
      <c r="AL460" s="36"/>
      <c r="AM460" s="36"/>
      <c r="AN460" s="36"/>
      <c r="AO460" s="94"/>
      <c r="AP460" s="36"/>
      <c r="AQ460" s="36"/>
      <c r="AR460" s="36"/>
      <c r="AS460" s="36"/>
      <c r="AT460" s="36"/>
      <c r="AU460" s="36"/>
      <c r="AV460" s="381"/>
    </row>
    <row r="461" spans="1:48" ht="28.8" hidden="1">
      <c r="A461" s="404" t="s">
        <v>2160</v>
      </c>
      <c r="B461" s="420" t="s">
        <v>2161</v>
      </c>
      <c r="C461" s="420"/>
      <c r="D461" s="395" t="s">
        <v>374</v>
      </c>
      <c r="E461" s="395"/>
      <c r="F461" s="372"/>
      <c r="G461" s="372"/>
      <c r="H461" s="431">
        <v>2023</v>
      </c>
      <c r="I461" s="375" t="s">
        <v>26</v>
      </c>
      <c r="J461" s="374"/>
      <c r="K461" s="374"/>
      <c r="L461" s="374"/>
      <c r="M461" s="374"/>
      <c r="N461" s="375" t="s">
        <v>2162</v>
      </c>
      <c r="O461" s="374"/>
      <c r="P461" s="374"/>
      <c r="Q461" s="374"/>
      <c r="R461" s="374"/>
      <c r="S461" s="375" t="s">
        <v>26</v>
      </c>
      <c r="T461" s="374" t="s">
        <v>809</v>
      </c>
      <c r="U461" s="374"/>
      <c r="V461" s="375"/>
      <c r="W461" s="375"/>
      <c r="X461" s="375" t="s">
        <v>89</v>
      </c>
      <c r="Y461" s="374" t="s">
        <v>162</v>
      </c>
      <c r="Z461" s="374"/>
      <c r="AA461" s="375"/>
      <c r="AB461" s="375"/>
      <c r="AC461" s="375"/>
      <c r="AD461" s="374"/>
      <c r="AE461" s="374"/>
      <c r="AF461" s="375"/>
      <c r="AG461" s="375"/>
      <c r="AH461" s="375"/>
      <c r="AI461" s="374"/>
      <c r="AJ461" s="374"/>
      <c r="AK461" s="375"/>
      <c r="AL461" s="375"/>
      <c r="AM461" s="375"/>
      <c r="AN461" s="375"/>
      <c r="AO461" s="374"/>
      <c r="AP461" s="375"/>
      <c r="AQ461" s="375"/>
      <c r="AR461" s="375"/>
      <c r="AS461" s="375"/>
      <c r="AT461" s="375"/>
      <c r="AU461" s="375"/>
      <c r="AV461" s="376"/>
    </row>
    <row r="462" spans="1:48" ht="28.8" hidden="1">
      <c r="A462" s="405" t="s">
        <v>2163</v>
      </c>
      <c r="B462" s="419" t="s">
        <v>1038</v>
      </c>
      <c r="C462" s="419"/>
      <c r="D462" s="35" t="s">
        <v>302</v>
      </c>
      <c r="E462" s="35" t="s">
        <v>303</v>
      </c>
      <c r="F462" s="20"/>
      <c r="G462" s="20"/>
      <c r="H462" s="432">
        <v>2023</v>
      </c>
      <c r="I462" s="36"/>
      <c r="J462" s="94"/>
      <c r="K462" s="94"/>
      <c r="L462" s="94"/>
      <c r="M462" s="94"/>
      <c r="N462" s="36" t="s">
        <v>67</v>
      </c>
      <c r="O462" s="94" t="s">
        <v>353</v>
      </c>
      <c r="P462" s="94"/>
      <c r="Q462" s="94"/>
      <c r="R462" s="94"/>
      <c r="S462" s="36" t="s">
        <v>1043</v>
      </c>
      <c r="T462" s="94"/>
      <c r="U462" s="94"/>
      <c r="V462" s="36"/>
      <c r="W462" s="36"/>
      <c r="X462" s="36" t="s">
        <v>2164</v>
      </c>
      <c r="Y462" s="94"/>
      <c r="Z462" s="94"/>
      <c r="AA462" s="36"/>
      <c r="AB462" s="36"/>
      <c r="AC462" s="36" t="s">
        <v>2165</v>
      </c>
      <c r="AD462" s="94"/>
      <c r="AE462" s="94"/>
      <c r="AF462" s="36"/>
      <c r="AG462" s="36"/>
      <c r="AH462" s="36"/>
      <c r="AI462" s="94"/>
      <c r="AJ462" s="94"/>
      <c r="AK462" s="36"/>
      <c r="AL462" s="36"/>
      <c r="AM462" s="36"/>
      <c r="AN462" s="36"/>
      <c r="AO462" s="94"/>
      <c r="AP462" s="36"/>
      <c r="AQ462" s="36"/>
      <c r="AR462" s="36"/>
      <c r="AS462" s="36"/>
      <c r="AT462" s="36"/>
      <c r="AU462" s="36"/>
      <c r="AV462" s="381"/>
    </row>
    <row r="463" spans="1:48" hidden="1">
      <c r="A463" s="404" t="s">
        <v>2166</v>
      </c>
      <c r="B463" s="420" t="s">
        <v>2167</v>
      </c>
      <c r="C463" s="420"/>
      <c r="D463" s="395" t="s">
        <v>313</v>
      </c>
      <c r="E463" s="395"/>
      <c r="F463" s="372"/>
      <c r="G463" s="372"/>
      <c r="H463" s="431">
        <v>2023</v>
      </c>
      <c r="I463" s="375"/>
      <c r="J463" s="374"/>
      <c r="K463" s="374"/>
      <c r="L463" s="374"/>
      <c r="M463" s="374"/>
      <c r="N463" s="375" t="s">
        <v>40</v>
      </c>
      <c r="O463" s="374" t="s">
        <v>351</v>
      </c>
      <c r="P463" s="374"/>
      <c r="Q463" s="374"/>
      <c r="R463" s="374"/>
      <c r="S463" s="375" t="s">
        <v>2168</v>
      </c>
      <c r="T463" s="374"/>
      <c r="U463" s="374"/>
      <c r="V463" s="375"/>
      <c r="W463" s="375"/>
      <c r="X463" s="375"/>
      <c r="Y463" s="374"/>
      <c r="Z463" s="374"/>
      <c r="AA463" s="375"/>
      <c r="AB463" s="375"/>
      <c r="AC463" s="375"/>
      <c r="AD463" s="374"/>
      <c r="AE463" s="374"/>
      <c r="AF463" s="375"/>
      <c r="AG463" s="375"/>
      <c r="AH463" s="375"/>
      <c r="AI463" s="374"/>
      <c r="AJ463" s="374"/>
      <c r="AK463" s="375"/>
      <c r="AL463" s="375"/>
      <c r="AM463" s="375"/>
      <c r="AN463" s="375"/>
      <c r="AO463" s="374"/>
      <c r="AP463" s="375"/>
      <c r="AQ463" s="375"/>
      <c r="AR463" s="375"/>
      <c r="AS463" s="375"/>
      <c r="AT463" s="375"/>
      <c r="AU463" s="375"/>
      <c r="AV463" s="376"/>
    </row>
    <row r="464" spans="1:48" ht="28.8" hidden="1">
      <c r="A464" s="405" t="s">
        <v>2169</v>
      </c>
      <c r="B464" s="419" t="s">
        <v>2170</v>
      </c>
      <c r="C464" s="419"/>
      <c r="D464" s="395" t="s">
        <v>313</v>
      </c>
      <c r="E464" s="35"/>
      <c r="F464" s="20"/>
      <c r="G464" s="20"/>
      <c r="H464" s="432">
        <v>2023</v>
      </c>
      <c r="I464" s="36"/>
      <c r="J464" s="94"/>
      <c r="K464" s="94"/>
      <c r="L464" s="94"/>
      <c r="M464" s="94"/>
      <c r="N464" s="36" t="s">
        <v>2171</v>
      </c>
      <c r="O464" s="94"/>
      <c r="P464" s="94"/>
      <c r="Q464" s="94"/>
      <c r="R464" s="94"/>
      <c r="S464" s="36" t="s">
        <v>2172</v>
      </c>
      <c r="T464" s="94"/>
      <c r="U464" s="94"/>
      <c r="V464" s="36"/>
      <c r="W464" s="36"/>
      <c r="X464" s="36" t="s">
        <v>2173</v>
      </c>
      <c r="Y464" s="94"/>
      <c r="Z464" s="94"/>
      <c r="AA464" s="36"/>
      <c r="AB464" s="36"/>
      <c r="AC464" s="36"/>
      <c r="AD464" s="94"/>
      <c r="AE464" s="94"/>
      <c r="AF464" s="36"/>
      <c r="AG464" s="36"/>
      <c r="AH464" s="36"/>
      <c r="AI464" s="94"/>
      <c r="AJ464" s="94"/>
      <c r="AK464" s="36"/>
      <c r="AL464" s="36"/>
      <c r="AM464" s="36"/>
      <c r="AN464" s="36"/>
      <c r="AO464" s="94"/>
      <c r="AP464" s="36"/>
      <c r="AQ464" s="36"/>
      <c r="AR464" s="36"/>
      <c r="AS464" s="36"/>
      <c r="AT464" s="36"/>
      <c r="AU464" s="36"/>
      <c r="AV464" s="381"/>
    </row>
    <row r="465" spans="1:48" ht="28.8" hidden="1">
      <c r="A465" s="404" t="s">
        <v>2174</v>
      </c>
      <c r="B465" s="420" t="s">
        <v>2175</v>
      </c>
      <c r="C465" s="420"/>
      <c r="D465" s="395" t="s">
        <v>942</v>
      </c>
      <c r="E465" s="395"/>
      <c r="F465" s="372"/>
      <c r="G465" s="372"/>
      <c r="H465" s="431">
        <v>2023</v>
      </c>
      <c r="I465" s="375"/>
      <c r="J465" s="374"/>
      <c r="K465" s="374"/>
      <c r="L465" s="374"/>
      <c r="M465" s="374"/>
      <c r="N465" s="36" t="s">
        <v>2171</v>
      </c>
      <c r="O465" s="374"/>
      <c r="P465" s="374"/>
      <c r="Q465" s="374"/>
      <c r="R465" s="374"/>
      <c r="S465" s="375"/>
      <c r="T465" s="374"/>
      <c r="U465" s="374"/>
      <c r="V465" s="375"/>
      <c r="W465" s="375"/>
      <c r="X465" s="375"/>
      <c r="Y465" s="374"/>
      <c r="Z465" s="374"/>
      <c r="AA465" s="375"/>
      <c r="AB465" s="375"/>
      <c r="AC465" s="375"/>
      <c r="AD465" s="374"/>
      <c r="AE465" s="374"/>
      <c r="AF465" s="375"/>
      <c r="AG465" s="375"/>
      <c r="AH465" s="375"/>
      <c r="AI465" s="374"/>
      <c r="AJ465" s="374"/>
      <c r="AK465" s="375"/>
      <c r="AL465" s="375"/>
      <c r="AM465" s="375"/>
      <c r="AN465" s="375"/>
      <c r="AO465" s="374"/>
      <c r="AP465" s="375"/>
      <c r="AQ465" s="375"/>
      <c r="AR465" s="375"/>
      <c r="AS465" s="375"/>
      <c r="AT465" s="375"/>
      <c r="AU465" s="375"/>
      <c r="AV465" s="376"/>
    </row>
    <row r="466" spans="1:48" ht="28.8" hidden="1">
      <c r="A466" s="405" t="s">
        <v>2176</v>
      </c>
      <c r="B466" s="419" t="s">
        <v>2177</v>
      </c>
      <c r="C466" s="545"/>
      <c r="D466" s="407" t="s">
        <v>321</v>
      </c>
      <c r="E466" s="407" t="s">
        <v>303</v>
      </c>
      <c r="F466" s="20"/>
      <c r="G466" s="20"/>
      <c r="H466" s="432">
        <v>2023</v>
      </c>
      <c r="I466" s="36"/>
      <c r="J466" s="94"/>
      <c r="K466" s="94"/>
      <c r="L466" s="94"/>
      <c r="M466" s="94"/>
      <c r="N466" s="36" t="s">
        <v>2178</v>
      </c>
      <c r="O466" s="94"/>
      <c r="P466" s="94"/>
      <c r="Q466" s="94"/>
      <c r="R466" s="94"/>
      <c r="S466" s="36" t="s">
        <v>6</v>
      </c>
      <c r="T466" s="94" t="s">
        <v>351</v>
      </c>
      <c r="U466" s="94"/>
      <c r="V466" s="36"/>
      <c r="W466" s="36"/>
      <c r="X466" s="36" t="s">
        <v>20</v>
      </c>
      <c r="Y466" s="94" t="s">
        <v>449</v>
      </c>
      <c r="Z466" s="94"/>
      <c r="AA466" s="36"/>
      <c r="AB466" s="36"/>
      <c r="AC466" s="36" t="s">
        <v>2179</v>
      </c>
      <c r="AD466" s="94"/>
      <c r="AE466" s="94"/>
      <c r="AF466" s="36"/>
      <c r="AG466" s="36"/>
      <c r="AH466" s="36" t="s">
        <v>2180</v>
      </c>
      <c r="AI466" s="94"/>
      <c r="AJ466" s="94"/>
      <c r="AK466" s="36"/>
      <c r="AL466" s="36"/>
      <c r="AM466" s="36"/>
      <c r="AN466" s="36"/>
      <c r="AO466" s="94"/>
      <c r="AP466" s="36"/>
      <c r="AQ466" s="36"/>
      <c r="AR466" s="36"/>
      <c r="AS466" s="36"/>
      <c r="AT466" s="36"/>
      <c r="AU466" s="36"/>
      <c r="AV466" s="381"/>
    </row>
    <row r="467" spans="1:48" ht="43.2" hidden="1">
      <c r="A467" s="404" t="s">
        <v>2181</v>
      </c>
      <c r="B467" s="420" t="s">
        <v>2103</v>
      </c>
      <c r="C467" s="546"/>
      <c r="D467" s="423" t="s">
        <v>302</v>
      </c>
      <c r="E467" s="423" t="s">
        <v>303</v>
      </c>
      <c r="F467" s="372"/>
      <c r="G467" s="372"/>
      <c r="H467" s="431">
        <v>2023</v>
      </c>
      <c r="I467" s="375"/>
      <c r="J467" s="374"/>
      <c r="K467" s="374"/>
      <c r="L467" s="374"/>
      <c r="M467" s="374"/>
      <c r="N467" s="375" t="s">
        <v>2182</v>
      </c>
      <c r="O467" s="374"/>
      <c r="P467" s="374"/>
      <c r="Q467" s="374"/>
      <c r="R467" s="374"/>
      <c r="S467" s="375" t="s">
        <v>94</v>
      </c>
      <c r="T467" s="374" t="s">
        <v>279</v>
      </c>
      <c r="U467" s="374"/>
      <c r="V467" s="375"/>
      <c r="W467" s="375"/>
      <c r="X467" s="375" t="s">
        <v>92</v>
      </c>
      <c r="Y467" s="374" t="s">
        <v>279</v>
      </c>
      <c r="Z467" s="374"/>
      <c r="AA467" s="375"/>
      <c r="AB467" s="375"/>
      <c r="AC467" s="375" t="s">
        <v>2183</v>
      </c>
      <c r="AD467" s="374"/>
      <c r="AE467" s="374"/>
      <c r="AF467" s="375"/>
      <c r="AG467" s="375"/>
      <c r="AH467" s="375"/>
      <c r="AI467" s="374"/>
      <c r="AJ467" s="374"/>
      <c r="AK467" s="375"/>
      <c r="AL467" s="375"/>
      <c r="AM467" s="375"/>
      <c r="AN467" s="375"/>
      <c r="AO467" s="374"/>
      <c r="AP467" s="375"/>
      <c r="AQ467" s="375"/>
      <c r="AR467" s="375"/>
      <c r="AS467" s="375"/>
      <c r="AT467" s="375"/>
      <c r="AU467" s="375"/>
      <c r="AV467" s="376"/>
    </row>
    <row r="468" spans="1:48" ht="26.4" hidden="1">
      <c r="A468" s="415" t="s">
        <v>2184</v>
      </c>
      <c r="B468" s="416" t="s">
        <v>1996</v>
      </c>
      <c r="C468" s="416"/>
      <c r="D468" s="407" t="s">
        <v>321</v>
      </c>
      <c r="E468" s="407" t="s">
        <v>303</v>
      </c>
      <c r="F468" s="417">
        <v>2023</v>
      </c>
      <c r="G468" s="406">
        <v>2023</v>
      </c>
      <c r="H468" s="435">
        <v>2023</v>
      </c>
      <c r="I468" s="416" t="s">
        <v>6</v>
      </c>
      <c r="J468" s="418" t="s">
        <v>2185</v>
      </c>
      <c r="K468" s="418" t="s">
        <v>1657</v>
      </c>
      <c r="L468" s="418" t="s">
        <v>351</v>
      </c>
      <c r="M468" s="418" t="s">
        <v>280</v>
      </c>
      <c r="N468" s="416" t="s">
        <v>2186</v>
      </c>
      <c r="O468" s="418" t="s">
        <v>351</v>
      </c>
      <c r="P468" s="418" t="s">
        <v>280</v>
      </c>
      <c r="Q468" s="409" t="s">
        <v>2187</v>
      </c>
      <c r="R468" s="409" t="s">
        <v>2188</v>
      </c>
      <c r="S468" s="416" t="s">
        <v>580</v>
      </c>
      <c r="T468" s="418" t="s">
        <v>2189</v>
      </c>
      <c r="U468" s="418" t="s">
        <v>2190</v>
      </c>
      <c r="V468" s="416" t="s">
        <v>942</v>
      </c>
      <c r="W468" s="416" t="s">
        <v>2191</v>
      </c>
      <c r="X468" s="416" t="s">
        <v>1659</v>
      </c>
      <c r="Y468" s="409" t="s">
        <v>2192</v>
      </c>
      <c r="Z468" s="418" t="s">
        <v>2193</v>
      </c>
      <c r="AA468" s="408" t="s">
        <v>2194</v>
      </c>
      <c r="AB468" s="408" t="s">
        <v>2195</v>
      </c>
      <c r="AC468" s="408" t="s">
        <v>17</v>
      </c>
      <c r="AD468" s="409" t="s">
        <v>353</v>
      </c>
      <c r="AE468" s="418" t="s">
        <v>2196</v>
      </c>
      <c r="AF468" s="408" t="s">
        <v>2197</v>
      </c>
      <c r="AG468" s="416" t="s">
        <v>1036</v>
      </c>
      <c r="AH468" s="408" t="s">
        <v>1658</v>
      </c>
      <c r="AI468" s="409" t="s">
        <v>2198</v>
      </c>
      <c r="AJ468" s="418" t="s">
        <v>2199</v>
      </c>
      <c r="AK468" s="408" t="s">
        <v>2200</v>
      </c>
      <c r="AL468" s="408" t="s">
        <v>2201</v>
      </c>
      <c r="AM468" s="408" t="s">
        <v>2202</v>
      </c>
      <c r="AN468" s="408" t="s">
        <v>2203</v>
      </c>
      <c r="AO468" s="408" t="s">
        <v>2204</v>
      </c>
      <c r="AP468" s="408" t="s">
        <v>2205</v>
      </c>
      <c r="AQ468" s="408" t="s">
        <v>2206</v>
      </c>
      <c r="AR468" s="408" t="s">
        <v>2207</v>
      </c>
      <c r="AS468" s="408" t="s">
        <v>2208</v>
      </c>
      <c r="AT468" s="408" t="s">
        <v>2209</v>
      </c>
      <c r="AU468" s="408" t="s">
        <v>2210</v>
      </c>
      <c r="AV468" s="410" t="s">
        <v>2211</v>
      </c>
    </row>
    <row r="469" spans="1:48" ht="43.2" hidden="1">
      <c r="A469" s="426" t="s">
        <v>2212</v>
      </c>
      <c r="B469" s="422" t="s">
        <v>2213</v>
      </c>
      <c r="C469" s="422"/>
      <c r="D469" s="423" t="s">
        <v>302</v>
      </c>
      <c r="E469" s="423" t="s">
        <v>303</v>
      </c>
      <c r="F469" s="417">
        <v>2023</v>
      </c>
      <c r="G469" s="406">
        <v>2023</v>
      </c>
      <c r="H469" s="435">
        <v>2023</v>
      </c>
      <c r="I469" s="408"/>
      <c r="J469" s="409"/>
      <c r="K469" s="409"/>
      <c r="L469" s="409"/>
      <c r="M469" s="409"/>
      <c r="N469" s="408" t="s">
        <v>2214</v>
      </c>
      <c r="O469" s="409" t="s">
        <v>162</v>
      </c>
      <c r="P469" s="418" t="s">
        <v>280</v>
      </c>
      <c r="Q469" s="409"/>
      <c r="R469" s="409"/>
      <c r="S469" s="408" t="s">
        <v>20</v>
      </c>
      <c r="T469" s="409" t="s">
        <v>449</v>
      </c>
      <c r="U469" s="418" t="s">
        <v>280</v>
      </c>
      <c r="V469" s="408"/>
      <c r="W469" s="408"/>
      <c r="X469" s="408" t="s">
        <v>25</v>
      </c>
      <c r="Y469" s="409" t="s">
        <v>353</v>
      </c>
      <c r="Z469" s="418" t="s">
        <v>280</v>
      </c>
      <c r="AA469" s="408"/>
      <c r="AB469" s="408"/>
      <c r="AC469" s="408" t="s">
        <v>2215</v>
      </c>
      <c r="AD469" s="409"/>
      <c r="AE469" s="418" t="s">
        <v>280</v>
      </c>
      <c r="AF469" s="408"/>
      <c r="AG469" s="408"/>
      <c r="AH469" s="408" t="s">
        <v>2216</v>
      </c>
      <c r="AI469" s="409"/>
      <c r="AJ469" s="409"/>
      <c r="AK469" s="408"/>
      <c r="AL469" s="408"/>
      <c r="AM469" s="408" t="s">
        <v>2217</v>
      </c>
      <c r="AN469" s="408"/>
      <c r="AO469" s="418" t="s">
        <v>280</v>
      </c>
      <c r="AP469" s="408"/>
      <c r="AQ469" s="408"/>
      <c r="AR469" s="408"/>
      <c r="AS469" s="408"/>
      <c r="AT469" s="408"/>
      <c r="AU469" s="408"/>
      <c r="AV469" s="410"/>
    </row>
    <row r="470" spans="1:48" ht="28.8" hidden="1">
      <c r="A470" s="421" t="s">
        <v>2218</v>
      </c>
      <c r="B470" s="422" t="s">
        <v>2219</v>
      </c>
      <c r="C470" s="422"/>
      <c r="D470" s="423" t="s">
        <v>321</v>
      </c>
      <c r="E470" s="423" t="s">
        <v>303</v>
      </c>
      <c r="F470" s="417">
        <v>2023</v>
      </c>
      <c r="G470" s="406">
        <v>2023</v>
      </c>
      <c r="H470" s="435">
        <v>2023</v>
      </c>
      <c r="I470" s="408"/>
      <c r="J470" s="409"/>
      <c r="K470" s="409"/>
      <c r="L470" s="409"/>
      <c r="M470" s="409"/>
      <c r="N470" s="427" t="s">
        <v>134</v>
      </c>
      <c r="O470" s="409" t="s">
        <v>449</v>
      </c>
      <c r="P470" s="418" t="s">
        <v>280</v>
      </c>
      <c r="Q470" s="409"/>
      <c r="R470" s="409"/>
      <c r="S470" s="408" t="s">
        <v>20</v>
      </c>
      <c r="T470" s="409" t="s">
        <v>449</v>
      </c>
      <c r="U470" s="418" t="s">
        <v>280</v>
      </c>
      <c r="V470" s="408"/>
      <c r="W470" s="408"/>
      <c r="X470" s="408" t="s">
        <v>18</v>
      </c>
      <c r="Y470" s="409" t="s">
        <v>449</v>
      </c>
      <c r="Z470" s="418" t="s">
        <v>280</v>
      </c>
      <c r="AA470" s="408"/>
      <c r="AB470" s="408"/>
      <c r="AC470" s="408" t="s">
        <v>323</v>
      </c>
      <c r="AD470" s="409"/>
      <c r="AE470" s="418" t="s">
        <v>280</v>
      </c>
      <c r="AF470" s="408"/>
      <c r="AG470" s="408"/>
      <c r="AH470" s="408"/>
      <c r="AI470" s="409"/>
      <c r="AJ470" s="409"/>
      <c r="AK470" s="408"/>
      <c r="AL470" s="408"/>
      <c r="AM470" s="408"/>
      <c r="AN470" s="408"/>
      <c r="AO470" s="409"/>
      <c r="AP470" s="408"/>
      <c r="AQ470" s="408"/>
      <c r="AR470" s="408"/>
      <c r="AS470" s="408"/>
      <c r="AT470" s="408"/>
      <c r="AU470" s="408"/>
      <c r="AV470" s="410"/>
    </row>
    <row r="471" spans="1:48" ht="43.2" hidden="1">
      <c r="A471" s="424" t="s">
        <v>2220</v>
      </c>
      <c r="B471" s="422" t="s">
        <v>2221</v>
      </c>
      <c r="C471" s="422"/>
      <c r="D471" s="370" t="s">
        <v>277</v>
      </c>
      <c r="E471" s="423" t="s">
        <v>1122</v>
      </c>
      <c r="F471" s="417">
        <v>2023</v>
      </c>
      <c r="G471" s="406">
        <v>2023</v>
      </c>
      <c r="H471" s="435">
        <v>2023</v>
      </c>
      <c r="I471" s="408"/>
      <c r="J471" s="409"/>
      <c r="K471" s="409"/>
      <c r="L471" s="409"/>
      <c r="M471" s="409"/>
      <c r="N471" s="408" t="s">
        <v>15</v>
      </c>
      <c r="O471" s="409" t="s">
        <v>449</v>
      </c>
      <c r="P471" s="418" t="s">
        <v>280</v>
      </c>
      <c r="Q471" s="409"/>
      <c r="R471" s="409"/>
      <c r="S471" s="408"/>
      <c r="T471" s="409"/>
      <c r="U471" s="409"/>
      <c r="V471" s="408"/>
      <c r="W471" s="408"/>
      <c r="X471" s="408"/>
      <c r="Y471" s="409"/>
      <c r="Z471" s="409"/>
      <c r="AA471" s="408"/>
      <c r="AB471" s="408"/>
      <c r="AC471" s="408"/>
      <c r="AD471" s="409"/>
      <c r="AE471" s="409"/>
      <c r="AF471" s="408"/>
      <c r="AG471" s="408"/>
      <c r="AH471" s="408"/>
      <c r="AI471" s="409"/>
      <c r="AJ471" s="409"/>
      <c r="AK471" s="408"/>
      <c r="AL471" s="408"/>
      <c r="AM471" s="408"/>
      <c r="AN471" s="408"/>
      <c r="AO471" s="409"/>
      <c r="AP471" s="408"/>
      <c r="AQ471" s="408"/>
      <c r="AR471" s="408"/>
      <c r="AS471" s="408"/>
      <c r="AT471" s="408"/>
      <c r="AU471" s="408"/>
      <c r="AV471" s="410"/>
    </row>
    <row r="472" spans="1:48" ht="28.8" hidden="1">
      <c r="A472" s="421" t="s">
        <v>2222</v>
      </c>
      <c r="B472" s="422" t="s">
        <v>2223</v>
      </c>
      <c r="C472" s="422"/>
      <c r="D472" s="423" t="s">
        <v>302</v>
      </c>
      <c r="E472" s="423" t="s">
        <v>303</v>
      </c>
      <c r="F472" s="417">
        <v>2023</v>
      </c>
      <c r="G472" s="406">
        <v>2023</v>
      </c>
      <c r="H472" s="435">
        <v>2023</v>
      </c>
      <c r="I472" s="408"/>
      <c r="J472" s="409"/>
      <c r="K472" s="409"/>
      <c r="L472" s="409"/>
      <c r="M472" s="409"/>
      <c r="N472" s="408" t="s">
        <v>2224</v>
      </c>
      <c r="O472" s="409"/>
      <c r="P472" s="418" t="s">
        <v>280</v>
      </c>
      <c r="Q472" s="409"/>
      <c r="R472" s="409"/>
      <c r="S472" s="408" t="s">
        <v>9</v>
      </c>
      <c r="T472" s="409" t="s">
        <v>449</v>
      </c>
      <c r="U472" s="418" t="s">
        <v>280</v>
      </c>
      <c r="V472" s="408"/>
      <c r="W472" s="408"/>
      <c r="X472" s="408" t="s">
        <v>15</v>
      </c>
      <c r="Y472" s="409" t="s">
        <v>449</v>
      </c>
      <c r="Z472" s="418" t="s">
        <v>280</v>
      </c>
      <c r="AA472" s="408"/>
      <c r="AB472" s="408"/>
      <c r="AC472" s="408"/>
      <c r="AD472" s="409"/>
      <c r="AE472" s="409"/>
      <c r="AF472" s="408"/>
      <c r="AG472" s="408"/>
      <c r="AH472" s="408"/>
      <c r="AI472" s="409"/>
      <c r="AJ472" s="409"/>
      <c r="AK472" s="408"/>
      <c r="AL472" s="408"/>
      <c r="AM472" s="408"/>
      <c r="AN472" s="408"/>
      <c r="AO472" s="409"/>
      <c r="AP472" s="408"/>
      <c r="AQ472" s="408"/>
      <c r="AR472" s="408"/>
      <c r="AS472" s="408"/>
      <c r="AT472" s="408"/>
      <c r="AU472" s="408"/>
      <c r="AV472" s="410"/>
    </row>
    <row r="473" spans="1:48" ht="28.8" hidden="1">
      <c r="A473" s="34" t="s">
        <v>2225</v>
      </c>
      <c r="B473" s="422" t="s">
        <v>2213</v>
      </c>
      <c r="C473" s="422"/>
      <c r="D473" s="423" t="s">
        <v>302</v>
      </c>
      <c r="E473" s="423" t="s">
        <v>303</v>
      </c>
      <c r="F473" s="417">
        <v>2023</v>
      </c>
      <c r="G473" s="406">
        <v>2023</v>
      </c>
      <c r="H473" s="435">
        <v>2023</v>
      </c>
      <c r="I473" s="408"/>
      <c r="J473" s="409"/>
      <c r="K473" s="409"/>
      <c r="L473" s="409"/>
      <c r="M473" s="409"/>
      <c r="N473" s="408" t="s">
        <v>2226</v>
      </c>
      <c r="O473" s="409"/>
      <c r="P473" s="409"/>
      <c r="Q473" s="409"/>
      <c r="R473" s="409"/>
      <c r="S473" s="408" t="s">
        <v>2214</v>
      </c>
      <c r="T473" s="409" t="s">
        <v>162</v>
      </c>
      <c r="U473" s="418" t="s">
        <v>280</v>
      </c>
      <c r="V473" s="408"/>
      <c r="W473" s="408"/>
      <c r="X473" s="408" t="s">
        <v>15</v>
      </c>
      <c r="Y473" s="409" t="s">
        <v>449</v>
      </c>
      <c r="Z473" s="418" t="s">
        <v>280</v>
      </c>
      <c r="AA473" s="408"/>
      <c r="AB473" s="408"/>
      <c r="AC473" s="408"/>
      <c r="AD473" s="409"/>
      <c r="AE473" s="409"/>
      <c r="AF473" s="408"/>
      <c r="AG473" s="408"/>
      <c r="AH473" s="408"/>
      <c r="AI473" s="409"/>
      <c r="AJ473" s="409"/>
      <c r="AK473" s="408"/>
      <c r="AL473" s="408"/>
      <c r="AM473" s="408"/>
      <c r="AN473" s="408"/>
      <c r="AO473" s="409"/>
      <c r="AP473" s="408"/>
      <c r="AQ473" s="408"/>
      <c r="AR473" s="408"/>
      <c r="AS473" s="408"/>
      <c r="AT473" s="408"/>
      <c r="AU473" s="408"/>
      <c r="AV473" s="410"/>
    </row>
    <row r="474" spans="1:48" ht="28.8" hidden="1">
      <c r="A474" s="424" t="s">
        <v>2227</v>
      </c>
      <c r="B474" s="422" t="s">
        <v>2228</v>
      </c>
      <c r="C474" s="422"/>
      <c r="D474" s="423" t="s">
        <v>302</v>
      </c>
      <c r="E474" s="423" t="s">
        <v>303</v>
      </c>
      <c r="F474" s="417">
        <v>2023</v>
      </c>
      <c r="G474" s="406">
        <v>2023</v>
      </c>
      <c r="H474" s="435">
        <v>2023</v>
      </c>
      <c r="I474" s="408"/>
      <c r="J474" s="409"/>
      <c r="K474" s="409"/>
      <c r="L474" s="409"/>
      <c r="M474" s="409"/>
      <c r="N474" s="408" t="s">
        <v>93</v>
      </c>
      <c r="O474" s="409" t="s">
        <v>449</v>
      </c>
      <c r="P474" s="418" t="s">
        <v>280</v>
      </c>
      <c r="Q474" s="409"/>
      <c r="R474" s="409"/>
      <c r="S474" s="408" t="s">
        <v>2123</v>
      </c>
      <c r="T474" s="409" t="s">
        <v>449</v>
      </c>
      <c r="U474" s="418" t="s">
        <v>280</v>
      </c>
      <c r="V474" s="408"/>
      <c r="W474" s="408"/>
      <c r="X474" s="408" t="s">
        <v>15</v>
      </c>
      <c r="Y474" s="409" t="s">
        <v>449</v>
      </c>
      <c r="Z474" s="418" t="s">
        <v>280</v>
      </c>
      <c r="AA474" s="408"/>
      <c r="AB474" s="408"/>
      <c r="AC474" s="408"/>
      <c r="AD474" s="409"/>
      <c r="AE474" s="409"/>
      <c r="AF474" s="408"/>
      <c r="AG474" s="408"/>
      <c r="AH474" s="408"/>
      <c r="AI474" s="409"/>
      <c r="AJ474" s="409"/>
      <c r="AK474" s="408"/>
      <c r="AL474" s="408"/>
      <c r="AM474" s="408"/>
      <c r="AN474" s="408"/>
      <c r="AO474" s="409"/>
      <c r="AP474" s="408"/>
      <c r="AQ474" s="408"/>
      <c r="AR474" s="408"/>
      <c r="AS474" s="408"/>
      <c r="AT474" s="408"/>
      <c r="AU474" s="408"/>
      <c r="AV474" s="410"/>
    </row>
    <row r="475" spans="1:48" ht="43.2" hidden="1">
      <c r="A475" s="34" t="s">
        <v>2229</v>
      </c>
      <c r="B475" s="422" t="s">
        <v>2230</v>
      </c>
      <c r="C475" s="422"/>
      <c r="D475" s="370" t="s">
        <v>277</v>
      </c>
      <c r="E475" s="423" t="s">
        <v>1122</v>
      </c>
      <c r="F475" s="417">
        <v>2023</v>
      </c>
      <c r="G475" s="406">
        <v>2023</v>
      </c>
      <c r="H475" s="435">
        <v>2023</v>
      </c>
      <c r="I475" s="408"/>
      <c r="J475" s="409"/>
      <c r="K475" s="409"/>
      <c r="L475" s="409"/>
      <c r="M475" s="409"/>
      <c r="N475" s="408" t="s">
        <v>2231</v>
      </c>
      <c r="O475" s="409"/>
      <c r="P475" s="409"/>
      <c r="Q475" s="409"/>
      <c r="R475" s="409"/>
      <c r="S475" s="408" t="s">
        <v>18</v>
      </c>
      <c r="T475" s="409" t="s">
        <v>449</v>
      </c>
      <c r="U475" s="418" t="s">
        <v>280</v>
      </c>
      <c r="V475" s="408"/>
      <c r="W475" s="408"/>
      <c r="X475" s="408" t="s">
        <v>134</v>
      </c>
      <c r="Y475" s="409" t="s">
        <v>449</v>
      </c>
      <c r="Z475" s="418" t="s">
        <v>280</v>
      </c>
      <c r="AA475" s="408"/>
      <c r="AB475" s="408"/>
      <c r="AC475" s="408"/>
      <c r="AD475" s="409"/>
      <c r="AE475" s="409"/>
      <c r="AF475" s="408"/>
      <c r="AG475" s="408"/>
      <c r="AH475" s="408"/>
      <c r="AI475" s="409"/>
      <c r="AJ475" s="409"/>
      <c r="AK475" s="408"/>
      <c r="AL475" s="408"/>
      <c r="AM475" s="408"/>
      <c r="AN475" s="408"/>
      <c r="AO475" s="409"/>
      <c r="AP475" s="408"/>
      <c r="AQ475" s="408"/>
      <c r="AR475" s="408"/>
      <c r="AS475" s="408"/>
      <c r="AT475" s="408"/>
      <c r="AU475" s="408"/>
      <c r="AV475" s="410"/>
    </row>
    <row r="476" spans="1:48" ht="28.8" hidden="1">
      <c r="A476" s="34" t="s">
        <v>2232</v>
      </c>
      <c r="B476" s="422" t="s">
        <v>2095</v>
      </c>
      <c r="C476" s="422"/>
      <c r="D476" s="423" t="s">
        <v>782</v>
      </c>
      <c r="E476" s="423" t="s">
        <v>303</v>
      </c>
      <c r="F476" s="417">
        <v>2023</v>
      </c>
      <c r="G476" s="406">
        <v>2023</v>
      </c>
      <c r="H476" s="435">
        <v>2023</v>
      </c>
      <c r="I476" s="408"/>
      <c r="J476" s="409"/>
      <c r="K476" s="409"/>
      <c r="L476" s="409"/>
      <c r="M476" s="409"/>
      <c r="N476" s="408" t="s">
        <v>27</v>
      </c>
      <c r="O476" s="409" t="s">
        <v>279</v>
      </c>
      <c r="P476" s="418" t="s">
        <v>280</v>
      </c>
      <c r="Q476" s="409"/>
      <c r="R476" s="409"/>
      <c r="S476" s="408" t="s">
        <v>94</v>
      </c>
      <c r="T476" s="409" t="s">
        <v>279</v>
      </c>
      <c r="U476" s="418" t="s">
        <v>280</v>
      </c>
      <c r="V476" s="408"/>
      <c r="W476" s="408"/>
      <c r="X476" s="408" t="s">
        <v>18</v>
      </c>
      <c r="Y476" s="409" t="s">
        <v>449</v>
      </c>
      <c r="Z476" s="418" t="s">
        <v>280</v>
      </c>
      <c r="AA476" s="408"/>
      <c r="AB476" s="408"/>
      <c r="AC476" s="408"/>
      <c r="AD476" s="409"/>
      <c r="AE476" s="409"/>
      <c r="AF476" s="408"/>
      <c r="AG476" s="408"/>
      <c r="AH476" s="408"/>
      <c r="AI476" s="409"/>
      <c r="AJ476" s="409"/>
      <c r="AK476" s="408"/>
      <c r="AL476" s="408"/>
      <c r="AM476" s="408"/>
      <c r="AN476" s="408"/>
      <c r="AO476" s="409"/>
      <c r="AP476" s="408"/>
      <c r="AQ476" s="408"/>
      <c r="AR476" s="408"/>
      <c r="AS476" s="408"/>
      <c r="AT476" s="408"/>
      <c r="AU476" s="408"/>
      <c r="AV476" s="410"/>
    </row>
    <row r="477" spans="1:48" ht="43.2" hidden="1">
      <c r="A477" s="424" t="s">
        <v>2233</v>
      </c>
      <c r="B477" s="422" t="s">
        <v>2234</v>
      </c>
      <c r="C477" s="422"/>
      <c r="D477" s="423" t="s">
        <v>528</v>
      </c>
      <c r="E477" s="423" t="s">
        <v>303</v>
      </c>
      <c r="F477" s="417">
        <v>2023</v>
      </c>
      <c r="G477" s="406">
        <v>2023</v>
      </c>
      <c r="H477" s="435">
        <v>2023</v>
      </c>
      <c r="I477" s="408"/>
      <c r="J477" s="409"/>
      <c r="K477" s="409"/>
      <c r="L477" s="409"/>
      <c r="M477" s="409"/>
      <c r="N477" s="408" t="s">
        <v>163</v>
      </c>
      <c r="O477" s="409" t="s">
        <v>449</v>
      </c>
      <c r="P477" s="418" t="s">
        <v>280</v>
      </c>
      <c r="Q477" s="409"/>
      <c r="R477" s="409"/>
      <c r="S477" s="408" t="s">
        <v>452</v>
      </c>
      <c r="T477" s="409"/>
      <c r="U477" s="409"/>
      <c r="V477" s="408"/>
      <c r="W477" s="408"/>
      <c r="X477" s="408" t="s">
        <v>453</v>
      </c>
      <c r="Y477" s="409"/>
      <c r="Z477" s="409"/>
      <c r="AA477" s="408"/>
      <c r="AB477" s="408"/>
      <c r="AC477" s="408"/>
      <c r="AD477" s="409"/>
      <c r="AE477" s="409"/>
      <c r="AF477" s="408"/>
      <c r="AG477" s="408"/>
      <c r="AH477" s="408"/>
      <c r="AI477" s="409"/>
      <c r="AJ477" s="409"/>
      <c r="AK477" s="408"/>
      <c r="AL477" s="408"/>
      <c r="AM477" s="408"/>
      <c r="AN477" s="408"/>
      <c r="AO477" s="409"/>
      <c r="AP477" s="408"/>
      <c r="AQ477" s="408"/>
      <c r="AR477" s="408"/>
      <c r="AS477" s="408"/>
      <c r="AT477" s="408"/>
      <c r="AU477" s="408"/>
      <c r="AV477" s="410"/>
    </row>
    <row r="478" spans="1:48" ht="28.8" hidden="1">
      <c r="A478" s="421" t="s">
        <v>2235</v>
      </c>
      <c r="B478" s="422" t="s">
        <v>2236</v>
      </c>
      <c r="C478" s="422"/>
      <c r="D478" s="370" t="s">
        <v>277</v>
      </c>
      <c r="E478" s="423" t="s">
        <v>303</v>
      </c>
      <c r="F478" s="417">
        <v>2023</v>
      </c>
      <c r="G478" s="406">
        <v>2023</v>
      </c>
      <c r="H478" s="435">
        <v>2023</v>
      </c>
      <c r="I478" s="408"/>
      <c r="J478" s="409"/>
      <c r="K478" s="409"/>
      <c r="L478" s="409"/>
      <c r="M478" s="409"/>
      <c r="N478" s="422" t="s">
        <v>26</v>
      </c>
      <c r="O478" s="409"/>
      <c r="P478" s="409"/>
      <c r="Q478" s="409"/>
      <c r="R478" s="409"/>
      <c r="S478" s="408" t="s">
        <v>775</v>
      </c>
      <c r="T478" s="409"/>
      <c r="U478" s="409"/>
      <c r="V478" s="408"/>
      <c r="W478" s="408"/>
      <c r="X478" s="408" t="s">
        <v>352</v>
      </c>
      <c r="Y478" s="409" t="s">
        <v>353</v>
      </c>
      <c r="Z478" s="409"/>
      <c r="AA478" s="408"/>
      <c r="AB478" s="408"/>
      <c r="AC478" s="408" t="s">
        <v>114</v>
      </c>
      <c r="AD478" s="409" t="s">
        <v>449</v>
      </c>
      <c r="AE478" s="409"/>
      <c r="AF478" s="408"/>
      <c r="AG478" s="408"/>
      <c r="AH478" s="408" t="s">
        <v>2237</v>
      </c>
      <c r="AI478" s="409"/>
      <c r="AJ478" s="409"/>
      <c r="AK478" s="408"/>
      <c r="AL478" s="408"/>
      <c r="AM478" s="408"/>
      <c r="AN478" s="408"/>
      <c r="AO478" s="409"/>
      <c r="AP478" s="408"/>
      <c r="AQ478" s="408"/>
      <c r="AR478" s="408"/>
      <c r="AS478" s="408"/>
      <c r="AT478" s="408"/>
      <c r="AU478" s="408"/>
      <c r="AV478" s="410"/>
    </row>
    <row r="479" spans="1:48" ht="28.8" hidden="1">
      <c r="A479" s="421" t="s">
        <v>2238</v>
      </c>
      <c r="B479" s="422" t="s">
        <v>1870</v>
      </c>
      <c r="C479" s="422"/>
      <c r="D479" s="423" t="s">
        <v>306</v>
      </c>
      <c r="E479" s="423" t="s">
        <v>303</v>
      </c>
      <c r="F479" s="417">
        <v>2023</v>
      </c>
      <c r="G479" s="406">
        <v>2023</v>
      </c>
      <c r="H479" s="435">
        <v>2023</v>
      </c>
      <c r="I479" s="408"/>
      <c r="J479" s="409"/>
      <c r="K479" s="409"/>
      <c r="L479" s="409"/>
      <c r="M479" s="409"/>
      <c r="N479" s="422" t="s">
        <v>93</v>
      </c>
      <c r="O479" s="409" t="s">
        <v>449</v>
      </c>
      <c r="P479" s="409"/>
      <c r="Q479" s="409"/>
      <c r="R479" s="409"/>
      <c r="S479" s="408" t="s">
        <v>2239</v>
      </c>
      <c r="T479" s="409" t="s">
        <v>449</v>
      </c>
      <c r="U479" s="409"/>
      <c r="V479" s="408"/>
      <c r="W479" s="408"/>
      <c r="X479" s="408" t="s">
        <v>30</v>
      </c>
      <c r="Y479" s="409" t="s">
        <v>2026</v>
      </c>
      <c r="Z479" s="409"/>
      <c r="AA479" s="408"/>
      <c r="AB479" s="408"/>
      <c r="AC479" s="408" t="s">
        <v>2240</v>
      </c>
      <c r="AD479" s="409"/>
      <c r="AE479" s="409" t="s">
        <v>2241</v>
      </c>
      <c r="AF479" s="408"/>
      <c r="AG479" s="408"/>
      <c r="AH479" s="408"/>
      <c r="AI479" s="409"/>
      <c r="AJ479" s="409"/>
      <c r="AK479" s="408"/>
      <c r="AL479" s="408"/>
      <c r="AM479" s="408"/>
      <c r="AN479" s="408"/>
      <c r="AO479" s="409"/>
      <c r="AP479" s="408"/>
      <c r="AQ479" s="408"/>
      <c r="AR479" s="408"/>
      <c r="AS479" s="408"/>
      <c r="AT479" s="408"/>
      <c r="AU479" s="408"/>
      <c r="AV479" s="410"/>
    </row>
    <row r="480" spans="1:48" ht="28.8" hidden="1">
      <c r="A480" s="421" t="s">
        <v>2126</v>
      </c>
      <c r="B480" s="422" t="s">
        <v>2242</v>
      </c>
      <c r="C480" s="422"/>
      <c r="D480" s="423" t="s">
        <v>302</v>
      </c>
      <c r="E480" s="423" t="s">
        <v>303</v>
      </c>
      <c r="F480" s="417">
        <v>2023</v>
      </c>
      <c r="G480" s="406">
        <v>2023</v>
      </c>
      <c r="H480" s="435">
        <v>2023</v>
      </c>
      <c r="I480" s="408"/>
      <c r="J480" s="409"/>
      <c r="K480" s="409"/>
      <c r="L480" s="409"/>
      <c r="M480" s="409"/>
      <c r="N480" s="408" t="s">
        <v>775</v>
      </c>
      <c r="O480" s="409"/>
      <c r="P480" s="409"/>
      <c r="Q480" s="409"/>
      <c r="R480" s="409"/>
      <c r="S480" s="408" t="s">
        <v>2123</v>
      </c>
      <c r="T480" s="409" t="s">
        <v>449</v>
      </c>
      <c r="U480" s="409"/>
      <c r="V480" s="408"/>
      <c r="W480" s="408"/>
      <c r="X480" s="408" t="s">
        <v>186</v>
      </c>
      <c r="Y480" s="409" t="s">
        <v>449</v>
      </c>
      <c r="Z480" s="409"/>
      <c r="AA480" s="408"/>
      <c r="AB480" s="408"/>
      <c r="AC480" s="408"/>
      <c r="AD480" s="409"/>
      <c r="AE480" s="409"/>
      <c r="AF480" s="408"/>
      <c r="AG480" s="408"/>
      <c r="AH480" s="408"/>
      <c r="AI480" s="409"/>
      <c r="AJ480" s="409"/>
      <c r="AK480" s="408"/>
      <c r="AL480" s="408"/>
      <c r="AM480" s="408"/>
      <c r="AN480" s="408"/>
      <c r="AO480" s="409"/>
      <c r="AP480" s="408"/>
      <c r="AQ480" s="408"/>
      <c r="AR480" s="408"/>
      <c r="AS480" s="408"/>
      <c r="AT480" s="408"/>
      <c r="AU480" s="408"/>
      <c r="AV480" s="410"/>
    </row>
    <row r="481" spans="1:48" ht="28.8" hidden="1">
      <c r="A481" s="421" t="s">
        <v>2243</v>
      </c>
      <c r="B481" s="422" t="s">
        <v>2244</v>
      </c>
      <c r="C481" s="422"/>
      <c r="D481" s="370" t="s">
        <v>277</v>
      </c>
      <c r="E481" s="423" t="s">
        <v>1122</v>
      </c>
      <c r="F481" s="417">
        <v>2023</v>
      </c>
      <c r="G481" s="406">
        <v>2023</v>
      </c>
      <c r="H481" s="435">
        <v>2023</v>
      </c>
      <c r="I481" s="408"/>
      <c r="J481" s="409"/>
      <c r="K481" s="409"/>
      <c r="L481" s="409"/>
      <c r="M481" s="409"/>
      <c r="N481" s="408" t="s">
        <v>134</v>
      </c>
      <c r="O481" s="409" t="s">
        <v>449</v>
      </c>
      <c r="P481" s="409"/>
      <c r="Q481" s="409"/>
      <c r="R481" s="409"/>
      <c r="S481" s="408"/>
      <c r="T481" s="409"/>
      <c r="U481" s="409"/>
      <c r="V481" s="408"/>
      <c r="W481" s="408"/>
      <c r="X481" s="408"/>
      <c r="Y481" s="409"/>
      <c r="Z481" s="409"/>
      <c r="AA481" s="408"/>
      <c r="AB481" s="408"/>
      <c r="AC481" s="408"/>
      <c r="AD481" s="409"/>
      <c r="AE481" s="409"/>
      <c r="AF481" s="408"/>
      <c r="AG481" s="408"/>
      <c r="AH481" s="408"/>
      <c r="AI481" s="409"/>
      <c r="AJ481" s="409"/>
      <c r="AK481" s="408"/>
      <c r="AL481" s="408"/>
      <c r="AM481" s="408"/>
      <c r="AN481" s="408"/>
      <c r="AO481" s="409"/>
      <c r="AP481" s="408"/>
      <c r="AQ481" s="408"/>
      <c r="AR481" s="408"/>
      <c r="AS481" s="408"/>
      <c r="AT481" s="408"/>
      <c r="AU481" s="408"/>
      <c r="AV481" s="410"/>
    </row>
    <row r="482" spans="1:48" ht="28.8" hidden="1">
      <c r="A482" s="421" t="s">
        <v>2245</v>
      </c>
      <c r="B482" s="422" t="s">
        <v>2146</v>
      </c>
      <c r="C482" s="422"/>
      <c r="D482" s="423" t="s">
        <v>306</v>
      </c>
      <c r="E482" s="423" t="s">
        <v>303</v>
      </c>
      <c r="F482" s="417">
        <v>2023</v>
      </c>
      <c r="G482" s="406">
        <v>2023</v>
      </c>
      <c r="H482" s="435">
        <v>2023</v>
      </c>
      <c r="I482" s="408"/>
      <c r="J482" s="409"/>
      <c r="K482" s="409"/>
      <c r="L482" s="409"/>
      <c r="M482" s="409"/>
      <c r="N482" s="408" t="s">
        <v>134</v>
      </c>
      <c r="O482" s="409" t="s">
        <v>449</v>
      </c>
      <c r="P482" s="409"/>
      <c r="Q482" s="409"/>
      <c r="R482" s="409"/>
      <c r="S482" s="408"/>
      <c r="T482" s="409"/>
      <c r="U482" s="409"/>
      <c r="V482" s="408"/>
      <c r="W482" s="408"/>
      <c r="X482" s="408"/>
      <c r="Y482" s="409"/>
      <c r="Z482" s="409"/>
      <c r="AA482" s="408"/>
      <c r="AB482" s="408"/>
      <c r="AC482" s="408"/>
      <c r="AD482" s="409"/>
      <c r="AE482" s="409"/>
      <c r="AF482" s="408"/>
      <c r="AG482" s="408"/>
      <c r="AH482" s="408"/>
      <c r="AI482" s="409"/>
      <c r="AJ482" s="409"/>
      <c r="AK482" s="408"/>
      <c r="AL482" s="408"/>
      <c r="AM482" s="408"/>
      <c r="AN482" s="408"/>
      <c r="AO482" s="409"/>
      <c r="AP482" s="408"/>
      <c r="AQ482" s="408"/>
      <c r="AR482" s="408"/>
      <c r="AS482" s="408"/>
      <c r="AT482" s="408"/>
      <c r="AU482" s="408"/>
      <c r="AV482" s="410"/>
    </row>
    <row r="483" spans="1:48" ht="28.8" hidden="1">
      <c r="A483" s="421" t="s">
        <v>2246</v>
      </c>
      <c r="B483" s="422" t="s">
        <v>2247</v>
      </c>
      <c r="C483" s="422"/>
      <c r="D483" s="423" t="s">
        <v>1190</v>
      </c>
      <c r="E483" s="423" t="s">
        <v>303</v>
      </c>
      <c r="F483" s="417">
        <v>2023</v>
      </c>
      <c r="G483" s="406">
        <v>2023</v>
      </c>
      <c r="H483" s="435">
        <v>2023</v>
      </c>
      <c r="I483" s="408"/>
      <c r="J483" s="409"/>
      <c r="K483" s="409"/>
      <c r="L483" s="409"/>
      <c r="M483" s="409"/>
      <c r="N483" s="408" t="s">
        <v>85</v>
      </c>
      <c r="O483" s="409" t="s">
        <v>309</v>
      </c>
      <c r="P483" s="409"/>
      <c r="Q483" s="409"/>
      <c r="R483" s="409"/>
      <c r="S483" s="408" t="s">
        <v>134</v>
      </c>
      <c r="T483" s="409" t="s">
        <v>449</v>
      </c>
      <c r="U483" s="409"/>
      <c r="V483" s="408"/>
      <c r="W483" s="408"/>
      <c r="X483" s="408"/>
      <c r="Y483" s="409"/>
      <c r="Z483" s="409"/>
      <c r="AA483" s="408"/>
      <c r="AB483" s="408"/>
      <c r="AC483" s="408"/>
      <c r="AD483" s="409"/>
      <c r="AE483" s="409"/>
      <c r="AF483" s="408"/>
      <c r="AG483" s="408"/>
      <c r="AH483" s="408"/>
      <c r="AI483" s="409"/>
      <c r="AJ483" s="409"/>
      <c r="AK483" s="408"/>
      <c r="AL483" s="408"/>
      <c r="AM483" s="408"/>
      <c r="AN483" s="408"/>
      <c r="AO483" s="409"/>
      <c r="AP483" s="408"/>
      <c r="AQ483" s="408"/>
      <c r="AR483" s="408"/>
      <c r="AS483" s="408"/>
      <c r="AT483" s="408"/>
      <c r="AU483" s="408"/>
      <c r="AV483" s="410"/>
    </row>
    <row r="484" spans="1:48" ht="28.8" hidden="1">
      <c r="A484" s="421" t="s">
        <v>2246</v>
      </c>
      <c r="B484" s="422" t="s">
        <v>2247</v>
      </c>
      <c r="C484" s="422"/>
      <c r="D484" s="423" t="s">
        <v>416</v>
      </c>
      <c r="E484" s="423" t="s">
        <v>1122</v>
      </c>
      <c r="F484" s="417">
        <v>2023</v>
      </c>
      <c r="G484" s="406">
        <v>2023</v>
      </c>
      <c r="H484" s="435">
        <v>2023</v>
      </c>
      <c r="I484" s="408"/>
      <c r="J484" s="409"/>
      <c r="K484" s="409"/>
      <c r="L484" s="409"/>
      <c r="M484" s="409"/>
      <c r="N484" s="408" t="s">
        <v>85</v>
      </c>
      <c r="O484" s="409" t="s">
        <v>309</v>
      </c>
      <c r="P484" s="409"/>
      <c r="Q484" s="409"/>
      <c r="R484" s="409"/>
      <c r="S484" s="408" t="s">
        <v>134</v>
      </c>
      <c r="T484" s="409" t="s">
        <v>449</v>
      </c>
      <c r="U484" s="409"/>
      <c r="V484" s="408"/>
      <c r="W484" s="408"/>
      <c r="X484" s="408"/>
      <c r="Y484" s="409"/>
      <c r="Z484" s="409"/>
      <c r="AA484" s="408"/>
      <c r="AB484" s="408"/>
      <c r="AC484" s="408"/>
      <c r="AD484" s="409"/>
      <c r="AE484" s="409"/>
      <c r="AF484" s="408"/>
      <c r="AG484" s="408"/>
      <c r="AH484" s="408"/>
      <c r="AI484" s="409"/>
      <c r="AJ484" s="409"/>
      <c r="AK484" s="408"/>
      <c r="AL484" s="408"/>
      <c r="AM484" s="408"/>
      <c r="AN484" s="408"/>
      <c r="AO484" s="409"/>
      <c r="AP484" s="408"/>
      <c r="AQ484" s="408"/>
      <c r="AR484" s="408"/>
      <c r="AS484" s="408"/>
      <c r="AT484" s="408"/>
      <c r="AU484" s="408"/>
      <c r="AV484" s="410"/>
    </row>
    <row r="485" spans="1:48" ht="28.8" hidden="1">
      <c r="A485" s="421" t="s">
        <v>2248</v>
      </c>
      <c r="B485" s="422" t="s">
        <v>159</v>
      </c>
      <c r="C485" s="422"/>
      <c r="D485" s="423" t="s">
        <v>2249</v>
      </c>
      <c r="E485" s="423" t="s">
        <v>942</v>
      </c>
      <c r="F485" s="417">
        <v>2023</v>
      </c>
      <c r="G485" s="406">
        <v>2023</v>
      </c>
      <c r="H485" s="435">
        <v>2023</v>
      </c>
      <c r="I485" s="408"/>
      <c r="J485" s="409"/>
      <c r="K485" s="409"/>
      <c r="L485" s="409"/>
      <c r="M485" s="409"/>
      <c r="N485" s="408" t="s">
        <v>202</v>
      </c>
      <c r="O485" s="409" t="s">
        <v>449</v>
      </c>
      <c r="P485" s="409"/>
      <c r="Q485" s="409"/>
      <c r="R485" s="409"/>
      <c r="S485" s="408"/>
      <c r="T485" s="409"/>
      <c r="U485" s="409"/>
      <c r="V485" s="408"/>
      <c r="W485" s="408"/>
      <c r="X485" s="408"/>
      <c r="Y485" s="409"/>
      <c r="Z485" s="409"/>
      <c r="AA485" s="408"/>
      <c r="AB485" s="408"/>
      <c r="AC485" s="408"/>
      <c r="AD485" s="409"/>
      <c r="AE485" s="409"/>
      <c r="AF485" s="408"/>
      <c r="AG485" s="408"/>
      <c r="AH485" s="408"/>
      <c r="AI485" s="409"/>
      <c r="AJ485" s="409"/>
      <c r="AK485" s="408"/>
      <c r="AL485" s="408"/>
      <c r="AM485" s="408"/>
      <c r="AN485" s="408"/>
      <c r="AO485" s="409"/>
      <c r="AP485" s="408"/>
      <c r="AQ485" s="408"/>
      <c r="AR485" s="408"/>
      <c r="AS485" s="408"/>
      <c r="AT485" s="408"/>
      <c r="AU485" s="408"/>
      <c r="AV485" s="410"/>
    </row>
    <row r="486" spans="1:48" ht="57.6" hidden="1">
      <c r="A486" s="421" t="s">
        <v>2250</v>
      </c>
      <c r="B486" s="422" t="s">
        <v>2251</v>
      </c>
      <c r="C486" s="422"/>
      <c r="D486" s="370" t="s">
        <v>277</v>
      </c>
      <c r="E486" s="423" t="s">
        <v>1122</v>
      </c>
      <c r="F486" s="417">
        <v>2023</v>
      </c>
      <c r="G486" s="406">
        <v>2023</v>
      </c>
      <c r="H486" s="435">
        <v>2023</v>
      </c>
      <c r="I486" s="408"/>
      <c r="J486" s="409"/>
      <c r="K486" s="409"/>
      <c r="L486" s="409"/>
      <c r="M486" s="409"/>
      <c r="N486" s="408" t="s">
        <v>134</v>
      </c>
      <c r="O486" s="409" t="s">
        <v>449</v>
      </c>
      <c r="P486" s="409"/>
      <c r="Q486" s="409"/>
      <c r="R486" s="409"/>
      <c r="S486" s="408" t="s">
        <v>2231</v>
      </c>
      <c r="T486" s="409"/>
      <c r="U486" s="409"/>
      <c r="V486" s="408"/>
      <c r="W486" s="408"/>
      <c r="X486" s="408" t="s">
        <v>67</v>
      </c>
      <c r="Y486" s="409" t="s">
        <v>353</v>
      </c>
      <c r="Z486" s="409"/>
      <c r="AA486" s="408"/>
      <c r="AB486" s="408"/>
      <c r="AC486" s="408" t="s">
        <v>1818</v>
      </c>
      <c r="AD486" s="409"/>
      <c r="AE486" s="409"/>
      <c r="AF486" s="408"/>
      <c r="AG486" s="408"/>
      <c r="AH486" s="408" t="s">
        <v>85</v>
      </c>
      <c r="AI486" s="409" t="s">
        <v>279</v>
      </c>
      <c r="AJ486" s="409"/>
      <c r="AK486" s="408"/>
      <c r="AL486" s="408"/>
      <c r="AM486" s="408"/>
      <c r="AN486" s="408"/>
      <c r="AO486" s="409"/>
      <c r="AP486" s="408"/>
      <c r="AQ486" s="408"/>
      <c r="AR486" s="408"/>
      <c r="AS486" s="408"/>
      <c r="AT486" s="408"/>
      <c r="AU486" s="408"/>
      <c r="AV486" s="410"/>
    </row>
    <row r="487" spans="1:48" ht="28.8" hidden="1">
      <c r="A487" s="421" t="s">
        <v>1558</v>
      </c>
      <c r="B487" s="422" t="s">
        <v>2086</v>
      </c>
      <c r="C487" s="422"/>
      <c r="D487" s="423" t="s">
        <v>528</v>
      </c>
      <c r="E487" s="423" t="s">
        <v>1122</v>
      </c>
      <c r="F487" s="417">
        <v>2023</v>
      </c>
      <c r="G487" s="406">
        <v>2023</v>
      </c>
      <c r="H487" s="435">
        <v>2023</v>
      </c>
      <c r="I487" s="408"/>
      <c r="J487" s="409"/>
      <c r="K487" s="409"/>
      <c r="L487" s="409"/>
      <c r="M487" s="409"/>
      <c r="N487" s="408" t="s">
        <v>1560</v>
      </c>
      <c r="O487" s="409"/>
      <c r="P487" s="409"/>
      <c r="Q487" s="409"/>
      <c r="R487" s="409"/>
      <c r="S487" s="408" t="s">
        <v>1561</v>
      </c>
      <c r="T487" s="409"/>
      <c r="U487" s="409"/>
      <c r="V487" s="408"/>
      <c r="W487" s="408"/>
      <c r="X487" s="408" t="s">
        <v>1562</v>
      </c>
      <c r="Y487" s="409"/>
      <c r="Z487" s="409"/>
      <c r="AA487" s="408"/>
      <c r="AB487" s="408"/>
      <c r="AC487" s="408" t="s">
        <v>134</v>
      </c>
      <c r="AD487" s="409" t="s">
        <v>449</v>
      </c>
      <c r="AE487" s="409"/>
      <c r="AF487" s="408"/>
      <c r="AG487" s="408"/>
      <c r="AH487" s="408" t="s">
        <v>837</v>
      </c>
      <c r="AI487" s="409"/>
      <c r="AJ487" s="409"/>
      <c r="AK487" s="408"/>
      <c r="AL487" s="408"/>
      <c r="AM487" s="408" t="s">
        <v>1563</v>
      </c>
      <c r="AN487" s="408"/>
      <c r="AO487" s="409"/>
      <c r="AP487" s="408"/>
      <c r="AQ487" s="408"/>
      <c r="AR487" s="408"/>
      <c r="AS487" s="408"/>
      <c r="AT487" s="408"/>
      <c r="AU487" s="408"/>
      <c r="AV487" s="410"/>
    </row>
    <row r="488" spans="1:48" ht="43.2" hidden="1">
      <c r="A488" s="424" t="s">
        <v>2252</v>
      </c>
      <c r="B488" s="422" t="s">
        <v>1830</v>
      </c>
      <c r="C488" s="422"/>
      <c r="D488" s="423" t="s">
        <v>528</v>
      </c>
      <c r="E488" s="423" t="s">
        <v>1122</v>
      </c>
      <c r="F488" s="417">
        <v>2023</v>
      </c>
      <c r="G488" s="406">
        <v>2023</v>
      </c>
      <c r="H488" s="435">
        <v>2023</v>
      </c>
      <c r="I488" s="408" t="s">
        <v>12</v>
      </c>
      <c r="J488" s="409" t="s">
        <v>309</v>
      </c>
      <c r="K488" s="409"/>
      <c r="L488" s="409"/>
      <c r="M488" s="409"/>
      <c r="N488" s="427" t="s">
        <v>12</v>
      </c>
      <c r="O488" s="409" t="s">
        <v>309</v>
      </c>
      <c r="P488" s="409"/>
      <c r="Q488" s="409"/>
      <c r="R488" s="409"/>
      <c r="S488" s="408" t="s">
        <v>28</v>
      </c>
      <c r="T488" s="409" t="s">
        <v>353</v>
      </c>
      <c r="U488" s="409"/>
      <c r="V488" s="408"/>
      <c r="W488" s="408"/>
      <c r="X488" s="408" t="s">
        <v>168</v>
      </c>
      <c r="Y488" s="409"/>
      <c r="Z488" s="409"/>
      <c r="AA488" s="408"/>
      <c r="AB488" s="408"/>
      <c r="AC488" s="408" t="s">
        <v>586</v>
      </c>
      <c r="AD488" s="409"/>
      <c r="AE488" s="409"/>
      <c r="AF488" s="408"/>
      <c r="AG488" s="408"/>
      <c r="AH488" s="408" t="s">
        <v>1832</v>
      </c>
      <c r="AI488" s="409"/>
      <c r="AJ488" s="409"/>
      <c r="AK488" s="408"/>
      <c r="AL488" s="408"/>
      <c r="AM488" s="408"/>
      <c r="AN488" s="408"/>
      <c r="AO488" s="409"/>
      <c r="AP488" s="408"/>
      <c r="AQ488" s="408"/>
      <c r="AR488" s="408"/>
      <c r="AS488" s="408"/>
      <c r="AT488" s="408"/>
      <c r="AU488" s="408"/>
      <c r="AV488" s="410"/>
    </row>
    <row r="489" spans="1:48" ht="43.2" hidden="1">
      <c r="A489" s="424" t="s">
        <v>2253</v>
      </c>
      <c r="B489" s="422" t="s">
        <v>2254</v>
      </c>
      <c r="C489" s="422"/>
      <c r="D489" s="370" t="s">
        <v>277</v>
      </c>
      <c r="E489" s="407" t="s">
        <v>303</v>
      </c>
      <c r="F489" s="417">
        <v>2023</v>
      </c>
      <c r="G489" s="406">
        <v>2023</v>
      </c>
      <c r="H489" s="435">
        <v>2023</v>
      </c>
      <c r="I489" s="408"/>
      <c r="J489" s="409"/>
      <c r="K489" s="409"/>
      <c r="L489" s="409"/>
      <c r="M489" s="409"/>
      <c r="N489" s="427" t="s">
        <v>67</v>
      </c>
      <c r="O489" s="409" t="s">
        <v>353</v>
      </c>
      <c r="P489" s="409"/>
      <c r="Q489" s="409"/>
      <c r="R489" s="409"/>
      <c r="S489" s="408" t="s">
        <v>35</v>
      </c>
      <c r="T489" s="409" t="s">
        <v>353</v>
      </c>
      <c r="U489" s="409"/>
      <c r="V489" s="408"/>
      <c r="W489" s="408"/>
      <c r="X489" s="408" t="s">
        <v>178</v>
      </c>
      <c r="Y489" s="409" t="s">
        <v>353</v>
      </c>
      <c r="Z489" s="409"/>
      <c r="AA489" s="408"/>
      <c r="AB489" s="408"/>
      <c r="AC489" s="408" t="s">
        <v>39</v>
      </c>
      <c r="AD489" s="409" t="s">
        <v>353</v>
      </c>
      <c r="AE489" s="409"/>
      <c r="AF489" s="408"/>
      <c r="AG489" s="408"/>
      <c r="AH489" s="408" t="s">
        <v>352</v>
      </c>
      <c r="AI489" s="409" t="s">
        <v>353</v>
      </c>
      <c r="AJ489" s="409"/>
      <c r="AK489" s="408"/>
      <c r="AL489" s="408"/>
      <c r="AM489" s="408" t="s">
        <v>47</v>
      </c>
      <c r="AN489" s="409" t="s">
        <v>353</v>
      </c>
      <c r="AO489" s="409"/>
      <c r="AP489" s="408"/>
      <c r="AQ489" s="408"/>
      <c r="AR489" s="408" t="s">
        <v>28</v>
      </c>
      <c r="AS489" s="409" t="s">
        <v>353</v>
      </c>
      <c r="AT489" s="408"/>
      <c r="AU489" s="408"/>
      <c r="AV489" s="410"/>
    </row>
    <row r="490" spans="1:48" ht="28.8" hidden="1">
      <c r="A490" s="424" t="s">
        <v>2255</v>
      </c>
      <c r="B490" s="422" t="s">
        <v>2256</v>
      </c>
      <c r="C490" s="422"/>
      <c r="D490" s="423" t="s">
        <v>502</v>
      </c>
      <c r="E490" s="423" t="s">
        <v>1122</v>
      </c>
      <c r="F490" s="417">
        <v>2023</v>
      </c>
      <c r="G490" s="406">
        <v>2023</v>
      </c>
      <c r="H490" s="435">
        <v>2023</v>
      </c>
      <c r="I490" s="408"/>
      <c r="J490" s="409"/>
      <c r="K490" s="409"/>
      <c r="L490" s="409"/>
      <c r="M490" s="409"/>
      <c r="N490" s="408" t="s">
        <v>577</v>
      </c>
      <c r="O490" s="409"/>
      <c r="P490" s="409"/>
      <c r="Q490" s="409"/>
      <c r="R490" s="409"/>
      <c r="S490" s="408" t="s">
        <v>1254</v>
      </c>
      <c r="T490" s="409"/>
      <c r="U490" s="409"/>
      <c r="V490" s="408"/>
      <c r="W490" s="408"/>
      <c r="X490" s="408" t="s">
        <v>69</v>
      </c>
      <c r="Y490" s="409"/>
      <c r="Z490" s="409"/>
      <c r="AA490" s="408"/>
      <c r="AB490" s="408"/>
      <c r="AC490" s="408" t="s">
        <v>17</v>
      </c>
      <c r="AD490" s="409" t="s">
        <v>353</v>
      </c>
      <c r="AE490" s="409"/>
      <c r="AF490" s="408"/>
      <c r="AG490" s="408"/>
      <c r="AH490" s="408"/>
      <c r="AI490" s="409"/>
      <c r="AJ490" s="409"/>
      <c r="AK490" s="408"/>
      <c r="AL490" s="408"/>
      <c r="AM490" s="408"/>
      <c r="AN490" s="408"/>
      <c r="AO490" s="409"/>
      <c r="AP490" s="408"/>
      <c r="AQ490" s="408"/>
      <c r="AR490" s="408"/>
      <c r="AS490" s="408"/>
      <c r="AT490" s="408"/>
      <c r="AU490" s="408"/>
      <c r="AV490" s="410"/>
    </row>
    <row r="491" spans="1:48" ht="43.2" hidden="1">
      <c r="A491" s="429" t="s">
        <v>2257</v>
      </c>
      <c r="B491" s="425" t="s">
        <v>2258</v>
      </c>
      <c r="C491" s="425"/>
      <c r="D491" s="370" t="s">
        <v>277</v>
      </c>
      <c r="E491" s="370" t="s">
        <v>303</v>
      </c>
      <c r="F491" s="417">
        <v>2023</v>
      </c>
      <c r="G491" s="406">
        <v>2023</v>
      </c>
      <c r="H491" s="435">
        <v>2023</v>
      </c>
      <c r="I491" s="375"/>
      <c r="J491" s="374"/>
      <c r="K491" s="374"/>
      <c r="L491" s="374"/>
      <c r="M491" s="374"/>
      <c r="N491" s="375" t="s">
        <v>2259</v>
      </c>
      <c r="O491" s="409"/>
      <c r="P491" s="374"/>
      <c r="Q491" s="374"/>
      <c r="R491" s="374"/>
      <c r="S491" s="375" t="s">
        <v>2260</v>
      </c>
      <c r="T491" s="374"/>
      <c r="U491" s="374"/>
      <c r="V491" s="375"/>
      <c r="W491" s="375"/>
      <c r="X491" s="375" t="s">
        <v>17</v>
      </c>
      <c r="Y491" s="374" t="s">
        <v>353</v>
      </c>
      <c r="Z491" s="374"/>
      <c r="AA491" s="375"/>
      <c r="AB491" s="375"/>
      <c r="AC491" s="375" t="s">
        <v>2261</v>
      </c>
      <c r="AD491" s="374"/>
      <c r="AE491" s="374"/>
      <c r="AF491" s="375"/>
      <c r="AG491" s="375"/>
      <c r="AH491" s="375"/>
      <c r="AI491" s="374"/>
      <c r="AJ491" s="374"/>
      <c r="AK491" s="375"/>
      <c r="AL491" s="375"/>
      <c r="AM491" s="375"/>
      <c r="AN491" s="375"/>
      <c r="AO491" s="374"/>
      <c r="AP491" s="375"/>
      <c r="AQ491" s="375"/>
      <c r="AR491" s="375"/>
      <c r="AS491" s="375"/>
      <c r="AT491" s="375"/>
      <c r="AU491" s="375"/>
      <c r="AV491" s="376"/>
    </row>
    <row r="492" spans="1:48" hidden="1">
      <c r="A492" s="428" t="s">
        <v>2262</v>
      </c>
      <c r="B492" s="425" t="s">
        <v>946</v>
      </c>
      <c r="C492" s="425"/>
      <c r="D492" s="370" t="s">
        <v>277</v>
      </c>
      <c r="E492" s="370" t="s">
        <v>303</v>
      </c>
      <c r="F492" s="417">
        <v>2023</v>
      </c>
      <c r="G492" s="406">
        <v>2023</v>
      </c>
      <c r="H492" s="435">
        <v>2023</v>
      </c>
      <c r="I492" s="375"/>
      <c r="J492" s="374"/>
      <c r="K492" s="374"/>
      <c r="L492" s="374"/>
      <c r="M492" s="374"/>
      <c r="N492" s="375"/>
      <c r="O492" s="409"/>
      <c r="P492" s="374"/>
      <c r="Q492" s="374"/>
      <c r="R492" s="374"/>
      <c r="S492" s="375"/>
      <c r="T492" s="374"/>
      <c r="U492" s="374"/>
      <c r="V492" s="375"/>
      <c r="W492" s="375"/>
      <c r="X492" s="375"/>
      <c r="Y492" s="374"/>
      <c r="Z492" s="374"/>
      <c r="AA492" s="375"/>
      <c r="AB492" s="375"/>
      <c r="AC492" s="375"/>
      <c r="AD492" s="374"/>
      <c r="AE492" s="374"/>
      <c r="AF492" s="375"/>
      <c r="AG492" s="375"/>
      <c r="AH492" s="375"/>
      <c r="AI492" s="374"/>
      <c r="AJ492" s="374"/>
      <c r="AK492" s="375"/>
      <c r="AL492" s="375"/>
      <c r="AM492" s="375"/>
      <c r="AN492" s="375"/>
      <c r="AO492" s="374"/>
      <c r="AP492" s="375"/>
      <c r="AQ492" s="375"/>
      <c r="AR492" s="375"/>
      <c r="AS492" s="375"/>
      <c r="AT492" s="375"/>
      <c r="AU492" s="375"/>
      <c r="AV492" s="376"/>
    </row>
    <row r="493" spans="1:48" ht="43.2" hidden="1">
      <c r="A493" s="421" t="s">
        <v>1762</v>
      </c>
      <c r="B493" s="422" t="s">
        <v>1763</v>
      </c>
      <c r="C493" s="422"/>
      <c r="D493" s="423" t="s">
        <v>306</v>
      </c>
      <c r="E493" s="407" t="s">
        <v>303</v>
      </c>
      <c r="F493" s="417">
        <v>2023</v>
      </c>
      <c r="G493" s="406">
        <v>2023</v>
      </c>
      <c r="H493" s="435">
        <v>2023</v>
      </c>
      <c r="I493" s="408"/>
      <c r="J493" s="409"/>
      <c r="K493" s="409"/>
      <c r="L493" s="409"/>
      <c r="M493" s="409"/>
      <c r="N493" s="408" t="s">
        <v>443</v>
      </c>
      <c r="O493" s="409"/>
      <c r="P493" s="409"/>
      <c r="Q493" s="409"/>
      <c r="R493" s="409"/>
      <c r="S493" s="408" t="s">
        <v>17</v>
      </c>
      <c r="T493" s="409" t="s">
        <v>353</v>
      </c>
      <c r="U493" s="409"/>
      <c r="V493" s="408"/>
      <c r="W493" s="408"/>
      <c r="X493" s="408" t="s">
        <v>39</v>
      </c>
      <c r="Y493" s="409" t="s">
        <v>353</v>
      </c>
      <c r="Z493" s="409"/>
      <c r="AA493" s="408"/>
      <c r="AB493" s="408"/>
      <c r="AC493" s="408"/>
      <c r="AD493" s="409"/>
      <c r="AE493" s="409"/>
      <c r="AF493" s="408"/>
      <c r="AG493" s="408"/>
      <c r="AH493" s="408"/>
      <c r="AI493" s="409"/>
      <c r="AJ493" s="409"/>
      <c r="AK493" s="408"/>
      <c r="AL493" s="408"/>
      <c r="AM493" s="408"/>
      <c r="AN493" s="408"/>
      <c r="AO493" s="409"/>
      <c r="AP493" s="408"/>
      <c r="AQ493" s="408"/>
      <c r="AR493" s="408"/>
      <c r="AS493" s="408"/>
      <c r="AT493" s="408"/>
      <c r="AU493" s="408"/>
      <c r="AV493" s="410"/>
    </row>
    <row r="494" spans="1:48" ht="28.8" hidden="1">
      <c r="A494" s="424" t="s">
        <v>2263</v>
      </c>
      <c r="B494" s="422" t="s">
        <v>1682</v>
      </c>
      <c r="C494" s="422"/>
      <c r="D494" s="423" t="s">
        <v>321</v>
      </c>
      <c r="E494" s="407" t="s">
        <v>303</v>
      </c>
      <c r="F494" s="417">
        <v>2023</v>
      </c>
      <c r="G494" s="406">
        <v>2023</v>
      </c>
      <c r="H494" s="435">
        <v>2023</v>
      </c>
      <c r="I494" s="408"/>
      <c r="J494" s="409"/>
      <c r="K494" s="409"/>
      <c r="L494" s="409"/>
      <c r="M494" s="409"/>
      <c r="N494" s="408" t="s">
        <v>39</v>
      </c>
      <c r="O494" s="409" t="s">
        <v>353</v>
      </c>
      <c r="P494" s="409"/>
      <c r="Q494" s="409"/>
      <c r="R494" s="409"/>
      <c r="S494" s="408" t="s">
        <v>35</v>
      </c>
      <c r="T494" s="409" t="s">
        <v>353</v>
      </c>
      <c r="U494" s="409"/>
      <c r="V494" s="408"/>
      <c r="W494" s="408"/>
      <c r="X494" s="408" t="s">
        <v>188</v>
      </c>
      <c r="Y494" s="409" t="s">
        <v>353</v>
      </c>
      <c r="Z494" s="409"/>
      <c r="AA494" s="408"/>
      <c r="AB494" s="408"/>
      <c r="AC494" s="408" t="s">
        <v>1376</v>
      </c>
      <c r="AD494" s="409"/>
      <c r="AE494" s="409"/>
      <c r="AF494" s="408"/>
      <c r="AG494" s="408"/>
      <c r="AH494" s="408" t="s">
        <v>2264</v>
      </c>
      <c r="AI494" s="409"/>
      <c r="AJ494" s="409"/>
      <c r="AK494" s="408"/>
      <c r="AL494" s="408"/>
      <c r="AM494" s="408" t="s">
        <v>1767</v>
      </c>
      <c r="AN494" s="408"/>
      <c r="AO494" s="409"/>
      <c r="AP494" s="408"/>
      <c r="AQ494" s="408"/>
      <c r="AR494" s="408"/>
      <c r="AS494" s="408"/>
      <c r="AT494" s="408"/>
      <c r="AU494" s="408"/>
      <c r="AV494" s="410"/>
    </row>
    <row r="495" spans="1:48" ht="28.8" hidden="1">
      <c r="A495" s="421" t="s">
        <v>2265</v>
      </c>
      <c r="B495" s="422" t="s">
        <v>1749</v>
      </c>
      <c r="C495" s="422"/>
      <c r="D495" s="423" t="s">
        <v>328</v>
      </c>
      <c r="E495" s="407"/>
      <c r="F495" s="417">
        <v>2023</v>
      </c>
      <c r="G495" s="406">
        <v>2023</v>
      </c>
      <c r="H495" s="435">
        <v>2023</v>
      </c>
      <c r="I495" s="408"/>
      <c r="J495" s="409"/>
      <c r="K495" s="409"/>
      <c r="L495" s="409"/>
      <c r="M495" s="409"/>
      <c r="N495" s="408" t="s">
        <v>2266</v>
      </c>
      <c r="O495" s="409" t="s">
        <v>353</v>
      </c>
      <c r="P495" s="409"/>
      <c r="Q495" s="409"/>
      <c r="R495" s="409"/>
      <c r="S495" s="408" t="s">
        <v>17</v>
      </c>
      <c r="T495" s="409" t="s">
        <v>353</v>
      </c>
      <c r="U495" s="409"/>
      <c r="V495" s="408"/>
      <c r="W495" s="408"/>
      <c r="X495" s="408" t="s">
        <v>39</v>
      </c>
      <c r="Y495" s="409" t="s">
        <v>353</v>
      </c>
      <c r="Z495" s="409"/>
      <c r="AA495" s="408"/>
      <c r="AB495" s="408"/>
      <c r="AC495" s="408"/>
      <c r="AD495" s="409"/>
      <c r="AE495" s="409"/>
      <c r="AF495" s="408"/>
      <c r="AG495" s="408"/>
      <c r="AH495" s="408"/>
      <c r="AI495" s="409"/>
      <c r="AJ495" s="409"/>
      <c r="AK495" s="408"/>
      <c r="AL495" s="408"/>
      <c r="AM495" s="408"/>
      <c r="AN495" s="408"/>
      <c r="AO495" s="409"/>
      <c r="AP495" s="408"/>
      <c r="AQ495" s="408"/>
      <c r="AR495" s="408"/>
      <c r="AS495" s="408"/>
      <c r="AT495" s="408"/>
      <c r="AU495" s="408"/>
      <c r="AV495" s="410"/>
    </row>
    <row r="496" spans="1:48" ht="28.8" hidden="1">
      <c r="A496" s="421" t="s">
        <v>2267</v>
      </c>
      <c r="B496" s="422" t="s">
        <v>1682</v>
      </c>
      <c r="C496" s="422"/>
      <c r="D496" s="423" t="s">
        <v>321</v>
      </c>
      <c r="E496" s="407" t="s">
        <v>303</v>
      </c>
      <c r="F496" s="417">
        <v>2023</v>
      </c>
      <c r="G496" s="406">
        <v>2023</v>
      </c>
      <c r="H496" s="435">
        <v>2023</v>
      </c>
      <c r="I496" s="408"/>
      <c r="J496" s="409"/>
      <c r="K496" s="409"/>
      <c r="L496" s="409"/>
      <c r="M496" s="409"/>
      <c r="N496" s="408" t="s">
        <v>39</v>
      </c>
      <c r="O496" s="409" t="s">
        <v>353</v>
      </c>
      <c r="P496" s="409"/>
      <c r="Q496" s="409"/>
      <c r="R496" s="409"/>
      <c r="S496" s="408" t="s">
        <v>35</v>
      </c>
      <c r="T496" s="409" t="s">
        <v>353</v>
      </c>
      <c r="U496" s="409"/>
      <c r="V496" s="408"/>
      <c r="W496" s="408"/>
      <c r="X496" s="408" t="s">
        <v>188</v>
      </c>
      <c r="Y496" s="409" t="s">
        <v>353</v>
      </c>
      <c r="Z496" s="409"/>
      <c r="AA496" s="408"/>
      <c r="AB496" s="408"/>
      <c r="AC496" s="408"/>
      <c r="AD496" s="409"/>
      <c r="AE496" s="409"/>
      <c r="AF496" s="408"/>
      <c r="AG496" s="408"/>
      <c r="AH496" s="408"/>
      <c r="AI496" s="409"/>
      <c r="AJ496" s="409"/>
      <c r="AK496" s="408"/>
      <c r="AL496" s="408"/>
      <c r="AM496" s="408"/>
      <c r="AN496" s="408"/>
      <c r="AO496" s="409"/>
      <c r="AP496" s="408"/>
      <c r="AQ496" s="408"/>
      <c r="AR496" s="408"/>
      <c r="AS496" s="408"/>
      <c r="AT496" s="408"/>
      <c r="AU496" s="408"/>
      <c r="AV496" s="410"/>
    </row>
    <row r="497" spans="1:48" ht="28.8">
      <c r="A497" s="421" t="s">
        <v>2268</v>
      </c>
      <c r="B497" s="422" t="s">
        <v>2269</v>
      </c>
      <c r="C497" s="422" t="s">
        <v>2270</v>
      </c>
      <c r="D497" s="423" t="s">
        <v>302</v>
      </c>
      <c r="E497" s="407" t="s">
        <v>303</v>
      </c>
      <c r="F497" s="406">
        <v>2024</v>
      </c>
      <c r="G497" s="406">
        <v>2024</v>
      </c>
      <c r="H497" s="436">
        <v>2024</v>
      </c>
      <c r="I497" s="408" t="s">
        <v>178</v>
      </c>
      <c r="J497" s="544">
        <v>6802117</v>
      </c>
      <c r="K497" s="536" t="s">
        <v>978</v>
      </c>
      <c r="L497" s="409" t="s">
        <v>353</v>
      </c>
      <c r="M497" s="409" t="s">
        <v>2271</v>
      </c>
      <c r="N497" s="422" t="s">
        <v>178</v>
      </c>
      <c r="O497" s="409" t="s">
        <v>353</v>
      </c>
      <c r="P497" s="409" t="s">
        <v>2271</v>
      </c>
      <c r="Q497" s="544">
        <v>6802117</v>
      </c>
      <c r="R497" s="536" t="s">
        <v>978</v>
      </c>
      <c r="S497" s="408" t="s">
        <v>30</v>
      </c>
      <c r="T497" s="409" t="s">
        <v>353</v>
      </c>
      <c r="U497" s="409" t="s">
        <v>2271</v>
      </c>
      <c r="V497" s="408">
        <v>6680623</v>
      </c>
      <c r="W497" s="537" t="s">
        <v>1841</v>
      </c>
      <c r="X497" s="408" t="s">
        <v>18</v>
      </c>
      <c r="Y497" s="409" t="s">
        <v>449</v>
      </c>
      <c r="Z497" s="409" t="s">
        <v>2271</v>
      </c>
      <c r="AA497" s="408">
        <v>6680633</v>
      </c>
      <c r="AB497" s="537" t="s">
        <v>1703</v>
      </c>
      <c r="AC497" s="408" t="s">
        <v>2272</v>
      </c>
      <c r="AD497" s="409"/>
      <c r="AE497" s="409"/>
      <c r="AF497" s="408"/>
      <c r="AG497" s="408"/>
      <c r="AH497" s="408" t="s">
        <v>2272</v>
      </c>
      <c r="AI497" s="409"/>
      <c r="AJ497" s="409"/>
      <c r="AK497" s="408"/>
      <c r="AL497" s="408"/>
      <c r="AM497" s="408"/>
      <c r="AN497" s="408"/>
      <c r="AO497" s="409"/>
      <c r="AP497" s="408"/>
      <c r="AQ497" s="408"/>
      <c r="AR497" s="408"/>
      <c r="AS497" s="408"/>
      <c r="AT497" s="408"/>
      <c r="AU497" s="408"/>
      <c r="AV497" s="410"/>
    </row>
    <row r="498" spans="1:48" ht="28.8">
      <c r="A498" s="421" t="s">
        <v>2273</v>
      </c>
      <c r="B498" s="422" t="s">
        <v>2274</v>
      </c>
      <c r="C498" s="422" t="s">
        <v>2275</v>
      </c>
      <c r="D498" s="423" t="s">
        <v>321</v>
      </c>
      <c r="E498" s="407" t="s">
        <v>303</v>
      </c>
      <c r="F498" s="406">
        <v>2024</v>
      </c>
      <c r="G498" s="406">
        <v>2024</v>
      </c>
      <c r="H498" s="436">
        <v>2024</v>
      </c>
      <c r="I498" s="408"/>
      <c r="J498" s="409"/>
      <c r="K498" s="409"/>
      <c r="L498" s="409"/>
      <c r="M498" s="409"/>
      <c r="N498" s="408" t="s">
        <v>114</v>
      </c>
      <c r="O498" s="409" t="s">
        <v>449</v>
      </c>
      <c r="P498" s="409" t="s">
        <v>2271</v>
      </c>
      <c r="Q498" s="409">
        <v>6826727</v>
      </c>
      <c r="R498" s="536" t="s">
        <v>2276</v>
      </c>
      <c r="S498" s="408" t="s">
        <v>2277</v>
      </c>
      <c r="T498" s="409"/>
      <c r="U498" s="409"/>
      <c r="V498" s="408"/>
      <c r="W498" s="408"/>
      <c r="X498" s="408" t="s">
        <v>30</v>
      </c>
      <c r="Y498" s="409" t="s">
        <v>353</v>
      </c>
      <c r="Z498" s="409" t="s">
        <v>2271</v>
      </c>
      <c r="AA498" s="408">
        <v>6680623</v>
      </c>
      <c r="AB498" s="537" t="s">
        <v>1841</v>
      </c>
      <c r="AC498" s="408" t="s">
        <v>2278</v>
      </c>
      <c r="AD498" s="409" t="s">
        <v>449</v>
      </c>
      <c r="AE498" s="409" t="s">
        <v>2271</v>
      </c>
      <c r="AF498" s="408"/>
      <c r="AG498" s="408">
        <v>1202200014</v>
      </c>
      <c r="AH498" s="408" t="s">
        <v>2279</v>
      </c>
      <c r="AI498" s="409" t="s">
        <v>449</v>
      </c>
      <c r="AJ498" s="409" t="s">
        <v>2271</v>
      </c>
      <c r="AK498" s="408"/>
      <c r="AL498" s="408">
        <v>1202191064</v>
      </c>
      <c r="AM498" s="408" t="s">
        <v>2280</v>
      </c>
      <c r="AN498" s="408" t="s">
        <v>449</v>
      </c>
      <c r="AO498" s="409" t="s">
        <v>2271</v>
      </c>
      <c r="AP498" s="408"/>
      <c r="AQ498" s="408">
        <v>1202210474</v>
      </c>
      <c r="AR498" s="408"/>
      <c r="AS498" s="408"/>
      <c r="AT498" s="408"/>
      <c r="AU498" s="408"/>
      <c r="AV498" s="410"/>
    </row>
    <row r="499" spans="1:48" ht="28.8">
      <c r="A499" s="421" t="s">
        <v>2281</v>
      </c>
      <c r="B499" s="422" t="s">
        <v>2282</v>
      </c>
      <c r="C499" s="422" t="s">
        <v>2270</v>
      </c>
      <c r="D499" s="423" t="s">
        <v>374</v>
      </c>
      <c r="E499" s="407" t="s">
        <v>303</v>
      </c>
      <c r="F499" s="406">
        <v>2024</v>
      </c>
      <c r="G499" s="406">
        <v>2024</v>
      </c>
      <c r="H499" s="436">
        <v>2024</v>
      </c>
      <c r="I499" s="408"/>
      <c r="J499" s="409"/>
      <c r="K499" s="409"/>
      <c r="L499" s="409"/>
      <c r="M499" s="409"/>
      <c r="N499" s="408" t="s">
        <v>2283</v>
      </c>
      <c r="O499" s="409" t="s">
        <v>449</v>
      </c>
      <c r="P499" s="409" t="s">
        <v>2271</v>
      </c>
      <c r="Q499" s="409"/>
      <c r="R499" s="409">
        <v>1202200093</v>
      </c>
      <c r="S499" s="408" t="s">
        <v>89</v>
      </c>
      <c r="T499" s="409" t="s">
        <v>162</v>
      </c>
      <c r="U499" s="409" t="s">
        <v>2271</v>
      </c>
      <c r="V499" s="408">
        <v>6680628</v>
      </c>
      <c r="W499" s="537" t="s">
        <v>1007</v>
      </c>
      <c r="X499" s="408" t="s">
        <v>186</v>
      </c>
      <c r="Y499" s="409" t="s">
        <v>449</v>
      </c>
      <c r="Z499" s="409" t="s">
        <v>2271</v>
      </c>
      <c r="AA499" s="408">
        <v>6825598</v>
      </c>
      <c r="AB499" s="537" t="s">
        <v>1774</v>
      </c>
      <c r="AC499" s="408"/>
      <c r="AD499" s="409"/>
      <c r="AE499" s="409"/>
      <c r="AF499" s="408"/>
      <c r="AG499" s="408"/>
      <c r="AH499" s="408"/>
      <c r="AI499" s="409"/>
      <c r="AJ499" s="409"/>
      <c r="AK499" s="408"/>
      <c r="AL499" s="408"/>
      <c r="AM499" s="408"/>
      <c r="AN499" s="408"/>
      <c r="AO499" s="409"/>
      <c r="AP499" s="408"/>
      <c r="AQ499" s="408"/>
      <c r="AR499" s="408"/>
      <c r="AS499" s="408"/>
      <c r="AT499" s="408"/>
      <c r="AU499" s="408"/>
      <c r="AV499" s="410"/>
    </row>
    <row r="500" spans="1:48" ht="28.8">
      <c r="A500" s="421" t="s">
        <v>2284</v>
      </c>
      <c r="B500" s="422" t="s">
        <v>946</v>
      </c>
      <c r="C500" s="422" t="s">
        <v>2275</v>
      </c>
      <c r="D500" s="423" t="s">
        <v>277</v>
      </c>
      <c r="E500" s="407" t="s">
        <v>942</v>
      </c>
      <c r="F500" s="406">
        <v>2024</v>
      </c>
      <c r="G500" s="406">
        <v>2024</v>
      </c>
      <c r="H500" s="436">
        <v>2024</v>
      </c>
      <c r="I500" s="408"/>
      <c r="J500" s="409"/>
      <c r="K500" s="409"/>
      <c r="L500" s="409"/>
      <c r="M500" s="409"/>
      <c r="N500" s="408" t="s">
        <v>18</v>
      </c>
      <c r="O500" s="409" t="s">
        <v>449</v>
      </c>
      <c r="P500" s="409" t="s">
        <v>2271</v>
      </c>
      <c r="Q500" s="408">
        <v>6680633</v>
      </c>
      <c r="R500" s="537" t="s">
        <v>1703</v>
      </c>
      <c r="S500" s="408" t="s">
        <v>20</v>
      </c>
      <c r="T500" s="409" t="s">
        <v>449</v>
      </c>
      <c r="U500" s="409" t="s">
        <v>2271</v>
      </c>
      <c r="V500" s="408">
        <v>6682174</v>
      </c>
      <c r="W500" s="537" t="s">
        <v>2285</v>
      </c>
      <c r="X500" s="408"/>
      <c r="Y500" s="409"/>
      <c r="Z500" s="409"/>
      <c r="AA500" s="408"/>
      <c r="AB500" s="408"/>
      <c r="AC500" s="408"/>
      <c r="AD500" s="409"/>
      <c r="AE500" s="409"/>
      <c r="AF500" s="408"/>
      <c r="AG500" s="408"/>
      <c r="AH500" s="408"/>
      <c r="AI500" s="409"/>
      <c r="AJ500" s="409"/>
      <c r="AK500" s="408"/>
      <c r="AL500" s="408"/>
      <c r="AM500" s="408"/>
      <c r="AN500" s="408"/>
      <c r="AO500" s="409"/>
      <c r="AP500" s="408"/>
      <c r="AQ500" s="408"/>
      <c r="AR500" s="408"/>
      <c r="AS500" s="408"/>
      <c r="AT500" s="408"/>
      <c r="AU500" s="408"/>
      <c r="AV500" s="410"/>
    </row>
    <row r="501" spans="1:48" ht="28.8">
      <c r="A501" s="421" t="s">
        <v>2286</v>
      </c>
      <c r="B501" s="422" t="s">
        <v>1682</v>
      </c>
      <c r="C501" s="422" t="s">
        <v>2270</v>
      </c>
      <c r="D501" s="423" t="s">
        <v>321</v>
      </c>
      <c r="E501" s="407" t="s">
        <v>303</v>
      </c>
      <c r="F501" s="406">
        <v>2024</v>
      </c>
      <c r="G501" s="406">
        <v>2024</v>
      </c>
      <c r="H501" s="436">
        <v>2024</v>
      </c>
      <c r="I501" s="408"/>
      <c r="J501" s="409"/>
      <c r="K501" s="409"/>
      <c r="L501" s="409"/>
      <c r="M501" s="409"/>
      <c r="N501" s="408" t="s">
        <v>2287</v>
      </c>
      <c r="O501" s="409" t="s">
        <v>449</v>
      </c>
      <c r="P501" s="409" t="s">
        <v>2271</v>
      </c>
      <c r="Q501" s="409"/>
      <c r="R501" s="409">
        <v>1202202056</v>
      </c>
      <c r="S501" s="408" t="s">
        <v>48</v>
      </c>
      <c r="T501" s="409" t="s">
        <v>449</v>
      </c>
      <c r="U501" s="409" t="s">
        <v>2271</v>
      </c>
      <c r="V501" s="408">
        <v>6681205</v>
      </c>
      <c r="W501" s="537" t="s">
        <v>1705</v>
      </c>
      <c r="X501" s="408" t="s">
        <v>15</v>
      </c>
      <c r="Y501" s="409" t="s">
        <v>449</v>
      </c>
      <c r="Z501" s="409" t="s">
        <v>2271</v>
      </c>
      <c r="AA501" s="408">
        <v>6680664</v>
      </c>
      <c r="AB501" s="537" t="s">
        <v>2288</v>
      </c>
      <c r="AC501" s="408"/>
      <c r="AD501" s="409"/>
      <c r="AE501" s="409"/>
      <c r="AF501" s="408"/>
      <c r="AG501" s="408"/>
      <c r="AH501" s="408"/>
      <c r="AI501" s="409"/>
      <c r="AJ501" s="409"/>
      <c r="AK501" s="408"/>
      <c r="AL501" s="408"/>
      <c r="AM501" s="408"/>
      <c r="AN501" s="408"/>
      <c r="AO501" s="409"/>
      <c r="AP501" s="408"/>
      <c r="AQ501" s="408"/>
      <c r="AR501" s="408"/>
      <c r="AS501" s="408"/>
      <c r="AT501" s="408"/>
      <c r="AU501" s="408"/>
      <c r="AV501" s="410"/>
    </row>
    <row r="502" spans="1:48" ht="28.8" hidden="1">
      <c r="A502" s="421" t="s">
        <v>2289</v>
      </c>
      <c r="B502" s="422" t="s">
        <v>2274</v>
      </c>
      <c r="C502" s="422"/>
      <c r="D502" s="423" t="s">
        <v>321</v>
      </c>
      <c r="E502" s="407" t="s">
        <v>303</v>
      </c>
      <c r="F502" s="406">
        <v>2024</v>
      </c>
      <c r="G502" s="406">
        <v>2024</v>
      </c>
      <c r="H502" s="436">
        <v>2024</v>
      </c>
      <c r="I502" s="408"/>
      <c r="J502" s="409"/>
      <c r="K502" s="409"/>
      <c r="L502" s="409"/>
      <c r="M502" s="409"/>
      <c r="N502" s="408" t="s">
        <v>186</v>
      </c>
      <c r="O502" s="409" t="s">
        <v>449</v>
      </c>
      <c r="P502" s="409" t="s">
        <v>2271</v>
      </c>
      <c r="Q502" s="408">
        <v>6825598</v>
      </c>
      <c r="R502" s="537" t="s">
        <v>1774</v>
      </c>
      <c r="S502" s="408" t="s">
        <v>48</v>
      </c>
      <c r="T502" s="409" t="s">
        <v>449</v>
      </c>
      <c r="U502" s="409" t="s">
        <v>2271</v>
      </c>
      <c r="V502" s="408">
        <v>6681205</v>
      </c>
      <c r="W502" s="537" t="s">
        <v>1705</v>
      </c>
      <c r="X502" s="408"/>
      <c r="Y502" s="409"/>
      <c r="Z502" s="409"/>
      <c r="AA502" s="408"/>
      <c r="AB502" s="408"/>
      <c r="AC502" s="408"/>
      <c r="AD502" s="409"/>
      <c r="AE502" s="409"/>
      <c r="AF502" s="408"/>
      <c r="AG502" s="408"/>
      <c r="AH502" s="408"/>
      <c r="AI502" s="409"/>
      <c r="AJ502" s="409"/>
      <c r="AK502" s="408"/>
      <c r="AL502" s="408"/>
      <c r="AM502" s="408"/>
      <c r="AN502" s="408"/>
      <c r="AO502" s="409"/>
      <c r="AP502" s="408"/>
      <c r="AQ502" s="408"/>
      <c r="AR502" s="408"/>
      <c r="AS502" s="408"/>
      <c r="AT502" s="408"/>
      <c r="AU502" s="408"/>
      <c r="AV502" s="410"/>
    </row>
    <row r="503" spans="1:48" ht="28.8">
      <c r="A503" s="421" t="s">
        <v>2290</v>
      </c>
      <c r="B503" s="422" t="s">
        <v>946</v>
      </c>
      <c r="C503" s="422" t="s">
        <v>2275</v>
      </c>
      <c r="D503" s="423" t="s">
        <v>502</v>
      </c>
      <c r="E503" s="423" t="s">
        <v>1122</v>
      </c>
      <c r="F503" s="406">
        <v>2024</v>
      </c>
      <c r="G503" s="406">
        <v>2024</v>
      </c>
      <c r="H503" s="436">
        <v>2024</v>
      </c>
      <c r="I503" s="408"/>
      <c r="J503" s="409"/>
      <c r="K503" s="409"/>
      <c r="L503" s="409"/>
      <c r="M503" s="409"/>
      <c r="N503" s="408" t="s">
        <v>18</v>
      </c>
      <c r="O503" s="409" t="s">
        <v>449</v>
      </c>
      <c r="P503" s="409" t="s">
        <v>2271</v>
      </c>
      <c r="Q503" s="408">
        <v>6680633</v>
      </c>
      <c r="R503" s="537" t="s">
        <v>1703</v>
      </c>
      <c r="S503" s="408"/>
      <c r="T503" s="409"/>
      <c r="U503" s="409"/>
      <c r="V503" s="408"/>
      <c r="W503" s="408"/>
      <c r="X503" s="408"/>
      <c r="Y503" s="409"/>
      <c r="Z503" s="409"/>
      <c r="AA503" s="408"/>
      <c r="AB503" s="408"/>
      <c r="AC503" s="408"/>
      <c r="AD503" s="409"/>
      <c r="AE503" s="409"/>
      <c r="AF503" s="408"/>
      <c r="AG503" s="408"/>
      <c r="AH503" s="408"/>
      <c r="AI503" s="409"/>
      <c r="AJ503" s="409"/>
      <c r="AK503" s="408"/>
      <c r="AL503" s="408"/>
      <c r="AM503" s="408"/>
      <c r="AN503" s="408"/>
      <c r="AO503" s="409"/>
      <c r="AP503" s="408"/>
      <c r="AQ503" s="408"/>
      <c r="AR503" s="408"/>
      <c r="AS503" s="408"/>
      <c r="AT503" s="408"/>
      <c r="AU503" s="408"/>
      <c r="AV503" s="410"/>
    </row>
    <row r="504" spans="1:48" ht="43.2" hidden="1">
      <c r="A504" s="421" t="s">
        <v>2291</v>
      </c>
      <c r="B504" s="422" t="s">
        <v>2234</v>
      </c>
      <c r="C504" s="422"/>
      <c r="D504" s="423" t="s">
        <v>528</v>
      </c>
      <c r="E504" s="423" t="s">
        <v>1122</v>
      </c>
      <c r="F504" s="406">
        <v>2024</v>
      </c>
      <c r="G504" s="406">
        <v>2024</v>
      </c>
      <c r="H504" s="436">
        <v>2024</v>
      </c>
      <c r="I504" s="408"/>
      <c r="J504" s="409"/>
      <c r="K504" s="409"/>
      <c r="L504" s="409"/>
      <c r="M504" s="409"/>
      <c r="N504" s="408" t="s">
        <v>163</v>
      </c>
      <c r="O504" s="409" t="s">
        <v>449</v>
      </c>
      <c r="P504" s="409" t="s">
        <v>2271</v>
      </c>
      <c r="Q504" s="409">
        <v>6679083</v>
      </c>
      <c r="R504" s="536" t="s">
        <v>2292</v>
      </c>
      <c r="S504" s="408"/>
      <c r="T504" s="409"/>
      <c r="U504" s="409"/>
      <c r="V504" s="408"/>
      <c r="W504" s="408"/>
      <c r="X504" s="408"/>
      <c r="Y504" s="409"/>
      <c r="Z504" s="409"/>
      <c r="AA504" s="408"/>
      <c r="AB504" s="408"/>
      <c r="AC504" s="408"/>
      <c r="AD504" s="409"/>
      <c r="AE504" s="409"/>
      <c r="AF504" s="408"/>
      <c r="AG504" s="408"/>
      <c r="AH504" s="408"/>
      <c r="AI504" s="409"/>
      <c r="AJ504" s="409"/>
      <c r="AK504" s="408"/>
      <c r="AL504" s="408"/>
      <c r="AM504" s="408"/>
      <c r="AN504" s="408"/>
      <c r="AO504" s="409"/>
      <c r="AP504" s="408"/>
      <c r="AQ504" s="408"/>
      <c r="AR504" s="408"/>
      <c r="AS504" s="408"/>
      <c r="AT504" s="408"/>
      <c r="AU504" s="408"/>
      <c r="AV504" s="410"/>
    </row>
    <row r="505" spans="1:48" ht="28.8" hidden="1">
      <c r="A505" s="421" t="s">
        <v>2293</v>
      </c>
      <c r="B505" s="422" t="s">
        <v>1784</v>
      </c>
      <c r="C505" s="422"/>
      <c r="D505" s="423" t="s">
        <v>528</v>
      </c>
      <c r="E505" s="423" t="s">
        <v>1122</v>
      </c>
      <c r="F505" s="406">
        <v>2024</v>
      </c>
      <c r="G505" s="406">
        <v>2024</v>
      </c>
      <c r="H505" s="436">
        <v>2024</v>
      </c>
      <c r="I505" s="408"/>
      <c r="J505" s="409"/>
      <c r="K505" s="409"/>
      <c r="L505" s="409"/>
      <c r="M505" s="409"/>
      <c r="N505" s="408" t="s">
        <v>2294</v>
      </c>
      <c r="O505" s="409"/>
      <c r="P505" s="409" t="s">
        <v>2271</v>
      </c>
      <c r="Q505" s="409"/>
      <c r="R505" s="409"/>
      <c r="S505" s="408" t="s">
        <v>15</v>
      </c>
      <c r="T505" s="409" t="s">
        <v>449</v>
      </c>
      <c r="U505" s="409" t="s">
        <v>2271</v>
      </c>
      <c r="V505" s="408">
        <v>6680664</v>
      </c>
      <c r="W505" s="537" t="s">
        <v>2288</v>
      </c>
      <c r="X505" s="408"/>
      <c r="Y505" s="409"/>
      <c r="Z505" s="409"/>
      <c r="AA505" s="408"/>
      <c r="AB505" s="408"/>
      <c r="AC505" s="408"/>
      <c r="AD505" s="409"/>
      <c r="AE505" s="409"/>
      <c r="AF505" s="408"/>
      <c r="AG505" s="408"/>
      <c r="AH505" s="408"/>
      <c r="AI505" s="409"/>
      <c r="AJ505" s="409"/>
      <c r="AK505" s="408"/>
      <c r="AL505" s="408"/>
      <c r="AM505" s="408"/>
      <c r="AN505" s="408"/>
      <c r="AO505" s="409"/>
      <c r="AP505" s="408"/>
      <c r="AQ505" s="408"/>
      <c r="AR505" s="408"/>
      <c r="AS505" s="408"/>
      <c r="AT505" s="408"/>
      <c r="AU505" s="408"/>
      <c r="AV505" s="410"/>
    </row>
    <row r="506" spans="1:48" ht="43.2" hidden="1">
      <c r="A506" s="34" t="s">
        <v>2295</v>
      </c>
      <c r="B506" s="422" t="s">
        <v>2296</v>
      </c>
      <c r="C506" s="422"/>
      <c r="D506" s="423" t="s">
        <v>528</v>
      </c>
      <c r="E506" s="407" t="s">
        <v>1122</v>
      </c>
      <c r="F506" s="406">
        <v>2024</v>
      </c>
      <c r="G506" s="406">
        <v>2024</v>
      </c>
      <c r="H506" s="436">
        <v>2024</v>
      </c>
      <c r="I506" s="408"/>
      <c r="J506" s="409"/>
      <c r="K506" s="409"/>
      <c r="L506" s="409"/>
      <c r="M506" s="409"/>
      <c r="N506" s="408" t="s">
        <v>2297</v>
      </c>
      <c r="O506" s="409"/>
      <c r="P506" s="409"/>
      <c r="Q506" s="409"/>
      <c r="R506" s="409"/>
      <c r="S506" s="408" t="s">
        <v>2298</v>
      </c>
      <c r="T506" s="409"/>
      <c r="U506" s="409"/>
      <c r="V506" s="408"/>
      <c r="W506" s="408"/>
      <c r="X506" s="408" t="s">
        <v>2299</v>
      </c>
      <c r="Y506" s="409"/>
      <c r="Z506" s="409"/>
      <c r="AA506" s="408"/>
      <c r="AB506" s="408"/>
      <c r="AC506" s="408" t="s">
        <v>2300</v>
      </c>
      <c r="AD506" s="409"/>
      <c r="AE506" s="409"/>
      <c r="AF506" s="408"/>
      <c r="AG506" s="408"/>
      <c r="AH506" s="408" t="s">
        <v>30</v>
      </c>
      <c r="AI506" s="409" t="s">
        <v>353</v>
      </c>
      <c r="AJ506" s="409"/>
      <c r="AK506" s="408"/>
      <c r="AL506" s="408"/>
      <c r="AM506" s="408" t="s">
        <v>29</v>
      </c>
      <c r="AN506" s="409" t="s">
        <v>351</v>
      </c>
      <c r="AO506" s="409"/>
      <c r="AP506" s="408"/>
      <c r="AQ506" s="408"/>
      <c r="AR506" s="408" t="s">
        <v>2301</v>
      </c>
      <c r="AS506" s="408"/>
      <c r="AT506" s="408"/>
      <c r="AU506" s="408"/>
      <c r="AV506" s="410"/>
    </row>
    <row r="507" spans="1:48" ht="28.8" hidden="1">
      <c r="A507" s="424" t="s">
        <v>2302</v>
      </c>
      <c r="B507" s="422" t="s">
        <v>2213</v>
      </c>
      <c r="C507" s="422"/>
      <c r="D507" s="423" t="s">
        <v>302</v>
      </c>
      <c r="E507" s="407" t="s">
        <v>303</v>
      </c>
      <c r="F507" s="406">
        <v>2024</v>
      </c>
      <c r="G507" s="406">
        <v>2024</v>
      </c>
      <c r="H507" s="436">
        <v>2024</v>
      </c>
      <c r="I507" s="408"/>
      <c r="J507" s="409"/>
      <c r="K507" s="409"/>
      <c r="L507" s="409"/>
      <c r="M507" s="409"/>
      <c r="N507" s="408" t="s">
        <v>2303</v>
      </c>
      <c r="O507" s="409" t="s">
        <v>353</v>
      </c>
      <c r="P507" s="409" t="s">
        <v>2271</v>
      </c>
      <c r="Q507" s="409"/>
      <c r="R507" s="409">
        <v>104183030</v>
      </c>
      <c r="S507" s="408" t="s">
        <v>30</v>
      </c>
      <c r="T507" s="409" t="s">
        <v>353</v>
      </c>
      <c r="U507" s="409" t="s">
        <v>2271</v>
      </c>
      <c r="V507" s="408">
        <v>6680623</v>
      </c>
      <c r="W507" s="537" t="s">
        <v>1841</v>
      </c>
      <c r="X507" s="408"/>
      <c r="Y507" s="409"/>
      <c r="Z507" s="409"/>
      <c r="AA507" s="408"/>
      <c r="AB507" s="408"/>
      <c r="AC507" s="408"/>
      <c r="AD507" s="409"/>
      <c r="AE507" s="409"/>
      <c r="AF507" s="408"/>
      <c r="AG507" s="408"/>
      <c r="AH507" s="408"/>
      <c r="AI507" s="409"/>
      <c r="AJ507" s="409"/>
      <c r="AK507" s="408"/>
      <c r="AL507" s="408"/>
      <c r="AM507" s="408"/>
      <c r="AN507" s="408"/>
      <c r="AO507" s="409"/>
      <c r="AP507" s="408"/>
      <c r="AQ507" s="408"/>
      <c r="AR507" s="408"/>
      <c r="AS507" s="408"/>
      <c r="AT507" s="408"/>
      <c r="AU507" s="408"/>
      <c r="AV507" s="410"/>
    </row>
    <row r="508" spans="1:48" ht="43.2" hidden="1">
      <c r="A508" s="424" t="s">
        <v>1839</v>
      </c>
      <c r="B508" s="422" t="s">
        <v>1840</v>
      </c>
      <c r="C508" s="422"/>
      <c r="D508" s="423" t="s">
        <v>302</v>
      </c>
      <c r="E508" s="407" t="s">
        <v>303</v>
      </c>
      <c r="F508" s="406">
        <v>2024</v>
      </c>
      <c r="G508" s="406">
        <v>2024</v>
      </c>
      <c r="H508" s="436">
        <v>2024</v>
      </c>
      <c r="I508" s="408"/>
      <c r="J508" s="409"/>
      <c r="K508" s="409"/>
      <c r="L508" s="409"/>
      <c r="M508" s="409"/>
      <c r="N508" s="408" t="s">
        <v>412</v>
      </c>
      <c r="O508" s="409" t="s">
        <v>353</v>
      </c>
      <c r="P508" s="409" t="s">
        <v>2271</v>
      </c>
      <c r="Q508" s="409"/>
      <c r="R508" s="409">
        <v>1204190069</v>
      </c>
      <c r="S508" s="408" t="s">
        <v>30</v>
      </c>
      <c r="T508" s="409" t="s">
        <v>353</v>
      </c>
      <c r="U508" s="409" t="s">
        <v>2271</v>
      </c>
      <c r="V508" s="408">
        <v>6680623</v>
      </c>
      <c r="W508" s="537" t="s">
        <v>1841</v>
      </c>
      <c r="X508" s="408" t="s">
        <v>39</v>
      </c>
      <c r="Y508" s="409" t="s">
        <v>353</v>
      </c>
      <c r="Z508" s="409" t="s">
        <v>2271</v>
      </c>
      <c r="AA508" s="408">
        <v>6801883</v>
      </c>
      <c r="AB508" s="537" t="s">
        <v>1751</v>
      </c>
      <c r="AC508" s="408"/>
      <c r="AD508" s="409"/>
      <c r="AE508" s="409"/>
      <c r="AF508" s="408"/>
      <c r="AG508" s="408"/>
      <c r="AH508" s="408"/>
      <c r="AI508" s="409"/>
      <c r="AJ508" s="409"/>
      <c r="AK508" s="408"/>
      <c r="AL508" s="408"/>
      <c r="AM508" s="408"/>
      <c r="AN508" s="408"/>
      <c r="AO508" s="409"/>
      <c r="AP508" s="408"/>
      <c r="AQ508" s="408"/>
      <c r="AR508" s="408"/>
      <c r="AS508" s="408"/>
      <c r="AT508" s="408"/>
      <c r="AU508" s="408"/>
      <c r="AV508" s="410"/>
    </row>
    <row r="509" spans="1:48" ht="28.8" hidden="1">
      <c r="A509" s="424" t="s">
        <v>2304</v>
      </c>
      <c r="B509" s="422" t="s">
        <v>2305</v>
      </c>
      <c r="C509" s="422"/>
      <c r="D509" s="423" t="s">
        <v>321</v>
      </c>
      <c r="E509" s="407" t="s">
        <v>303</v>
      </c>
      <c r="F509" s="406">
        <v>2024</v>
      </c>
      <c r="G509" s="406">
        <v>2024</v>
      </c>
      <c r="H509" s="436">
        <v>2024</v>
      </c>
      <c r="I509" s="408"/>
      <c r="J509" s="409"/>
      <c r="K509" s="409"/>
      <c r="L509" s="409"/>
      <c r="M509" s="409"/>
      <c r="N509" s="408" t="s">
        <v>6</v>
      </c>
      <c r="O509" s="409" t="s">
        <v>351</v>
      </c>
      <c r="P509" s="409" t="s">
        <v>2271</v>
      </c>
      <c r="Q509" s="409">
        <v>6681051</v>
      </c>
      <c r="R509" s="536" t="s">
        <v>1657</v>
      </c>
      <c r="S509" s="408" t="s">
        <v>2306</v>
      </c>
      <c r="T509" s="409" t="s">
        <v>351</v>
      </c>
      <c r="U509" s="409" t="s">
        <v>2271</v>
      </c>
      <c r="V509" s="408"/>
      <c r="W509" s="408">
        <v>1203200046</v>
      </c>
      <c r="X509" s="408" t="s">
        <v>50</v>
      </c>
      <c r="Y509" s="409" t="s">
        <v>351</v>
      </c>
      <c r="Z509" s="409" t="s">
        <v>2271</v>
      </c>
      <c r="AA509" s="408">
        <v>6826739</v>
      </c>
      <c r="AB509" s="537" t="s">
        <v>2307</v>
      </c>
      <c r="AC509" s="408" t="s">
        <v>17</v>
      </c>
      <c r="AD509" s="409" t="s">
        <v>353</v>
      </c>
      <c r="AE509" s="409" t="s">
        <v>2271</v>
      </c>
      <c r="AF509" s="408" t="s">
        <v>2308</v>
      </c>
      <c r="AG509" s="537" t="s">
        <v>1036</v>
      </c>
      <c r="AH509" s="408"/>
      <c r="AI509" s="409"/>
      <c r="AJ509" s="409"/>
      <c r="AK509" s="408"/>
      <c r="AL509" s="408"/>
      <c r="AM509" s="408"/>
      <c r="AN509" s="408"/>
      <c r="AO509" s="409"/>
      <c r="AP509" s="408"/>
      <c r="AQ509" s="408"/>
      <c r="AR509" s="408"/>
      <c r="AS509" s="408"/>
      <c r="AT509" s="408"/>
      <c r="AU509" s="408"/>
      <c r="AV509" s="410"/>
    </row>
    <row r="510" spans="1:48" ht="28.8" hidden="1">
      <c r="A510" s="424" t="s">
        <v>2309</v>
      </c>
      <c r="B510" s="422" t="s">
        <v>2310</v>
      </c>
      <c r="C510" s="422"/>
      <c r="D510" s="423" t="s">
        <v>277</v>
      </c>
      <c r="E510" s="407" t="s">
        <v>303</v>
      </c>
      <c r="F510" s="406">
        <v>2024</v>
      </c>
      <c r="G510" s="406">
        <v>2024</v>
      </c>
      <c r="H510" s="436">
        <v>2024</v>
      </c>
      <c r="I510" s="408" t="s">
        <v>50</v>
      </c>
      <c r="J510" s="408">
        <v>6826739</v>
      </c>
      <c r="K510" s="537" t="s">
        <v>2307</v>
      </c>
      <c r="L510" s="409" t="s">
        <v>351</v>
      </c>
      <c r="M510" s="409" t="s">
        <v>2271</v>
      </c>
      <c r="N510" s="408" t="s">
        <v>6</v>
      </c>
      <c r="O510" s="409" t="s">
        <v>351</v>
      </c>
      <c r="P510" s="409" t="s">
        <v>2271</v>
      </c>
      <c r="Q510" s="409">
        <v>6681051</v>
      </c>
      <c r="R510" s="536" t="s">
        <v>1657</v>
      </c>
      <c r="S510" s="408" t="s">
        <v>17</v>
      </c>
      <c r="T510" s="409" t="s">
        <v>353</v>
      </c>
      <c r="U510" s="409" t="s">
        <v>2271</v>
      </c>
      <c r="V510" s="408" t="s">
        <v>2308</v>
      </c>
      <c r="W510" s="537" t="s">
        <v>1036</v>
      </c>
      <c r="X510" s="408" t="s">
        <v>2168</v>
      </c>
      <c r="Y510" s="409" t="s">
        <v>351</v>
      </c>
      <c r="Z510" s="409" t="s">
        <v>2271</v>
      </c>
      <c r="AA510" s="408"/>
      <c r="AB510" s="408">
        <v>1203200038</v>
      </c>
      <c r="AC510" s="408" t="s">
        <v>2311</v>
      </c>
      <c r="AD510" s="409" t="s">
        <v>351</v>
      </c>
      <c r="AE510" s="409" t="s">
        <v>2271</v>
      </c>
      <c r="AF510" s="408"/>
      <c r="AG510" s="408">
        <v>1203200114</v>
      </c>
      <c r="AH510" s="408" t="s">
        <v>2306</v>
      </c>
      <c r="AI510" s="409" t="s">
        <v>351</v>
      </c>
      <c r="AJ510" s="409" t="s">
        <v>2271</v>
      </c>
      <c r="AK510" s="408"/>
      <c r="AL510" s="408">
        <v>1203200046</v>
      </c>
      <c r="AM510" s="408"/>
      <c r="AN510" s="408"/>
      <c r="AO510" s="409"/>
      <c r="AP510" s="408"/>
      <c r="AQ510" s="408"/>
      <c r="AR510" s="408"/>
      <c r="AS510" s="408"/>
      <c r="AT510" s="408"/>
      <c r="AU510" s="408"/>
      <c r="AV510" s="410"/>
    </row>
    <row r="511" spans="1:48" ht="28.8">
      <c r="A511" s="421" t="s">
        <v>2312</v>
      </c>
      <c r="B511" s="422" t="s">
        <v>2006</v>
      </c>
      <c r="C511" s="422" t="s">
        <v>2275</v>
      </c>
      <c r="D511" s="423" t="s">
        <v>302</v>
      </c>
      <c r="E511" s="407" t="s">
        <v>303</v>
      </c>
      <c r="F511" s="406">
        <v>2024</v>
      </c>
      <c r="G511" s="406">
        <v>2024</v>
      </c>
      <c r="H511" s="436">
        <v>2024</v>
      </c>
      <c r="I511" s="408"/>
      <c r="J511" s="409"/>
      <c r="K511" s="409"/>
      <c r="L511" s="409"/>
      <c r="M511" s="409"/>
      <c r="N511" s="408" t="s">
        <v>2313</v>
      </c>
      <c r="O511" s="409" t="s">
        <v>353</v>
      </c>
      <c r="P511" s="409" t="s">
        <v>2271</v>
      </c>
      <c r="Q511" s="409"/>
      <c r="R511" s="409">
        <v>1204200213</v>
      </c>
      <c r="S511" s="408" t="s">
        <v>25</v>
      </c>
      <c r="T511" s="409" t="s">
        <v>353</v>
      </c>
      <c r="U511" s="409" t="s">
        <v>2271</v>
      </c>
      <c r="V511" s="408">
        <v>6764236</v>
      </c>
      <c r="W511" s="537" t="s">
        <v>1684</v>
      </c>
      <c r="X511" s="408" t="s">
        <v>37</v>
      </c>
      <c r="Y511" s="409" t="s">
        <v>353</v>
      </c>
      <c r="Z511" s="409" t="s">
        <v>2271</v>
      </c>
      <c r="AA511" s="408">
        <v>6835039</v>
      </c>
      <c r="AB511" s="537" t="s">
        <v>2009</v>
      </c>
      <c r="AC511" s="408"/>
      <c r="AD511" s="409"/>
      <c r="AE511" s="409"/>
      <c r="AF511" s="408"/>
      <c r="AG511" s="408"/>
      <c r="AH511" s="408"/>
      <c r="AI511" s="409"/>
      <c r="AJ511" s="409"/>
      <c r="AK511" s="408"/>
      <c r="AL511" s="408"/>
      <c r="AM511" s="408"/>
      <c r="AN511" s="408"/>
      <c r="AO511" s="409"/>
      <c r="AP511" s="408"/>
      <c r="AQ511" s="408"/>
      <c r="AR511" s="408"/>
      <c r="AS511" s="408"/>
      <c r="AT511" s="408"/>
      <c r="AU511" s="408"/>
      <c r="AV511" s="410"/>
    </row>
    <row r="512" spans="1:48" ht="43.2">
      <c r="A512" s="421" t="s">
        <v>2314</v>
      </c>
      <c r="B512" s="422" t="s">
        <v>2315</v>
      </c>
      <c r="C512" s="422" t="s">
        <v>2275</v>
      </c>
      <c r="D512" s="423" t="s">
        <v>321</v>
      </c>
      <c r="E512" s="407" t="s">
        <v>303</v>
      </c>
      <c r="F512" s="406">
        <v>2024</v>
      </c>
      <c r="G512" s="406">
        <v>2024</v>
      </c>
      <c r="H512" s="436">
        <v>2024</v>
      </c>
      <c r="I512" s="408"/>
      <c r="J512" s="409"/>
      <c r="K512" s="409"/>
      <c r="L512" s="409"/>
      <c r="M512" s="409"/>
      <c r="N512" s="408" t="s">
        <v>2316</v>
      </c>
      <c r="O512" s="409" t="s">
        <v>353</v>
      </c>
      <c r="P512" s="409" t="s">
        <v>2271</v>
      </c>
      <c r="Q512" s="409"/>
      <c r="R512" s="409">
        <v>1204200011</v>
      </c>
      <c r="S512" s="408" t="s">
        <v>25</v>
      </c>
      <c r="T512" s="409" t="s">
        <v>353</v>
      </c>
      <c r="U512" s="409" t="s">
        <v>2271</v>
      </c>
      <c r="V512" s="408">
        <v>6764236</v>
      </c>
      <c r="W512" s="537" t="s">
        <v>1684</v>
      </c>
      <c r="X512" s="408" t="s">
        <v>41</v>
      </c>
      <c r="Y512" s="409" t="s">
        <v>353</v>
      </c>
      <c r="Z512" s="409" t="s">
        <v>2271</v>
      </c>
      <c r="AA512" s="408">
        <v>6843087</v>
      </c>
      <c r="AB512" s="537" t="s">
        <v>2010</v>
      </c>
      <c r="AC512" s="408"/>
      <c r="AD512" s="409"/>
      <c r="AE512" s="409"/>
      <c r="AF512" s="408"/>
      <c r="AG512" s="408"/>
      <c r="AH512" s="408"/>
      <c r="AI512" s="409"/>
      <c r="AJ512" s="409"/>
      <c r="AK512" s="408"/>
      <c r="AL512" s="408"/>
      <c r="AM512" s="408"/>
      <c r="AN512" s="408"/>
      <c r="AO512" s="409"/>
      <c r="AP512" s="408"/>
      <c r="AQ512" s="408"/>
      <c r="AR512" s="408"/>
      <c r="AS512" s="408"/>
      <c r="AT512" s="408"/>
      <c r="AU512" s="408"/>
      <c r="AV512" s="410"/>
    </row>
    <row r="513" spans="1:48" ht="28.8" hidden="1">
      <c r="A513" s="2" t="s">
        <v>2317</v>
      </c>
      <c r="B513" s="422" t="s">
        <v>2318</v>
      </c>
      <c r="C513" s="422"/>
      <c r="D513" s="423" t="s">
        <v>313</v>
      </c>
      <c r="E513" s="407" t="s">
        <v>303</v>
      </c>
      <c r="F513" s="406">
        <v>2024</v>
      </c>
      <c r="G513" s="406">
        <v>2024</v>
      </c>
      <c r="H513" s="436">
        <v>2024</v>
      </c>
      <c r="I513" s="408"/>
      <c r="J513" s="409"/>
      <c r="K513" s="409"/>
      <c r="L513" s="409"/>
      <c r="M513" s="409"/>
      <c r="N513" s="408" t="s">
        <v>2319</v>
      </c>
      <c r="O513" s="409" t="s">
        <v>353</v>
      </c>
      <c r="P513" s="409" t="s">
        <v>2271</v>
      </c>
      <c r="Q513" s="409"/>
      <c r="R513" s="409">
        <v>1204200088</v>
      </c>
      <c r="S513" s="408" t="s">
        <v>25</v>
      </c>
      <c r="T513" s="409" t="s">
        <v>353</v>
      </c>
      <c r="U513" s="409" t="s">
        <v>2271</v>
      </c>
      <c r="V513" s="408">
        <v>6764236</v>
      </c>
      <c r="W513" s="537" t="s">
        <v>1684</v>
      </c>
      <c r="X513" s="408" t="s">
        <v>41</v>
      </c>
      <c r="Y513" s="409" t="s">
        <v>353</v>
      </c>
      <c r="Z513" s="409" t="s">
        <v>2271</v>
      </c>
      <c r="AA513" s="408">
        <v>6843087</v>
      </c>
      <c r="AB513" s="537" t="s">
        <v>2010</v>
      </c>
      <c r="AC513" s="408"/>
      <c r="AD513" s="409"/>
      <c r="AE513" s="409"/>
      <c r="AF513" s="408"/>
      <c r="AG513" s="408"/>
      <c r="AH513" s="408"/>
      <c r="AI513" s="409"/>
      <c r="AJ513" s="409"/>
      <c r="AK513" s="408"/>
      <c r="AL513" s="408"/>
      <c r="AM513" s="408"/>
      <c r="AN513" s="408"/>
      <c r="AO513" s="409"/>
      <c r="AP513" s="408"/>
      <c r="AQ513" s="408"/>
      <c r="AR513" s="408"/>
      <c r="AS513" s="408"/>
      <c r="AT513" s="408"/>
      <c r="AU513" s="408"/>
      <c r="AV513" s="410"/>
    </row>
    <row r="514" spans="1:48" ht="28.8" hidden="1">
      <c r="A514" s="404" t="s">
        <v>2320</v>
      </c>
      <c r="B514" s="425" t="s">
        <v>2321</v>
      </c>
      <c r="C514" s="425"/>
      <c r="D514" s="395" t="s">
        <v>1122</v>
      </c>
      <c r="E514" s="395" t="s">
        <v>1122</v>
      </c>
      <c r="F514" s="372">
        <v>2024</v>
      </c>
      <c r="G514" s="372">
        <v>2024</v>
      </c>
      <c r="H514" s="431">
        <v>2024</v>
      </c>
      <c r="I514" s="375"/>
      <c r="J514" s="374"/>
      <c r="K514" s="374"/>
      <c r="L514" s="374"/>
      <c r="M514" s="374"/>
      <c r="N514" s="375" t="s">
        <v>25</v>
      </c>
      <c r="O514" s="374" t="s">
        <v>353</v>
      </c>
      <c r="P514" s="409" t="s">
        <v>2271</v>
      </c>
      <c r="Q514" s="408">
        <v>6764236</v>
      </c>
      <c r="R514" s="537" t="s">
        <v>1684</v>
      </c>
      <c r="S514" s="375" t="s">
        <v>352</v>
      </c>
      <c r="T514" s="374" t="s">
        <v>353</v>
      </c>
      <c r="U514" s="409" t="s">
        <v>2271</v>
      </c>
      <c r="V514" s="375">
        <v>6744406</v>
      </c>
      <c r="W514" s="538" t="s">
        <v>985</v>
      </c>
      <c r="X514" s="375"/>
      <c r="Y514" s="374"/>
      <c r="Z514" s="374"/>
      <c r="AA514" s="375"/>
      <c r="AB514" s="375"/>
      <c r="AC514" s="375"/>
      <c r="AD514" s="374"/>
      <c r="AE514" s="374"/>
      <c r="AF514" s="375"/>
      <c r="AG514" s="375"/>
      <c r="AH514" s="375"/>
      <c r="AI514" s="374"/>
      <c r="AJ514" s="374"/>
      <c r="AK514" s="375"/>
      <c r="AL514" s="375"/>
      <c r="AM514" s="375"/>
      <c r="AN514" s="375"/>
      <c r="AO514" s="374"/>
      <c r="AP514" s="375"/>
      <c r="AQ514" s="375"/>
      <c r="AR514" s="375"/>
      <c r="AS514" s="375"/>
      <c r="AT514" s="375"/>
      <c r="AU514" s="375"/>
      <c r="AV514" s="376"/>
    </row>
    <row r="515" spans="1:48" ht="43.2" hidden="1">
      <c r="A515" s="404" t="s">
        <v>2322</v>
      </c>
      <c r="B515" s="425" t="s">
        <v>2323</v>
      </c>
      <c r="C515" s="425"/>
      <c r="D515" s="395" t="s">
        <v>502</v>
      </c>
      <c r="E515" s="395" t="s">
        <v>1122</v>
      </c>
      <c r="F515" s="372">
        <v>2024</v>
      </c>
      <c r="G515" s="372">
        <v>2024</v>
      </c>
      <c r="H515" s="431">
        <v>2024</v>
      </c>
      <c r="I515" s="375"/>
      <c r="J515" s="374"/>
      <c r="K515" s="374"/>
      <c r="L515" s="374"/>
      <c r="M515" s="374"/>
      <c r="N515" s="375" t="s">
        <v>2324</v>
      </c>
      <c r="O515" s="374" t="s">
        <v>353</v>
      </c>
      <c r="P515" s="409" t="s">
        <v>2271</v>
      </c>
      <c r="Q515" s="374">
        <v>6099359</v>
      </c>
      <c r="R515" s="539" t="s">
        <v>977</v>
      </c>
      <c r="S515" s="375"/>
      <c r="T515" s="374"/>
      <c r="U515" s="374"/>
      <c r="V515" s="375"/>
      <c r="W515" s="375"/>
      <c r="X515" s="375"/>
      <c r="Y515" s="374"/>
      <c r="Z515" s="374"/>
      <c r="AA515" s="375"/>
      <c r="AB515" s="375"/>
      <c r="AC515" s="375"/>
      <c r="AD515" s="374"/>
      <c r="AE515" s="374"/>
      <c r="AF515" s="375"/>
      <c r="AG515" s="375"/>
      <c r="AH515" s="375"/>
      <c r="AI515" s="374"/>
      <c r="AJ515" s="374"/>
      <c r="AK515" s="375"/>
      <c r="AL515" s="375"/>
      <c r="AM515" s="375"/>
      <c r="AN515" s="375"/>
      <c r="AO515" s="374"/>
      <c r="AP515" s="375"/>
      <c r="AQ515" s="375"/>
      <c r="AR515" s="375"/>
      <c r="AS515" s="375"/>
      <c r="AT515" s="375"/>
      <c r="AU515" s="375"/>
      <c r="AV515" s="376"/>
    </row>
    <row r="516" spans="1:48" ht="28.8" hidden="1">
      <c r="A516" s="404" t="s">
        <v>2325</v>
      </c>
      <c r="B516" s="425" t="s">
        <v>2326</v>
      </c>
      <c r="C516" s="425"/>
      <c r="D516" s="395" t="s">
        <v>2327</v>
      </c>
      <c r="E516" s="395" t="s">
        <v>2327</v>
      </c>
      <c r="F516" s="372">
        <v>2024</v>
      </c>
      <c r="G516" s="372">
        <v>2024</v>
      </c>
      <c r="H516" s="431">
        <v>2024</v>
      </c>
      <c r="I516" s="375"/>
      <c r="J516" s="374"/>
      <c r="K516" s="374"/>
      <c r="L516" s="374"/>
      <c r="M516" s="374"/>
      <c r="N516" s="375" t="s">
        <v>2324</v>
      </c>
      <c r="O516" s="374" t="s">
        <v>353</v>
      </c>
      <c r="P516" s="409" t="s">
        <v>2271</v>
      </c>
      <c r="Q516" s="374">
        <v>6099359</v>
      </c>
      <c r="R516" s="539" t="s">
        <v>977</v>
      </c>
      <c r="S516" s="375"/>
      <c r="T516" s="374"/>
      <c r="U516" s="374"/>
      <c r="V516" s="375"/>
      <c r="W516" s="375"/>
      <c r="X516" s="375"/>
      <c r="Y516" s="374"/>
      <c r="Z516" s="374"/>
      <c r="AA516" s="375"/>
      <c r="AB516" s="375"/>
      <c r="AC516" s="375"/>
      <c r="AD516" s="374"/>
      <c r="AE516" s="374"/>
      <c r="AF516" s="375"/>
      <c r="AG516" s="375"/>
      <c r="AH516" s="375"/>
      <c r="AI516" s="374"/>
      <c r="AJ516" s="374"/>
      <c r="AK516" s="375"/>
      <c r="AL516" s="375"/>
      <c r="AM516" s="375"/>
      <c r="AN516" s="375"/>
      <c r="AO516" s="374"/>
      <c r="AP516" s="375"/>
      <c r="AQ516" s="375"/>
      <c r="AR516" s="375"/>
      <c r="AS516" s="375"/>
      <c r="AT516" s="375"/>
      <c r="AU516" s="375"/>
      <c r="AV516" s="376"/>
    </row>
    <row r="517" spans="1:48" ht="43.2" hidden="1">
      <c r="A517" s="404" t="s">
        <v>2328</v>
      </c>
      <c r="B517" s="425" t="s">
        <v>2326</v>
      </c>
      <c r="C517" s="425"/>
      <c r="D517" s="395" t="s">
        <v>2327</v>
      </c>
      <c r="E517" s="395" t="s">
        <v>2327</v>
      </c>
      <c r="F517" s="372">
        <v>2024</v>
      </c>
      <c r="G517" s="372">
        <v>2024</v>
      </c>
      <c r="H517" s="431">
        <v>2024</v>
      </c>
      <c r="I517" s="375"/>
      <c r="J517" s="374"/>
      <c r="K517" s="374"/>
      <c r="L517" s="374"/>
      <c r="M517" s="374"/>
      <c r="N517" s="375" t="s">
        <v>2324</v>
      </c>
      <c r="O517" s="374" t="s">
        <v>353</v>
      </c>
      <c r="P517" s="409" t="s">
        <v>2271</v>
      </c>
      <c r="Q517" s="374">
        <v>6099359</v>
      </c>
      <c r="R517" s="539" t="s">
        <v>977</v>
      </c>
      <c r="S517" s="375"/>
      <c r="T517" s="374"/>
      <c r="U517" s="374"/>
      <c r="V517" s="375"/>
      <c r="W517" s="375"/>
      <c r="X517" s="375"/>
      <c r="Y517" s="374"/>
      <c r="Z517" s="374"/>
      <c r="AA517" s="375"/>
      <c r="AB517" s="375"/>
      <c r="AC517" s="375"/>
      <c r="AD517" s="374"/>
      <c r="AE517" s="374"/>
      <c r="AF517" s="375"/>
      <c r="AG517" s="375"/>
      <c r="AH517" s="375"/>
      <c r="AI517" s="374"/>
      <c r="AJ517" s="374"/>
      <c r="AK517" s="375"/>
      <c r="AL517" s="375"/>
      <c r="AM517" s="375"/>
      <c r="AN517" s="375"/>
      <c r="AO517" s="374"/>
      <c r="AP517" s="375"/>
      <c r="AQ517" s="375"/>
      <c r="AR517" s="375"/>
      <c r="AS517" s="375"/>
      <c r="AT517" s="375"/>
      <c r="AU517" s="375"/>
      <c r="AV517" s="376"/>
    </row>
    <row r="518" spans="1:48" ht="28.8" hidden="1">
      <c r="A518" s="404" t="s">
        <v>2329</v>
      </c>
      <c r="B518" s="425"/>
      <c r="C518" s="425"/>
      <c r="D518" s="395" t="s">
        <v>528</v>
      </c>
      <c r="E518" s="395" t="s">
        <v>1122</v>
      </c>
      <c r="F518" s="372">
        <v>2024</v>
      </c>
      <c r="G518" s="372">
        <v>2024</v>
      </c>
      <c r="H518" s="431">
        <v>2024</v>
      </c>
      <c r="I518" s="375"/>
      <c r="J518" s="374"/>
      <c r="K518" s="374"/>
      <c r="L518" s="374"/>
      <c r="M518" s="374"/>
      <c r="N518" s="375" t="s">
        <v>79</v>
      </c>
      <c r="O518" s="374" t="s">
        <v>809</v>
      </c>
      <c r="P518" s="409" t="s">
        <v>2271</v>
      </c>
      <c r="Q518" s="374" t="s">
        <v>2330</v>
      </c>
      <c r="R518" s="539" t="s">
        <v>947</v>
      </c>
      <c r="S518" s="375"/>
      <c r="T518" s="374"/>
      <c r="U518" s="374"/>
      <c r="V518" s="375"/>
      <c r="W518" s="375"/>
      <c r="X518" s="375"/>
      <c r="Y518" s="374"/>
      <c r="Z518" s="374"/>
      <c r="AA518" s="375"/>
      <c r="AB518" s="375"/>
      <c r="AC518" s="375"/>
      <c r="AD518" s="374"/>
      <c r="AE518" s="374"/>
      <c r="AF518" s="375"/>
      <c r="AG518" s="375"/>
      <c r="AH518" s="375"/>
      <c r="AI518" s="374"/>
      <c r="AJ518" s="374"/>
      <c r="AK518" s="375"/>
      <c r="AL518" s="375"/>
      <c r="AM518" s="375"/>
      <c r="AN518" s="375"/>
      <c r="AO518" s="374"/>
      <c r="AP518" s="375"/>
      <c r="AQ518" s="375"/>
      <c r="AR518" s="375"/>
      <c r="AS518" s="375"/>
      <c r="AT518" s="375"/>
      <c r="AU518" s="375"/>
      <c r="AV518" s="376"/>
    </row>
    <row r="519" spans="1:48" ht="72" hidden="1">
      <c r="A519" s="404" t="s">
        <v>2331</v>
      </c>
      <c r="B519" s="425" t="s">
        <v>2332</v>
      </c>
      <c r="C519" s="422"/>
      <c r="D519" s="423" t="s">
        <v>277</v>
      </c>
      <c r="E519" s="395" t="s">
        <v>1122</v>
      </c>
      <c r="F519" s="372">
        <v>2024</v>
      </c>
      <c r="G519" s="372">
        <v>2024</v>
      </c>
      <c r="H519" s="431">
        <v>2024</v>
      </c>
      <c r="I519" s="375"/>
      <c r="J519" s="374"/>
      <c r="K519" s="374"/>
      <c r="L519" s="374"/>
      <c r="M519" s="374"/>
      <c r="N519" s="375" t="s">
        <v>121</v>
      </c>
      <c r="O519" s="374" t="s">
        <v>620</v>
      </c>
      <c r="P519" s="409" t="s">
        <v>2271</v>
      </c>
      <c r="Q519" s="374">
        <v>6806664</v>
      </c>
      <c r="R519" s="539" t="s">
        <v>2333</v>
      </c>
      <c r="S519" s="375" t="s">
        <v>2334</v>
      </c>
      <c r="T519" s="374" t="s">
        <v>353</v>
      </c>
      <c r="U519" s="409" t="s">
        <v>2271</v>
      </c>
      <c r="V519" s="538" t="s">
        <v>1676</v>
      </c>
      <c r="W519" s="375">
        <v>6787771</v>
      </c>
      <c r="X519" s="375"/>
      <c r="Y519" s="374"/>
      <c r="Z519" s="374"/>
      <c r="AA519" s="375"/>
      <c r="AB519" s="375"/>
      <c r="AC519" s="375"/>
      <c r="AD519" s="374"/>
      <c r="AE519" s="374"/>
      <c r="AF519" s="375"/>
      <c r="AG519" s="375"/>
      <c r="AH519" s="375"/>
      <c r="AI519" s="374"/>
      <c r="AJ519" s="374"/>
      <c r="AK519" s="375"/>
      <c r="AL519" s="375"/>
      <c r="AM519" s="375"/>
      <c r="AN519" s="375"/>
      <c r="AO519" s="374"/>
      <c r="AP519" s="375"/>
      <c r="AQ519" s="375"/>
      <c r="AR519" s="375"/>
      <c r="AS519" s="375"/>
      <c r="AT519" s="375"/>
      <c r="AU519" s="375"/>
      <c r="AV519" s="376"/>
    </row>
    <row r="520" spans="1:48" ht="28.8" hidden="1">
      <c r="A520" s="404" t="s">
        <v>2335</v>
      </c>
      <c r="B520" s="425" t="s">
        <v>2336</v>
      </c>
      <c r="C520" s="425"/>
      <c r="D520" s="395" t="s">
        <v>416</v>
      </c>
      <c r="E520" s="395" t="s">
        <v>1122</v>
      </c>
      <c r="F520" s="372">
        <v>2024</v>
      </c>
      <c r="G520" s="372">
        <v>2024</v>
      </c>
      <c r="H520" s="431">
        <v>2024</v>
      </c>
      <c r="I520" s="375"/>
      <c r="J520" s="374"/>
      <c r="K520" s="374"/>
      <c r="L520" s="374"/>
      <c r="M520" s="374"/>
      <c r="N520" s="375" t="s">
        <v>77</v>
      </c>
      <c r="O520" s="374" t="s">
        <v>309</v>
      </c>
      <c r="P520" s="409" t="s">
        <v>2271</v>
      </c>
      <c r="Q520" s="374">
        <v>6680631</v>
      </c>
      <c r="R520" s="539" t="s">
        <v>1770</v>
      </c>
      <c r="S520" s="375"/>
      <c r="T520" s="374"/>
      <c r="U520" s="374"/>
      <c r="V520" s="375"/>
      <c r="W520" s="375"/>
      <c r="X520" s="375"/>
      <c r="Y520" s="374"/>
      <c r="Z520" s="374"/>
      <c r="AA520" s="375"/>
      <c r="AB520" s="375"/>
      <c r="AC520" s="375"/>
      <c r="AD520" s="374"/>
      <c r="AE520" s="374"/>
      <c r="AF520" s="375"/>
      <c r="AG520" s="375"/>
      <c r="AH520" s="375"/>
      <c r="AI520" s="374"/>
      <c r="AJ520" s="374"/>
      <c r="AK520" s="375"/>
      <c r="AL520" s="375"/>
      <c r="AM520" s="375"/>
      <c r="AN520" s="375"/>
      <c r="AO520" s="374"/>
      <c r="AP520" s="375"/>
      <c r="AQ520" s="375"/>
      <c r="AR520" s="375"/>
      <c r="AS520" s="375"/>
      <c r="AT520" s="375"/>
      <c r="AU520" s="375"/>
      <c r="AV520" s="376"/>
    </row>
    <row r="521" spans="1:48" ht="28.8" hidden="1">
      <c r="A521" s="404" t="s">
        <v>2337</v>
      </c>
      <c r="B521" s="425" t="s">
        <v>2338</v>
      </c>
      <c r="C521" s="425"/>
      <c r="D521" s="395" t="s">
        <v>416</v>
      </c>
      <c r="E521" s="395" t="s">
        <v>1122</v>
      </c>
      <c r="F521" s="372">
        <v>2024</v>
      </c>
      <c r="G521" s="372">
        <v>2024</v>
      </c>
      <c r="H521" s="431">
        <v>2024</v>
      </c>
      <c r="I521" s="375" t="s">
        <v>2339</v>
      </c>
      <c r="J521" s="374"/>
      <c r="K521" s="374"/>
      <c r="L521" s="374"/>
      <c r="M521" s="374"/>
      <c r="N521" s="375" t="s">
        <v>11</v>
      </c>
      <c r="O521" s="374" t="s">
        <v>162</v>
      </c>
      <c r="P521" s="409" t="s">
        <v>2271</v>
      </c>
      <c r="Q521" s="374">
        <v>6680622</v>
      </c>
      <c r="R521" s="539" t="s">
        <v>983</v>
      </c>
      <c r="S521" s="375"/>
      <c r="T521" s="374"/>
      <c r="U521" s="374"/>
      <c r="V521" s="375"/>
      <c r="W521" s="375"/>
      <c r="X521" s="375"/>
      <c r="Y521" s="374"/>
      <c r="Z521" s="374"/>
      <c r="AA521" s="375"/>
      <c r="AB521" s="375"/>
      <c r="AC521" s="375"/>
      <c r="AD521" s="374"/>
      <c r="AE521" s="374"/>
      <c r="AF521" s="375"/>
      <c r="AG521" s="375"/>
      <c r="AH521" s="375"/>
      <c r="AI521" s="374"/>
      <c r="AJ521" s="374"/>
      <c r="AK521" s="375"/>
      <c r="AL521" s="375"/>
      <c r="AM521" s="375"/>
      <c r="AN521" s="375"/>
      <c r="AO521" s="374"/>
      <c r="AP521" s="375"/>
      <c r="AQ521" s="375"/>
      <c r="AR521" s="375"/>
      <c r="AS521" s="375"/>
      <c r="AT521" s="375"/>
      <c r="AU521" s="375"/>
      <c r="AV521" s="376"/>
    </row>
    <row r="522" spans="1:48" ht="55.5" hidden="1" customHeight="1">
      <c r="A522" s="404" t="s">
        <v>2340</v>
      </c>
      <c r="B522" s="425" t="s">
        <v>2341</v>
      </c>
      <c r="C522" s="425"/>
      <c r="D522" s="395" t="s">
        <v>416</v>
      </c>
      <c r="E522" s="395" t="s">
        <v>1122</v>
      </c>
      <c r="F522" s="372">
        <v>2024</v>
      </c>
      <c r="G522" s="372">
        <v>2024</v>
      </c>
      <c r="H522" s="431">
        <v>2024</v>
      </c>
      <c r="I522" s="375" t="s">
        <v>41</v>
      </c>
      <c r="J522" s="408">
        <v>6843087</v>
      </c>
      <c r="K522" s="537" t="s">
        <v>2010</v>
      </c>
      <c r="L522" s="374" t="s">
        <v>353</v>
      </c>
      <c r="M522" s="409" t="s">
        <v>2271</v>
      </c>
      <c r="N522" s="375" t="s">
        <v>41</v>
      </c>
      <c r="O522" s="374" t="s">
        <v>353</v>
      </c>
      <c r="P522" s="409" t="s">
        <v>2271</v>
      </c>
      <c r="Q522" s="408">
        <v>6843087</v>
      </c>
      <c r="R522" s="537" t="s">
        <v>2010</v>
      </c>
      <c r="S522" s="375" t="s">
        <v>2342</v>
      </c>
      <c r="T522" s="374" t="s">
        <v>353</v>
      </c>
      <c r="U522" s="409" t="s">
        <v>2271</v>
      </c>
      <c r="V522" s="538" t="s">
        <v>2343</v>
      </c>
      <c r="W522" s="375">
        <v>6859382</v>
      </c>
      <c r="X522" s="375" t="s">
        <v>33</v>
      </c>
      <c r="Y522" s="374" t="s">
        <v>353</v>
      </c>
      <c r="Z522" s="409" t="s">
        <v>2271</v>
      </c>
      <c r="AA522" s="375" t="s">
        <v>2344</v>
      </c>
      <c r="AB522" s="538" t="s">
        <v>1905</v>
      </c>
      <c r="AC522" s="375"/>
      <c r="AD522" s="374"/>
      <c r="AE522" s="374"/>
      <c r="AF522" s="375"/>
      <c r="AG522" s="375"/>
      <c r="AH522" s="375"/>
      <c r="AI522" s="374"/>
      <c r="AJ522" s="374"/>
      <c r="AK522" s="375"/>
      <c r="AL522" s="375"/>
      <c r="AM522" s="375"/>
      <c r="AN522" s="375"/>
      <c r="AO522" s="374"/>
      <c r="AP522" s="375"/>
      <c r="AQ522" s="375"/>
      <c r="AR522" s="375"/>
      <c r="AS522" s="375"/>
      <c r="AT522" s="375"/>
      <c r="AU522" s="375"/>
      <c r="AV522" s="376"/>
    </row>
    <row r="523" spans="1:48" ht="28.8" hidden="1">
      <c r="A523" s="421" t="s">
        <v>2345</v>
      </c>
      <c r="B523" s="422" t="s">
        <v>2346</v>
      </c>
      <c r="C523" s="422"/>
      <c r="D523" s="423" t="s">
        <v>502</v>
      </c>
      <c r="E523" s="423" t="s">
        <v>2347</v>
      </c>
      <c r="F523" s="406">
        <v>2024</v>
      </c>
      <c r="G523" s="406">
        <v>2024</v>
      </c>
      <c r="H523" s="435">
        <v>2024</v>
      </c>
      <c r="I523" s="408"/>
      <c r="J523" s="409"/>
      <c r="K523" s="409"/>
      <c r="L523" s="409"/>
      <c r="M523" s="409"/>
      <c r="N523" s="408" t="s">
        <v>2348</v>
      </c>
      <c r="O523" s="409" t="s">
        <v>942</v>
      </c>
      <c r="P523" s="409"/>
      <c r="Q523" s="409"/>
      <c r="R523" s="409"/>
      <c r="S523" s="408" t="s">
        <v>2349</v>
      </c>
      <c r="T523" s="409" t="s">
        <v>942</v>
      </c>
      <c r="U523" s="409"/>
      <c r="V523" s="408"/>
      <c r="W523" s="408"/>
      <c r="X523" s="408" t="s">
        <v>2350</v>
      </c>
      <c r="Y523" s="409" t="s">
        <v>942</v>
      </c>
      <c r="Z523" s="409"/>
      <c r="AA523" s="408"/>
      <c r="AB523" s="408"/>
      <c r="AC523" s="408" t="s">
        <v>41</v>
      </c>
      <c r="AD523" s="374" t="s">
        <v>353</v>
      </c>
      <c r="AE523" s="409" t="s">
        <v>2271</v>
      </c>
      <c r="AF523" s="408">
        <v>6843087</v>
      </c>
      <c r="AG523" s="537" t="s">
        <v>2010</v>
      </c>
      <c r="AH523" s="408"/>
      <c r="AI523" s="409"/>
      <c r="AJ523" s="409"/>
      <c r="AK523" s="408"/>
      <c r="AL523" s="408"/>
      <c r="AM523" s="408"/>
      <c r="AN523" s="408"/>
      <c r="AO523" s="409"/>
      <c r="AP523" s="408"/>
      <c r="AQ523" s="408"/>
      <c r="AR523" s="408"/>
      <c r="AS523" s="408"/>
      <c r="AT523" s="408"/>
      <c r="AU523" s="408"/>
      <c r="AV523" s="410"/>
    </row>
    <row r="524" spans="1:48" ht="43.2" hidden="1">
      <c r="A524" s="177" t="s">
        <v>2351</v>
      </c>
      <c r="B524" s="422" t="s">
        <v>2352</v>
      </c>
      <c r="C524" s="422"/>
      <c r="D524" s="423" t="s">
        <v>277</v>
      </c>
      <c r="E524" s="395" t="s">
        <v>1122</v>
      </c>
      <c r="F524" s="406">
        <v>2023</v>
      </c>
      <c r="G524" s="406">
        <v>2023</v>
      </c>
      <c r="H524" s="406">
        <v>2023</v>
      </c>
      <c r="I524" s="408"/>
      <c r="J524" s="409"/>
      <c r="K524" s="409"/>
      <c r="L524" s="409"/>
      <c r="M524" s="409"/>
      <c r="N524" s="408" t="s">
        <v>10</v>
      </c>
      <c r="O524" s="409" t="s">
        <v>162</v>
      </c>
      <c r="P524" s="409"/>
      <c r="Q524" s="409"/>
      <c r="R524" s="409"/>
      <c r="S524" s="408" t="s">
        <v>2353</v>
      </c>
      <c r="T524" s="409"/>
      <c r="U524" s="409"/>
      <c r="V524" s="408"/>
      <c r="W524" s="408"/>
      <c r="X524" s="408" t="s">
        <v>2354</v>
      </c>
      <c r="Y524" s="409"/>
      <c r="Z524" s="409"/>
      <c r="AA524" s="408"/>
      <c r="AB524" s="408"/>
      <c r="AC524" s="408"/>
      <c r="AD524" s="409"/>
      <c r="AE524" s="409"/>
      <c r="AF524" s="408"/>
      <c r="AG524" s="408"/>
      <c r="AH524" s="408"/>
      <c r="AI524" s="409"/>
      <c r="AJ524" s="409"/>
      <c r="AK524" s="408"/>
      <c r="AL524" s="408"/>
      <c r="AM524" s="408"/>
      <c r="AN524" s="408"/>
      <c r="AO524" s="409"/>
      <c r="AP524" s="408"/>
      <c r="AQ524" s="408"/>
      <c r="AR524" s="408"/>
      <c r="AS524" s="408"/>
      <c r="AT524" s="408"/>
      <c r="AU524" s="408"/>
      <c r="AV524" s="410"/>
    </row>
    <row r="525" spans="1:48" ht="57.6" hidden="1">
      <c r="A525" s="177" t="s">
        <v>2355</v>
      </c>
      <c r="B525" s="422" t="s">
        <v>2356</v>
      </c>
      <c r="C525" s="422"/>
      <c r="D525" s="423" t="s">
        <v>277</v>
      </c>
      <c r="E525" s="395" t="s">
        <v>1122</v>
      </c>
      <c r="F525" s="406">
        <v>2023</v>
      </c>
      <c r="G525" s="406">
        <v>2023</v>
      </c>
      <c r="H525" s="406">
        <v>2023</v>
      </c>
      <c r="I525" s="408"/>
      <c r="J525" s="409"/>
      <c r="K525" s="409"/>
      <c r="L525" s="409"/>
      <c r="M525" s="409"/>
      <c r="N525" s="408" t="s">
        <v>190</v>
      </c>
      <c r="O525" s="409" t="s">
        <v>279</v>
      </c>
      <c r="P525" s="409"/>
      <c r="Q525" s="409"/>
      <c r="R525" s="409"/>
      <c r="S525" s="408" t="s">
        <v>92</v>
      </c>
      <c r="T525" s="409" t="s">
        <v>279</v>
      </c>
      <c r="U525" s="409"/>
      <c r="V525" s="408"/>
      <c r="W525" s="408"/>
      <c r="X525" s="408" t="s">
        <v>10</v>
      </c>
      <c r="Y525" s="409" t="s">
        <v>162</v>
      </c>
      <c r="Z525" s="409"/>
      <c r="AA525" s="408"/>
      <c r="AB525" s="408"/>
      <c r="AC525" s="408" t="s">
        <v>2357</v>
      </c>
      <c r="AD525" s="409"/>
      <c r="AE525" s="409"/>
      <c r="AF525" s="408"/>
      <c r="AG525" s="408"/>
      <c r="AH525" s="408"/>
      <c r="AI525" s="409"/>
      <c r="AJ525" s="409"/>
      <c r="AK525" s="408"/>
      <c r="AL525" s="408"/>
      <c r="AM525" s="408"/>
      <c r="AN525" s="408"/>
      <c r="AO525" s="409"/>
      <c r="AP525" s="408"/>
      <c r="AQ525" s="408"/>
      <c r="AR525" s="408"/>
      <c r="AS525" s="408"/>
      <c r="AT525" s="408"/>
      <c r="AU525" s="408"/>
      <c r="AV525" s="410"/>
    </row>
    <row r="526" spans="1:48" hidden="1">
      <c r="A526" s="177" t="s">
        <v>2358</v>
      </c>
      <c r="B526" s="422" t="s">
        <v>2359</v>
      </c>
      <c r="C526" s="422"/>
      <c r="D526" s="395" t="s">
        <v>313</v>
      </c>
      <c r="E526" s="407" t="s">
        <v>303</v>
      </c>
      <c r="F526" s="406">
        <v>2023</v>
      </c>
      <c r="G526" s="406">
        <v>2023</v>
      </c>
      <c r="H526" s="406">
        <v>2023</v>
      </c>
      <c r="I526" s="408" t="s">
        <v>2089</v>
      </c>
      <c r="J526" s="409"/>
      <c r="K526" s="409"/>
      <c r="L526" s="409"/>
      <c r="M526" s="409"/>
      <c r="N526" s="408" t="s">
        <v>2089</v>
      </c>
      <c r="O526" s="409"/>
      <c r="P526" s="409"/>
      <c r="Q526" s="409"/>
      <c r="R526" s="409"/>
      <c r="S526" s="408" t="s">
        <v>189</v>
      </c>
      <c r="T526" s="409" t="s">
        <v>162</v>
      </c>
      <c r="U526" s="409"/>
      <c r="V526" s="408"/>
      <c r="W526" s="408"/>
      <c r="X526" s="408"/>
      <c r="Y526" s="409"/>
      <c r="Z526" s="409"/>
      <c r="AA526" s="408"/>
      <c r="AB526" s="408"/>
      <c r="AC526" s="408"/>
      <c r="AD526" s="409"/>
      <c r="AE526" s="409"/>
      <c r="AF526" s="408"/>
      <c r="AG526" s="408"/>
      <c r="AH526" s="408"/>
      <c r="AI526" s="409"/>
      <c r="AJ526" s="409"/>
      <c r="AK526" s="408"/>
      <c r="AL526" s="408"/>
      <c r="AM526" s="408"/>
      <c r="AN526" s="408"/>
      <c r="AO526" s="409"/>
      <c r="AP526" s="408"/>
      <c r="AQ526" s="408"/>
      <c r="AR526" s="408"/>
      <c r="AS526" s="408"/>
      <c r="AT526" s="408"/>
      <c r="AU526" s="408"/>
      <c r="AV526" s="410"/>
    </row>
    <row r="527" spans="1:48" ht="28.8" hidden="1">
      <c r="A527" s="177" t="s">
        <v>2152</v>
      </c>
      <c r="B527" s="422" t="s">
        <v>2360</v>
      </c>
      <c r="C527" s="422"/>
      <c r="D527" s="423" t="s">
        <v>302</v>
      </c>
      <c r="E527" s="407" t="s">
        <v>303</v>
      </c>
      <c r="F527" s="406">
        <v>2023</v>
      </c>
      <c r="G527" s="406">
        <v>2023</v>
      </c>
      <c r="H527" s="406">
        <v>2023</v>
      </c>
      <c r="I527" s="408" t="s">
        <v>189</v>
      </c>
      <c r="J527" s="409"/>
      <c r="K527" s="409"/>
      <c r="L527" s="409" t="s">
        <v>162</v>
      </c>
      <c r="M527" s="409"/>
      <c r="N527" s="408" t="s">
        <v>189</v>
      </c>
      <c r="O527" s="409" t="s">
        <v>162</v>
      </c>
      <c r="P527" s="409"/>
      <c r="Q527" s="409"/>
      <c r="R527" s="409"/>
      <c r="S527" s="408" t="s">
        <v>2154</v>
      </c>
      <c r="T527" s="409"/>
      <c r="U527" s="409"/>
      <c r="V527" s="408"/>
      <c r="W527" s="408"/>
      <c r="X527" s="408" t="s">
        <v>2155</v>
      </c>
      <c r="Y527" s="409"/>
      <c r="Z527" s="409"/>
      <c r="AA527" s="408"/>
      <c r="AB527" s="408"/>
      <c r="AC527" s="408"/>
      <c r="AD527" s="409"/>
      <c r="AE527" s="409"/>
      <c r="AF527" s="408"/>
      <c r="AG527" s="408"/>
      <c r="AH527" s="408"/>
      <c r="AI527" s="409"/>
      <c r="AJ527" s="409"/>
      <c r="AK527" s="408"/>
      <c r="AL527" s="408"/>
      <c r="AM527" s="408"/>
      <c r="AN527" s="408"/>
      <c r="AO527" s="409"/>
      <c r="AP527" s="408"/>
      <c r="AQ527" s="408"/>
      <c r="AR527" s="408"/>
      <c r="AS527" s="408"/>
      <c r="AT527" s="408"/>
      <c r="AU527" s="408"/>
      <c r="AV527" s="410"/>
    </row>
    <row r="528" spans="1:48" ht="28.8" hidden="1">
      <c r="A528" s="177" t="s">
        <v>2361</v>
      </c>
      <c r="B528" s="422" t="s">
        <v>2359</v>
      </c>
      <c r="C528" s="422"/>
      <c r="D528" s="395" t="s">
        <v>313</v>
      </c>
      <c r="E528" s="407" t="s">
        <v>303</v>
      </c>
      <c r="F528" s="406">
        <v>2023</v>
      </c>
      <c r="G528" s="406">
        <v>2023</v>
      </c>
      <c r="H528" s="406">
        <v>2023</v>
      </c>
      <c r="I528" s="408" t="s">
        <v>2362</v>
      </c>
      <c r="J528" s="409"/>
      <c r="K528" s="409"/>
      <c r="L528" s="409"/>
      <c r="M528" s="409"/>
      <c r="N528" s="408" t="s">
        <v>2362</v>
      </c>
      <c r="O528" s="409"/>
      <c r="P528" s="409"/>
      <c r="Q528" s="409"/>
      <c r="R528" s="409"/>
      <c r="S528" s="408" t="s">
        <v>189</v>
      </c>
      <c r="T528" s="409" t="s">
        <v>162</v>
      </c>
      <c r="U528" s="409"/>
      <c r="V528" s="408"/>
      <c r="W528" s="408"/>
      <c r="X528" s="408"/>
      <c r="Y528" s="409"/>
      <c r="Z528" s="409"/>
      <c r="AA528" s="408"/>
      <c r="AB528" s="408"/>
      <c r="AC528" s="408"/>
      <c r="AD528" s="409"/>
      <c r="AE528" s="409"/>
      <c r="AF528" s="408"/>
      <c r="AG528" s="408"/>
      <c r="AH528" s="408"/>
      <c r="AI528" s="409"/>
      <c r="AJ528" s="409"/>
      <c r="AK528" s="408"/>
      <c r="AL528" s="408"/>
      <c r="AM528" s="408"/>
      <c r="AN528" s="408"/>
      <c r="AO528" s="409"/>
      <c r="AP528" s="408"/>
      <c r="AQ528" s="408"/>
      <c r="AR528" s="408"/>
      <c r="AS528" s="408"/>
      <c r="AT528" s="408"/>
      <c r="AU528" s="408"/>
      <c r="AV528" s="410"/>
    </row>
    <row r="529" spans="1:48" ht="28.8" hidden="1">
      <c r="A529" s="177" t="s">
        <v>2363</v>
      </c>
      <c r="B529" s="422" t="s">
        <v>1784</v>
      </c>
      <c r="C529" s="422"/>
      <c r="D529" s="423" t="s">
        <v>528</v>
      </c>
      <c r="E529" s="423" t="s">
        <v>1122</v>
      </c>
      <c r="F529" s="406">
        <v>2023</v>
      </c>
      <c r="G529" s="406">
        <v>2023</v>
      </c>
      <c r="H529" s="406">
        <v>2023</v>
      </c>
      <c r="I529" s="408"/>
      <c r="J529" s="409"/>
      <c r="K529" s="409"/>
      <c r="L529" s="409"/>
      <c r="M529" s="409"/>
      <c r="N529" s="408" t="s">
        <v>1138</v>
      </c>
      <c r="O529" s="409"/>
      <c r="P529" s="409"/>
      <c r="Q529" s="409"/>
      <c r="R529" s="409"/>
      <c r="S529" s="408" t="s">
        <v>2364</v>
      </c>
      <c r="T529" s="409"/>
      <c r="U529" s="409"/>
      <c r="V529" s="408"/>
      <c r="W529" s="408"/>
      <c r="X529" s="408" t="s">
        <v>2365</v>
      </c>
      <c r="Y529" s="409"/>
      <c r="Z529" s="409"/>
      <c r="AA529" s="408"/>
      <c r="AB529" s="408"/>
      <c r="AC529" s="408" t="s">
        <v>189</v>
      </c>
      <c r="AD529" s="409" t="s">
        <v>162</v>
      </c>
      <c r="AE529" s="409"/>
      <c r="AF529" s="408"/>
      <c r="AG529" s="408"/>
      <c r="AH529" s="408"/>
      <c r="AI529" s="409"/>
      <c r="AJ529" s="409"/>
      <c r="AK529" s="408"/>
      <c r="AL529" s="408"/>
      <c r="AM529" s="408"/>
      <c r="AN529" s="408"/>
      <c r="AO529" s="409"/>
      <c r="AP529" s="408"/>
      <c r="AQ529" s="408"/>
      <c r="AR529" s="408"/>
      <c r="AS529" s="408"/>
      <c r="AT529" s="408"/>
      <c r="AU529" s="408"/>
      <c r="AV529" s="410"/>
    </row>
    <row r="530" spans="1:48" ht="28.8" hidden="1">
      <c r="A530" s="177" t="s">
        <v>2366</v>
      </c>
      <c r="B530" s="422" t="s">
        <v>2367</v>
      </c>
      <c r="C530" s="422"/>
      <c r="D530" s="423" t="s">
        <v>302</v>
      </c>
      <c r="E530" s="407" t="s">
        <v>303</v>
      </c>
      <c r="F530" s="406">
        <v>2023</v>
      </c>
      <c r="G530" s="406">
        <v>2023</v>
      </c>
      <c r="H530" s="406">
        <v>2023</v>
      </c>
      <c r="I530" s="408"/>
      <c r="J530" s="409"/>
      <c r="K530" s="409"/>
      <c r="L530" s="409"/>
      <c r="M530" s="409"/>
      <c r="N530" s="408" t="s">
        <v>26</v>
      </c>
      <c r="O530" s="409" t="s">
        <v>686</v>
      </c>
      <c r="P530" s="409"/>
      <c r="Q530" s="409"/>
      <c r="R530" s="409"/>
      <c r="S530" s="408" t="s">
        <v>189</v>
      </c>
      <c r="T530" s="409" t="s">
        <v>162</v>
      </c>
      <c r="U530" s="409"/>
      <c r="V530" s="408"/>
      <c r="W530" s="408"/>
      <c r="X530" s="408" t="s">
        <v>32</v>
      </c>
      <c r="Y530" s="409" t="s">
        <v>162</v>
      </c>
      <c r="Z530" s="409"/>
      <c r="AA530" s="408"/>
      <c r="AB530" s="408"/>
      <c r="AC530" s="408" t="s">
        <v>11</v>
      </c>
      <c r="AD530" s="409" t="s">
        <v>162</v>
      </c>
      <c r="AE530" s="409"/>
      <c r="AF530" s="408"/>
      <c r="AG530" s="408"/>
      <c r="AH530" s="408" t="s">
        <v>775</v>
      </c>
      <c r="AI530" s="409" t="s">
        <v>686</v>
      </c>
      <c r="AJ530" s="409"/>
      <c r="AK530" s="408"/>
      <c r="AL530" s="408"/>
      <c r="AM530" s="408"/>
      <c r="AN530" s="408"/>
      <c r="AO530" s="409"/>
      <c r="AP530" s="408"/>
      <c r="AQ530" s="408"/>
      <c r="AR530" s="408"/>
      <c r="AS530" s="408"/>
      <c r="AT530" s="408"/>
      <c r="AU530" s="408"/>
      <c r="AV530" s="410"/>
    </row>
    <row r="531" spans="1:48" ht="28.8" hidden="1">
      <c r="A531" s="177" t="s">
        <v>2368</v>
      </c>
      <c r="B531" s="422" t="s">
        <v>2213</v>
      </c>
      <c r="C531" s="422"/>
      <c r="D531" s="423" t="s">
        <v>568</v>
      </c>
      <c r="E531" s="423" t="s">
        <v>1122</v>
      </c>
      <c r="F531" s="406">
        <v>2023</v>
      </c>
      <c r="G531" s="406">
        <v>2023</v>
      </c>
      <c r="H531" s="406">
        <v>2023</v>
      </c>
      <c r="I531" s="408" t="s">
        <v>32</v>
      </c>
      <c r="J531" s="409"/>
      <c r="K531" s="409"/>
      <c r="L531" s="409" t="s">
        <v>162</v>
      </c>
      <c r="M531" s="409"/>
      <c r="N531" s="408" t="s">
        <v>32</v>
      </c>
      <c r="O531" s="409" t="s">
        <v>162</v>
      </c>
      <c r="P531" s="409"/>
      <c r="Q531" s="409"/>
      <c r="R531" s="409"/>
      <c r="S531" s="408" t="s">
        <v>2369</v>
      </c>
      <c r="T531" s="409"/>
      <c r="U531" s="409"/>
      <c r="V531" s="408"/>
      <c r="W531" s="408"/>
      <c r="X531" s="408" t="s">
        <v>2370</v>
      </c>
      <c r="Y531" s="409"/>
      <c r="Z531" s="409"/>
      <c r="AA531" s="408"/>
      <c r="AB531" s="408"/>
      <c r="AC531" s="408" t="s">
        <v>2371</v>
      </c>
      <c r="AD531" s="409"/>
      <c r="AE531" s="409"/>
      <c r="AF531" s="408"/>
      <c r="AG531" s="408"/>
      <c r="AH531" s="408" t="s">
        <v>2372</v>
      </c>
      <c r="AI531" s="409"/>
      <c r="AJ531" s="409"/>
      <c r="AK531" s="408"/>
      <c r="AL531" s="408"/>
      <c r="AM531" s="408"/>
      <c r="AN531" s="408"/>
      <c r="AO531" s="409"/>
      <c r="AP531" s="408"/>
      <c r="AQ531" s="408"/>
      <c r="AR531" s="408"/>
      <c r="AS531" s="408"/>
      <c r="AT531" s="408"/>
      <c r="AU531" s="408"/>
      <c r="AV531" s="410"/>
    </row>
    <row r="532" spans="1:48" ht="28.8" hidden="1">
      <c r="A532" s="177" t="s">
        <v>2373</v>
      </c>
      <c r="B532" s="422" t="s">
        <v>946</v>
      </c>
      <c r="C532" s="422"/>
      <c r="D532" s="423" t="s">
        <v>277</v>
      </c>
      <c r="E532" s="423" t="s">
        <v>303</v>
      </c>
      <c r="F532" s="406">
        <v>2024</v>
      </c>
      <c r="G532" s="406">
        <v>2024</v>
      </c>
      <c r="H532" s="406">
        <v>2024</v>
      </c>
      <c r="I532" s="408" t="s">
        <v>26</v>
      </c>
      <c r="J532" s="409">
        <v>259781</v>
      </c>
      <c r="K532" s="536" t="s">
        <v>982</v>
      </c>
      <c r="L532" s="409" t="s">
        <v>686</v>
      </c>
      <c r="M532" s="409" t="s">
        <v>2271</v>
      </c>
      <c r="N532" s="408" t="s">
        <v>26</v>
      </c>
      <c r="O532" s="409" t="s">
        <v>686</v>
      </c>
      <c r="P532" s="409" t="s">
        <v>2271</v>
      </c>
      <c r="Q532" s="409">
        <v>259781</v>
      </c>
      <c r="R532" s="536" t="s">
        <v>982</v>
      </c>
      <c r="S532" s="408" t="s">
        <v>32</v>
      </c>
      <c r="T532" s="409" t="s">
        <v>162</v>
      </c>
      <c r="U532" s="409" t="s">
        <v>2271</v>
      </c>
      <c r="V532" s="409">
        <v>6658755</v>
      </c>
      <c r="W532" s="536" t="s">
        <v>1901</v>
      </c>
      <c r="X532" s="408" t="s">
        <v>775</v>
      </c>
      <c r="Y532" s="409" t="s">
        <v>686</v>
      </c>
      <c r="Z532" s="409" t="s">
        <v>2271</v>
      </c>
      <c r="AA532" s="408">
        <v>6785861</v>
      </c>
      <c r="AB532" s="537" t="s">
        <v>1904</v>
      </c>
      <c r="AC532" s="408" t="s">
        <v>2374</v>
      </c>
      <c r="AD532" s="409"/>
      <c r="AE532" s="409"/>
      <c r="AF532" s="408"/>
      <c r="AG532" s="408"/>
      <c r="AH532" s="408" t="s">
        <v>2375</v>
      </c>
      <c r="AI532" s="409"/>
      <c r="AJ532" s="409"/>
      <c r="AK532" s="408"/>
      <c r="AL532" s="408"/>
      <c r="AM532" s="408"/>
      <c r="AN532" s="408"/>
      <c r="AO532" s="409"/>
      <c r="AP532" s="408"/>
      <c r="AQ532" s="408"/>
      <c r="AR532" s="408"/>
      <c r="AS532" s="408"/>
      <c r="AT532" s="408"/>
      <c r="AU532" s="408"/>
      <c r="AV532" s="410"/>
    </row>
    <row r="533" spans="1:48" ht="28.8">
      <c r="A533" s="177" t="s">
        <v>2376</v>
      </c>
      <c r="B533" s="422" t="s">
        <v>2377</v>
      </c>
      <c r="C533" s="422" t="s">
        <v>2270</v>
      </c>
      <c r="D533" s="395" t="s">
        <v>313</v>
      </c>
      <c r="E533" s="423" t="s">
        <v>2378</v>
      </c>
      <c r="F533" s="406">
        <v>2024</v>
      </c>
      <c r="G533" s="406">
        <v>2024</v>
      </c>
      <c r="H533" s="406">
        <v>2024</v>
      </c>
      <c r="I533" s="408" t="s">
        <v>32</v>
      </c>
      <c r="J533" s="409">
        <v>6658755</v>
      </c>
      <c r="K533" s="536" t="s">
        <v>1901</v>
      </c>
      <c r="L533" s="409" t="s">
        <v>162</v>
      </c>
      <c r="M533" s="409" t="s">
        <v>2271</v>
      </c>
      <c r="N533" s="408" t="s">
        <v>32</v>
      </c>
      <c r="O533" s="409" t="s">
        <v>162</v>
      </c>
      <c r="P533" s="409" t="s">
        <v>2271</v>
      </c>
      <c r="Q533" s="409">
        <v>6658755</v>
      </c>
      <c r="R533" s="536" t="s">
        <v>1901</v>
      </c>
      <c r="S533" s="408" t="s">
        <v>2379</v>
      </c>
      <c r="T533" s="409"/>
      <c r="U533" s="409"/>
      <c r="V533" s="408"/>
      <c r="W533" s="408"/>
      <c r="X533" s="408" t="s">
        <v>2380</v>
      </c>
      <c r="Y533" s="409"/>
      <c r="Z533" s="409"/>
      <c r="AA533" s="408"/>
      <c r="AB533" s="408"/>
      <c r="AC533" s="408" t="s">
        <v>2381</v>
      </c>
      <c r="AD533" s="409"/>
      <c r="AE533" s="409"/>
      <c r="AF533" s="408"/>
      <c r="AG533" s="408"/>
      <c r="AH533" s="408"/>
      <c r="AI533" s="409"/>
      <c r="AJ533" s="409"/>
      <c r="AK533" s="408"/>
      <c r="AL533" s="408"/>
      <c r="AM533" s="408"/>
      <c r="AN533" s="408"/>
      <c r="AO533" s="409"/>
      <c r="AP533" s="408"/>
      <c r="AQ533" s="408"/>
      <c r="AR533" s="408"/>
      <c r="AS533" s="408"/>
      <c r="AT533" s="408"/>
      <c r="AU533" s="408"/>
      <c r="AV533" s="410"/>
    </row>
    <row r="534" spans="1:48" ht="28.8" hidden="1">
      <c r="A534" s="177" t="s">
        <v>2382</v>
      </c>
      <c r="B534" s="422" t="s">
        <v>2383</v>
      </c>
      <c r="C534" s="422"/>
      <c r="D534" s="423" t="s">
        <v>374</v>
      </c>
      <c r="E534" s="423" t="s">
        <v>1750</v>
      </c>
      <c r="F534" s="406">
        <v>2023</v>
      </c>
      <c r="G534" s="406">
        <v>2023</v>
      </c>
      <c r="H534" s="406">
        <v>2023</v>
      </c>
      <c r="I534" s="408" t="s">
        <v>2384</v>
      </c>
      <c r="J534" s="409"/>
      <c r="K534" s="409"/>
      <c r="L534" s="409"/>
      <c r="M534" s="409"/>
      <c r="N534" s="408" t="s">
        <v>2384</v>
      </c>
      <c r="O534" s="409"/>
      <c r="P534" s="409"/>
      <c r="Q534" s="409"/>
      <c r="R534" s="409"/>
      <c r="S534" s="408" t="s">
        <v>32</v>
      </c>
      <c r="T534" s="409" t="s">
        <v>162</v>
      </c>
      <c r="U534" s="409"/>
      <c r="V534" s="408"/>
      <c r="W534" s="408"/>
      <c r="X534" s="408"/>
      <c r="Y534" s="409"/>
      <c r="Z534" s="409"/>
      <c r="AA534" s="408"/>
      <c r="AB534" s="408"/>
      <c r="AC534" s="408"/>
      <c r="AD534" s="409"/>
      <c r="AE534" s="409"/>
      <c r="AF534" s="408"/>
      <c r="AG534" s="408"/>
      <c r="AH534" s="408"/>
      <c r="AI534" s="409"/>
      <c r="AJ534" s="409"/>
      <c r="AK534" s="408"/>
      <c r="AL534" s="408"/>
      <c r="AM534" s="408"/>
      <c r="AN534" s="408"/>
      <c r="AO534" s="409"/>
      <c r="AP534" s="408"/>
      <c r="AQ534" s="408"/>
      <c r="AR534" s="408"/>
      <c r="AS534" s="408"/>
      <c r="AT534" s="408"/>
      <c r="AU534" s="408"/>
      <c r="AV534" s="410"/>
    </row>
    <row r="535" spans="1:48" ht="28.8" hidden="1">
      <c r="A535" s="177" t="s">
        <v>2385</v>
      </c>
      <c r="B535" s="422" t="s">
        <v>2386</v>
      </c>
      <c r="C535" s="422"/>
      <c r="D535" s="423" t="s">
        <v>374</v>
      </c>
      <c r="E535" s="423" t="s">
        <v>1750</v>
      </c>
      <c r="F535" s="406">
        <v>2023</v>
      </c>
      <c r="G535" s="406">
        <v>2023</v>
      </c>
      <c r="H535" s="406">
        <v>2023</v>
      </c>
      <c r="I535" s="408" t="s">
        <v>193</v>
      </c>
      <c r="J535" s="409"/>
      <c r="K535" s="409"/>
      <c r="L535" s="409" t="s">
        <v>353</v>
      </c>
      <c r="M535" s="409"/>
      <c r="N535" s="408" t="s">
        <v>193</v>
      </c>
      <c r="O535" s="409" t="s">
        <v>353</v>
      </c>
      <c r="P535" s="409"/>
      <c r="Q535" s="409"/>
      <c r="R535" s="409"/>
      <c r="S535" s="408" t="s">
        <v>204</v>
      </c>
      <c r="T535" s="409" t="s">
        <v>620</v>
      </c>
      <c r="U535" s="409"/>
      <c r="V535" s="408"/>
      <c r="W535" s="408"/>
      <c r="X535" s="408" t="s">
        <v>196</v>
      </c>
      <c r="Y535" s="409" t="s">
        <v>620</v>
      </c>
      <c r="Z535" s="409"/>
      <c r="AA535" s="408"/>
      <c r="AB535" s="408"/>
      <c r="AC535" s="408" t="s">
        <v>195</v>
      </c>
      <c r="AD535" s="409" t="s">
        <v>162</v>
      </c>
      <c r="AE535" s="409"/>
      <c r="AF535" s="408"/>
      <c r="AG535" s="408"/>
      <c r="AH535" s="408"/>
      <c r="AI535" s="409"/>
      <c r="AJ535" s="409"/>
      <c r="AK535" s="408"/>
      <c r="AL535" s="408"/>
      <c r="AM535" s="408"/>
      <c r="AN535" s="408"/>
      <c r="AO535" s="409"/>
      <c r="AP535" s="408"/>
      <c r="AQ535" s="408"/>
      <c r="AR535" s="408"/>
      <c r="AS535" s="408"/>
      <c r="AT535" s="408"/>
      <c r="AU535" s="408"/>
      <c r="AV535" s="410"/>
    </row>
    <row r="536" spans="1:48" ht="49.5" hidden="1" customHeight="1">
      <c r="A536" s="547" t="s">
        <v>2387</v>
      </c>
      <c r="B536" s="422" t="s">
        <v>2388</v>
      </c>
      <c r="C536" s="422"/>
      <c r="D536" s="423" t="s">
        <v>568</v>
      </c>
      <c r="E536" s="423" t="s">
        <v>1122</v>
      </c>
      <c r="F536" s="406">
        <v>2024</v>
      </c>
      <c r="G536" s="406">
        <v>2024</v>
      </c>
      <c r="H536" s="406">
        <v>2024</v>
      </c>
      <c r="I536" s="408"/>
      <c r="J536" s="409"/>
      <c r="K536" s="409"/>
      <c r="L536" s="409"/>
      <c r="M536" s="409"/>
      <c r="N536" s="408" t="s">
        <v>2389</v>
      </c>
      <c r="O536" s="409"/>
      <c r="P536" s="409"/>
      <c r="Q536" s="409"/>
      <c r="R536" s="409"/>
      <c r="S536" s="408" t="s">
        <v>2390</v>
      </c>
      <c r="T536" s="409"/>
      <c r="U536" s="409"/>
      <c r="V536" s="408"/>
      <c r="W536" s="408"/>
      <c r="X536" s="408" t="s">
        <v>2391</v>
      </c>
      <c r="Y536" s="409"/>
      <c r="Z536" s="409"/>
      <c r="AA536" s="408"/>
      <c r="AB536" s="408"/>
      <c r="AC536" s="408" t="s">
        <v>2392</v>
      </c>
      <c r="AD536" s="409"/>
      <c r="AE536" s="409"/>
      <c r="AF536" s="408"/>
      <c r="AG536" s="408"/>
      <c r="AH536" s="408" t="s">
        <v>195</v>
      </c>
      <c r="AI536" s="409" t="s">
        <v>162</v>
      </c>
      <c r="AJ536" s="409" t="s">
        <v>2271</v>
      </c>
      <c r="AK536" s="408">
        <v>6868847</v>
      </c>
      <c r="AL536" s="537" t="s">
        <v>2393</v>
      </c>
      <c r="AM536" s="408"/>
      <c r="AN536" s="408"/>
      <c r="AO536" s="409"/>
      <c r="AP536" s="408"/>
      <c r="AQ536" s="408"/>
      <c r="AR536" s="408"/>
      <c r="AS536" s="408"/>
      <c r="AT536" s="408"/>
      <c r="AU536" s="408"/>
      <c r="AV536" s="410"/>
    </row>
    <row r="537" spans="1:48" ht="21" hidden="1" customHeight="1">
      <c r="A537" s="421" t="s">
        <v>2394</v>
      </c>
      <c r="B537" s="422" t="s">
        <v>987</v>
      </c>
      <c r="C537" s="422"/>
      <c r="D537" s="423" t="s">
        <v>321</v>
      </c>
      <c r="E537" s="423" t="s">
        <v>1750</v>
      </c>
      <c r="F537" s="406">
        <v>2024</v>
      </c>
      <c r="G537" s="406">
        <v>2024</v>
      </c>
      <c r="H537" s="406">
        <v>2024</v>
      </c>
      <c r="I537" s="408"/>
      <c r="J537" s="409"/>
      <c r="K537" s="409"/>
      <c r="L537" s="409"/>
      <c r="M537" s="409"/>
      <c r="N537" s="408" t="s">
        <v>2395</v>
      </c>
      <c r="O537" s="409" t="s">
        <v>162</v>
      </c>
      <c r="P537" s="409" t="s">
        <v>2271</v>
      </c>
      <c r="Q537" s="409"/>
      <c r="R537" s="409">
        <v>1201200035</v>
      </c>
      <c r="S537" s="408" t="s">
        <v>89</v>
      </c>
      <c r="T537" s="409" t="s">
        <v>162</v>
      </c>
      <c r="U537" s="409" t="s">
        <v>2271</v>
      </c>
      <c r="V537" s="408">
        <v>6680628</v>
      </c>
      <c r="W537" s="537" t="s">
        <v>1007</v>
      </c>
      <c r="X537" s="408" t="s">
        <v>195</v>
      </c>
      <c r="Y537" s="409" t="s">
        <v>162</v>
      </c>
      <c r="Z537" s="409" t="s">
        <v>2271</v>
      </c>
      <c r="AA537" s="408">
        <v>6868847</v>
      </c>
      <c r="AB537" s="537" t="s">
        <v>2393</v>
      </c>
      <c r="AC537" s="408"/>
      <c r="AD537" s="409"/>
      <c r="AE537" s="409"/>
      <c r="AF537" s="408"/>
      <c r="AG537" s="408"/>
      <c r="AH537" s="408"/>
      <c r="AI537" s="409"/>
      <c r="AJ537" s="409"/>
      <c r="AK537" s="408"/>
      <c r="AL537" s="408"/>
      <c r="AM537" s="408"/>
      <c r="AN537" s="408"/>
      <c r="AO537" s="409"/>
      <c r="AP537" s="408"/>
      <c r="AQ537" s="408"/>
      <c r="AR537" s="408"/>
      <c r="AS537" s="408"/>
      <c r="AT537" s="408"/>
      <c r="AU537" s="408"/>
      <c r="AV537" s="410"/>
    </row>
    <row r="538" spans="1:48" ht="29.25" hidden="1" customHeight="1">
      <c r="A538" s="421" t="s">
        <v>2396</v>
      </c>
      <c r="B538" s="422" t="s">
        <v>2356</v>
      </c>
      <c r="C538" s="422"/>
      <c r="D538" s="423" t="s">
        <v>277</v>
      </c>
      <c r="E538" s="395" t="s">
        <v>1122</v>
      </c>
      <c r="F538" s="406">
        <v>2023</v>
      </c>
      <c r="G538" s="406">
        <v>2023</v>
      </c>
      <c r="H538" s="406">
        <v>2023</v>
      </c>
      <c r="I538" s="408"/>
      <c r="J538" s="409"/>
      <c r="K538" s="409"/>
      <c r="L538" s="409"/>
      <c r="M538" s="409"/>
      <c r="N538" s="408" t="s">
        <v>97</v>
      </c>
      <c r="O538" s="409" t="s">
        <v>279</v>
      </c>
      <c r="P538" s="409"/>
      <c r="Q538" s="409"/>
      <c r="R538" s="409"/>
      <c r="S538" s="408" t="s">
        <v>2397</v>
      </c>
      <c r="T538" s="409"/>
      <c r="U538" s="409"/>
      <c r="V538" s="408"/>
      <c r="W538" s="408"/>
      <c r="X538" s="408"/>
      <c r="Y538" s="409"/>
      <c r="Z538" s="409"/>
      <c r="AA538" s="408"/>
      <c r="AB538" s="408"/>
      <c r="AC538" s="408"/>
      <c r="AD538" s="409"/>
      <c r="AE538" s="409"/>
      <c r="AF538" s="408"/>
      <c r="AG538" s="408"/>
      <c r="AH538" s="408"/>
      <c r="AI538" s="409"/>
      <c r="AJ538" s="409"/>
      <c r="AK538" s="408"/>
      <c r="AL538" s="408"/>
      <c r="AM538" s="408"/>
      <c r="AN538" s="408"/>
      <c r="AO538" s="409"/>
      <c r="AP538" s="408"/>
      <c r="AQ538" s="408"/>
      <c r="AR538" s="408"/>
      <c r="AS538" s="408"/>
      <c r="AT538" s="408"/>
      <c r="AU538" s="408"/>
      <c r="AV538" s="410"/>
    </row>
    <row r="539" spans="1:48" ht="28.8" hidden="1">
      <c r="A539" s="421" t="s">
        <v>2398</v>
      </c>
      <c r="B539" s="422" t="s">
        <v>2399</v>
      </c>
      <c r="C539" s="422"/>
      <c r="D539" s="423" t="s">
        <v>502</v>
      </c>
      <c r="E539" s="423" t="s">
        <v>1122</v>
      </c>
      <c r="F539" s="406">
        <v>2024</v>
      </c>
      <c r="G539" s="406">
        <v>2024</v>
      </c>
      <c r="H539" s="406">
        <v>2024</v>
      </c>
      <c r="I539" s="408" t="s">
        <v>2400</v>
      </c>
      <c r="J539" s="409"/>
      <c r="K539" s="409"/>
      <c r="L539" s="409"/>
      <c r="M539" s="409"/>
      <c r="N539" s="408" t="s">
        <v>2401</v>
      </c>
      <c r="O539" s="409"/>
      <c r="P539" s="409"/>
      <c r="Q539" s="409"/>
      <c r="R539" s="409"/>
      <c r="S539" s="408" t="s">
        <v>2402</v>
      </c>
      <c r="T539" s="409"/>
      <c r="U539" s="409"/>
      <c r="V539" s="408"/>
      <c r="W539" s="408"/>
      <c r="X539" s="408" t="s">
        <v>2403</v>
      </c>
      <c r="Y539" s="409"/>
      <c r="Z539" s="409"/>
      <c r="AA539" s="408"/>
      <c r="AB539" s="408"/>
      <c r="AC539" s="408" t="s">
        <v>97</v>
      </c>
      <c r="AD539" s="409" t="s">
        <v>279</v>
      </c>
      <c r="AE539" s="409" t="s">
        <v>2271</v>
      </c>
      <c r="AF539" s="408">
        <v>210955</v>
      </c>
      <c r="AG539" s="537" t="s">
        <v>2404</v>
      </c>
      <c r="AH539" s="408" t="s">
        <v>2405</v>
      </c>
      <c r="AI539" s="409"/>
      <c r="AJ539" s="409"/>
      <c r="AK539" s="408"/>
      <c r="AL539" s="408"/>
      <c r="AM539" s="408"/>
      <c r="AN539" s="408"/>
      <c r="AO539" s="409"/>
      <c r="AP539" s="408"/>
      <c r="AQ539" s="408"/>
      <c r="AR539" s="408"/>
      <c r="AS539" s="408"/>
      <c r="AT539" s="408"/>
      <c r="AU539" s="408"/>
      <c r="AV539" s="410"/>
    </row>
    <row r="540" spans="1:48" ht="43.2" hidden="1">
      <c r="A540" s="421" t="s">
        <v>2406</v>
      </c>
      <c r="B540" s="422" t="s">
        <v>2407</v>
      </c>
      <c r="C540" s="422"/>
      <c r="D540" s="423" t="s">
        <v>302</v>
      </c>
      <c r="E540" s="423" t="s">
        <v>1750</v>
      </c>
      <c r="F540" s="406">
        <v>2023</v>
      </c>
      <c r="G540" s="406">
        <v>2023</v>
      </c>
      <c r="H540" s="406">
        <v>2023</v>
      </c>
      <c r="I540" s="408"/>
      <c r="J540" s="409"/>
      <c r="K540" s="409"/>
      <c r="L540" s="409"/>
      <c r="M540" s="409"/>
      <c r="N540" s="408" t="s">
        <v>2408</v>
      </c>
      <c r="O540" s="409"/>
      <c r="P540" s="409"/>
      <c r="Q540" s="409"/>
      <c r="R540" s="409"/>
      <c r="S540" s="408" t="s">
        <v>97</v>
      </c>
      <c r="T540" s="409" t="s">
        <v>279</v>
      </c>
      <c r="U540" s="409"/>
      <c r="V540" s="408"/>
      <c r="W540" s="408"/>
      <c r="X540" s="408" t="s">
        <v>2409</v>
      </c>
      <c r="Y540" s="409"/>
      <c r="Z540" s="409"/>
      <c r="AA540" s="408"/>
      <c r="AB540" s="408"/>
      <c r="AC540" s="408" t="s">
        <v>2410</v>
      </c>
      <c r="AD540" s="409"/>
      <c r="AE540" s="409"/>
      <c r="AF540" s="408"/>
      <c r="AG540" s="408"/>
      <c r="AH540" s="408"/>
      <c r="AI540" s="409"/>
      <c r="AJ540" s="409"/>
      <c r="AK540" s="408"/>
      <c r="AL540" s="408"/>
      <c r="AM540" s="408"/>
      <c r="AN540" s="408"/>
      <c r="AO540" s="409"/>
      <c r="AP540" s="408"/>
      <c r="AQ540" s="408"/>
      <c r="AR540" s="408"/>
      <c r="AS540" s="408"/>
      <c r="AT540" s="408"/>
      <c r="AU540" s="408"/>
      <c r="AV540" s="410"/>
    </row>
    <row r="541" spans="1:48" ht="28.8" hidden="1">
      <c r="A541" s="421" t="s">
        <v>2411</v>
      </c>
      <c r="B541" s="422" t="s">
        <v>2412</v>
      </c>
      <c r="C541" s="422"/>
      <c r="D541" s="423" t="s">
        <v>568</v>
      </c>
      <c r="E541" s="423" t="s">
        <v>1122</v>
      </c>
      <c r="F541" s="406">
        <v>2023</v>
      </c>
      <c r="G541" s="406">
        <v>2023</v>
      </c>
      <c r="H541" s="406">
        <v>2023</v>
      </c>
      <c r="I541" s="408"/>
      <c r="J541" s="409"/>
      <c r="K541" s="409"/>
      <c r="L541" s="409"/>
      <c r="M541" s="409"/>
      <c r="N541" s="408" t="s">
        <v>97</v>
      </c>
      <c r="O541" s="409" t="s">
        <v>279</v>
      </c>
      <c r="P541" s="409"/>
      <c r="Q541" s="409"/>
      <c r="R541" s="409"/>
      <c r="S541" s="408" t="s">
        <v>2413</v>
      </c>
      <c r="T541" s="409"/>
      <c r="U541" s="409"/>
      <c r="V541" s="408"/>
      <c r="W541" s="408"/>
      <c r="X541" s="408"/>
      <c r="Y541" s="409"/>
      <c r="Z541" s="409"/>
      <c r="AA541" s="408"/>
      <c r="AB541" s="408"/>
      <c r="AC541" s="408"/>
      <c r="AD541" s="409"/>
      <c r="AE541" s="409"/>
      <c r="AF541" s="408"/>
      <c r="AG541" s="408"/>
      <c r="AH541" s="408"/>
      <c r="AI541" s="409"/>
      <c r="AJ541" s="409"/>
      <c r="AK541" s="408"/>
      <c r="AL541" s="408"/>
      <c r="AM541" s="408"/>
      <c r="AN541" s="408"/>
      <c r="AO541" s="409"/>
      <c r="AP541" s="408"/>
      <c r="AQ541" s="408"/>
      <c r="AR541" s="408"/>
      <c r="AS541" s="408"/>
      <c r="AT541" s="408"/>
      <c r="AU541" s="408"/>
      <c r="AV541" s="410"/>
    </row>
    <row r="542" spans="1:48" ht="28.8" hidden="1">
      <c r="A542" s="421" t="s">
        <v>2414</v>
      </c>
      <c r="B542" s="422" t="s">
        <v>2407</v>
      </c>
      <c r="C542" s="422"/>
      <c r="D542" s="423" t="s">
        <v>302</v>
      </c>
      <c r="E542" s="423" t="s">
        <v>1750</v>
      </c>
      <c r="F542" s="406">
        <v>2023</v>
      </c>
      <c r="G542" s="406">
        <v>2023</v>
      </c>
      <c r="H542" s="406">
        <v>2023</v>
      </c>
      <c r="I542" s="408"/>
      <c r="J542" s="409"/>
      <c r="K542" s="409"/>
      <c r="L542" s="409"/>
      <c r="M542" s="409"/>
      <c r="N542" s="408" t="s">
        <v>2415</v>
      </c>
      <c r="O542" s="409"/>
      <c r="P542" s="409"/>
      <c r="Q542" s="409"/>
      <c r="R542" s="409"/>
      <c r="S542" s="408" t="s">
        <v>97</v>
      </c>
      <c r="T542" s="409" t="s">
        <v>279</v>
      </c>
      <c r="U542" s="409"/>
      <c r="V542" s="408"/>
      <c r="W542" s="408"/>
      <c r="X542" s="408" t="s">
        <v>2416</v>
      </c>
      <c r="Y542" s="409"/>
      <c r="Z542" s="409"/>
      <c r="AA542" s="408"/>
      <c r="AB542" s="408"/>
      <c r="AC542" s="408"/>
      <c r="AD542" s="409"/>
      <c r="AE542" s="409"/>
      <c r="AF542" s="408"/>
      <c r="AG542" s="408"/>
      <c r="AH542" s="408"/>
      <c r="AI542" s="409"/>
      <c r="AJ542" s="409"/>
      <c r="AK542" s="408"/>
      <c r="AL542" s="408"/>
      <c r="AM542" s="408"/>
      <c r="AN542" s="408"/>
      <c r="AO542" s="409"/>
      <c r="AP542" s="408"/>
      <c r="AQ542" s="408"/>
      <c r="AR542" s="408"/>
      <c r="AS542" s="408"/>
      <c r="AT542" s="408"/>
      <c r="AU542" s="408"/>
      <c r="AV542" s="410"/>
    </row>
    <row r="543" spans="1:48" ht="28.8" hidden="1">
      <c r="A543" s="421" t="s">
        <v>2417</v>
      </c>
      <c r="B543" s="422" t="s">
        <v>2407</v>
      </c>
      <c r="C543" s="422"/>
      <c r="D543" s="423" t="s">
        <v>302</v>
      </c>
      <c r="E543" s="423" t="s">
        <v>1750</v>
      </c>
      <c r="F543" s="406">
        <v>2024</v>
      </c>
      <c r="G543" s="406">
        <v>2024</v>
      </c>
      <c r="H543" s="406">
        <v>2024</v>
      </c>
      <c r="I543" s="408" t="s">
        <v>190</v>
      </c>
      <c r="J543" s="409">
        <v>6843797</v>
      </c>
      <c r="K543" s="536" t="s">
        <v>2418</v>
      </c>
      <c r="L543" s="409" t="s">
        <v>279</v>
      </c>
      <c r="M543" s="409" t="s">
        <v>2271</v>
      </c>
      <c r="N543" s="408" t="s">
        <v>190</v>
      </c>
      <c r="O543" s="409" t="s">
        <v>279</v>
      </c>
      <c r="P543" s="409" t="s">
        <v>2271</v>
      </c>
      <c r="Q543" s="409">
        <v>6843797</v>
      </c>
      <c r="R543" s="536" t="s">
        <v>2418</v>
      </c>
      <c r="S543" s="408" t="s">
        <v>1648</v>
      </c>
      <c r="T543" s="409"/>
      <c r="U543" s="409"/>
      <c r="V543" s="408"/>
      <c r="W543" s="408"/>
      <c r="X543" s="408" t="s">
        <v>97</v>
      </c>
      <c r="Y543" s="409" t="s">
        <v>279</v>
      </c>
      <c r="Z543" s="409" t="s">
        <v>2271</v>
      </c>
      <c r="AA543" s="408">
        <v>210955</v>
      </c>
      <c r="AB543" s="537" t="s">
        <v>2404</v>
      </c>
      <c r="AC543" s="408" t="s">
        <v>2419</v>
      </c>
      <c r="AD543" s="409"/>
      <c r="AE543" s="409"/>
      <c r="AF543" s="408"/>
      <c r="AG543" s="408"/>
      <c r="AH543" s="408" t="s">
        <v>1643</v>
      </c>
      <c r="AI543" s="409"/>
      <c r="AJ543" s="409"/>
      <c r="AK543" s="408"/>
      <c r="AL543" s="408"/>
      <c r="AM543" s="408"/>
      <c r="AN543" s="408"/>
      <c r="AO543" s="409"/>
      <c r="AP543" s="408"/>
      <c r="AQ543" s="408"/>
      <c r="AR543" s="408"/>
      <c r="AS543" s="408"/>
      <c r="AT543" s="408"/>
      <c r="AU543" s="408"/>
      <c r="AV543" s="410"/>
    </row>
    <row r="544" spans="1:48" ht="57.6" hidden="1">
      <c r="A544" s="177" t="s">
        <v>2420</v>
      </c>
      <c r="B544" s="422" t="s">
        <v>2356</v>
      </c>
      <c r="C544" s="422"/>
      <c r="D544" s="423" t="s">
        <v>277</v>
      </c>
      <c r="E544" s="395" t="s">
        <v>1122</v>
      </c>
      <c r="F544" s="406">
        <v>2023</v>
      </c>
      <c r="G544" s="406">
        <v>2023</v>
      </c>
      <c r="H544" s="406">
        <v>2023</v>
      </c>
      <c r="I544" s="408"/>
      <c r="J544" s="409"/>
      <c r="K544" s="409"/>
      <c r="L544" s="409"/>
      <c r="M544" s="409"/>
      <c r="N544" s="408" t="s">
        <v>14</v>
      </c>
      <c r="O544" s="409" t="s">
        <v>279</v>
      </c>
      <c r="P544" s="409"/>
      <c r="Q544" s="409"/>
      <c r="R544" s="409"/>
      <c r="S544" s="408" t="s">
        <v>2421</v>
      </c>
      <c r="T544" s="409"/>
      <c r="U544" s="409"/>
      <c r="V544" s="408"/>
      <c r="W544" s="408"/>
      <c r="X544" s="408" t="s">
        <v>676</v>
      </c>
      <c r="Y544" s="409"/>
      <c r="Z544" s="409"/>
      <c r="AA544" s="408"/>
      <c r="AB544" s="408"/>
      <c r="AC544" s="408"/>
      <c r="AD544" s="409"/>
      <c r="AE544" s="409"/>
      <c r="AF544" s="408"/>
      <c r="AG544" s="408"/>
      <c r="AH544" s="408"/>
      <c r="AI544" s="409"/>
      <c r="AJ544" s="409"/>
      <c r="AK544" s="408"/>
      <c r="AL544" s="408"/>
      <c r="AM544" s="408"/>
      <c r="AN544" s="408"/>
      <c r="AO544" s="409"/>
      <c r="AP544" s="408"/>
      <c r="AQ544" s="408"/>
      <c r="AR544" s="408"/>
      <c r="AS544" s="408"/>
      <c r="AT544" s="408"/>
      <c r="AU544" s="408"/>
      <c r="AV544" s="410"/>
    </row>
    <row r="545" spans="1:48" ht="28.8" hidden="1">
      <c r="A545" s="421" t="s">
        <v>2422</v>
      </c>
      <c r="B545" s="422" t="s">
        <v>2423</v>
      </c>
      <c r="C545" s="422"/>
      <c r="D545" s="423" t="s">
        <v>302</v>
      </c>
      <c r="E545" s="423" t="s">
        <v>1750</v>
      </c>
      <c r="F545" s="406">
        <v>2024</v>
      </c>
      <c r="G545" s="406">
        <v>2024</v>
      </c>
      <c r="H545" s="406">
        <v>2024</v>
      </c>
      <c r="I545" s="408"/>
      <c r="J545" s="409"/>
      <c r="K545" s="409"/>
      <c r="L545" s="409"/>
      <c r="M545" s="409"/>
      <c r="N545" s="408" t="s">
        <v>27</v>
      </c>
      <c r="O545" s="409" t="s">
        <v>279</v>
      </c>
      <c r="P545" s="409" t="s">
        <v>2271</v>
      </c>
      <c r="Q545" s="409">
        <v>6680629</v>
      </c>
      <c r="R545" s="536" t="s">
        <v>2424</v>
      </c>
      <c r="S545" s="408" t="s">
        <v>92</v>
      </c>
      <c r="T545" s="409" t="s">
        <v>279</v>
      </c>
      <c r="U545" s="409" t="s">
        <v>2271</v>
      </c>
      <c r="V545" s="408">
        <v>6680641</v>
      </c>
      <c r="W545" s="537" t="s">
        <v>1794</v>
      </c>
      <c r="X545" s="408" t="s">
        <v>18</v>
      </c>
      <c r="Y545" s="409" t="s">
        <v>449</v>
      </c>
      <c r="Z545" s="409" t="s">
        <v>2271</v>
      </c>
      <c r="AA545" s="408">
        <v>6680633</v>
      </c>
      <c r="AB545" s="537" t="s">
        <v>1703</v>
      </c>
      <c r="AC545" s="408" t="s">
        <v>2425</v>
      </c>
      <c r="AD545" s="409" t="s">
        <v>279</v>
      </c>
      <c r="AE545" s="409" t="s">
        <v>2271</v>
      </c>
      <c r="AF545" s="408"/>
      <c r="AG545" s="408">
        <v>1102180004</v>
      </c>
      <c r="AH545" s="408"/>
      <c r="AI545" s="409"/>
      <c r="AJ545" s="409"/>
      <c r="AK545" s="408"/>
      <c r="AL545" s="408"/>
      <c r="AM545" s="408"/>
      <c r="AN545" s="408"/>
      <c r="AO545" s="409"/>
      <c r="AP545" s="408"/>
      <c r="AQ545" s="408"/>
      <c r="AR545" s="408"/>
      <c r="AS545" s="408"/>
      <c r="AT545" s="408"/>
      <c r="AU545" s="408"/>
      <c r="AV545" s="410"/>
    </row>
    <row r="546" spans="1:48" ht="57.6" hidden="1">
      <c r="A546" s="421" t="s">
        <v>2426</v>
      </c>
      <c r="B546" s="422" t="s">
        <v>2356</v>
      </c>
      <c r="C546" s="422"/>
      <c r="D546" s="423" t="s">
        <v>277</v>
      </c>
      <c r="E546" s="395" t="s">
        <v>1122</v>
      </c>
      <c r="F546" s="406">
        <v>2023</v>
      </c>
      <c r="G546" s="406">
        <v>2023</v>
      </c>
      <c r="H546" s="406">
        <v>2023</v>
      </c>
      <c r="I546" s="408"/>
      <c r="J546" s="409"/>
      <c r="K546" s="409"/>
      <c r="L546" s="409"/>
      <c r="M546" s="409"/>
      <c r="N546" s="408" t="s">
        <v>92</v>
      </c>
      <c r="O546" s="409" t="s">
        <v>279</v>
      </c>
      <c r="P546" s="409"/>
      <c r="Q546" s="409"/>
      <c r="R546" s="409"/>
      <c r="S546" s="408" t="s">
        <v>2427</v>
      </c>
      <c r="T546" s="409"/>
      <c r="U546" s="409"/>
      <c r="V546" s="408"/>
      <c r="W546" s="408"/>
      <c r="X546" s="408"/>
      <c r="Y546" s="409"/>
      <c r="Z546" s="409"/>
      <c r="AA546" s="408"/>
      <c r="AB546" s="408"/>
      <c r="AC546" s="408"/>
      <c r="AD546" s="409"/>
      <c r="AE546" s="409"/>
      <c r="AF546" s="408"/>
      <c r="AG546" s="408"/>
      <c r="AH546" s="408"/>
      <c r="AI546" s="409"/>
      <c r="AJ546" s="409"/>
      <c r="AK546" s="408"/>
      <c r="AL546" s="408"/>
      <c r="AM546" s="408"/>
      <c r="AN546" s="408"/>
      <c r="AO546" s="409"/>
      <c r="AP546" s="408"/>
      <c r="AQ546" s="408"/>
      <c r="AR546" s="408"/>
      <c r="AS546" s="408"/>
      <c r="AT546" s="408"/>
      <c r="AU546" s="408"/>
      <c r="AV546" s="410"/>
    </row>
    <row r="547" spans="1:48" ht="28.8" hidden="1">
      <c r="A547" s="421" t="s">
        <v>2428</v>
      </c>
      <c r="B547" s="422" t="s">
        <v>2429</v>
      </c>
      <c r="C547" s="422"/>
      <c r="D547" s="423" t="s">
        <v>374</v>
      </c>
      <c r="E547" s="423" t="s">
        <v>1750</v>
      </c>
      <c r="F547" s="406">
        <v>2023</v>
      </c>
      <c r="G547" s="406">
        <v>2023</v>
      </c>
      <c r="H547" s="406">
        <v>2023</v>
      </c>
      <c r="I547" s="408"/>
      <c r="J547" s="409"/>
      <c r="K547" s="409"/>
      <c r="L547" s="409"/>
      <c r="M547" s="409"/>
      <c r="N547" s="408" t="s">
        <v>190</v>
      </c>
      <c r="O547" s="409" t="s">
        <v>279</v>
      </c>
      <c r="P547" s="409"/>
      <c r="Q547" s="409"/>
      <c r="R547" s="409"/>
      <c r="S547" s="408" t="s">
        <v>92</v>
      </c>
      <c r="T547" s="409" t="s">
        <v>279</v>
      </c>
      <c r="U547" s="409"/>
      <c r="V547" s="408"/>
      <c r="W547" s="408"/>
      <c r="X547" s="408" t="s">
        <v>10</v>
      </c>
      <c r="Y547" s="409" t="s">
        <v>162</v>
      </c>
      <c r="Z547" s="409"/>
      <c r="AA547" s="408"/>
      <c r="AB547" s="408"/>
      <c r="AC547" s="408" t="s">
        <v>2430</v>
      </c>
      <c r="AD547" s="409"/>
      <c r="AE547" s="409"/>
      <c r="AF547" s="408"/>
      <c r="AG547" s="408"/>
      <c r="AH547" s="408" t="s">
        <v>2431</v>
      </c>
      <c r="AI547" s="409"/>
      <c r="AJ547" s="409"/>
      <c r="AK547" s="408"/>
      <c r="AL547" s="408"/>
      <c r="AM547" s="408" t="s">
        <v>2432</v>
      </c>
      <c r="AN547" s="408"/>
      <c r="AO547" s="409"/>
      <c r="AP547" s="408"/>
      <c r="AQ547" s="408"/>
      <c r="AR547" s="408"/>
      <c r="AS547" s="408"/>
      <c r="AT547" s="408"/>
      <c r="AU547" s="408"/>
      <c r="AV547" s="410"/>
    </row>
    <row r="548" spans="1:48" ht="43.2" hidden="1">
      <c r="A548" s="421" t="s">
        <v>2433</v>
      </c>
      <c r="B548" s="422" t="s">
        <v>2434</v>
      </c>
      <c r="C548" s="422"/>
      <c r="D548" s="423" t="s">
        <v>277</v>
      </c>
      <c r="E548" s="423" t="s">
        <v>303</v>
      </c>
      <c r="F548" s="406">
        <v>2023</v>
      </c>
      <c r="G548" s="406">
        <v>2023</v>
      </c>
      <c r="H548" s="406">
        <v>2023</v>
      </c>
      <c r="I548" s="408"/>
      <c r="J548" s="409"/>
      <c r="K548" s="409"/>
      <c r="L548" s="409"/>
      <c r="M548" s="409"/>
      <c r="N548" s="408" t="s">
        <v>92</v>
      </c>
      <c r="O548" s="409" t="s">
        <v>279</v>
      </c>
      <c r="P548" s="409"/>
      <c r="Q548" s="409"/>
      <c r="R548" s="409"/>
      <c r="S548" s="408" t="s">
        <v>2427</v>
      </c>
      <c r="T548" s="409"/>
      <c r="U548" s="409"/>
      <c r="V548" s="408"/>
      <c r="W548" s="408"/>
      <c r="X548" s="408"/>
      <c r="Y548" s="409"/>
      <c r="Z548" s="409"/>
      <c r="AA548" s="408"/>
      <c r="AB548" s="408"/>
      <c r="AC548" s="408"/>
      <c r="AD548" s="409"/>
      <c r="AE548" s="409"/>
      <c r="AF548" s="408"/>
      <c r="AG548" s="408"/>
      <c r="AH548" s="408"/>
      <c r="AI548" s="409"/>
      <c r="AJ548" s="409"/>
      <c r="AK548" s="408"/>
      <c r="AL548" s="408"/>
      <c r="AM548" s="408"/>
      <c r="AN548" s="408"/>
      <c r="AO548" s="409"/>
      <c r="AP548" s="408"/>
      <c r="AQ548" s="408"/>
      <c r="AR548" s="408"/>
      <c r="AS548" s="408"/>
      <c r="AT548" s="408"/>
      <c r="AU548" s="408"/>
      <c r="AV548" s="410"/>
    </row>
    <row r="549" spans="1:48" ht="28.8">
      <c r="A549" s="421" t="s">
        <v>2435</v>
      </c>
      <c r="B549" s="422" t="s">
        <v>1735</v>
      </c>
      <c r="C549" s="422" t="s">
        <v>2270</v>
      </c>
      <c r="D549" s="423" t="s">
        <v>374</v>
      </c>
      <c r="E549" s="423" t="s">
        <v>1750</v>
      </c>
      <c r="F549" s="406">
        <v>2024</v>
      </c>
      <c r="G549" s="406">
        <v>2024</v>
      </c>
      <c r="H549" s="406">
        <v>2024</v>
      </c>
      <c r="I549" s="408" t="s">
        <v>85</v>
      </c>
      <c r="J549" s="409">
        <v>6680708</v>
      </c>
      <c r="K549" s="536" t="s">
        <v>2436</v>
      </c>
      <c r="L549" s="409" t="s">
        <v>309</v>
      </c>
      <c r="M549" s="409" t="s">
        <v>2271</v>
      </c>
      <c r="N549" s="408" t="s">
        <v>92</v>
      </c>
      <c r="O549" s="409" t="s">
        <v>279</v>
      </c>
      <c r="P549" s="409" t="s">
        <v>2271</v>
      </c>
      <c r="Q549" s="408">
        <v>6680641</v>
      </c>
      <c r="R549" s="537" t="s">
        <v>1794</v>
      </c>
      <c r="S549" s="408" t="s">
        <v>6</v>
      </c>
      <c r="T549" s="409" t="s">
        <v>351</v>
      </c>
      <c r="U549" s="409" t="s">
        <v>2271</v>
      </c>
      <c r="V549" s="409">
        <v>6681051</v>
      </c>
      <c r="W549" s="536" t="s">
        <v>1657</v>
      </c>
      <c r="X549" s="408" t="s">
        <v>2437</v>
      </c>
      <c r="Y549" s="409" t="s">
        <v>309</v>
      </c>
      <c r="Z549" s="409" t="s">
        <v>2271</v>
      </c>
      <c r="AA549" s="408"/>
      <c r="AB549" s="408">
        <v>1103210015</v>
      </c>
      <c r="AC549" s="408" t="s">
        <v>2438</v>
      </c>
      <c r="AD549" s="409" t="s">
        <v>309</v>
      </c>
      <c r="AE549" s="409" t="s">
        <v>2271</v>
      </c>
      <c r="AF549" s="408"/>
      <c r="AG549" s="408">
        <v>1103220005</v>
      </c>
      <c r="AH549" s="408" t="s">
        <v>2439</v>
      </c>
      <c r="AI549" s="409" t="s">
        <v>309</v>
      </c>
      <c r="AJ549" s="409" t="s">
        <v>2271</v>
      </c>
      <c r="AK549" s="408"/>
      <c r="AL549" s="408">
        <v>1103229001</v>
      </c>
      <c r="AM549" s="408" t="s">
        <v>2440</v>
      </c>
      <c r="AN549" s="408" t="s">
        <v>279</v>
      </c>
      <c r="AO549" s="409" t="s">
        <v>2271</v>
      </c>
      <c r="AP549" s="408"/>
      <c r="AQ549" s="408">
        <v>1102200020</v>
      </c>
      <c r="AR549" s="408" t="s">
        <v>2441</v>
      </c>
      <c r="AS549" s="408"/>
      <c r="AT549" s="408"/>
      <c r="AU549" s="408"/>
      <c r="AV549" s="410"/>
    </row>
    <row r="550" spans="1:48" ht="43.2" hidden="1">
      <c r="A550" s="421" t="s">
        <v>2442</v>
      </c>
      <c r="B550" s="422" t="s">
        <v>2443</v>
      </c>
      <c r="C550" s="422"/>
      <c r="D550" s="423" t="s">
        <v>277</v>
      </c>
      <c r="E550" s="395" t="s">
        <v>1122</v>
      </c>
      <c r="F550" s="406">
        <v>2023</v>
      </c>
      <c r="G550" s="406">
        <v>2023</v>
      </c>
      <c r="H550" s="406">
        <v>2023</v>
      </c>
      <c r="I550" s="408"/>
      <c r="J550" s="409"/>
      <c r="K550" s="409"/>
      <c r="L550" s="409"/>
      <c r="M550" s="409"/>
      <c r="N550" s="408" t="s">
        <v>480</v>
      </c>
      <c r="O550" s="409"/>
      <c r="P550" s="409"/>
      <c r="Q550" s="409"/>
      <c r="R550" s="409"/>
      <c r="S550" s="408" t="s">
        <v>2444</v>
      </c>
      <c r="T550" s="409"/>
      <c r="U550" s="409"/>
      <c r="V550" s="408"/>
      <c r="W550" s="408"/>
      <c r="X550" s="408" t="s">
        <v>2445</v>
      </c>
      <c r="Y550" s="409"/>
      <c r="Z550" s="409"/>
      <c r="AA550" s="408"/>
      <c r="AB550" s="408"/>
      <c r="AC550" s="408" t="s">
        <v>2446</v>
      </c>
      <c r="AD550" s="409"/>
      <c r="AE550" s="409"/>
      <c r="AF550" s="408"/>
      <c r="AG550" s="408"/>
      <c r="AH550" s="408" t="s">
        <v>2447</v>
      </c>
      <c r="AI550" s="409"/>
      <c r="AJ550" s="409"/>
      <c r="AK550" s="408"/>
      <c r="AL550" s="408"/>
      <c r="AM550" s="408" t="s">
        <v>190</v>
      </c>
      <c r="AN550" s="408" t="s">
        <v>279</v>
      </c>
      <c r="AO550" s="409"/>
      <c r="AP550" s="408"/>
      <c r="AQ550" s="408"/>
      <c r="AR550" s="408" t="s">
        <v>2448</v>
      </c>
      <c r="AS550" s="408"/>
      <c r="AT550" s="408"/>
      <c r="AU550" s="408"/>
      <c r="AV550" s="410"/>
    </row>
    <row r="551" spans="1:48" ht="72" hidden="1">
      <c r="A551" s="421" t="s">
        <v>2449</v>
      </c>
      <c r="B551" s="422" t="s">
        <v>2450</v>
      </c>
      <c r="C551" s="422"/>
      <c r="D551" s="423" t="s">
        <v>277</v>
      </c>
      <c r="E551" s="395" t="s">
        <v>1122</v>
      </c>
      <c r="F551" s="406">
        <v>2023</v>
      </c>
      <c r="G551" s="406">
        <v>2023</v>
      </c>
      <c r="H551" s="406">
        <v>2023</v>
      </c>
      <c r="I551" s="408" t="s">
        <v>108</v>
      </c>
      <c r="J551" s="409"/>
      <c r="K551" s="409"/>
      <c r="L551" s="409" t="s">
        <v>494</v>
      </c>
      <c r="M551" s="409"/>
      <c r="N551" s="408" t="s">
        <v>173</v>
      </c>
      <c r="O551" s="409" t="s">
        <v>494</v>
      </c>
      <c r="P551" s="409"/>
      <c r="Q551" s="409"/>
      <c r="R551" s="409"/>
      <c r="S551" s="408" t="s">
        <v>108</v>
      </c>
      <c r="T551" s="409" t="s">
        <v>494</v>
      </c>
      <c r="U551" s="409"/>
      <c r="V551" s="408"/>
      <c r="W551" s="408"/>
      <c r="X551" s="408" t="s">
        <v>190</v>
      </c>
      <c r="Y551" s="409" t="s">
        <v>279</v>
      </c>
      <c r="Z551" s="409"/>
      <c r="AA551" s="408"/>
      <c r="AB551" s="408"/>
      <c r="AC551" s="408" t="s">
        <v>23</v>
      </c>
      <c r="AD551" s="409" t="s">
        <v>494</v>
      </c>
      <c r="AE551" s="409"/>
      <c r="AF551" s="408"/>
      <c r="AG551" s="408"/>
      <c r="AH551" s="408" t="s">
        <v>16</v>
      </c>
      <c r="AI551" s="409" t="s">
        <v>494</v>
      </c>
      <c r="AJ551" s="409"/>
      <c r="AK551" s="408"/>
      <c r="AL551" s="408"/>
      <c r="AM551" s="408"/>
      <c r="AN551" s="408"/>
      <c r="AO551" s="409"/>
      <c r="AP551" s="408"/>
      <c r="AQ551" s="408"/>
      <c r="AR551" s="408"/>
      <c r="AS551" s="408"/>
      <c r="AT551" s="408"/>
      <c r="AU551" s="408"/>
      <c r="AV551" s="410"/>
    </row>
    <row r="552" spans="1:48" ht="28.8" hidden="1">
      <c r="A552" s="421" t="s">
        <v>2451</v>
      </c>
      <c r="B552" s="422" t="s">
        <v>2452</v>
      </c>
      <c r="C552" s="422"/>
      <c r="D552" s="423" t="s">
        <v>302</v>
      </c>
      <c r="E552" s="395" t="s">
        <v>303</v>
      </c>
      <c r="F552" s="406">
        <v>2024</v>
      </c>
      <c r="G552" s="406">
        <v>2024</v>
      </c>
      <c r="H552" s="406">
        <v>2024</v>
      </c>
      <c r="I552" s="408" t="s">
        <v>190</v>
      </c>
      <c r="J552" s="409">
        <v>6843797</v>
      </c>
      <c r="K552" s="536" t="s">
        <v>2418</v>
      </c>
      <c r="L552" s="409" t="s">
        <v>279</v>
      </c>
      <c r="M552" s="409" t="s">
        <v>2271</v>
      </c>
      <c r="N552" s="408" t="s">
        <v>190</v>
      </c>
      <c r="O552" s="409" t="s">
        <v>279</v>
      </c>
      <c r="P552" s="409" t="s">
        <v>2271</v>
      </c>
      <c r="Q552" s="409">
        <v>6843797</v>
      </c>
      <c r="R552" s="536" t="s">
        <v>2418</v>
      </c>
      <c r="S552" s="408" t="s">
        <v>2419</v>
      </c>
      <c r="T552" s="409"/>
      <c r="U552" s="409"/>
      <c r="V552" s="408"/>
      <c r="W552" s="408"/>
      <c r="X552" s="408" t="s">
        <v>1648</v>
      </c>
      <c r="Y552" s="409"/>
      <c r="Z552" s="409"/>
      <c r="AA552" s="408"/>
      <c r="AB552" s="408"/>
      <c r="AC552" s="408" t="s">
        <v>911</v>
      </c>
      <c r="AD552" s="409"/>
      <c r="AE552" s="409"/>
      <c r="AF552" s="408"/>
      <c r="AG552" s="408"/>
      <c r="AH552" s="408"/>
      <c r="AI552" s="409"/>
      <c r="AJ552" s="409"/>
      <c r="AK552" s="408"/>
      <c r="AL552" s="408"/>
      <c r="AM552" s="408"/>
      <c r="AN552" s="408"/>
      <c r="AO552" s="409"/>
      <c r="AP552" s="408"/>
      <c r="AQ552" s="408"/>
      <c r="AR552" s="408"/>
      <c r="AS552" s="408"/>
      <c r="AT552" s="408"/>
      <c r="AU552" s="408"/>
      <c r="AV552" s="410"/>
    </row>
    <row r="553" spans="1:48" ht="28.8" hidden="1">
      <c r="A553" s="421" t="s">
        <v>2453</v>
      </c>
      <c r="B553" s="422" t="s">
        <v>2274</v>
      </c>
      <c r="C553" s="422"/>
      <c r="D553" s="423" t="s">
        <v>321</v>
      </c>
      <c r="E553" s="423" t="s">
        <v>1750</v>
      </c>
      <c r="F553" s="406">
        <v>2024</v>
      </c>
      <c r="G553" s="406">
        <v>2024</v>
      </c>
      <c r="H553" s="406">
        <v>2024</v>
      </c>
      <c r="I553" s="408" t="s">
        <v>190</v>
      </c>
      <c r="J553" s="409">
        <v>6843797</v>
      </c>
      <c r="K553" s="536" t="s">
        <v>2418</v>
      </c>
      <c r="L553" s="409" t="s">
        <v>279</v>
      </c>
      <c r="M553" s="409" t="s">
        <v>2271</v>
      </c>
      <c r="N553" s="408" t="s">
        <v>10</v>
      </c>
      <c r="O553" s="409" t="s">
        <v>162</v>
      </c>
      <c r="P553" s="409" t="s">
        <v>2271</v>
      </c>
      <c r="Q553" s="409">
        <v>6680683</v>
      </c>
      <c r="R553" s="536" t="s">
        <v>2454</v>
      </c>
      <c r="S553" s="408" t="s">
        <v>92</v>
      </c>
      <c r="T553" s="409" t="s">
        <v>279</v>
      </c>
      <c r="U553" s="409" t="s">
        <v>2271</v>
      </c>
      <c r="V553" s="408">
        <v>6680641</v>
      </c>
      <c r="W553" s="537" t="s">
        <v>1794</v>
      </c>
      <c r="X553" s="408"/>
      <c r="Y553" s="409"/>
      <c r="Z553" s="409"/>
      <c r="AA553" s="408"/>
      <c r="AB553" s="408"/>
      <c r="AC553" s="408"/>
      <c r="AD553" s="409"/>
      <c r="AE553" s="409"/>
      <c r="AF553" s="408"/>
      <c r="AG553" s="408"/>
      <c r="AH553" s="408"/>
      <c r="AI553" s="409"/>
      <c r="AJ553" s="409"/>
      <c r="AK553" s="408"/>
      <c r="AL553" s="408"/>
      <c r="AM553" s="408"/>
      <c r="AN553" s="408"/>
      <c r="AO553" s="409"/>
      <c r="AP553" s="408"/>
      <c r="AQ553" s="408"/>
      <c r="AR553" s="408"/>
      <c r="AS553" s="408"/>
      <c r="AT553" s="408"/>
      <c r="AU553" s="408"/>
      <c r="AV553" s="410"/>
    </row>
    <row r="554" spans="1:48" ht="28.8" hidden="1">
      <c r="A554" s="421" t="s">
        <v>2455</v>
      </c>
      <c r="B554" s="422" t="s">
        <v>2456</v>
      </c>
      <c r="C554" s="422"/>
      <c r="D554" s="423" t="s">
        <v>374</v>
      </c>
      <c r="E554" s="423" t="s">
        <v>1750</v>
      </c>
      <c r="F554" s="406">
        <v>2023</v>
      </c>
      <c r="G554" s="406">
        <v>2023</v>
      </c>
      <c r="H554" s="406">
        <v>2023</v>
      </c>
      <c r="I554" s="408" t="s">
        <v>2457</v>
      </c>
      <c r="J554" s="409"/>
      <c r="K554" s="409"/>
      <c r="L554" s="409"/>
      <c r="M554" s="409"/>
      <c r="N554" s="408" t="s">
        <v>2457</v>
      </c>
      <c r="O554" s="409"/>
      <c r="P554" s="409"/>
      <c r="Q554" s="409"/>
      <c r="R554" s="409"/>
      <c r="S554" s="408" t="s">
        <v>198</v>
      </c>
      <c r="T554" s="409" t="s">
        <v>279</v>
      </c>
      <c r="U554" s="409"/>
      <c r="V554" s="408"/>
      <c r="W554" s="408"/>
      <c r="X554" s="408" t="s">
        <v>2458</v>
      </c>
      <c r="Y554" s="409"/>
      <c r="Z554" s="409"/>
      <c r="AA554" s="408"/>
      <c r="AB554" s="408"/>
      <c r="AC554" s="408"/>
      <c r="AD554" s="409"/>
      <c r="AE554" s="409"/>
      <c r="AF554" s="408"/>
      <c r="AG554" s="408"/>
      <c r="AH554" s="408"/>
      <c r="AI554" s="409"/>
      <c r="AJ554" s="409"/>
      <c r="AK554" s="408"/>
      <c r="AL554" s="408"/>
      <c r="AM554" s="408"/>
      <c r="AN554" s="408"/>
      <c r="AO554" s="409"/>
      <c r="AP554" s="408"/>
      <c r="AQ554" s="408"/>
      <c r="AR554" s="408"/>
      <c r="AS554" s="408"/>
      <c r="AT554" s="408"/>
      <c r="AU554" s="408"/>
      <c r="AV554" s="410"/>
    </row>
    <row r="555" spans="1:48" ht="28.8" hidden="1">
      <c r="A555" s="421" t="s">
        <v>2459</v>
      </c>
      <c r="B555" s="422" t="s">
        <v>1661</v>
      </c>
      <c r="C555" s="422"/>
      <c r="D555" s="423" t="s">
        <v>306</v>
      </c>
      <c r="E555" s="423" t="s">
        <v>1750</v>
      </c>
      <c r="F555" s="406">
        <v>2024</v>
      </c>
      <c r="G555" s="406">
        <v>2024</v>
      </c>
      <c r="H555" s="406">
        <v>2024</v>
      </c>
      <c r="I555" s="408" t="s">
        <v>2457</v>
      </c>
      <c r="J555" s="409"/>
      <c r="K555" s="409"/>
      <c r="L555" s="409"/>
      <c r="M555" s="409"/>
      <c r="N555" s="408" t="s">
        <v>2457</v>
      </c>
      <c r="O555" s="409"/>
      <c r="P555" s="409"/>
      <c r="Q555" s="409"/>
      <c r="R555" s="409"/>
      <c r="S555" s="408" t="s">
        <v>2458</v>
      </c>
      <c r="T555" s="409"/>
      <c r="U555" s="409"/>
      <c r="V555" s="408"/>
      <c r="W555" s="408"/>
      <c r="X555" s="408" t="s">
        <v>198</v>
      </c>
      <c r="Y555" s="409" t="s">
        <v>279</v>
      </c>
      <c r="Z555" s="409" t="s">
        <v>2271</v>
      </c>
      <c r="AA555" s="408">
        <v>6898606</v>
      </c>
      <c r="AB555" s="537" t="s">
        <v>2460</v>
      </c>
      <c r="AC555" s="408" t="s">
        <v>2461</v>
      </c>
      <c r="AD555" s="409"/>
      <c r="AE555" s="409"/>
      <c r="AF555" s="408"/>
      <c r="AG555" s="408"/>
      <c r="AH555" s="408"/>
      <c r="AI555" s="409"/>
      <c r="AJ555" s="409"/>
      <c r="AK555" s="408"/>
      <c r="AL555" s="408"/>
      <c r="AM555" s="408"/>
      <c r="AN555" s="408"/>
      <c r="AO555" s="409"/>
      <c r="AP555" s="408"/>
      <c r="AQ555" s="408"/>
      <c r="AR555" s="408"/>
      <c r="AS555" s="408"/>
      <c r="AT555" s="408"/>
      <c r="AU555" s="408"/>
      <c r="AV555" s="410"/>
    </row>
    <row r="556" spans="1:48" ht="28.8">
      <c r="A556" s="421" t="s">
        <v>2462</v>
      </c>
      <c r="B556" s="422" t="s">
        <v>2463</v>
      </c>
      <c r="C556" s="422" t="s">
        <v>2270</v>
      </c>
      <c r="D556" s="423" t="s">
        <v>302</v>
      </c>
      <c r="E556" s="423" t="s">
        <v>1750</v>
      </c>
      <c r="F556" s="406">
        <v>2024</v>
      </c>
      <c r="G556" s="406">
        <v>2024</v>
      </c>
      <c r="H556" s="406">
        <v>2024</v>
      </c>
      <c r="I556" s="408" t="s">
        <v>2464</v>
      </c>
      <c r="J556" s="409"/>
      <c r="K556" s="409"/>
      <c r="L556" s="409"/>
      <c r="M556" s="409"/>
      <c r="N556" s="408" t="s">
        <v>198</v>
      </c>
      <c r="O556" s="409" t="s">
        <v>279</v>
      </c>
      <c r="P556" s="409" t="s">
        <v>2271</v>
      </c>
      <c r="Q556" s="408">
        <v>6898606</v>
      </c>
      <c r="R556" s="537" t="s">
        <v>2460</v>
      </c>
      <c r="S556" s="408" t="s">
        <v>2464</v>
      </c>
      <c r="T556" s="409"/>
      <c r="U556" s="409"/>
      <c r="V556" s="408"/>
      <c r="W556" s="408"/>
      <c r="X556" s="408" t="s">
        <v>2465</v>
      </c>
      <c r="Y556" s="409"/>
      <c r="Z556" s="409"/>
      <c r="AA556" s="408"/>
      <c r="AB556" s="408"/>
      <c r="AC556" s="408"/>
      <c r="AD556" s="409"/>
      <c r="AE556" s="409"/>
      <c r="AF556" s="408"/>
      <c r="AG556" s="408"/>
      <c r="AH556" s="408"/>
      <c r="AI556" s="409"/>
      <c r="AJ556" s="409"/>
      <c r="AK556" s="408"/>
      <c r="AL556" s="408"/>
      <c r="AM556" s="408"/>
      <c r="AN556" s="408"/>
      <c r="AO556" s="409"/>
      <c r="AP556" s="408"/>
      <c r="AQ556" s="408"/>
      <c r="AR556" s="408"/>
      <c r="AS556" s="408"/>
      <c r="AT556" s="408"/>
      <c r="AU556" s="408"/>
      <c r="AV556" s="410"/>
    </row>
    <row r="557" spans="1:48" ht="57.6" hidden="1">
      <c r="A557" s="421" t="s">
        <v>2466</v>
      </c>
      <c r="B557" s="422" t="s">
        <v>2356</v>
      </c>
      <c r="C557" s="422"/>
      <c r="D557" s="423" t="s">
        <v>277</v>
      </c>
      <c r="E557" s="395" t="s">
        <v>1122</v>
      </c>
      <c r="F557" s="406">
        <v>2023</v>
      </c>
      <c r="G557" s="406">
        <v>2023</v>
      </c>
      <c r="H557" s="406">
        <v>2023</v>
      </c>
      <c r="I557" s="408"/>
      <c r="J557" s="409"/>
      <c r="K557" s="409"/>
      <c r="L557" s="409"/>
      <c r="M557" s="409"/>
      <c r="N557" s="408" t="s">
        <v>2467</v>
      </c>
      <c r="O557" s="409"/>
      <c r="P557" s="409"/>
      <c r="Q557" s="409"/>
      <c r="R557" s="409"/>
      <c r="S557" s="408" t="s">
        <v>87</v>
      </c>
      <c r="T557" s="409" t="s">
        <v>494</v>
      </c>
      <c r="U557" s="409"/>
      <c r="V557" s="408"/>
      <c r="W557" s="408"/>
      <c r="X557" s="408" t="s">
        <v>16</v>
      </c>
      <c r="Y557" s="409" t="s">
        <v>494</v>
      </c>
      <c r="Z557" s="409"/>
      <c r="AA557" s="408"/>
      <c r="AB557" s="408"/>
      <c r="AC557" s="408" t="s">
        <v>173</v>
      </c>
      <c r="AD557" s="409" t="s">
        <v>494</v>
      </c>
      <c r="AE557" s="409"/>
      <c r="AF557" s="408"/>
      <c r="AG557" s="408"/>
      <c r="AH557" s="408" t="s">
        <v>23</v>
      </c>
      <c r="AI557" s="409" t="s">
        <v>494</v>
      </c>
      <c r="AJ557" s="409"/>
      <c r="AK557" s="408"/>
      <c r="AL557" s="408"/>
      <c r="AM557" s="408" t="s">
        <v>153</v>
      </c>
      <c r="AN557" s="408" t="s">
        <v>494</v>
      </c>
      <c r="AO557" s="409"/>
      <c r="AP557" s="408"/>
      <c r="AQ557" s="408"/>
      <c r="AR557" s="408"/>
      <c r="AS557" s="408"/>
      <c r="AT557" s="408"/>
      <c r="AU557" s="408"/>
      <c r="AV557" s="410"/>
    </row>
    <row r="558" spans="1:48" ht="28.8" hidden="1">
      <c r="A558" s="421" t="s">
        <v>2468</v>
      </c>
      <c r="B558" s="422" t="s">
        <v>2469</v>
      </c>
      <c r="C558" s="422"/>
      <c r="D558" s="423" t="s">
        <v>302</v>
      </c>
      <c r="E558" s="423" t="s">
        <v>1750</v>
      </c>
      <c r="F558" s="406">
        <v>2024</v>
      </c>
      <c r="G558" s="406">
        <v>2024</v>
      </c>
      <c r="H558" s="406">
        <v>2024</v>
      </c>
      <c r="I558" s="408" t="s">
        <v>2470</v>
      </c>
      <c r="J558" s="409"/>
      <c r="K558" s="409">
        <v>1101202569</v>
      </c>
      <c r="L558" s="409" t="s">
        <v>494</v>
      </c>
      <c r="M558" s="409" t="s">
        <v>2271</v>
      </c>
      <c r="N558" s="408" t="s">
        <v>2470</v>
      </c>
      <c r="O558" s="409" t="s">
        <v>494</v>
      </c>
      <c r="P558" s="409" t="s">
        <v>2271</v>
      </c>
      <c r="Q558" s="409"/>
      <c r="R558" s="409">
        <v>1101202569</v>
      </c>
      <c r="S558" s="408" t="s">
        <v>16</v>
      </c>
      <c r="T558" s="409" t="s">
        <v>494</v>
      </c>
      <c r="U558" s="409" t="s">
        <v>2271</v>
      </c>
      <c r="V558" s="408">
        <v>6680741</v>
      </c>
      <c r="W558" s="537" t="s">
        <v>1838</v>
      </c>
      <c r="X558" s="408" t="s">
        <v>87</v>
      </c>
      <c r="Y558" s="409" t="s">
        <v>494</v>
      </c>
      <c r="Z558" s="409" t="s">
        <v>2271</v>
      </c>
      <c r="AA558" s="408">
        <v>6786182</v>
      </c>
      <c r="AB558" s="537" t="s">
        <v>2471</v>
      </c>
      <c r="AC558" s="408"/>
      <c r="AD558" s="409"/>
      <c r="AE558" s="409"/>
      <c r="AF558" s="408"/>
      <c r="AG558" s="408"/>
      <c r="AH558" s="408"/>
      <c r="AI558" s="409"/>
      <c r="AJ558" s="409"/>
      <c r="AK558" s="408"/>
      <c r="AL558" s="408"/>
      <c r="AM558" s="408"/>
      <c r="AN558" s="408"/>
      <c r="AO558" s="409"/>
      <c r="AP558" s="408"/>
      <c r="AQ558" s="408"/>
      <c r="AR558" s="408"/>
      <c r="AS558" s="408"/>
      <c r="AT558" s="408"/>
      <c r="AU558" s="408"/>
      <c r="AV558" s="410"/>
    </row>
    <row r="559" spans="1:48" ht="28.8" hidden="1">
      <c r="A559" s="421" t="s">
        <v>2472</v>
      </c>
      <c r="B559" s="422" t="s">
        <v>2469</v>
      </c>
      <c r="C559" s="422"/>
      <c r="D559" s="423" t="s">
        <v>302</v>
      </c>
      <c r="E559" s="423" t="s">
        <v>1750</v>
      </c>
      <c r="F559" s="406">
        <v>2024</v>
      </c>
      <c r="G559" s="406">
        <v>2024</v>
      </c>
      <c r="H559" s="406">
        <v>2024</v>
      </c>
      <c r="I559" s="408" t="s">
        <v>2473</v>
      </c>
      <c r="J559" s="409"/>
      <c r="K559" s="409"/>
      <c r="L559" s="409"/>
      <c r="M559" s="409"/>
      <c r="N559" s="408" t="s">
        <v>2473</v>
      </c>
      <c r="O559" s="409"/>
      <c r="P559" s="409"/>
      <c r="Q559" s="409"/>
      <c r="R559" s="409"/>
      <c r="S559" s="408" t="s">
        <v>16</v>
      </c>
      <c r="T559" s="409" t="s">
        <v>494</v>
      </c>
      <c r="U559" s="409" t="s">
        <v>2271</v>
      </c>
      <c r="V559" s="408">
        <v>6680741</v>
      </c>
      <c r="W559" s="537" t="s">
        <v>1838</v>
      </c>
      <c r="X559" s="408" t="s">
        <v>87</v>
      </c>
      <c r="Y559" s="409" t="s">
        <v>494</v>
      </c>
      <c r="Z559" s="409" t="s">
        <v>2271</v>
      </c>
      <c r="AA559" s="408">
        <v>6786182</v>
      </c>
      <c r="AB559" s="537" t="s">
        <v>2471</v>
      </c>
      <c r="AC559" s="408"/>
      <c r="AD559" s="409"/>
      <c r="AE559" s="409"/>
      <c r="AF559" s="408"/>
      <c r="AG559" s="408"/>
      <c r="AH559" s="408"/>
      <c r="AI559" s="409"/>
      <c r="AJ559" s="409"/>
      <c r="AK559" s="408"/>
      <c r="AL559" s="408"/>
      <c r="AM559" s="408"/>
      <c r="AN559" s="408"/>
      <c r="AO559" s="409"/>
      <c r="AP559" s="408"/>
      <c r="AQ559" s="408"/>
      <c r="AR559" s="408"/>
      <c r="AS559" s="408"/>
      <c r="AT559" s="408"/>
      <c r="AU559" s="408"/>
      <c r="AV559" s="410"/>
    </row>
    <row r="560" spans="1:48" ht="28.8" hidden="1">
      <c r="A560" s="421" t="s">
        <v>2474</v>
      </c>
      <c r="B560" s="422" t="s">
        <v>2469</v>
      </c>
      <c r="C560" s="422"/>
      <c r="D560" s="423" t="s">
        <v>302</v>
      </c>
      <c r="E560" s="423" t="s">
        <v>1750</v>
      </c>
      <c r="F560" s="406">
        <v>2024</v>
      </c>
      <c r="G560" s="406">
        <v>2024</v>
      </c>
      <c r="H560" s="406">
        <v>2024</v>
      </c>
      <c r="I560" s="408" t="s">
        <v>2475</v>
      </c>
      <c r="J560" s="409"/>
      <c r="K560" s="409">
        <v>1101200034</v>
      </c>
      <c r="L560" s="409" t="s">
        <v>494</v>
      </c>
      <c r="M560" s="409" t="s">
        <v>2271</v>
      </c>
      <c r="N560" s="408" t="s">
        <v>2475</v>
      </c>
      <c r="O560" s="409" t="s">
        <v>494</v>
      </c>
      <c r="P560" s="409" t="s">
        <v>2271</v>
      </c>
      <c r="Q560" s="409"/>
      <c r="R560" s="409">
        <v>1101200034</v>
      </c>
      <c r="S560" s="408" t="s">
        <v>16</v>
      </c>
      <c r="T560" s="409" t="s">
        <v>494</v>
      </c>
      <c r="U560" s="409" t="s">
        <v>2271</v>
      </c>
      <c r="V560" s="408">
        <v>6680741</v>
      </c>
      <c r="W560" s="537" t="s">
        <v>1838</v>
      </c>
      <c r="X560" s="408" t="s">
        <v>87</v>
      </c>
      <c r="Y560" s="409" t="s">
        <v>494</v>
      </c>
      <c r="Z560" s="409" t="s">
        <v>2271</v>
      </c>
      <c r="AA560" s="408">
        <v>6786182</v>
      </c>
      <c r="AB560" s="537" t="s">
        <v>2471</v>
      </c>
      <c r="AC560" s="408"/>
      <c r="AD560" s="409"/>
      <c r="AE560" s="409"/>
      <c r="AF560" s="408"/>
      <c r="AG560" s="408"/>
      <c r="AH560" s="408"/>
      <c r="AI560" s="409"/>
      <c r="AJ560" s="409"/>
      <c r="AK560" s="408"/>
      <c r="AL560" s="408"/>
      <c r="AM560" s="408"/>
      <c r="AN560" s="408"/>
      <c r="AO560" s="409"/>
      <c r="AP560" s="408"/>
      <c r="AQ560" s="408"/>
      <c r="AR560" s="408"/>
      <c r="AS560" s="408"/>
      <c r="AT560" s="408"/>
      <c r="AU560" s="408"/>
      <c r="AV560" s="410"/>
    </row>
    <row r="561" spans="1:48" ht="28.8" hidden="1">
      <c r="A561" s="421" t="s">
        <v>2476</v>
      </c>
      <c r="B561" s="422" t="s">
        <v>2477</v>
      </c>
      <c r="C561" s="422"/>
      <c r="D561" s="423" t="s">
        <v>277</v>
      </c>
      <c r="E561" s="395" t="s">
        <v>1122</v>
      </c>
      <c r="F561" s="406">
        <v>2023</v>
      </c>
      <c r="G561" s="406">
        <v>2023</v>
      </c>
      <c r="H561" s="406">
        <v>2023</v>
      </c>
      <c r="I561" s="408"/>
      <c r="J561" s="409"/>
      <c r="K561" s="409"/>
      <c r="L561" s="409"/>
      <c r="M561" s="409"/>
      <c r="N561" s="408" t="s">
        <v>1131</v>
      </c>
      <c r="O561" s="409" t="s">
        <v>494</v>
      </c>
      <c r="P561" s="409"/>
      <c r="Q561" s="409"/>
      <c r="R561" s="409"/>
      <c r="S561" s="408" t="s">
        <v>1132</v>
      </c>
      <c r="T561" s="409"/>
      <c r="U561" s="409"/>
      <c r="V561" s="408"/>
      <c r="W561" s="408"/>
      <c r="X561" s="408" t="s">
        <v>1133</v>
      </c>
      <c r="Y561" s="409"/>
      <c r="Z561" s="409"/>
      <c r="AA561" s="408"/>
      <c r="AB561" s="408"/>
      <c r="AC561" s="408"/>
      <c r="AD561" s="409"/>
      <c r="AE561" s="409"/>
      <c r="AF561" s="408"/>
      <c r="AG561" s="408"/>
      <c r="AH561" s="408"/>
      <c r="AI561" s="409"/>
      <c r="AJ561" s="409"/>
      <c r="AK561" s="408"/>
      <c r="AL561" s="408"/>
      <c r="AM561" s="408"/>
      <c r="AN561" s="408"/>
      <c r="AO561" s="409"/>
      <c r="AP561" s="408"/>
      <c r="AQ561" s="408"/>
      <c r="AR561" s="408"/>
      <c r="AS561" s="408"/>
      <c r="AT561" s="408"/>
      <c r="AU561" s="408"/>
      <c r="AV561" s="410"/>
    </row>
    <row r="562" spans="1:48" ht="28.8" hidden="1">
      <c r="A562" s="421" t="s">
        <v>2478</v>
      </c>
      <c r="B562" s="422" t="s">
        <v>2477</v>
      </c>
      <c r="C562" s="422"/>
      <c r="D562" s="423" t="s">
        <v>277</v>
      </c>
      <c r="E562" s="395" t="s">
        <v>1122</v>
      </c>
      <c r="F562" s="406">
        <v>2023</v>
      </c>
      <c r="G562" s="406">
        <v>2023</v>
      </c>
      <c r="H562" s="406">
        <v>2023</v>
      </c>
      <c r="I562" s="408"/>
      <c r="J562" s="409"/>
      <c r="K562" s="409"/>
      <c r="L562" s="409"/>
      <c r="M562" s="409"/>
      <c r="N562" s="408" t="s">
        <v>2479</v>
      </c>
      <c r="O562" s="409"/>
      <c r="P562" s="409"/>
      <c r="Q562" s="409"/>
      <c r="R562" s="409"/>
      <c r="S562" s="408" t="s">
        <v>1131</v>
      </c>
      <c r="T562" s="409" t="s">
        <v>494</v>
      </c>
      <c r="U562" s="409"/>
      <c r="V562" s="409"/>
      <c r="W562" s="409"/>
      <c r="X562" s="408" t="s">
        <v>1132</v>
      </c>
      <c r="Y562" s="409"/>
      <c r="Z562" s="409"/>
      <c r="AA562" s="408"/>
      <c r="AB562" s="408"/>
      <c r="AC562" s="408" t="s">
        <v>1133</v>
      </c>
      <c r="AD562" s="409"/>
      <c r="AE562" s="409"/>
      <c r="AF562" s="408"/>
      <c r="AG562" s="408"/>
      <c r="AH562" s="408"/>
      <c r="AI562" s="409"/>
      <c r="AJ562" s="409"/>
      <c r="AK562" s="408"/>
      <c r="AL562" s="408"/>
      <c r="AM562" s="408"/>
      <c r="AN562" s="408"/>
      <c r="AO562" s="409"/>
      <c r="AP562" s="408"/>
      <c r="AQ562" s="408"/>
      <c r="AR562" s="408"/>
      <c r="AS562" s="408"/>
      <c r="AT562" s="408"/>
      <c r="AU562" s="408"/>
      <c r="AV562" s="410"/>
    </row>
    <row r="563" spans="1:48" ht="28.8" hidden="1">
      <c r="A563" s="421" t="s">
        <v>2480</v>
      </c>
      <c r="B563" s="422" t="s">
        <v>1784</v>
      </c>
      <c r="C563" s="422"/>
      <c r="D563" s="423" t="s">
        <v>277</v>
      </c>
      <c r="E563" s="395" t="s">
        <v>1122</v>
      </c>
      <c r="F563" s="406">
        <v>2024</v>
      </c>
      <c r="G563" s="406">
        <v>2024</v>
      </c>
      <c r="H563" s="406">
        <v>2024</v>
      </c>
      <c r="I563" s="408"/>
      <c r="J563" s="409"/>
      <c r="K563" s="409"/>
      <c r="L563" s="409"/>
      <c r="M563" s="409"/>
      <c r="N563" s="408" t="s">
        <v>1131</v>
      </c>
      <c r="O563" s="409" t="s">
        <v>494</v>
      </c>
      <c r="P563" s="409" t="s">
        <v>2271</v>
      </c>
      <c r="Q563" s="409">
        <v>6680615</v>
      </c>
      <c r="R563" s="536" t="s">
        <v>2481</v>
      </c>
      <c r="S563" s="408" t="s">
        <v>1132</v>
      </c>
      <c r="T563" s="409"/>
      <c r="U563" s="409"/>
      <c r="V563" s="408"/>
      <c r="W563" s="408"/>
      <c r="X563" s="408" t="s">
        <v>1133</v>
      </c>
      <c r="Y563" s="409"/>
      <c r="Z563" s="409"/>
      <c r="AA563" s="408"/>
      <c r="AB563" s="408"/>
      <c r="AC563" s="408" t="s">
        <v>2482</v>
      </c>
      <c r="AD563" s="409"/>
      <c r="AE563" s="409"/>
      <c r="AF563" s="408"/>
      <c r="AG563" s="408"/>
      <c r="AH563" s="408"/>
      <c r="AI563" s="409"/>
      <c r="AJ563" s="409"/>
      <c r="AK563" s="408"/>
      <c r="AL563" s="408"/>
      <c r="AM563" s="408"/>
      <c r="AN563" s="408"/>
      <c r="AO563" s="409"/>
      <c r="AP563" s="408"/>
      <c r="AQ563" s="408"/>
      <c r="AR563" s="408"/>
      <c r="AS563" s="408"/>
      <c r="AT563" s="408"/>
      <c r="AU563" s="408"/>
      <c r="AV563" s="410"/>
    </row>
    <row r="564" spans="1:48" ht="28.8" hidden="1">
      <c r="A564" s="421" t="s">
        <v>2483</v>
      </c>
      <c r="B564" s="422" t="s">
        <v>2484</v>
      </c>
      <c r="C564" s="422"/>
      <c r="D564" s="423" t="s">
        <v>302</v>
      </c>
      <c r="E564" s="423" t="s">
        <v>1750</v>
      </c>
      <c r="F564" s="406">
        <v>2024</v>
      </c>
      <c r="G564" s="406">
        <v>2024</v>
      </c>
      <c r="H564" s="406">
        <v>2024</v>
      </c>
      <c r="I564" s="408"/>
      <c r="J564" s="409"/>
      <c r="K564" s="409"/>
      <c r="L564" s="409"/>
      <c r="M564" s="409"/>
      <c r="N564" s="408" t="s">
        <v>2485</v>
      </c>
      <c r="O564" s="409"/>
      <c r="P564" s="409"/>
      <c r="Q564" s="409"/>
      <c r="R564" s="409"/>
      <c r="S564" s="408" t="s">
        <v>1131</v>
      </c>
      <c r="T564" s="409" t="s">
        <v>494</v>
      </c>
      <c r="U564" s="409" t="s">
        <v>2271</v>
      </c>
      <c r="V564" s="409">
        <v>6680615</v>
      </c>
      <c r="W564" s="536" t="s">
        <v>2481</v>
      </c>
      <c r="X564" s="408" t="s">
        <v>23</v>
      </c>
      <c r="Y564" s="409" t="s">
        <v>494</v>
      </c>
      <c r="Z564" s="409" t="s">
        <v>2271</v>
      </c>
      <c r="AA564" s="408">
        <v>6680625</v>
      </c>
      <c r="AB564" s="537" t="s">
        <v>1782</v>
      </c>
      <c r="AC564" s="408"/>
      <c r="AD564" s="409"/>
      <c r="AE564" s="409"/>
      <c r="AF564" s="408"/>
      <c r="AG564" s="408"/>
      <c r="AH564" s="408"/>
      <c r="AI564" s="409"/>
      <c r="AJ564" s="409"/>
      <c r="AK564" s="408"/>
      <c r="AL564" s="408"/>
      <c r="AM564" s="408"/>
      <c r="AN564" s="408"/>
      <c r="AO564" s="409"/>
      <c r="AP564" s="408"/>
      <c r="AQ564" s="408"/>
      <c r="AR564" s="408"/>
      <c r="AS564" s="408"/>
      <c r="AT564" s="408"/>
      <c r="AU564" s="408"/>
      <c r="AV564" s="410"/>
    </row>
    <row r="565" spans="1:48" ht="28.8">
      <c r="A565" s="421" t="s">
        <v>2486</v>
      </c>
      <c r="B565" s="422" t="s">
        <v>2487</v>
      </c>
      <c r="C565" s="422" t="s">
        <v>2270</v>
      </c>
      <c r="D565" s="423" t="s">
        <v>302</v>
      </c>
      <c r="E565" s="423" t="s">
        <v>1750</v>
      </c>
      <c r="F565" s="406">
        <v>2024</v>
      </c>
      <c r="G565" s="406">
        <v>2024</v>
      </c>
      <c r="H565" s="406">
        <v>2024</v>
      </c>
      <c r="I565" s="408"/>
      <c r="J565" s="409"/>
      <c r="K565" s="409"/>
      <c r="L565" s="409"/>
      <c r="M565" s="409"/>
      <c r="N565" s="408" t="s">
        <v>513</v>
      </c>
      <c r="O565" s="409"/>
      <c r="P565" s="409"/>
      <c r="Q565" s="409"/>
      <c r="R565" s="409"/>
      <c r="S565" s="408" t="s">
        <v>2488</v>
      </c>
      <c r="T565" s="409"/>
      <c r="U565" s="409"/>
      <c r="V565" s="408"/>
      <c r="W565" s="408"/>
      <c r="X565" s="408" t="s">
        <v>1131</v>
      </c>
      <c r="Y565" s="409" t="s">
        <v>494</v>
      </c>
      <c r="Z565" s="409" t="s">
        <v>2271</v>
      </c>
      <c r="AA565" s="409">
        <v>6680615</v>
      </c>
      <c r="AB565" s="536" t="s">
        <v>2481</v>
      </c>
      <c r="AC565" s="408"/>
      <c r="AD565" s="409"/>
      <c r="AE565" s="409"/>
      <c r="AF565" s="408"/>
      <c r="AG565" s="408"/>
      <c r="AH565" s="408"/>
      <c r="AI565" s="409"/>
      <c r="AJ565" s="409"/>
      <c r="AK565" s="408"/>
      <c r="AL565" s="408"/>
      <c r="AM565" s="408"/>
      <c r="AN565" s="408"/>
      <c r="AO565" s="409"/>
      <c r="AP565" s="408"/>
      <c r="AQ565" s="408"/>
      <c r="AR565" s="408"/>
      <c r="AS565" s="408"/>
      <c r="AT565" s="408"/>
      <c r="AU565" s="408"/>
      <c r="AV565" s="410"/>
    </row>
    <row r="566" spans="1:48" ht="28.8" hidden="1">
      <c r="A566" s="421" t="s">
        <v>2489</v>
      </c>
      <c r="B566" s="422" t="s">
        <v>2490</v>
      </c>
      <c r="C566" s="422"/>
      <c r="D566" s="423" t="s">
        <v>277</v>
      </c>
      <c r="E566" s="395" t="s">
        <v>1122</v>
      </c>
      <c r="F566" s="406">
        <v>2023</v>
      </c>
      <c r="G566" s="406">
        <v>2023</v>
      </c>
      <c r="H566" s="406">
        <v>2023</v>
      </c>
      <c r="I566" s="408"/>
      <c r="J566" s="409"/>
      <c r="K566" s="409"/>
      <c r="L566" s="409"/>
      <c r="M566" s="409"/>
      <c r="N566" s="408" t="s">
        <v>1603</v>
      </c>
      <c r="O566" s="409"/>
      <c r="P566" s="409"/>
      <c r="Q566" s="409"/>
      <c r="R566" s="409"/>
      <c r="S566" s="408" t="s">
        <v>21</v>
      </c>
      <c r="T566" s="409" t="s">
        <v>309</v>
      </c>
      <c r="U566" s="409"/>
      <c r="V566" s="408"/>
      <c r="W566" s="408"/>
      <c r="X566" s="408" t="s">
        <v>2491</v>
      </c>
      <c r="Y566" s="409"/>
      <c r="Z566" s="409"/>
      <c r="AA566" s="408"/>
      <c r="AB566" s="408"/>
      <c r="AC566" s="408" t="s">
        <v>479</v>
      </c>
      <c r="AD566" s="409"/>
      <c r="AE566" s="409"/>
      <c r="AF566" s="408"/>
      <c r="AG566" s="408"/>
      <c r="AH566" s="408" t="s">
        <v>2067</v>
      </c>
      <c r="AI566" s="409"/>
      <c r="AJ566" s="409"/>
      <c r="AK566" s="408"/>
      <c r="AL566" s="408"/>
      <c r="AM566" s="408" t="s">
        <v>484</v>
      </c>
      <c r="AN566" s="408"/>
      <c r="AO566" s="409"/>
      <c r="AP566" s="408"/>
      <c r="AQ566" s="408"/>
      <c r="AR566" s="408"/>
      <c r="AS566" s="408"/>
      <c r="AT566" s="408"/>
      <c r="AU566" s="408"/>
      <c r="AV566" s="410"/>
    </row>
    <row r="567" spans="1:48" ht="28.8">
      <c r="A567" s="421" t="s">
        <v>2492</v>
      </c>
      <c r="B567" s="422" t="s">
        <v>2493</v>
      </c>
      <c r="C567" s="422" t="s">
        <v>2275</v>
      </c>
      <c r="D567" s="423" t="s">
        <v>416</v>
      </c>
      <c r="E567" s="395" t="s">
        <v>1122</v>
      </c>
      <c r="F567" s="406">
        <v>2024</v>
      </c>
      <c r="G567" s="406">
        <v>2024</v>
      </c>
      <c r="H567" s="406">
        <v>2024</v>
      </c>
      <c r="I567" s="408"/>
      <c r="J567" s="409"/>
      <c r="K567" s="409"/>
      <c r="L567" s="409"/>
      <c r="M567" s="409"/>
      <c r="N567" s="408" t="s">
        <v>1083</v>
      </c>
      <c r="O567" s="409"/>
      <c r="P567" s="409"/>
      <c r="Q567" s="409"/>
      <c r="R567" s="409"/>
      <c r="S567" s="408" t="s">
        <v>12</v>
      </c>
      <c r="T567" s="409" t="s">
        <v>309</v>
      </c>
      <c r="U567" s="409" t="s">
        <v>2271</v>
      </c>
      <c r="V567" s="408">
        <v>6680651</v>
      </c>
      <c r="W567" s="537" t="s">
        <v>1016</v>
      </c>
      <c r="X567" s="408" t="s">
        <v>92</v>
      </c>
      <c r="Y567" s="409" t="s">
        <v>279</v>
      </c>
      <c r="Z567" s="409" t="s">
        <v>2271</v>
      </c>
      <c r="AA567" s="408">
        <v>6680641</v>
      </c>
      <c r="AB567" s="537" t="s">
        <v>1794</v>
      </c>
      <c r="AC567" s="408"/>
      <c r="AD567" s="409"/>
      <c r="AE567" s="409"/>
      <c r="AF567" s="408"/>
      <c r="AG567" s="408"/>
      <c r="AH567" s="408"/>
      <c r="AI567" s="409"/>
      <c r="AJ567" s="409"/>
      <c r="AK567" s="408"/>
      <c r="AL567" s="408"/>
      <c r="AM567" s="408"/>
      <c r="AN567" s="408"/>
      <c r="AO567" s="409"/>
      <c r="AP567" s="408"/>
      <c r="AQ567" s="408"/>
      <c r="AR567" s="408"/>
      <c r="AS567" s="408"/>
      <c r="AT567" s="408"/>
      <c r="AU567" s="408"/>
      <c r="AV567" s="410"/>
    </row>
    <row r="568" spans="1:48" ht="43.2">
      <c r="A568" s="421" t="s">
        <v>2494</v>
      </c>
      <c r="B568" s="422" t="s">
        <v>2495</v>
      </c>
      <c r="C568" s="422" t="s">
        <v>2270</v>
      </c>
      <c r="D568" s="423" t="s">
        <v>313</v>
      </c>
      <c r="E568" s="423"/>
      <c r="F568" s="406">
        <v>2024</v>
      </c>
      <c r="G568" s="406">
        <v>2024</v>
      </c>
      <c r="H568" s="406">
        <v>2024</v>
      </c>
      <c r="I568" s="408"/>
      <c r="J568" s="409"/>
      <c r="K568" s="409"/>
      <c r="L568" s="409"/>
      <c r="M568" s="409"/>
      <c r="N568" s="408" t="s">
        <v>12</v>
      </c>
      <c r="O568" s="409" t="s">
        <v>309</v>
      </c>
      <c r="P568" s="409" t="s">
        <v>2271</v>
      </c>
      <c r="Q568" s="408">
        <v>6680651</v>
      </c>
      <c r="R568" s="537" t="s">
        <v>1016</v>
      </c>
      <c r="S568" s="408" t="s">
        <v>8</v>
      </c>
      <c r="T568" s="409" t="s">
        <v>758</v>
      </c>
      <c r="U568" s="409" t="s">
        <v>2271</v>
      </c>
      <c r="V568" s="408">
        <v>6680643</v>
      </c>
      <c r="W568" s="537" t="s">
        <v>1017</v>
      </c>
      <c r="X568" s="408" t="s">
        <v>52</v>
      </c>
      <c r="Y568" s="409" t="s">
        <v>309</v>
      </c>
      <c r="Z568" s="409" t="s">
        <v>2271</v>
      </c>
      <c r="AA568" s="408" t="s">
        <v>2496</v>
      </c>
      <c r="AB568" s="537" t="s">
        <v>2497</v>
      </c>
      <c r="AC568" s="408" t="s">
        <v>1025</v>
      </c>
      <c r="AD568" s="409" t="s">
        <v>162</v>
      </c>
      <c r="AE568" s="409" t="s">
        <v>2271</v>
      </c>
      <c r="AF568" s="408"/>
      <c r="AG568" s="408">
        <v>1201202040</v>
      </c>
      <c r="AH568" s="408" t="s">
        <v>2498</v>
      </c>
      <c r="AI568" s="409" t="s">
        <v>309</v>
      </c>
      <c r="AJ568" s="409" t="s">
        <v>2271</v>
      </c>
      <c r="AK568" s="408"/>
      <c r="AL568" s="408">
        <v>1103210019</v>
      </c>
      <c r="AM568" s="408" t="s">
        <v>2499</v>
      </c>
      <c r="AN568" s="408" t="s">
        <v>309</v>
      </c>
      <c r="AO568" s="409" t="s">
        <v>2271</v>
      </c>
      <c r="AP568" s="408"/>
      <c r="AQ568" s="408">
        <v>1103210269</v>
      </c>
      <c r="AR568" s="408"/>
      <c r="AS568" s="408"/>
      <c r="AT568" s="408"/>
      <c r="AU568" s="408"/>
      <c r="AV568" s="410"/>
    </row>
    <row r="569" spans="1:48" ht="43.2" hidden="1">
      <c r="A569" s="421" t="s">
        <v>2500</v>
      </c>
      <c r="B569" s="422" t="s">
        <v>2501</v>
      </c>
      <c r="C569" s="422"/>
      <c r="D569" s="423" t="s">
        <v>302</v>
      </c>
      <c r="E569" s="423" t="s">
        <v>1750</v>
      </c>
      <c r="F569" s="406">
        <v>2024</v>
      </c>
      <c r="G569" s="406">
        <v>2024</v>
      </c>
      <c r="H569" s="406">
        <v>2024</v>
      </c>
      <c r="I569" s="408"/>
      <c r="J569" s="409"/>
      <c r="K569" s="409"/>
      <c r="L569" s="409"/>
      <c r="M569" s="409"/>
      <c r="N569" s="408" t="s">
        <v>1081</v>
      </c>
      <c r="O569" s="409" t="s">
        <v>309</v>
      </c>
      <c r="P569" s="409" t="s">
        <v>2271</v>
      </c>
      <c r="Q569" s="409"/>
      <c r="R569" s="409">
        <v>1103199016</v>
      </c>
      <c r="S569" s="408" t="s">
        <v>12</v>
      </c>
      <c r="T569" s="409" t="s">
        <v>309</v>
      </c>
      <c r="U569" s="409" t="s">
        <v>2271</v>
      </c>
      <c r="V569" s="408">
        <v>6680651</v>
      </c>
      <c r="W569" s="537" t="s">
        <v>1016</v>
      </c>
      <c r="X569" s="408" t="s">
        <v>19</v>
      </c>
      <c r="Y569" s="409" t="s">
        <v>309</v>
      </c>
      <c r="Z569" s="409" t="s">
        <v>2271</v>
      </c>
      <c r="AA569" s="408">
        <v>6680612</v>
      </c>
      <c r="AB569" s="537" t="s">
        <v>960</v>
      </c>
      <c r="AC569" s="408"/>
      <c r="AD569" s="409"/>
      <c r="AE569" s="409"/>
      <c r="AF569" s="408"/>
      <c r="AG569" s="408"/>
      <c r="AH569" s="408"/>
      <c r="AI569" s="409"/>
      <c r="AJ569" s="409"/>
      <c r="AK569" s="408"/>
      <c r="AL569" s="408"/>
      <c r="AM569" s="408"/>
      <c r="AN569" s="408"/>
      <c r="AO569" s="409"/>
      <c r="AP569" s="408"/>
      <c r="AQ569" s="408"/>
      <c r="AR569" s="408"/>
      <c r="AS569" s="408"/>
      <c r="AT569" s="408"/>
      <c r="AU569" s="408"/>
      <c r="AV569" s="410"/>
    </row>
    <row r="570" spans="1:48" ht="43.2" hidden="1">
      <c r="A570" s="421" t="s">
        <v>2502</v>
      </c>
      <c r="B570" s="422" t="s">
        <v>2495</v>
      </c>
      <c r="C570" s="422"/>
      <c r="D570" s="423" t="s">
        <v>313</v>
      </c>
      <c r="E570" s="423"/>
      <c r="F570" s="406">
        <v>2024</v>
      </c>
      <c r="G570" s="406">
        <v>2024</v>
      </c>
      <c r="H570" s="406">
        <v>2024</v>
      </c>
      <c r="I570" s="408"/>
      <c r="J570" s="409"/>
      <c r="K570" s="409"/>
      <c r="L570" s="409"/>
      <c r="M570" s="409"/>
      <c r="N570" s="408" t="s">
        <v>177</v>
      </c>
      <c r="O570" s="409" t="s">
        <v>758</v>
      </c>
      <c r="P570" s="409" t="s">
        <v>2271</v>
      </c>
      <c r="Q570" s="409"/>
      <c r="R570" s="536" t="s">
        <v>1876</v>
      </c>
      <c r="S570" s="408" t="s">
        <v>12</v>
      </c>
      <c r="T570" s="409" t="s">
        <v>309</v>
      </c>
      <c r="U570" s="409" t="s">
        <v>2271</v>
      </c>
      <c r="V570" s="408">
        <v>6680651</v>
      </c>
      <c r="W570" s="537" t="s">
        <v>1016</v>
      </c>
      <c r="X570" s="408" t="s">
        <v>85</v>
      </c>
      <c r="Y570" s="409" t="s">
        <v>309</v>
      </c>
      <c r="Z570" s="409" t="s">
        <v>2271</v>
      </c>
      <c r="AA570" s="408">
        <v>6680708</v>
      </c>
      <c r="AB570" s="537" t="s">
        <v>2436</v>
      </c>
      <c r="AC570" s="408" t="s">
        <v>2503</v>
      </c>
      <c r="AD570" s="409" t="s">
        <v>309</v>
      </c>
      <c r="AE570" s="409" t="s">
        <v>2271</v>
      </c>
      <c r="AF570" s="408"/>
      <c r="AG570" s="408">
        <v>1103210026</v>
      </c>
      <c r="AH570" s="408" t="s">
        <v>2504</v>
      </c>
      <c r="AI570" s="409" t="s">
        <v>309</v>
      </c>
      <c r="AJ570" s="409" t="s">
        <v>2271</v>
      </c>
      <c r="AK570" s="408"/>
      <c r="AL570" s="408">
        <v>1103210023</v>
      </c>
      <c r="AM570" s="408" t="s">
        <v>2505</v>
      </c>
      <c r="AN570" s="408" t="s">
        <v>758</v>
      </c>
      <c r="AO570" s="409" t="s">
        <v>2271</v>
      </c>
      <c r="AP570" s="408"/>
      <c r="AQ570" s="408">
        <v>1105210001</v>
      </c>
      <c r="AR570" s="408"/>
      <c r="AS570" s="408"/>
      <c r="AT570" s="408"/>
      <c r="AU570" s="408"/>
      <c r="AV570" s="410"/>
    </row>
    <row r="571" spans="1:48" ht="57.6" hidden="1">
      <c r="A571" s="421" t="s">
        <v>2506</v>
      </c>
      <c r="B571" s="422" t="s">
        <v>2507</v>
      </c>
      <c r="C571" s="422"/>
      <c r="D571" s="423" t="s">
        <v>306</v>
      </c>
      <c r="E571" s="423" t="s">
        <v>1750</v>
      </c>
      <c r="F571" s="406">
        <v>2023</v>
      </c>
      <c r="G571" s="406">
        <v>2023</v>
      </c>
      <c r="H571" s="406">
        <v>2023</v>
      </c>
      <c r="I571" s="408"/>
      <c r="J571" s="409"/>
      <c r="K571" s="409"/>
      <c r="L571" s="409"/>
      <c r="M571" s="409"/>
      <c r="N571" s="408" t="s">
        <v>12</v>
      </c>
      <c r="O571" s="409" t="s">
        <v>309</v>
      </c>
      <c r="P571" s="409"/>
      <c r="Q571" s="409"/>
      <c r="R571" s="409"/>
      <c r="S571" s="408"/>
      <c r="T571" s="409"/>
      <c r="U571" s="409"/>
      <c r="V571" s="408"/>
      <c r="W571" s="408"/>
      <c r="X571" s="408"/>
      <c r="Y571" s="409"/>
      <c r="Z571" s="409"/>
      <c r="AA571" s="408"/>
      <c r="AB571" s="408"/>
      <c r="AC571" s="408"/>
      <c r="AD571" s="409"/>
      <c r="AE571" s="409"/>
      <c r="AF571" s="408"/>
      <c r="AG571" s="408"/>
      <c r="AH571" s="408"/>
      <c r="AI571" s="409"/>
      <c r="AJ571" s="409"/>
      <c r="AK571" s="408"/>
      <c r="AL571" s="408"/>
      <c r="AM571" s="408"/>
      <c r="AN571" s="408"/>
      <c r="AO571" s="409"/>
      <c r="AP571" s="408"/>
      <c r="AQ571" s="408"/>
      <c r="AR571" s="408"/>
      <c r="AS571" s="408"/>
      <c r="AT571" s="408"/>
      <c r="AU571" s="408"/>
      <c r="AV571" s="410"/>
    </row>
    <row r="572" spans="1:48" ht="28.8" hidden="1">
      <c r="A572" s="421" t="s">
        <v>2508</v>
      </c>
      <c r="B572" s="422" t="s">
        <v>2509</v>
      </c>
      <c r="C572" s="422"/>
      <c r="D572" s="423" t="s">
        <v>416</v>
      </c>
      <c r="E572" s="395" t="s">
        <v>1122</v>
      </c>
      <c r="F572" s="406">
        <v>2024</v>
      </c>
      <c r="G572" s="406">
        <v>2024</v>
      </c>
      <c r="H572" s="406">
        <v>2024</v>
      </c>
      <c r="I572" s="408"/>
      <c r="J572" s="409"/>
      <c r="K572" s="409"/>
      <c r="L572" s="409"/>
      <c r="M572" s="409"/>
      <c r="N572" s="408" t="s">
        <v>2510</v>
      </c>
      <c r="O572" s="409"/>
      <c r="P572" s="409"/>
      <c r="Q572" s="409"/>
      <c r="R572" s="409"/>
      <c r="S572" s="408" t="s">
        <v>2067</v>
      </c>
      <c r="T572" s="409"/>
      <c r="U572" s="409"/>
      <c r="V572" s="408"/>
      <c r="W572" s="408"/>
      <c r="X572" s="408" t="s">
        <v>1603</v>
      </c>
      <c r="Y572" s="409"/>
      <c r="Z572" s="409"/>
      <c r="AA572" s="408"/>
      <c r="AB572" s="408"/>
      <c r="AC572" s="408" t="s">
        <v>19</v>
      </c>
      <c r="AD572" s="409" t="s">
        <v>309</v>
      </c>
      <c r="AE572" s="409" t="s">
        <v>2271</v>
      </c>
      <c r="AF572" s="408">
        <v>6680612</v>
      </c>
      <c r="AG572" s="537" t="s">
        <v>960</v>
      </c>
      <c r="AH572" s="408" t="s">
        <v>479</v>
      </c>
      <c r="AI572" s="409"/>
      <c r="AJ572" s="409"/>
      <c r="AK572" s="408"/>
      <c r="AL572" s="408"/>
      <c r="AM572" s="408" t="s">
        <v>2511</v>
      </c>
      <c r="AN572" s="408"/>
      <c r="AO572" s="409"/>
      <c r="AP572" s="408"/>
      <c r="AQ572" s="408"/>
      <c r="AR572" s="408"/>
      <c r="AS572" s="408"/>
      <c r="AT572" s="408"/>
      <c r="AU572" s="408"/>
      <c r="AV572" s="410"/>
    </row>
    <row r="573" spans="1:48" ht="28.8" hidden="1">
      <c r="A573" s="421" t="s">
        <v>2512</v>
      </c>
      <c r="B573" s="422" t="s">
        <v>2513</v>
      </c>
      <c r="C573" s="422"/>
      <c r="D573" s="423" t="s">
        <v>502</v>
      </c>
      <c r="E573" s="395" t="s">
        <v>1122</v>
      </c>
      <c r="F573" s="406">
        <v>2024</v>
      </c>
      <c r="G573" s="406">
        <v>2024</v>
      </c>
      <c r="H573" s="406">
        <v>2024</v>
      </c>
      <c r="I573" s="408"/>
      <c r="J573" s="409"/>
      <c r="K573" s="409"/>
      <c r="L573" s="409"/>
      <c r="M573" s="409"/>
      <c r="N573" s="408" t="s">
        <v>1961</v>
      </c>
      <c r="O573" s="409"/>
      <c r="P573" s="409"/>
      <c r="Q573" s="409"/>
      <c r="R573" s="374"/>
      <c r="S573" s="408" t="s">
        <v>1603</v>
      </c>
      <c r="T573" s="409"/>
      <c r="U573" s="409"/>
      <c r="V573" s="408"/>
      <c r="W573" s="408"/>
      <c r="X573" s="408" t="s">
        <v>19</v>
      </c>
      <c r="Y573" s="409" t="s">
        <v>309</v>
      </c>
      <c r="Z573" s="409" t="s">
        <v>2271</v>
      </c>
      <c r="AA573" s="408">
        <v>6680612</v>
      </c>
      <c r="AB573" s="537" t="s">
        <v>960</v>
      </c>
      <c r="AC573" s="408" t="s">
        <v>140</v>
      </c>
      <c r="AD573" s="409" t="s">
        <v>309</v>
      </c>
      <c r="AE573" s="409"/>
      <c r="AF573" s="408"/>
      <c r="AG573" s="408"/>
      <c r="AH573" s="408" t="s">
        <v>1964</v>
      </c>
      <c r="AI573" s="409"/>
      <c r="AJ573" s="409"/>
      <c r="AK573" s="408"/>
      <c r="AL573" s="408"/>
      <c r="AM573" s="408" t="s">
        <v>484</v>
      </c>
      <c r="AN573" s="408"/>
      <c r="AO573" s="409"/>
      <c r="AP573" s="408"/>
      <c r="AQ573" s="408"/>
      <c r="AR573" s="408"/>
      <c r="AS573" s="408"/>
      <c r="AT573" s="408"/>
      <c r="AU573" s="408"/>
      <c r="AV573" s="410"/>
    </row>
    <row r="574" spans="1:48" ht="28.8" hidden="1">
      <c r="A574" s="421" t="s">
        <v>2514</v>
      </c>
      <c r="B574" s="422" t="s">
        <v>954</v>
      </c>
      <c r="C574" s="422"/>
      <c r="D574" s="423" t="s">
        <v>306</v>
      </c>
      <c r="E574" s="423" t="s">
        <v>1750</v>
      </c>
      <c r="F574" s="406">
        <v>2023</v>
      </c>
      <c r="G574" s="406">
        <v>2023</v>
      </c>
      <c r="H574" s="406">
        <v>2023</v>
      </c>
      <c r="I574" s="408" t="s">
        <v>484</v>
      </c>
      <c r="J574" s="409"/>
      <c r="K574" s="409"/>
      <c r="L574" s="409"/>
      <c r="M574" s="409"/>
      <c r="N574" s="408" t="s">
        <v>2510</v>
      </c>
      <c r="O574" s="409"/>
      <c r="P574" s="409"/>
      <c r="Q574" s="409"/>
      <c r="R574" s="409"/>
      <c r="S574" s="408" t="s">
        <v>2067</v>
      </c>
      <c r="T574" s="409"/>
      <c r="U574" s="409"/>
      <c r="V574" s="408"/>
      <c r="W574" s="408"/>
      <c r="X574" s="408" t="s">
        <v>19</v>
      </c>
      <c r="Y574" s="409" t="s">
        <v>309</v>
      </c>
      <c r="Z574" s="409"/>
      <c r="AA574" s="408"/>
      <c r="AB574" s="408"/>
      <c r="AC574" s="408" t="s">
        <v>2515</v>
      </c>
      <c r="AD574" s="409"/>
      <c r="AE574" s="409"/>
      <c r="AF574" s="408"/>
      <c r="AG574" s="408"/>
      <c r="AH574" s="408" t="s">
        <v>479</v>
      </c>
      <c r="AI574" s="409"/>
      <c r="AJ574" s="409"/>
      <c r="AK574" s="408"/>
      <c r="AL574" s="408"/>
      <c r="AM574" s="408" t="s">
        <v>484</v>
      </c>
      <c r="AN574" s="408"/>
      <c r="AO574" s="409"/>
      <c r="AP574" s="408"/>
      <c r="AQ574" s="408"/>
      <c r="AR574" s="408"/>
      <c r="AS574" s="408"/>
      <c r="AT574" s="408"/>
      <c r="AU574" s="408"/>
      <c r="AV574" s="410"/>
    </row>
    <row r="575" spans="1:48" ht="43.2" hidden="1">
      <c r="A575" s="421" t="s">
        <v>2516</v>
      </c>
      <c r="B575" s="422" t="s">
        <v>2103</v>
      </c>
      <c r="C575" s="422"/>
      <c r="D575" s="423" t="s">
        <v>302</v>
      </c>
      <c r="E575" s="423" t="s">
        <v>1750</v>
      </c>
      <c r="F575" s="406">
        <v>2023</v>
      </c>
      <c r="G575" s="406">
        <v>2023</v>
      </c>
      <c r="H575" s="406">
        <v>2023</v>
      </c>
      <c r="I575" s="408" t="s">
        <v>2517</v>
      </c>
      <c r="J575" s="409"/>
      <c r="K575" s="409"/>
      <c r="L575" s="409" t="s">
        <v>309</v>
      </c>
      <c r="M575" s="409"/>
      <c r="N575" s="408" t="s">
        <v>2518</v>
      </c>
      <c r="O575" s="409"/>
      <c r="P575" s="409"/>
      <c r="Q575" s="409"/>
      <c r="R575" s="409"/>
      <c r="S575" s="408" t="s">
        <v>19</v>
      </c>
      <c r="T575" s="409" t="s">
        <v>309</v>
      </c>
      <c r="U575" s="409"/>
      <c r="V575" s="408"/>
      <c r="W575" s="408"/>
      <c r="X575" s="408" t="s">
        <v>85</v>
      </c>
      <c r="Y575" s="409" t="s">
        <v>309</v>
      </c>
      <c r="Z575" s="409"/>
      <c r="AA575" s="408"/>
      <c r="AB575" s="408"/>
      <c r="AC575" s="408"/>
      <c r="AD575" s="409"/>
      <c r="AE575" s="409"/>
      <c r="AF575" s="408"/>
      <c r="AG575" s="408"/>
      <c r="AH575" s="408"/>
      <c r="AI575" s="409"/>
      <c r="AJ575" s="409"/>
      <c r="AK575" s="408"/>
      <c r="AL575" s="408"/>
      <c r="AM575" s="408"/>
      <c r="AN575" s="408"/>
      <c r="AO575" s="409"/>
      <c r="AP575" s="408"/>
      <c r="AQ575" s="408"/>
      <c r="AR575" s="408"/>
      <c r="AS575" s="408"/>
      <c r="AT575" s="408"/>
      <c r="AU575" s="408"/>
      <c r="AV575" s="410"/>
    </row>
    <row r="576" spans="1:48" ht="43.2" hidden="1">
      <c r="A576" s="421" t="s">
        <v>2519</v>
      </c>
      <c r="B576" s="422" t="s">
        <v>2493</v>
      </c>
      <c r="C576" s="422"/>
      <c r="D576" s="423" t="s">
        <v>1190</v>
      </c>
      <c r="E576" s="423" t="s">
        <v>1750</v>
      </c>
      <c r="F576" s="406">
        <v>2023</v>
      </c>
      <c r="G576" s="406">
        <v>2023</v>
      </c>
      <c r="H576" s="406">
        <v>2023</v>
      </c>
      <c r="I576" s="408"/>
      <c r="J576" s="409"/>
      <c r="K576" s="409"/>
      <c r="L576" s="409"/>
      <c r="M576" s="409"/>
      <c r="N576" s="408" t="s">
        <v>1972</v>
      </c>
      <c r="O576" s="409"/>
      <c r="P576" s="409"/>
      <c r="Q576" s="409"/>
      <c r="R576" s="409"/>
      <c r="S576" s="408" t="s">
        <v>1975</v>
      </c>
      <c r="T576" s="409"/>
      <c r="U576" s="409"/>
      <c r="V576" s="408"/>
      <c r="W576" s="408"/>
      <c r="X576" s="408" t="s">
        <v>2520</v>
      </c>
      <c r="Y576" s="409"/>
      <c r="Z576" s="409"/>
      <c r="AA576" s="408"/>
      <c r="AB576" s="408"/>
      <c r="AC576" s="408" t="s">
        <v>1979</v>
      </c>
      <c r="AD576" s="409"/>
      <c r="AE576" s="409"/>
      <c r="AF576" s="408"/>
      <c r="AG576" s="408"/>
      <c r="AH576" s="408" t="s">
        <v>77</v>
      </c>
      <c r="AI576" s="409" t="s">
        <v>309</v>
      </c>
      <c r="AJ576" s="409"/>
      <c r="AK576" s="408"/>
      <c r="AL576" s="408"/>
      <c r="AM576" s="408" t="s">
        <v>1982</v>
      </c>
      <c r="AN576" s="408"/>
      <c r="AO576" s="409"/>
      <c r="AP576" s="408"/>
      <c r="AQ576" s="408"/>
      <c r="AR576" s="408" t="s">
        <v>1985</v>
      </c>
      <c r="AS576" s="408"/>
      <c r="AT576" s="408"/>
      <c r="AU576" s="408"/>
      <c r="AV576" s="410"/>
    </row>
    <row r="577" spans="1:48" ht="28.8" hidden="1">
      <c r="A577" s="421" t="s">
        <v>2521</v>
      </c>
      <c r="B577" s="422" t="s">
        <v>2213</v>
      </c>
      <c r="C577" s="422"/>
      <c r="D577" s="423" t="s">
        <v>302</v>
      </c>
      <c r="E577" s="423" t="s">
        <v>1750</v>
      </c>
      <c r="F577" s="406">
        <v>2023</v>
      </c>
      <c r="G577" s="406">
        <v>2023</v>
      </c>
      <c r="H577" s="406">
        <v>2023</v>
      </c>
      <c r="I577" s="408" t="s">
        <v>34</v>
      </c>
      <c r="J577" s="374"/>
      <c r="K577" s="409"/>
      <c r="L577" s="409" t="s">
        <v>620</v>
      </c>
      <c r="M577" s="409"/>
      <c r="N577" s="408" t="s">
        <v>10</v>
      </c>
      <c r="O577" s="409" t="s">
        <v>162</v>
      </c>
      <c r="P577" s="409"/>
      <c r="Q577" s="408"/>
      <c r="R577" s="408"/>
      <c r="S577" s="375" t="s">
        <v>60</v>
      </c>
      <c r="T577" s="374" t="s">
        <v>309</v>
      </c>
      <c r="U577" s="374"/>
      <c r="V577" s="375"/>
      <c r="W577" s="375"/>
      <c r="X577" s="375" t="s">
        <v>38</v>
      </c>
      <c r="Y577" s="374" t="s">
        <v>162</v>
      </c>
      <c r="Z577" s="374"/>
      <c r="AA577" s="375"/>
      <c r="AB577" s="375"/>
      <c r="AC577" s="375" t="s">
        <v>71</v>
      </c>
      <c r="AD577" s="374" t="s">
        <v>620</v>
      </c>
      <c r="AE577" s="374"/>
      <c r="AF577" s="375"/>
      <c r="AG577" s="375"/>
      <c r="AH577" s="375"/>
      <c r="AI577" s="374"/>
      <c r="AJ577" s="409"/>
      <c r="AK577" s="408"/>
      <c r="AL577" s="408"/>
      <c r="AM577" s="408"/>
      <c r="AN577" s="408"/>
      <c r="AO577" s="409"/>
      <c r="AP577" s="408"/>
      <c r="AQ577" s="408"/>
      <c r="AR577" s="408"/>
      <c r="AS577" s="408"/>
      <c r="AT577" s="408"/>
      <c r="AU577" s="408"/>
      <c r="AV577" s="410"/>
    </row>
    <row r="578" spans="1:48" ht="28.8" hidden="1">
      <c r="A578" s="421" t="s">
        <v>2522</v>
      </c>
      <c r="B578" s="422" t="s">
        <v>2523</v>
      </c>
      <c r="C578" s="422"/>
      <c r="D578" s="423" t="s">
        <v>374</v>
      </c>
      <c r="E578" s="423" t="s">
        <v>1750</v>
      </c>
      <c r="F578" s="406">
        <v>2023</v>
      </c>
      <c r="G578" s="406">
        <v>2023</v>
      </c>
      <c r="H578" s="406">
        <v>2023</v>
      </c>
      <c r="I578" s="408"/>
      <c r="J578" s="409"/>
      <c r="K578" s="409"/>
      <c r="L578" s="409"/>
      <c r="M578" s="409"/>
      <c r="N578" s="408" t="s">
        <v>49</v>
      </c>
      <c r="O578" s="409" t="s">
        <v>162</v>
      </c>
      <c r="P578" s="409"/>
      <c r="Q578" s="409"/>
      <c r="R578" s="409"/>
      <c r="S578" s="408" t="s">
        <v>191</v>
      </c>
      <c r="T578" s="409" t="s">
        <v>309</v>
      </c>
      <c r="U578" s="409"/>
      <c r="V578" s="408"/>
      <c r="W578" s="408"/>
      <c r="X578" s="408"/>
      <c r="Y578" s="409"/>
      <c r="Z578" s="409"/>
      <c r="AA578" s="408"/>
      <c r="AB578" s="408"/>
      <c r="AC578" s="408"/>
      <c r="AD578" s="409"/>
      <c r="AE578" s="409"/>
      <c r="AF578" s="408"/>
      <c r="AG578" s="408"/>
      <c r="AH578" s="408"/>
      <c r="AI578" s="409"/>
      <c r="AJ578" s="409"/>
      <c r="AK578" s="408"/>
      <c r="AL578" s="408"/>
      <c r="AM578" s="408"/>
      <c r="AN578" s="408"/>
      <c r="AO578" s="409"/>
      <c r="AP578" s="408"/>
      <c r="AQ578" s="408"/>
      <c r="AR578" s="408"/>
      <c r="AS578" s="408"/>
      <c r="AT578" s="408"/>
      <c r="AU578" s="408"/>
      <c r="AV578" s="410"/>
    </row>
    <row r="579" spans="1:48" ht="28.8" hidden="1">
      <c r="A579" s="421" t="s">
        <v>2524</v>
      </c>
      <c r="B579" s="422" t="s">
        <v>2525</v>
      </c>
      <c r="C579" s="422"/>
      <c r="D579" s="423" t="s">
        <v>416</v>
      </c>
      <c r="E579" s="395" t="s">
        <v>1122</v>
      </c>
      <c r="F579" s="406">
        <v>2024</v>
      </c>
      <c r="G579" s="406">
        <v>2024</v>
      </c>
      <c r="H579" s="406">
        <v>2024</v>
      </c>
      <c r="I579" s="408" t="s">
        <v>29</v>
      </c>
      <c r="J579" s="409">
        <v>6680687</v>
      </c>
      <c r="K579" s="536" t="s">
        <v>1693</v>
      </c>
      <c r="L579" s="409" t="s">
        <v>351</v>
      </c>
      <c r="M579" s="409" t="s">
        <v>2271</v>
      </c>
      <c r="N579" s="408" t="s">
        <v>29</v>
      </c>
      <c r="O579" s="409" t="s">
        <v>351</v>
      </c>
      <c r="P579" s="409" t="s">
        <v>2271</v>
      </c>
      <c r="Q579" s="409">
        <v>6680687</v>
      </c>
      <c r="R579" s="536" t="s">
        <v>1693</v>
      </c>
      <c r="S579" s="408" t="s">
        <v>75</v>
      </c>
      <c r="T579" s="409" t="s">
        <v>809</v>
      </c>
      <c r="U579" s="409" t="s">
        <v>2271</v>
      </c>
      <c r="V579" s="408">
        <v>6760392</v>
      </c>
      <c r="W579" s="537" t="s">
        <v>948</v>
      </c>
      <c r="X579" s="408" t="s">
        <v>93</v>
      </c>
      <c r="Y579" s="409" t="s">
        <v>449</v>
      </c>
      <c r="Z579" s="409" t="s">
        <v>2271</v>
      </c>
      <c r="AA579" s="408">
        <v>6680726</v>
      </c>
      <c r="AB579" s="537" t="s">
        <v>943</v>
      </c>
      <c r="AC579" s="408"/>
      <c r="AD579" s="409"/>
      <c r="AE579" s="409"/>
      <c r="AF579" s="408"/>
      <c r="AG579" s="408"/>
      <c r="AH579" s="408"/>
      <c r="AI579" s="409"/>
      <c r="AJ579" s="409"/>
      <c r="AK579" s="408"/>
      <c r="AL579" s="408"/>
      <c r="AM579" s="408"/>
      <c r="AN579" s="408"/>
      <c r="AO579" s="409"/>
      <c r="AP579" s="408"/>
      <c r="AQ579" s="408"/>
      <c r="AR579" s="408"/>
      <c r="AS579" s="408"/>
      <c r="AT579" s="408"/>
      <c r="AU579" s="408"/>
      <c r="AV579" s="410"/>
    </row>
    <row r="580" spans="1:48" ht="28.8" hidden="1">
      <c r="A580" s="421" t="s">
        <v>2526</v>
      </c>
      <c r="B580" s="422" t="s">
        <v>2527</v>
      </c>
      <c r="C580" s="422"/>
      <c r="D580" s="423" t="s">
        <v>321</v>
      </c>
      <c r="E580" s="423" t="s">
        <v>1750</v>
      </c>
      <c r="F580" s="406">
        <v>2024</v>
      </c>
      <c r="G580" s="406">
        <v>2024</v>
      </c>
      <c r="H580" s="406">
        <v>2024</v>
      </c>
      <c r="I580" s="408"/>
      <c r="J580" s="409"/>
      <c r="K580" s="409"/>
      <c r="L580" s="409"/>
      <c r="M580" s="409"/>
      <c r="N580" s="408" t="s">
        <v>392</v>
      </c>
      <c r="O580" s="409" t="s">
        <v>351</v>
      </c>
      <c r="P580" s="409" t="s">
        <v>2271</v>
      </c>
      <c r="Q580" s="409"/>
      <c r="R580" s="409">
        <v>1203190030</v>
      </c>
      <c r="S580" s="408" t="s">
        <v>6</v>
      </c>
      <c r="T580" s="409" t="s">
        <v>351</v>
      </c>
      <c r="U580" s="409" t="s">
        <v>2271</v>
      </c>
      <c r="V580" s="408">
        <v>6681051</v>
      </c>
      <c r="W580" s="537" t="s">
        <v>1657</v>
      </c>
      <c r="X580" s="408"/>
      <c r="Y580" s="409"/>
      <c r="Z580" s="409"/>
      <c r="AA580" s="408"/>
      <c r="AB580" s="408"/>
      <c r="AC580" s="408"/>
      <c r="AD580" s="409"/>
      <c r="AE580" s="409"/>
      <c r="AF580" s="408"/>
      <c r="AG580" s="408"/>
      <c r="AH580" s="408"/>
      <c r="AI580" s="409"/>
      <c r="AJ580" s="409"/>
      <c r="AK580" s="408"/>
      <c r="AL580" s="408"/>
      <c r="AM580" s="408"/>
      <c r="AN580" s="408"/>
      <c r="AO580" s="409"/>
      <c r="AP580" s="408"/>
      <c r="AQ580" s="408"/>
      <c r="AR580" s="408"/>
      <c r="AS580" s="408"/>
      <c r="AT580" s="408"/>
      <c r="AU580" s="408"/>
      <c r="AV580" s="410"/>
    </row>
    <row r="581" spans="1:48" ht="43.2">
      <c r="A581" s="421" t="s">
        <v>2528</v>
      </c>
      <c r="B581" s="422" t="s">
        <v>2529</v>
      </c>
      <c r="C581" s="422" t="s">
        <v>2270</v>
      </c>
      <c r="D581" s="423" t="s">
        <v>782</v>
      </c>
      <c r="E581" s="423" t="s">
        <v>1750</v>
      </c>
      <c r="F581" s="406">
        <v>2024</v>
      </c>
      <c r="G581" s="406">
        <v>2024</v>
      </c>
      <c r="H581" s="406">
        <v>2024</v>
      </c>
      <c r="I581" s="408" t="s">
        <v>2530</v>
      </c>
      <c r="J581" s="409"/>
      <c r="K581" s="409"/>
      <c r="L581" s="409"/>
      <c r="M581" s="409"/>
      <c r="N581" s="408" t="s">
        <v>2530</v>
      </c>
      <c r="O581" s="409"/>
      <c r="P581" s="409"/>
      <c r="Q581" s="409"/>
      <c r="R581" s="409"/>
      <c r="S581" s="408" t="s">
        <v>6</v>
      </c>
      <c r="T581" s="409" t="s">
        <v>351</v>
      </c>
      <c r="U581" s="409" t="s">
        <v>2271</v>
      </c>
      <c r="V581" s="408">
        <v>6681051</v>
      </c>
      <c r="W581" s="537" t="s">
        <v>1657</v>
      </c>
      <c r="X581" s="408" t="s">
        <v>50</v>
      </c>
      <c r="Y581" s="409" t="s">
        <v>351</v>
      </c>
      <c r="Z581" s="409" t="s">
        <v>2271</v>
      </c>
      <c r="AA581" s="408">
        <v>6826739</v>
      </c>
      <c r="AB581" s="537" t="s">
        <v>2307</v>
      </c>
      <c r="AC581" s="408" t="s">
        <v>13</v>
      </c>
      <c r="AD581" s="409" t="s">
        <v>686</v>
      </c>
      <c r="AE581" s="409" t="s">
        <v>2271</v>
      </c>
      <c r="AF581" s="408">
        <v>6682237</v>
      </c>
      <c r="AG581" s="537" t="s">
        <v>1736</v>
      </c>
      <c r="AH581" s="408"/>
      <c r="AI581" s="409"/>
      <c r="AJ581" s="409"/>
      <c r="AK581" s="408"/>
      <c r="AL581" s="408"/>
      <c r="AM581" s="408"/>
      <c r="AN581" s="408"/>
      <c r="AO581" s="409"/>
      <c r="AP581" s="408"/>
      <c r="AQ581" s="408"/>
      <c r="AR581" s="408"/>
      <c r="AS581" s="408"/>
      <c r="AT581" s="408"/>
      <c r="AU581" s="408"/>
      <c r="AV581" s="410"/>
    </row>
    <row r="582" spans="1:48" ht="28.8" hidden="1">
      <c r="A582" s="421" t="s">
        <v>2531</v>
      </c>
      <c r="B582" s="422" t="s">
        <v>2532</v>
      </c>
      <c r="C582" s="422"/>
      <c r="D582" s="423" t="s">
        <v>321</v>
      </c>
      <c r="E582" s="423" t="s">
        <v>1750</v>
      </c>
      <c r="F582" s="406">
        <v>2024</v>
      </c>
      <c r="G582" s="406">
        <v>2024</v>
      </c>
      <c r="H582" s="406">
        <v>2024</v>
      </c>
      <c r="I582" s="408" t="s">
        <v>1882</v>
      </c>
      <c r="J582" s="409"/>
      <c r="K582" s="409">
        <v>1203200063</v>
      </c>
      <c r="L582" s="409" t="s">
        <v>351</v>
      </c>
      <c r="M582" s="409" t="s">
        <v>2271</v>
      </c>
      <c r="N582" s="408" t="s">
        <v>1882</v>
      </c>
      <c r="O582" s="409" t="s">
        <v>351</v>
      </c>
      <c r="P582" s="409" t="s">
        <v>2271</v>
      </c>
      <c r="Q582" s="409"/>
      <c r="R582" s="409">
        <v>1203200063</v>
      </c>
      <c r="S582" s="408" t="s">
        <v>50</v>
      </c>
      <c r="T582" s="409" t="s">
        <v>351</v>
      </c>
      <c r="U582" s="409" t="s">
        <v>2271</v>
      </c>
      <c r="V582" s="408">
        <v>6826739</v>
      </c>
      <c r="W582" s="537" t="s">
        <v>2307</v>
      </c>
      <c r="X582" s="408" t="s">
        <v>6</v>
      </c>
      <c r="Y582" s="409" t="s">
        <v>351</v>
      </c>
      <c r="Z582" s="409" t="s">
        <v>2271</v>
      </c>
      <c r="AA582" s="408">
        <v>6681051</v>
      </c>
      <c r="AB582" s="537" t="s">
        <v>1657</v>
      </c>
      <c r="AC582" s="408"/>
      <c r="AD582" s="409"/>
      <c r="AE582" s="409"/>
      <c r="AF582" s="408"/>
      <c r="AG582" s="408"/>
      <c r="AH582" s="408"/>
      <c r="AI582" s="409"/>
      <c r="AJ582" s="409"/>
      <c r="AK582" s="408"/>
      <c r="AL582" s="408"/>
      <c r="AM582" s="408"/>
      <c r="AN582" s="408"/>
      <c r="AO582" s="409"/>
      <c r="AP582" s="408"/>
      <c r="AQ582" s="408"/>
      <c r="AR582" s="408"/>
      <c r="AS582" s="408"/>
      <c r="AT582" s="408"/>
      <c r="AU582" s="408"/>
      <c r="AV582" s="410"/>
    </row>
    <row r="583" spans="1:48" ht="28.8" hidden="1">
      <c r="A583" s="421" t="s">
        <v>2533</v>
      </c>
      <c r="B583" s="422" t="s">
        <v>2305</v>
      </c>
      <c r="C583" s="422"/>
      <c r="D583" s="423" t="s">
        <v>321</v>
      </c>
      <c r="E583" s="423" t="s">
        <v>1750</v>
      </c>
      <c r="F583" s="406">
        <v>2024</v>
      </c>
      <c r="G583" s="406">
        <v>2024</v>
      </c>
      <c r="H583" s="406">
        <v>2024</v>
      </c>
      <c r="I583" s="408" t="s">
        <v>6</v>
      </c>
      <c r="J583" s="408">
        <v>6681051</v>
      </c>
      <c r="K583" s="537" t="s">
        <v>1657</v>
      </c>
      <c r="L583" s="409" t="s">
        <v>351</v>
      </c>
      <c r="M583" s="409" t="s">
        <v>2271</v>
      </c>
      <c r="N583" s="408" t="s">
        <v>6</v>
      </c>
      <c r="O583" s="409" t="s">
        <v>351</v>
      </c>
      <c r="P583" s="409" t="s">
        <v>2271</v>
      </c>
      <c r="Q583" s="408">
        <v>6681051</v>
      </c>
      <c r="R583" s="537" t="s">
        <v>1657</v>
      </c>
      <c r="S583" s="408" t="s">
        <v>2306</v>
      </c>
      <c r="T583" s="409"/>
      <c r="U583" s="409"/>
      <c r="V583" s="408"/>
      <c r="W583" s="408"/>
      <c r="X583" s="408" t="s">
        <v>50</v>
      </c>
      <c r="Y583" s="409" t="s">
        <v>351</v>
      </c>
      <c r="Z583" s="409" t="s">
        <v>2271</v>
      </c>
      <c r="AA583" s="408">
        <v>6826739</v>
      </c>
      <c r="AB583" s="537" t="s">
        <v>2307</v>
      </c>
      <c r="AC583" s="408" t="s">
        <v>17</v>
      </c>
      <c r="AD583" s="409" t="s">
        <v>353</v>
      </c>
      <c r="AE583" s="409" t="s">
        <v>2271</v>
      </c>
      <c r="AF583" s="408" t="s">
        <v>2308</v>
      </c>
      <c r="AG583" s="537" t="s">
        <v>1036</v>
      </c>
      <c r="AH583" s="408"/>
      <c r="AI583" s="409"/>
      <c r="AJ583" s="409"/>
      <c r="AK583" s="408"/>
      <c r="AL583" s="408"/>
      <c r="AM583" s="408"/>
      <c r="AN583" s="408"/>
      <c r="AO583" s="409"/>
      <c r="AP583" s="408"/>
      <c r="AQ583" s="408"/>
      <c r="AR583" s="408"/>
      <c r="AS583" s="408"/>
      <c r="AT583" s="408"/>
      <c r="AU583" s="408"/>
      <c r="AV583" s="410"/>
    </row>
    <row r="584" spans="1:48" ht="28.8" hidden="1">
      <c r="A584" s="421" t="s">
        <v>2534</v>
      </c>
      <c r="B584" s="422" t="s">
        <v>2529</v>
      </c>
      <c r="C584" s="422"/>
      <c r="D584" s="423" t="s">
        <v>782</v>
      </c>
      <c r="E584" s="423" t="s">
        <v>1750</v>
      </c>
      <c r="F584" s="406">
        <v>2024</v>
      </c>
      <c r="G584" s="406">
        <v>2024</v>
      </c>
      <c r="H584" s="406">
        <v>2024</v>
      </c>
      <c r="I584" s="408" t="s">
        <v>6</v>
      </c>
      <c r="J584" s="408">
        <v>6681051</v>
      </c>
      <c r="K584" s="537" t="s">
        <v>1657</v>
      </c>
      <c r="L584" s="409" t="s">
        <v>351</v>
      </c>
      <c r="M584" s="409" t="s">
        <v>2271</v>
      </c>
      <c r="N584" s="408" t="s">
        <v>6</v>
      </c>
      <c r="O584" s="409" t="s">
        <v>351</v>
      </c>
      <c r="P584" s="409" t="s">
        <v>2271</v>
      </c>
      <c r="Q584" s="408">
        <v>6681051</v>
      </c>
      <c r="R584" s="537" t="s">
        <v>1657</v>
      </c>
      <c r="S584" s="408" t="s">
        <v>56</v>
      </c>
      <c r="T584" s="409" t="s">
        <v>351</v>
      </c>
      <c r="U584" s="409" t="s">
        <v>2271</v>
      </c>
      <c r="V584" s="408">
        <v>6795859</v>
      </c>
      <c r="W584" s="537" t="s">
        <v>1672</v>
      </c>
      <c r="X584" s="408" t="s">
        <v>50</v>
      </c>
      <c r="Y584" s="409" t="s">
        <v>351</v>
      </c>
      <c r="Z584" s="409" t="s">
        <v>2271</v>
      </c>
      <c r="AA584" s="408">
        <v>6826739</v>
      </c>
      <c r="AB584" s="537" t="s">
        <v>2307</v>
      </c>
      <c r="AC584" s="408" t="s">
        <v>2535</v>
      </c>
      <c r="AD584" s="409" t="s">
        <v>351</v>
      </c>
      <c r="AE584" s="409" t="s">
        <v>2271</v>
      </c>
      <c r="AF584" s="408"/>
      <c r="AG584" s="408">
        <v>1104210012</v>
      </c>
      <c r="AH584" s="408" t="s">
        <v>2536</v>
      </c>
      <c r="AI584" s="409" t="s">
        <v>351</v>
      </c>
      <c r="AJ584" s="409" t="s">
        <v>2271</v>
      </c>
      <c r="AK584" s="408"/>
      <c r="AL584" s="408">
        <v>1104220182</v>
      </c>
      <c r="AM584" s="408" t="s">
        <v>2537</v>
      </c>
      <c r="AN584" s="409" t="s">
        <v>351</v>
      </c>
      <c r="AO584" s="409" t="s">
        <v>2271</v>
      </c>
      <c r="AP584" s="408"/>
      <c r="AQ584" s="408">
        <v>1104220048</v>
      </c>
      <c r="AR584" s="408"/>
      <c r="AS584" s="408"/>
      <c r="AT584" s="408"/>
      <c r="AU584" s="408"/>
      <c r="AV584" s="410"/>
    </row>
    <row r="585" spans="1:48" ht="28.8" hidden="1">
      <c r="A585" s="421" t="s">
        <v>2538</v>
      </c>
      <c r="B585" s="422" t="s">
        <v>2532</v>
      </c>
      <c r="C585" s="422"/>
      <c r="D585" s="423" t="s">
        <v>321</v>
      </c>
      <c r="E585" s="423" t="s">
        <v>1750</v>
      </c>
      <c r="F585" s="406">
        <v>2024</v>
      </c>
      <c r="G585" s="406">
        <v>2024</v>
      </c>
      <c r="H585" s="406">
        <v>2024</v>
      </c>
      <c r="I585" s="408" t="s">
        <v>1881</v>
      </c>
      <c r="J585" s="409"/>
      <c r="K585" s="409">
        <v>1203200058</v>
      </c>
      <c r="L585" s="409" t="s">
        <v>351</v>
      </c>
      <c r="M585" s="409" t="s">
        <v>2271</v>
      </c>
      <c r="N585" s="408" t="s">
        <v>1881</v>
      </c>
      <c r="O585" s="409" t="s">
        <v>351</v>
      </c>
      <c r="P585" s="409" t="s">
        <v>2271</v>
      </c>
      <c r="Q585" s="409"/>
      <c r="R585" s="409">
        <v>1203200058</v>
      </c>
      <c r="S585" s="408" t="s">
        <v>6</v>
      </c>
      <c r="T585" s="409" t="s">
        <v>351</v>
      </c>
      <c r="U585" s="409" t="s">
        <v>2271</v>
      </c>
      <c r="V585" s="408">
        <v>6681051</v>
      </c>
      <c r="W585" s="537" t="s">
        <v>1657</v>
      </c>
      <c r="X585" s="408" t="s">
        <v>192</v>
      </c>
      <c r="Y585" s="409" t="s">
        <v>351</v>
      </c>
      <c r="Z585" s="409" t="s">
        <v>2271</v>
      </c>
      <c r="AA585" s="408" t="s">
        <v>2539</v>
      </c>
      <c r="AB585" s="537" t="s">
        <v>2540</v>
      </c>
      <c r="AC585" s="408"/>
      <c r="AD585" s="409"/>
      <c r="AE585" s="409"/>
      <c r="AF585" s="408"/>
      <c r="AG585" s="408"/>
      <c r="AH585" s="408"/>
      <c r="AI585" s="409"/>
      <c r="AJ585" s="409"/>
      <c r="AK585" s="408"/>
      <c r="AL585" s="408"/>
      <c r="AM585" s="408"/>
      <c r="AN585" s="408"/>
      <c r="AO585" s="409"/>
      <c r="AP585" s="408"/>
      <c r="AQ585" s="408"/>
      <c r="AR585" s="408"/>
      <c r="AS585" s="408"/>
      <c r="AT585" s="408"/>
      <c r="AU585" s="408"/>
      <c r="AV585" s="410"/>
    </row>
    <row r="586" spans="1:48" ht="28.8">
      <c r="A586" s="421" t="s">
        <v>2541</v>
      </c>
      <c r="B586" s="422" t="s">
        <v>1735</v>
      </c>
      <c r="C586" s="422" t="s">
        <v>2270</v>
      </c>
      <c r="D586" s="423" t="s">
        <v>374</v>
      </c>
      <c r="E586" s="423" t="s">
        <v>1750</v>
      </c>
      <c r="F586" s="406">
        <v>2024</v>
      </c>
      <c r="G586" s="406">
        <v>2024</v>
      </c>
      <c r="H586" s="406">
        <v>2024</v>
      </c>
      <c r="I586" s="408"/>
      <c r="J586" s="409"/>
      <c r="K586" s="409"/>
      <c r="L586" s="409"/>
      <c r="M586" s="409"/>
      <c r="N586" s="408" t="s">
        <v>6</v>
      </c>
      <c r="O586" s="409" t="s">
        <v>351</v>
      </c>
      <c r="P586" s="409" t="s">
        <v>2271</v>
      </c>
      <c r="Q586" s="408">
        <v>6681051</v>
      </c>
      <c r="R586" s="537" t="s">
        <v>1657</v>
      </c>
      <c r="S586" s="408" t="s">
        <v>94</v>
      </c>
      <c r="T586" s="409" t="s">
        <v>279</v>
      </c>
      <c r="U586" s="409" t="s">
        <v>2271</v>
      </c>
      <c r="V586" s="408">
        <v>6663582</v>
      </c>
      <c r="W586" s="537" t="s">
        <v>1668</v>
      </c>
      <c r="X586" s="408" t="s">
        <v>85</v>
      </c>
      <c r="Y586" s="409" t="s">
        <v>309</v>
      </c>
      <c r="Z586" s="409" t="s">
        <v>2271</v>
      </c>
      <c r="AA586" s="408">
        <v>6680708</v>
      </c>
      <c r="AB586" s="537" t="s">
        <v>2436</v>
      </c>
      <c r="AC586" s="408" t="s">
        <v>2542</v>
      </c>
      <c r="AD586" s="409" t="s">
        <v>351</v>
      </c>
      <c r="AE586" s="409" t="s">
        <v>2271</v>
      </c>
      <c r="AF586" s="408"/>
      <c r="AG586" s="408">
        <v>1104210094</v>
      </c>
      <c r="AH586" s="408" t="s">
        <v>2543</v>
      </c>
      <c r="AI586" s="409" t="s">
        <v>351</v>
      </c>
      <c r="AJ586" s="409" t="s">
        <v>2271</v>
      </c>
      <c r="AK586" s="408"/>
      <c r="AL586" s="408">
        <v>1104210051</v>
      </c>
      <c r="AM586" s="408" t="s">
        <v>2544</v>
      </c>
      <c r="AN586" s="409" t="s">
        <v>351</v>
      </c>
      <c r="AO586" s="409" t="s">
        <v>2271</v>
      </c>
      <c r="AP586" s="408"/>
      <c r="AQ586" s="408">
        <v>1102210014</v>
      </c>
      <c r="AR586" s="408" t="s">
        <v>2545</v>
      </c>
      <c r="AS586" s="408" t="s">
        <v>309</v>
      </c>
      <c r="AT586" s="408" t="s">
        <v>2271</v>
      </c>
      <c r="AU586" s="408"/>
      <c r="AV586" s="410">
        <v>1103220012</v>
      </c>
    </row>
    <row r="587" spans="1:48" ht="28.8" hidden="1">
      <c r="A587" s="421" t="s">
        <v>2546</v>
      </c>
      <c r="B587" s="422" t="s">
        <v>2532</v>
      </c>
      <c r="C587" s="422"/>
      <c r="D587" s="423" t="s">
        <v>321</v>
      </c>
      <c r="E587" s="423" t="s">
        <v>1750</v>
      </c>
      <c r="F587" s="406">
        <v>2024</v>
      </c>
      <c r="G587" s="406">
        <v>2024</v>
      </c>
      <c r="H587" s="406">
        <v>2024</v>
      </c>
      <c r="I587" s="408" t="s">
        <v>2168</v>
      </c>
      <c r="J587" s="409"/>
      <c r="K587" s="409">
        <v>1203200038</v>
      </c>
      <c r="L587" s="409" t="s">
        <v>351</v>
      </c>
      <c r="M587" s="409" t="s">
        <v>2271</v>
      </c>
      <c r="N587" s="408" t="s">
        <v>2168</v>
      </c>
      <c r="O587" s="409" t="s">
        <v>351</v>
      </c>
      <c r="P587" s="409" t="s">
        <v>2271</v>
      </c>
      <c r="Q587" s="409"/>
      <c r="R587" s="409">
        <v>1203200038</v>
      </c>
      <c r="S587" s="408" t="s">
        <v>50</v>
      </c>
      <c r="T587" s="409" t="s">
        <v>351</v>
      </c>
      <c r="U587" s="409" t="s">
        <v>2271</v>
      </c>
      <c r="V587" s="408">
        <v>6826739</v>
      </c>
      <c r="W587" s="537" t="s">
        <v>2307</v>
      </c>
      <c r="X587" s="408" t="s">
        <v>6</v>
      </c>
      <c r="Y587" s="409" t="s">
        <v>351</v>
      </c>
      <c r="Z587" s="409" t="s">
        <v>2271</v>
      </c>
      <c r="AA587" s="408">
        <v>6681051</v>
      </c>
      <c r="AB587" s="537" t="s">
        <v>1657</v>
      </c>
      <c r="AC587" s="408"/>
      <c r="AD587" s="409"/>
      <c r="AE587" s="409"/>
      <c r="AF587" s="408"/>
      <c r="AG587" s="408"/>
      <c r="AH587" s="408"/>
      <c r="AI587" s="409"/>
      <c r="AJ587" s="409"/>
      <c r="AK587" s="408"/>
      <c r="AL587" s="408"/>
      <c r="AM587" s="408"/>
      <c r="AN587" s="408"/>
      <c r="AO587" s="409"/>
      <c r="AP587" s="408"/>
      <c r="AQ587" s="408"/>
      <c r="AR587" s="408"/>
      <c r="AS587" s="408"/>
      <c r="AT587" s="408"/>
      <c r="AU587" s="408"/>
      <c r="AV587" s="410"/>
    </row>
    <row r="588" spans="1:48" ht="28.8" hidden="1">
      <c r="A588" s="421" t="s">
        <v>2547</v>
      </c>
      <c r="B588" s="422" t="s">
        <v>2548</v>
      </c>
      <c r="C588" s="422"/>
      <c r="D588" s="423" t="s">
        <v>321</v>
      </c>
      <c r="E588" s="423" t="s">
        <v>1750</v>
      </c>
      <c r="F588" s="406">
        <v>2024</v>
      </c>
      <c r="G588" s="406">
        <v>2024</v>
      </c>
      <c r="H588" s="406">
        <v>2024</v>
      </c>
      <c r="I588" s="408"/>
      <c r="J588" s="409"/>
      <c r="K588" s="409"/>
      <c r="L588" s="409"/>
      <c r="M588" s="409"/>
      <c r="N588" s="408" t="s">
        <v>2306</v>
      </c>
      <c r="O588" s="409"/>
      <c r="P588" s="409"/>
      <c r="Q588" s="409"/>
      <c r="R588" s="409"/>
      <c r="S588" s="408" t="s">
        <v>6</v>
      </c>
      <c r="T588" s="409" t="s">
        <v>351</v>
      </c>
      <c r="U588" s="409" t="s">
        <v>2271</v>
      </c>
      <c r="V588" s="408">
        <v>6681051</v>
      </c>
      <c r="W588" s="537" t="s">
        <v>1657</v>
      </c>
      <c r="X588" s="408" t="s">
        <v>50</v>
      </c>
      <c r="Y588" s="409" t="s">
        <v>351</v>
      </c>
      <c r="Z588" s="409" t="s">
        <v>2271</v>
      </c>
      <c r="AA588" s="408">
        <v>6826739</v>
      </c>
      <c r="AB588" s="537" t="s">
        <v>2307</v>
      </c>
      <c r="AC588" s="408"/>
      <c r="AD588" s="409"/>
      <c r="AE588" s="409"/>
      <c r="AF588" s="408"/>
      <c r="AG588" s="408"/>
      <c r="AH588" s="408"/>
      <c r="AI588" s="409"/>
      <c r="AJ588" s="409"/>
      <c r="AK588" s="408"/>
      <c r="AL588" s="408"/>
      <c r="AM588" s="408"/>
      <c r="AN588" s="408"/>
      <c r="AO588" s="409"/>
      <c r="AP588" s="408"/>
      <c r="AQ588" s="408"/>
      <c r="AR588" s="408"/>
      <c r="AS588" s="408"/>
      <c r="AT588" s="408"/>
      <c r="AU588" s="408"/>
      <c r="AV588" s="410"/>
    </row>
    <row r="589" spans="1:48" ht="28.8" hidden="1">
      <c r="A589" s="421" t="s">
        <v>2549</v>
      </c>
      <c r="B589" s="422" t="s">
        <v>2550</v>
      </c>
      <c r="C589" s="422"/>
      <c r="D589" s="423" t="s">
        <v>374</v>
      </c>
      <c r="E589" s="423" t="s">
        <v>1750</v>
      </c>
      <c r="F589" s="406">
        <v>2024</v>
      </c>
      <c r="G589" s="406">
        <v>2024</v>
      </c>
      <c r="H589" s="406">
        <v>2024</v>
      </c>
      <c r="I589" s="408" t="s">
        <v>2551</v>
      </c>
      <c r="J589" s="409"/>
      <c r="K589" s="409">
        <v>1203200099</v>
      </c>
      <c r="L589" s="409" t="s">
        <v>351</v>
      </c>
      <c r="M589" s="409" t="s">
        <v>2271</v>
      </c>
      <c r="N589" s="408" t="s">
        <v>2551</v>
      </c>
      <c r="O589" s="409" t="s">
        <v>351</v>
      </c>
      <c r="P589" s="409" t="s">
        <v>2271</v>
      </c>
      <c r="Q589" s="409"/>
      <c r="R589" s="409">
        <v>1203200099</v>
      </c>
      <c r="S589" s="408" t="s">
        <v>88</v>
      </c>
      <c r="T589" s="409" t="s">
        <v>351</v>
      </c>
      <c r="U589" s="409" t="s">
        <v>2271</v>
      </c>
      <c r="V589" s="408" t="s">
        <v>2552</v>
      </c>
      <c r="W589" s="537" t="s">
        <v>1912</v>
      </c>
      <c r="X589" s="408" t="s">
        <v>45</v>
      </c>
      <c r="Y589" s="409" t="s">
        <v>351</v>
      </c>
      <c r="Z589" s="409" t="s">
        <v>2271</v>
      </c>
      <c r="AA589" s="408">
        <v>6826743</v>
      </c>
      <c r="AB589" s="537" t="s">
        <v>1880</v>
      </c>
      <c r="AC589" s="408"/>
      <c r="AD589" s="409"/>
      <c r="AE589" s="409"/>
      <c r="AF589" s="408"/>
      <c r="AG589" s="408"/>
      <c r="AH589" s="408"/>
      <c r="AI589" s="409"/>
      <c r="AJ589" s="409"/>
      <c r="AK589" s="408"/>
      <c r="AL589" s="408"/>
      <c r="AM589" s="408"/>
      <c r="AN589" s="408"/>
      <c r="AO589" s="409"/>
      <c r="AP589" s="408"/>
      <c r="AQ589" s="408"/>
      <c r="AR589" s="408"/>
      <c r="AS589" s="408"/>
      <c r="AT589" s="408"/>
      <c r="AU589" s="408"/>
      <c r="AV589" s="410"/>
    </row>
    <row r="590" spans="1:48" ht="28.8" hidden="1">
      <c r="A590" s="421" t="s">
        <v>2553</v>
      </c>
      <c r="B590" s="422" t="s">
        <v>2213</v>
      </c>
      <c r="C590" s="422"/>
      <c r="D590" s="423" t="s">
        <v>302</v>
      </c>
      <c r="E590" s="423" t="s">
        <v>1750</v>
      </c>
      <c r="F590" s="406">
        <v>2024</v>
      </c>
      <c r="G590" s="406">
        <v>2024</v>
      </c>
      <c r="H590" s="406">
        <v>2024</v>
      </c>
      <c r="I590" s="408" t="s">
        <v>2554</v>
      </c>
      <c r="J590" s="409"/>
      <c r="K590" s="409">
        <v>1203200107</v>
      </c>
      <c r="L590" s="409" t="s">
        <v>351</v>
      </c>
      <c r="M590" s="409" t="s">
        <v>2271</v>
      </c>
      <c r="N590" s="408" t="s">
        <v>2554</v>
      </c>
      <c r="O590" s="409" t="s">
        <v>351</v>
      </c>
      <c r="P590" s="409" t="s">
        <v>2271</v>
      </c>
      <c r="Q590" s="409"/>
      <c r="R590" s="409">
        <v>1203200107</v>
      </c>
      <c r="S590" s="408" t="s">
        <v>88</v>
      </c>
      <c r="T590" s="409" t="s">
        <v>351</v>
      </c>
      <c r="U590" s="409" t="s">
        <v>2271</v>
      </c>
      <c r="V590" s="408" t="s">
        <v>2552</v>
      </c>
      <c r="W590" s="537" t="s">
        <v>1912</v>
      </c>
      <c r="X590" s="408" t="s">
        <v>45</v>
      </c>
      <c r="Y590" s="409" t="s">
        <v>351</v>
      </c>
      <c r="Z590" s="409" t="s">
        <v>2271</v>
      </c>
      <c r="AA590" s="408">
        <v>6826743</v>
      </c>
      <c r="AB590" s="537" t="s">
        <v>1880</v>
      </c>
      <c r="AC590" s="408"/>
      <c r="AD590" s="409"/>
      <c r="AE590" s="409"/>
      <c r="AF590" s="408"/>
      <c r="AG590" s="408"/>
      <c r="AH590" s="408"/>
      <c r="AI590" s="409"/>
      <c r="AJ590" s="409"/>
      <c r="AK590" s="408"/>
      <c r="AL590" s="408"/>
      <c r="AM590" s="408"/>
      <c r="AN590" s="408"/>
      <c r="AO590" s="409"/>
      <c r="AP590" s="408"/>
      <c r="AQ590" s="408"/>
      <c r="AR590" s="408"/>
      <c r="AS590" s="408"/>
      <c r="AT590" s="408"/>
      <c r="AU590" s="408"/>
      <c r="AV590" s="410"/>
    </row>
    <row r="591" spans="1:48" ht="43.2" hidden="1">
      <c r="A591" s="421" t="s">
        <v>2555</v>
      </c>
      <c r="B591" s="422" t="s">
        <v>2550</v>
      </c>
      <c r="C591" s="422"/>
      <c r="D591" s="423" t="s">
        <v>374</v>
      </c>
      <c r="E591" s="423" t="s">
        <v>1750</v>
      </c>
      <c r="F591" s="406">
        <v>2024</v>
      </c>
      <c r="G591" s="406">
        <v>2024</v>
      </c>
      <c r="H591" s="406">
        <v>2024</v>
      </c>
      <c r="I591" s="408" t="s">
        <v>2556</v>
      </c>
      <c r="J591" s="409"/>
      <c r="K591" s="409">
        <v>1203200076</v>
      </c>
      <c r="L591" s="409" t="s">
        <v>351</v>
      </c>
      <c r="M591" s="409" t="s">
        <v>2271</v>
      </c>
      <c r="N591" s="408" t="s">
        <v>2556</v>
      </c>
      <c r="O591" s="409" t="s">
        <v>351</v>
      </c>
      <c r="P591" s="409" t="s">
        <v>2271</v>
      </c>
      <c r="Q591" s="409"/>
      <c r="R591" s="409">
        <v>1203200076</v>
      </c>
      <c r="S591" s="408" t="s">
        <v>203</v>
      </c>
      <c r="T591" s="409" t="s">
        <v>351</v>
      </c>
      <c r="U591" s="409" t="s">
        <v>2271</v>
      </c>
      <c r="V591" s="408">
        <v>6892129</v>
      </c>
      <c r="W591" s="537" t="s">
        <v>2557</v>
      </c>
      <c r="X591" s="408" t="s">
        <v>40</v>
      </c>
      <c r="Y591" s="409" t="s">
        <v>351</v>
      </c>
      <c r="Z591" s="409" t="s">
        <v>2271</v>
      </c>
      <c r="AA591" s="408" t="s">
        <v>2558</v>
      </c>
      <c r="AB591" s="537" t="s">
        <v>984</v>
      </c>
      <c r="AC591" s="408"/>
      <c r="AD591" s="409"/>
      <c r="AE591" s="409"/>
      <c r="AF591" s="408"/>
      <c r="AG591" s="408"/>
      <c r="AH591" s="408"/>
      <c r="AI591" s="409"/>
      <c r="AJ591" s="409"/>
      <c r="AK591" s="408"/>
      <c r="AL591" s="408"/>
      <c r="AM591" s="408"/>
      <c r="AN591" s="408"/>
      <c r="AO591" s="409"/>
      <c r="AP591" s="408"/>
      <c r="AQ591" s="408"/>
      <c r="AR591" s="408"/>
      <c r="AS591" s="408"/>
      <c r="AT591" s="408"/>
      <c r="AU591" s="408"/>
      <c r="AV591" s="410"/>
    </row>
    <row r="592" spans="1:48" ht="28.8" hidden="1">
      <c r="A592" s="421" t="s">
        <v>2559</v>
      </c>
      <c r="B592" s="422" t="s">
        <v>2560</v>
      </c>
      <c r="C592" s="422"/>
      <c r="D592" s="423" t="s">
        <v>302</v>
      </c>
      <c r="E592" s="423" t="s">
        <v>1750</v>
      </c>
      <c r="F592" s="406">
        <v>2024</v>
      </c>
      <c r="G592" s="406">
        <v>2024</v>
      </c>
      <c r="H592" s="406">
        <v>2024</v>
      </c>
      <c r="I592" s="408" t="s">
        <v>45</v>
      </c>
      <c r="J592" s="408">
        <v>6826743</v>
      </c>
      <c r="K592" s="537" t="s">
        <v>1880</v>
      </c>
      <c r="L592" s="409" t="s">
        <v>351</v>
      </c>
      <c r="M592" s="409" t="s">
        <v>2271</v>
      </c>
      <c r="N592" s="408" t="s">
        <v>45</v>
      </c>
      <c r="O592" s="409" t="s">
        <v>351</v>
      </c>
      <c r="P592" s="409" t="s">
        <v>2271</v>
      </c>
      <c r="Q592" s="408">
        <v>6826743</v>
      </c>
      <c r="R592" s="537" t="s">
        <v>1880</v>
      </c>
      <c r="S592" s="408" t="s">
        <v>40</v>
      </c>
      <c r="T592" s="409" t="s">
        <v>351</v>
      </c>
      <c r="U592" s="409"/>
      <c r="V592" s="408"/>
      <c r="W592" s="408"/>
      <c r="X592" s="408"/>
      <c r="Y592" s="409"/>
      <c r="Z592" s="409"/>
      <c r="AA592" s="408"/>
      <c r="AB592" s="408"/>
      <c r="AC592" s="408"/>
      <c r="AD592" s="409"/>
      <c r="AE592" s="409"/>
      <c r="AF592" s="408"/>
      <c r="AG592" s="408"/>
      <c r="AH592" s="408"/>
      <c r="AI592" s="409"/>
      <c r="AJ592" s="409"/>
      <c r="AK592" s="408"/>
      <c r="AL592" s="408"/>
      <c r="AM592" s="408"/>
      <c r="AN592" s="408"/>
      <c r="AO592" s="409"/>
      <c r="AP592" s="408"/>
      <c r="AQ592" s="408"/>
      <c r="AR592" s="408"/>
      <c r="AS592" s="408"/>
      <c r="AT592" s="408"/>
      <c r="AU592" s="408"/>
      <c r="AV592" s="410"/>
    </row>
    <row r="593" spans="1:48" ht="33.75" hidden="1" customHeight="1">
      <c r="A593" s="421" t="s">
        <v>2561</v>
      </c>
      <c r="B593" s="422" t="s">
        <v>2550</v>
      </c>
      <c r="C593" s="422"/>
      <c r="D593" s="423" t="s">
        <v>374</v>
      </c>
      <c r="E593" s="423" t="s">
        <v>1750</v>
      </c>
      <c r="F593" s="406">
        <v>2024</v>
      </c>
      <c r="G593" s="406">
        <v>2024</v>
      </c>
      <c r="H593" s="406">
        <v>2024</v>
      </c>
      <c r="I593" s="408" t="s">
        <v>2562</v>
      </c>
      <c r="J593" s="409"/>
      <c r="K593" s="409">
        <v>1203200054</v>
      </c>
      <c r="L593" s="409" t="s">
        <v>351</v>
      </c>
      <c r="M593" s="409" t="s">
        <v>2271</v>
      </c>
      <c r="N593" s="408" t="s">
        <v>2562</v>
      </c>
      <c r="O593" s="409" t="s">
        <v>351</v>
      </c>
      <c r="P593" s="409" t="s">
        <v>2271</v>
      </c>
      <c r="Q593" s="409"/>
      <c r="R593" s="409">
        <v>1203200054</v>
      </c>
      <c r="S593" s="408" t="s">
        <v>45</v>
      </c>
      <c r="T593" s="409" t="s">
        <v>351</v>
      </c>
      <c r="U593" s="409" t="s">
        <v>2271</v>
      </c>
      <c r="V593" s="408">
        <v>6826743</v>
      </c>
      <c r="W593" s="537" t="s">
        <v>1880</v>
      </c>
      <c r="X593" s="408" t="s">
        <v>40</v>
      </c>
      <c r="Y593" s="409" t="s">
        <v>351</v>
      </c>
      <c r="Z593" s="409" t="s">
        <v>2271</v>
      </c>
      <c r="AA593" s="408" t="s">
        <v>2558</v>
      </c>
      <c r="AB593" s="537" t="s">
        <v>984</v>
      </c>
      <c r="AC593" s="408"/>
      <c r="AD593" s="409"/>
      <c r="AE593" s="409"/>
      <c r="AF593" s="408"/>
      <c r="AG593" s="408"/>
      <c r="AH593" s="408"/>
      <c r="AI593" s="409"/>
      <c r="AJ593" s="409"/>
      <c r="AK593" s="408"/>
      <c r="AL593" s="408"/>
      <c r="AM593" s="408"/>
      <c r="AN593" s="408"/>
      <c r="AO593" s="409"/>
      <c r="AP593" s="408"/>
      <c r="AQ593" s="408"/>
      <c r="AR593" s="408"/>
      <c r="AS593" s="408"/>
      <c r="AT593" s="408"/>
      <c r="AU593" s="408"/>
      <c r="AV593" s="410"/>
    </row>
    <row r="594" spans="1:48" ht="28.8" hidden="1">
      <c r="A594" s="421" t="s">
        <v>2563</v>
      </c>
      <c r="B594" s="422" t="s">
        <v>2529</v>
      </c>
      <c r="C594" s="422"/>
      <c r="D594" s="423" t="s">
        <v>782</v>
      </c>
      <c r="E594" s="423" t="s">
        <v>1750</v>
      </c>
      <c r="F594" s="406">
        <v>2024</v>
      </c>
      <c r="G594" s="406">
        <v>2024</v>
      </c>
      <c r="H594" s="406">
        <v>2024</v>
      </c>
      <c r="I594" s="408" t="s">
        <v>45</v>
      </c>
      <c r="J594" s="408">
        <v>6826743</v>
      </c>
      <c r="K594" s="537" t="s">
        <v>1880</v>
      </c>
      <c r="L594" s="409" t="s">
        <v>351</v>
      </c>
      <c r="M594" s="409" t="s">
        <v>2271</v>
      </c>
      <c r="N594" s="408" t="s">
        <v>45</v>
      </c>
      <c r="O594" s="409" t="s">
        <v>351</v>
      </c>
      <c r="P594" s="409" t="s">
        <v>2271</v>
      </c>
      <c r="Q594" s="408">
        <v>6826743</v>
      </c>
      <c r="R594" s="537" t="s">
        <v>1880</v>
      </c>
      <c r="S594" s="408" t="s">
        <v>203</v>
      </c>
      <c r="T594" s="409" t="s">
        <v>351</v>
      </c>
      <c r="U594" s="409" t="s">
        <v>2271</v>
      </c>
      <c r="V594" s="408">
        <v>6892129</v>
      </c>
      <c r="W594" s="537" t="s">
        <v>2557</v>
      </c>
      <c r="X594" s="408" t="s">
        <v>40</v>
      </c>
      <c r="Y594" s="409" t="s">
        <v>351</v>
      </c>
      <c r="Z594" s="409" t="s">
        <v>2271</v>
      </c>
      <c r="AA594" s="408" t="s">
        <v>2558</v>
      </c>
      <c r="AB594" s="537" t="s">
        <v>984</v>
      </c>
      <c r="AC594" s="408" t="s">
        <v>2564</v>
      </c>
      <c r="AD594" s="409" t="s">
        <v>351</v>
      </c>
      <c r="AE594" s="409" t="s">
        <v>2271</v>
      </c>
      <c r="AF594" s="408"/>
      <c r="AG594" s="408">
        <v>1104230040</v>
      </c>
      <c r="AH594" s="408" t="s">
        <v>2565</v>
      </c>
      <c r="AI594" s="409" t="s">
        <v>351</v>
      </c>
      <c r="AJ594" s="409" t="s">
        <v>2271</v>
      </c>
      <c r="AK594" s="408"/>
      <c r="AL594" s="408">
        <v>1104220168</v>
      </c>
      <c r="AM594" s="408" t="s">
        <v>2566</v>
      </c>
      <c r="AN594" s="409" t="s">
        <v>351</v>
      </c>
      <c r="AO594" s="409" t="s">
        <v>2271</v>
      </c>
      <c r="AP594" s="408"/>
      <c r="AQ594" s="408">
        <v>1104220163</v>
      </c>
      <c r="AR594" s="408" t="s">
        <v>2567</v>
      </c>
      <c r="AS594" s="409" t="s">
        <v>351</v>
      </c>
      <c r="AT594" s="409" t="s">
        <v>2271</v>
      </c>
      <c r="AU594" s="408"/>
      <c r="AV594" s="410">
        <v>1104220059</v>
      </c>
    </row>
    <row r="595" spans="1:48" ht="28.8" hidden="1">
      <c r="A595" s="421" t="s">
        <v>2568</v>
      </c>
      <c r="B595" s="422" t="s">
        <v>2569</v>
      </c>
      <c r="C595" s="422"/>
      <c r="D595" s="423" t="s">
        <v>321</v>
      </c>
      <c r="E595" s="423" t="s">
        <v>1750</v>
      </c>
      <c r="F595" s="406">
        <v>2023</v>
      </c>
      <c r="G595" s="406">
        <v>2023</v>
      </c>
      <c r="H595" s="406">
        <v>2023</v>
      </c>
      <c r="I595" s="408" t="s">
        <v>56</v>
      </c>
      <c r="J595" s="409"/>
      <c r="K595" s="409"/>
      <c r="L595" s="409" t="s">
        <v>351</v>
      </c>
      <c r="M595" s="409"/>
      <c r="N595" s="408" t="s">
        <v>56</v>
      </c>
      <c r="O595" s="409" t="s">
        <v>351</v>
      </c>
      <c r="P595" s="409"/>
      <c r="Q595" s="409"/>
      <c r="R595" s="409"/>
      <c r="S595" s="408" t="s">
        <v>50</v>
      </c>
      <c r="T595" s="409" t="s">
        <v>351</v>
      </c>
      <c r="U595" s="409"/>
      <c r="V595" s="408"/>
      <c r="W595" s="408"/>
      <c r="X595" s="408" t="s">
        <v>2570</v>
      </c>
      <c r="Y595" s="409"/>
      <c r="Z595" s="409"/>
      <c r="AA595" s="408"/>
      <c r="AB595" s="408"/>
      <c r="AC595" s="408" t="s">
        <v>2571</v>
      </c>
      <c r="AD595" s="409"/>
      <c r="AE595" s="409"/>
      <c r="AF595" s="408"/>
      <c r="AG595" s="408"/>
      <c r="AH595" s="408" t="s">
        <v>2572</v>
      </c>
      <c r="AI595" s="409"/>
      <c r="AJ595" s="409"/>
      <c r="AK595" s="408"/>
      <c r="AL595" s="408"/>
      <c r="AM595" s="408"/>
      <c r="AN595" s="408"/>
      <c r="AO595" s="409"/>
      <c r="AP595" s="408"/>
      <c r="AQ595" s="408"/>
      <c r="AR595" s="408"/>
      <c r="AS595" s="408"/>
      <c r="AT595" s="408"/>
      <c r="AU595" s="408"/>
      <c r="AV595" s="410"/>
    </row>
    <row r="596" spans="1:48" hidden="1">
      <c r="A596" s="421" t="s">
        <v>2573</v>
      </c>
      <c r="B596" s="422" t="s">
        <v>2574</v>
      </c>
      <c r="C596" s="422"/>
      <c r="D596" s="395" t="s">
        <v>313</v>
      </c>
      <c r="E596" s="423" t="s">
        <v>2378</v>
      </c>
      <c r="F596" s="406">
        <v>2023</v>
      </c>
      <c r="G596" s="406">
        <v>2023</v>
      </c>
      <c r="H596" s="406">
        <v>2023</v>
      </c>
      <c r="I596" s="408" t="s">
        <v>50</v>
      </c>
      <c r="J596" s="409"/>
      <c r="K596" s="409"/>
      <c r="L596" s="409" t="s">
        <v>351</v>
      </c>
      <c r="M596" s="409"/>
      <c r="N596" s="408" t="s">
        <v>50</v>
      </c>
      <c r="O596" s="409" t="s">
        <v>351</v>
      </c>
      <c r="P596" s="409"/>
      <c r="Q596" s="409"/>
      <c r="R596" s="409"/>
      <c r="S596" s="408" t="s">
        <v>2575</v>
      </c>
      <c r="T596" s="409"/>
      <c r="U596" s="409"/>
      <c r="V596" s="408"/>
      <c r="W596" s="408"/>
      <c r="X596" s="408"/>
      <c r="Y596" s="409"/>
      <c r="Z596" s="409"/>
      <c r="AA596" s="408"/>
      <c r="AB596" s="408"/>
      <c r="AC596" s="408"/>
      <c r="AD596" s="409"/>
      <c r="AE596" s="409"/>
      <c r="AF596" s="408"/>
      <c r="AG596" s="408"/>
      <c r="AH596" s="408"/>
      <c r="AI596" s="409"/>
      <c r="AJ596" s="409"/>
      <c r="AK596" s="408"/>
      <c r="AL596" s="408"/>
      <c r="AM596" s="408"/>
      <c r="AN596" s="408"/>
      <c r="AO596" s="409"/>
      <c r="AP596" s="408"/>
      <c r="AQ596" s="408"/>
      <c r="AR596" s="408"/>
      <c r="AS596" s="408"/>
      <c r="AT596" s="408"/>
      <c r="AU596" s="408"/>
      <c r="AV596" s="410"/>
    </row>
    <row r="597" spans="1:48" hidden="1">
      <c r="A597" s="421" t="s">
        <v>2576</v>
      </c>
      <c r="B597" s="422" t="s">
        <v>2574</v>
      </c>
      <c r="C597" s="422"/>
      <c r="D597" s="395" t="s">
        <v>313</v>
      </c>
      <c r="E597" s="423" t="s">
        <v>2378</v>
      </c>
      <c r="F597" s="406">
        <v>2023</v>
      </c>
      <c r="G597" s="406">
        <v>2023</v>
      </c>
      <c r="H597" s="406">
        <v>2023</v>
      </c>
      <c r="I597" s="408" t="s">
        <v>50</v>
      </c>
      <c r="J597" s="409"/>
      <c r="K597" s="409"/>
      <c r="L597" s="409" t="s">
        <v>351</v>
      </c>
      <c r="M597" s="409"/>
      <c r="N597" s="408" t="s">
        <v>56</v>
      </c>
      <c r="O597" s="409" t="s">
        <v>351</v>
      </c>
      <c r="P597" s="409"/>
      <c r="Q597" s="409"/>
      <c r="R597" s="409"/>
      <c r="S597" s="408" t="s">
        <v>50</v>
      </c>
      <c r="T597" s="409" t="s">
        <v>351</v>
      </c>
      <c r="U597" s="409"/>
      <c r="V597" s="408"/>
      <c r="W597" s="408"/>
      <c r="X597" s="408" t="s">
        <v>6</v>
      </c>
      <c r="Y597" s="409" t="s">
        <v>351</v>
      </c>
      <c r="Z597" s="409"/>
      <c r="AA597" s="408"/>
      <c r="AB597" s="408"/>
      <c r="AC597" s="408" t="s">
        <v>2577</v>
      </c>
      <c r="AD597" s="409"/>
      <c r="AE597" s="409"/>
      <c r="AF597" s="408"/>
      <c r="AG597" s="408"/>
      <c r="AH597" s="408"/>
      <c r="AI597" s="409"/>
      <c r="AJ597" s="409"/>
      <c r="AK597" s="408"/>
      <c r="AL597" s="408"/>
      <c r="AM597" s="408"/>
      <c r="AN597" s="408"/>
      <c r="AO597" s="409"/>
      <c r="AP597" s="408"/>
      <c r="AQ597" s="408"/>
      <c r="AR597" s="408"/>
      <c r="AS597" s="408"/>
      <c r="AT597" s="408"/>
      <c r="AU597" s="408"/>
      <c r="AV597" s="410"/>
    </row>
    <row r="598" spans="1:48" ht="28.8" hidden="1">
      <c r="A598" s="421" t="s">
        <v>2578</v>
      </c>
      <c r="B598" s="422" t="s">
        <v>2550</v>
      </c>
      <c r="C598" s="422"/>
      <c r="D598" s="423" t="s">
        <v>374</v>
      </c>
      <c r="E598" s="423" t="s">
        <v>1750</v>
      </c>
      <c r="F598" s="406">
        <v>2024</v>
      </c>
      <c r="G598" s="406">
        <v>2024</v>
      </c>
      <c r="H598" s="406">
        <v>2024</v>
      </c>
      <c r="I598" s="408" t="s">
        <v>2579</v>
      </c>
      <c r="J598" s="409"/>
      <c r="K598" s="409">
        <v>1203200093</v>
      </c>
      <c r="L598" s="409" t="s">
        <v>351</v>
      </c>
      <c r="M598" s="409" t="s">
        <v>2271</v>
      </c>
      <c r="N598" s="408" t="s">
        <v>2580</v>
      </c>
      <c r="O598" s="409" t="s">
        <v>351</v>
      </c>
      <c r="P598" s="409" t="s">
        <v>2271</v>
      </c>
      <c r="Q598" s="409"/>
      <c r="R598" s="409">
        <v>1203200093</v>
      </c>
      <c r="S598" s="408" t="s">
        <v>88</v>
      </c>
      <c r="T598" s="409" t="s">
        <v>351</v>
      </c>
      <c r="U598" s="409" t="s">
        <v>2271</v>
      </c>
      <c r="V598" s="408" t="s">
        <v>2552</v>
      </c>
      <c r="W598" s="537" t="s">
        <v>1912</v>
      </c>
      <c r="X598" s="408" t="s">
        <v>45</v>
      </c>
      <c r="Y598" s="409" t="s">
        <v>351</v>
      </c>
      <c r="Z598" s="409" t="s">
        <v>2271</v>
      </c>
      <c r="AA598" s="408">
        <v>6826743</v>
      </c>
      <c r="AB598" s="537" t="s">
        <v>1880</v>
      </c>
      <c r="AC598" s="408"/>
      <c r="AD598" s="409"/>
      <c r="AE598" s="409"/>
      <c r="AF598" s="408"/>
      <c r="AG598" s="408"/>
      <c r="AH598" s="408"/>
      <c r="AI598" s="409"/>
      <c r="AJ598" s="409"/>
      <c r="AK598" s="408"/>
      <c r="AL598" s="408"/>
      <c r="AM598" s="408"/>
      <c r="AN598" s="408"/>
      <c r="AO598" s="409"/>
      <c r="AP598" s="408"/>
      <c r="AQ598" s="408"/>
      <c r="AR598" s="408"/>
      <c r="AS598" s="408"/>
      <c r="AT598" s="408"/>
      <c r="AU598" s="408"/>
      <c r="AV598" s="410"/>
    </row>
    <row r="599" spans="1:48" ht="28.8" hidden="1">
      <c r="A599" s="421" t="s">
        <v>2581</v>
      </c>
      <c r="B599" s="422" t="s">
        <v>2582</v>
      </c>
      <c r="C599" s="422"/>
      <c r="D599" s="423" t="s">
        <v>321</v>
      </c>
      <c r="E599" s="423" t="s">
        <v>1750</v>
      </c>
      <c r="F599" s="406">
        <v>2024</v>
      </c>
      <c r="G599" s="406">
        <v>2024</v>
      </c>
      <c r="H599" s="406">
        <v>2024</v>
      </c>
      <c r="I599" s="408" t="s">
        <v>45</v>
      </c>
      <c r="J599" s="408">
        <v>6826743</v>
      </c>
      <c r="K599" s="537" t="s">
        <v>1880</v>
      </c>
      <c r="L599" s="409" t="s">
        <v>351</v>
      </c>
      <c r="M599" s="409" t="s">
        <v>2271</v>
      </c>
      <c r="N599" s="408" t="s">
        <v>45</v>
      </c>
      <c r="O599" s="409" t="s">
        <v>351</v>
      </c>
      <c r="P599" s="409" t="s">
        <v>2271</v>
      </c>
      <c r="Q599" s="408">
        <v>6826743</v>
      </c>
      <c r="R599" s="537" t="s">
        <v>1880</v>
      </c>
      <c r="S599" s="408" t="s">
        <v>1936</v>
      </c>
      <c r="T599" s="409" t="s">
        <v>351</v>
      </c>
      <c r="U599" s="409" t="s">
        <v>2271</v>
      </c>
      <c r="V599" s="408"/>
      <c r="W599" s="408">
        <v>1104210019</v>
      </c>
      <c r="X599" s="408" t="s">
        <v>2583</v>
      </c>
      <c r="Y599" s="409" t="s">
        <v>351</v>
      </c>
      <c r="Z599" s="409" t="s">
        <v>2271</v>
      </c>
      <c r="AA599" s="408"/>
      <c r="AB599" s="408">
        <v>1104210024</v>
      </c>
      <c r="AC599" s="408" t="s">
        <v>2584</v>
      </c>
      <c r="AD599" s="409" t="s">
        <v>351</v>
      </c>
      <c r="AE599" s="409" t="s">
        <v>2271</v>
      </c>
      <c r="AF599" s="408"/>
      <c r="AG599" s="408">
        <v>1104210028</v>
      </c>
      <c r="AH599" s="408" t="s">
        <v>2542</v>
      </c>
      <c r="AI599" s="409" t="s">
        <v>351</v>
      </c>
      <c r="AJ599" s="409" t="s">
        <v>2271</v>
      </c>
      <c r="AK599" s="408"/>
      <c r="AL599" s="408">
        <v>1104210094</v>
      </c>
      <c r="AM599" s="408"/>
      <c r="AN599" s="408"/>
      <c r="AO599" s="409"/>
      <c r="AP599" s="408"/>
      <c r="AQ599" s="408"/>
      <c r="AR599" s="408"/>
      <c r="AS599" s="408"/>
      <c r="AT599" s="408"/>
      <c r="AU599" s="408"/>
      <c r="AV599" s="410"/>
    </row>
    <row r="600" spans="1:48" ht="28.8" hidden="1">
      <c r="A600" s="421" t="s">
        <v>2585</v>
      </c>
      <c r="B600" s="422" t="s">
        <v>2586</v>
      </c>
      <c r="C600" s="422"/>
      <c r="D600" s="423" t="s">
        <v>321</v>
      </c>
      <c r="E600" s="423" t="s">
        <v>1750</v>
      </c>
      <c r="F600" s="406">
        <v>2024</v>
      </c>
      <c r="G600" s="406">
        <v>2024</v>
      </c>
      <c r="H600" s="406">
        <v>2024</v>
      </c>
      <c r="I600" s="408" t="s">
        <v>45</v>
      </c>
      <c r="J600" s="408">
        <v>6826743</v>
      </c>
      <c r="K600" s="537" t="s">
        <v>1880</v>
      </c>
      <c r="L600" s="409" t="s">
        <v>351</v>
      </c>
      <c r="M600" s="409" t="s">
        <v>2271</v>
      </c>
      <c r="N600" s="408" t="s">
        <v>2587</v>
      </c>
      <c r="O600" s="409"/>
      <c r="P600" s="409"/>
      <c r="Q600" s="409"/>
      <c r="R600" s="409"/>
      <c r="S600" s="408" t="s">
        <v>8</v>
      </c>
      <c r="T600" s="409" t="s">
        <v>758</v>
      </c>
      <c r="U600" s="409" t="s">
        <v>2271</v>
      </c>
      <c r="V600" s="408">
        <v>6680643</v>
      </c>
      <c r="W600" s="537" t="s">
        <v>1017</v>
      </c>
      <c r="X600" s="408" t="s">
        <v>45</v>
      </c>
      <c r="Y600" s="409" t="s">
        <v>351</v>
      </c>
      <c r="Z600" s="409" t="s">
        <v>2271</v>
      </c>
      <c r="AA600" s="408">
        <v>6826743</v>
      </c>
      <c r="AB600" s="537" t="s">
        <v>1880</v>
      </c>
      <c r="AC600" s="408"/>
      <c r="AD600" s="409"/>
      <c r="AE600" s="409"/>
      <c r="AF600" s="408"/>
      <c r="AG600" s="408"/>
      <c r="AH600" s="408"/>
      <c r="AI600" s="409"/>
      <c r="AJ600" s="409"/>
      <c r="AK600" s="408"/>
      <c r="AL600" s="408"/>
      <c r="AM600" s="408"/>
      <c r="AN600" s="408"/>
      <c r="AO600" s="409"/>
      <c r="AP600" s="408"/>
      <c r="AQ600" s="408"/>
      <c r="AR600" s="408"/>
      <c r="AS600" s="408"/>
      <c r="AT600" s="408"/>
      <c r="AU600" s="408"/>
      <c r="AV600" s="410"/>
    </row>
    <row r="601" spans="1:48">
      <c r="A601" s="421" t="s">
        <v>2588</v>
      </c>
      <c r="B601" s="422" t="s">
        <v>2589</v>
      </c>
      <c r="C601" s="422" t="s">
        <v>2270</v>
      </c>
      <c r="D601" s="423" t="s">
        <v>374</v>
      </c>
      <c r="E601" s="423" t="s">
        <v>1750</v>
      </c>
      <c r="F601" s="406">
        <v>2024</v>
      </c>
      <c r="G601" s="406">
        <v>2024</v>
      </c>
      <c r="H601" s="406">
        <v>2024</v>
      </c>
      <c r="I601" s="408"/>
      <c r="J601" s="409"/>
      <c r="K601" s="409"/>
      <c r="L601" s="409"/>
      <c r="M601" s="409"/>
      <c r="N601" s="408" t="s">
        <v>45</v>
      </c>
      <c r="O601" s="409" t="s">
        <v>351</v>
      </c>
      <c r="P601" s="409" t="s">
        <v>2271</v>
      </c>
      <c r="Q601" s="408">
        <v>6826743</v>
      </c>
      <c r="R601" s="537" t="s">
        <v>1880</v>
      </c>
      <c r="S601" s="408" t="s">
        <v>50</v>
      </c>
      <c r="T601" s="409" t="s">
        <v>351</v>
      </c>
      <c r="U601" s="409" t="s">
        <v>2271</v>
      </c>
      <c r="V601" s="408">
        <v>6826739</v>
      </c>
      <c r="W601" s="537" t="s">
        <v>2307</v>
      </c>
      <c r="X601" s="408" t="s">
        <v>186</v>
      </c>
      <c r="Y601" s="409" t="s">
        <v>449</v>
      </c>
      <c r="Z601" s="409" t="s">
        <v>2271</v>
      </c>
      <c r="AA601" s="408">
        <v>6825598</v>
      </c>
      <c r="AB601" s="537" t="s">
        <v>1774</v>
      </c>
      <c r="AC601" s="408"/>
      <c r="AD601" s="409"/>
      <c r="AE601" s="409"/>
      <c r="AF601" s="408"/>
      <c r="AG601" s="408"/>
      <c r="AH601" s="408"/>
      <c r="AI601" s="409"/>
      <c r="AJ601" s="409"/>
      <c r="AK601" s="408"/>
      <c r="AL601" s="408"/>
      <c r="AM601" s="408"/>
      <c r="AN601" s="408"/>
      <c r="AO601" s="409"/>
      <c r="AP601" s="408"/>
      <c r="AQ601" s="408"/>
      <c r="AR601" s="408"/>
      <c r="AS601" s="408"/>
      <c r="AT601" s="408"/>
      <c r="AU601" s="408"/>
      <c r="AV601" s="410"/>
    </row>
    <row r="602" spans="1:48" ht="28.8" hidden="1">
      <c r="A602" s="421" t="s">
        <v>2590</v>
      </c>
      <c r="B602" s="422" t="s">
        <v>2591</v>
      </c>
      <c r="C602" s="422"/>
      <c r="D602" s="423" t="s">
        <v>321</v>
      </c>
      <c r="E602" s="423" t="s">
        <v>1750</v>
      </c>
      <c r="F602" s="406">
        <v>2023</v>
      </c>
      <c r="G602" s="406">
        <v>2023</v>
      </c>
      <c r="H602" s="406">
        <v>2023</v>
      </c>
      <c r="I602" s="408" t="s">
        <v>45</v>
      </c>
      <c r="J602" s="409"/>
      <c r="K602" s="409"/>
      <c r="L602" s="409" t="s">
        <v>351</v>
      </c>
      <c r="M602" s="409"/>
      <c r="N602" s="408" t="s">
        <v>45</v>
      </c>
      <c r="O602" s="409" t="s">
        <v>351</v>
      </c>
      <c r="P602" s="409"/>
      <c r="Q602" s="409"/>
      <c r="R602" s="409"/>
      <c r="S602" s="408" t="s">
        <v>56</v>
      </c>
      <c r="T602" s="409" t="s">
        <v>351</v>
      </c>
      <c r="U602" s="409"/>
      <c r="V602" s="408"/>
      <c r="W602" s="408"/>
      <c r="X602" s="408" t="s">
        <v>1882</v>
      </c>
      <c r="Y602" s="409"/>
      <c r="Z602" s="409"/>
      <c r="AA602" s="408"/>
      <c r="AB602" s="408"/>
      <c r="AC602" s="408" t="s">
        <v>1883</v>
      </c>
      <c r="AD602" s="409"/>
      <c r="AE602" s="409"/>
      <c r="AF602" s="408"/>
      <c r="AG602" s="408"/>
      <c r="AH602" s="408" t="s">
        <v>1881</v>
      </c>
      <c r="AI602" s="409"/>
      <c r="AJ602" s="409"/>
      <c r="AK602" s="408"/>
      <c r="AL602" s="408"/>
      <c r="AM602" s="408"/>
      <c r="AN602" s="408"/>
      <c r="AO602" s="409"/>
      <c r="AP602" s="408"/>
      <c r="AQ602" s="408"/>
      <c r="AR602" s="408"/>
      <c r="AS602" s="408"/>
      <c r="AT602" s="408"/>
      <c r="AU602" s="408"/>
      <c r="AV602" s="410"/>
    </row>
    <row r="603" spans="1:48" ht="28.8" hidden="1">
      <c r="A603" s="421" t="s">
        <v>2592</v>
      </c>
      <c r="B603" s="422" t="s">
        <v>946</v>
      </c>
      <c r="C603" s="422"/>
      <c r="D603" s="423" t="s">
        <v>277</v>
      </c>
      <c r="E603" s="423" t="s">
        <v>1122</v>
      </c>
      <c r="F603" s="406">
        <v>2023</v>
      </c>
      <c r="G603" s="406">
        <v>2023</v>
      </c>
      <c r="H603" s="406">
        <v>2023</v>
      </c>
      <c r="I603" s="408"/>
      <c r="J603" s="409"/>
      <c r="K603" s="409"/>
      <c r="L603" s="409"/>
      <c r="M603" s="409"/>
      <c r="N603" s="408" t="s">
        <v>192</v>
      </c>
      <c r="O603" s="409" t="s">
        <v>351</v>
      </c>
      <c r="P603" s="409"/>
      <c r="Q603" s="409"/>
      <c r="R603" s="409"/>
      <c r="S603" s="408" t="s">
        <v>2593</v>
      </c>
      <c r="T603" s="409"/>
      <c r="U603" s="409"/>
      <c r="V603" s="408"/>
      <c r="W603" s="408"/>
      <c r="X603" s="408" t="s">
        <v>2594</v>
      </c>
      <c r="Y603" s="409"/>
      <c r="Z603" s="409"/>
      <c r="AA603" s="408"/>
      <c r="AB603" s="408"/>
      <c r="AC603" s="408" t="s">
        <v>2595</v>
      </c>
      <c r="AD603" s="409"/>
      <c r="AE603" s="409"/>
      <c r="AF603" s="408"/>
      <c r="AG603" s="408"/>
      <c r="AH603" s="408"/>
      <c r="AI603" s="409"/>
      <c r="AJ603" s="409"/>
      <c r="AK603" s="408"/>
      <c r="AL603" s="408"/>
      <c r="AM603" s="408"/>
      <c r="AN603" s="408"/>
      <c r="AO603" s="409"/>
      <c r="AP603" s="408"/>
      <c r="AQ603" s="408"/>
      <c r="AR603" s="408"/>
      <c r="AS603" s="408"/>
      <c r="AT603" s="408"/>
      <c r="AU603" s="408"/>
      <c r="AV603" s="410"/>
    </row>
    <row r="604" spans="1:48" ht="43.2" hidden="1">
      <c r="A604" s="421" t="s">
        <v>2596</v>
      </c>
      <c r="B604" s="422" t="s">
        <v>2597</v>
      </c>
      <c r="C604" s="422"/>
      <c r="D604" s="423" t="s">
        <v>321</v>
      </c>
      <c r="E604" s="423" t="s">
        <v>1750</v>
      </c>
      <c r="F604" s="406">
        <v>2024</v>
      </c>
      <c r="G604" s="406">
        <v>2024</v>
      </c>
      <c r="H604" s="406">
        <v>2024</v>
      </c>
      <c r="I604" s="408"/>
      <c r="J604" s="409"/>
      <c r="K604" s="409"/>
      <c r="L604" s="409"/>
      <c r="M604" s="409"/>
      <c r="N604" s="408" t="s">
        <v>197</v>
      </c>
      <c r="O604" s="409" t="s">
        <v>620</v>
      </c>
      <c r="P604" s="409" t="s">
        <v>2271</v>
      </c>
      <c r="Q604" s="409">
        <v>6867249</v>
      </c>
      <c r="R604" s="536" t="s">
        <v>2598</v>
      </c>
      <c r="S604" s="408" t="s">
        <v>180</v>
      </c>
      <c r="T604" s="409" t="s">
        <v>353</v>
      </c>
      <c r="U604" s="409" t="s">
        <v>2271</v>
      </c>
      <c r="V604" s="408">
        <v>6787771</v>
      </c>
      <c r="W604" s="537" t="s">
        <v>1676</v>
      </c>
      <c r="X604" s="408" t="s">
        <v>203</v>
      </c>
      <c r="Y604" s="409" t="s">
        <v>351</v>
      </c>
      <c r="Z604" s="409" t="s">
        <v>2271</v>
      </c>
      <c r="AA604" s="408">
        <v>6892129</v>
      </c>
      <c r="AB604" s="537" t="s">
        <v>2557</v>
      </c>
      <c r="AC604" s="408"/>
      <c r="AD604" s="409"/>
      <c r="AE604" s="409"/>
      <c r="AF604" s="408"/>
      <c r="AG604" s="408"/>
      <c r="AH604" s="408"/>
      <c r="AI604" s="409"/>
      <c r="AJ604" s="409"/>
      <c r="AK604" s="408"/>
      <c r="AL604" s="408"/>
      <c r="AM604" s="408"/>
      <c r="AN604" s="408"/>
      <c r="AO604" s="409"/>
      <c r="AP604" s="408"/>
      <c r="AQ604" s="408"/>
      <c r="AR604" s="408"/>
      <c r="AS604" s="408"/>
      <c r="AT604" s="408"/>
      <c r="AU604" s="408"/>
      <c r="AV604" s="410"/>
    </row>
    <row r="605" spans="1:48" ht="43.2" hidden="1">
      <c r="A605" s="421" t="s">
        <v>2599</v>
      </c>
      <c r="B605" s="422" t="s">
        <v>2600</v>
      </c>
      <c r="C605" s="422"/>
      <c r="D605" s="423" t="s">
        <v>302</v>
      </c>
      <c r="E605" s="423" t="s">
        <v>1750</v>
      </c>
      <c r="F605" s="406">
        <v>2023</v>
      </c>
      <c r="G605" s="406">
        <v>2023</v>
      </c>
      <c r="H605" s="406">
        <v>2023</v>
      </c>
      <c r="I605" s="408" t="s">
        <v>203</v>
      </c>
      <c r="J605" s="409"/>
      <c r="K605" s="409"/>
      <c r="L605" s="409" t="s">
        <v>351</v>
      </c>
      <c r="M605" s="409"/>
      <c r="N605" s="408" t="s">
        <v>203</v>
      </c>
      <c r="O605" s="409" t="s">
        <v>351</v>
      </c>
      <c r="P605" s="409"/>
      <c r="Q605" s="409"/>
      <c r="R605" s="409"/>
      <c r="S605" s="408" t="s">
        <v>2601</v>
      </c>
      <c r="T605" s="409"/>
      <c r="U605" s="409"/>
      <c r="V605" s="408"/>
      <c r="W605" s="408"/>
      <c r="X605" s="408"/>
      <c r="Y605" s="409"/>
      <c r="Z605" s="409"/>
      <c r="AA605" s="408"/>
      <c r="AB605" s="408"/>
      <c r="AC605" s="408"/>
      <c r="AD605" s="409"/>
      <c r="AE605" s="409"/>
      <c r="AF605" s="408"/>
      <c r="AG605" s="408"/>
      <c r="AH605" s="408"/>
      <c r="AI605" s="409"/>
      <c r="AJ605" s="409"/>
      <c r="AK605" s="408"/>
      <c r="AL605" s="408"/>
      <c r="AM605" s="408"/>
      <c r="AN605" s="408"/>
      <c r="AO605" s="409"/>
      <c r="AP605" s="408"/>
      <c r="AQ605" s="408"/>
      <c r="AR605" s="408"/>
      <c r="AS605" s="408"/>
      <c r="AT605" s="408"/>
      <c r="AU605" s="408"/>
      <c r="AV605" s="410"/>
    </row>
    <row r="606" spans="1:48" ht="43.2">
      <c r="A606" s="421" t="s">
        <v>2602</v>
      </c>
      <c r="B606" s="422" t="s">
        <v>2603</v>
      </c>
      <c r="C606" s="422" t="s">
        <v>2270</v>
      </c>
      <c r="D606" s="395" t="s">
        <v>313</v>
      </c>
      <c r="E606" s="423" t="s">
        <v>1750</v>
      </c>
      <c r="F606" s="406">
        <v>2024</v>
      </c>
      <c r="G606" s="406">
        <v>2024</v>
      </c>
      <c r="H606" s="406">
        <v>2024</v>
      </c>
      <c r="I606" s="408"/>
      <c r="J606" s="409"/>
      <c r="K606" s="409"/>
      <c r="L606" s="409"/>
      <c r="M606" s="409"/>
      <c r="N606" s="408" t="s">
        <v>43</v>
      </c>
      <c r="O606" s="409" t="s">
        <v>758</v>
      </c>
      <c r="P606" s="409" t="s">
        <v>2271</v>
      </c>
      <c r="Q606" s="409" t="s">
        <v>2604</v>
      </c>
      <c r="R606" s="536" t="s">
        <v>1756</v>
      </c>
      <c r="S606" s="408" t="s">
        <v>44</v>
      </c>
      <c r="T606" s="409" t="s">
        <v>758</v>
      </c>
      <c r="U606" s="409" t="s">
        <v>2271</v>
      </c>
      <c r="V606" s="408">
        <v>6784457</v>
      </c>
      <c r="W606" s="537" t="s">
        <v>1754</v>
      </c>
      <c r="X606" s="408" t="s">
        <v>8</v>
      </c>
      <c r="Y606" s="409" t="s">
        <v>758</v>
      </c>
      <c r="Z606" s="409" t="s">
        <v>2271</v>
      </c>
      <c r="AA606" s="408">
        <v>6680643</v>
      </c>
      <c r="AB606" s="537" t="s">
        <v>1017</v>
      </c>
      <c r="AC606" s="408"/>
      <c r="AD606" s="409"/>
      <c r="AE606" s="409"/>
      <c r="AF606" s="408"/>
      <c r="AG606" s="408"/>
      <c r="AH606" s="408"/>
      <c r="AI606" s="409"/>
      <c r="AJ606" s="409"/>
      <c r="AK606" s="408"/>
      <c r="AL606" s="408"/>
      <c r="AM606" s="408"/>
      <c r="AN606" s="408"/>
      <c r="AO606" s="409"/>
      <c r="AP606" s="408"/>
      <c r="AQ606" s="408"/>
      <c r="AR606" s="408"/>
      <c r="AS606" s="408"/>
      <c r="AT606" s="408"/>
      <c r="AU606" s="408"/>
      <c r="AV606" s="410"/>
    </row>
    <row r="607" spans="1:48" ht="28.8" hidden="1">
      <c r="A607" s="421" t="s">
        <v>2605</v>
      </c>
      <c r="B607" s="422" t="s">
        <v>2606</v>
      </c>
      <c r="C607" s="422"/>
      <c r="D607" s="423" t="s">
        <v>374</v>
      </c>
      <c r="E607" s="423" t="s">
        <v>1750</v>
      </c>
      <c r="F607" s="406">
        <v>2024</v>
      </c>
      <c r="G607" s="406">
        <v>2024</v>
      </c>
      <c r="H607" s="406">
        <v>2024</v>
      </c>
      <c r="I607" s="408" t="s">
        <v>44</v>
      </c>
      <c r="J607" s="408">
        <v>6784457</v>
      </c>
      <c r="K607" s="537" t="s">
        <v>1754</v>
      </c>
      <c r="L607" s="409" t="s">
        <v>758</v>
      </c>
      <c r="M607" s="409" t="s">
        <v>2271</v>
      </c>
      <c r="N607" s="408" t="s">
        <v>44</v>
      </c>
      <c r="O607" s="409" t="s">
        <v>758</v>
      </c>
      <c r="P607" s="409" t="s">
        <v>2271</v>
      </c>
      <c r="Q607" s="408">
        <v>6784457</v>
      </c>
      <c r="R607" s="537" t="s">
        <v>1754</v>
      </c>
      <c r="S607" s="408" t="s">
        <v>43</v>
      </c>
      <c r="T607" s="409" t="s">
        <v>758</v>
      </c>
      <c r="U607" s="409" t="s">
        <v>2271</v>
      </c>
      <c r="V607" s="409" t="s">
        <v>2604</v>
      </c>
      <c r="W607" s="536" t="s">
        <v>1756</v>
      </c>
      <c r="X607" s="408" t="s">
        <v>71</v>
      </c>
      <c r="Y607" s="409" t="s">
        <v>620</v>
      </c>
      <c r="Z607" s="409" t="s">
        <v>2271</v>
      </c>
      <c r="AA607" s="408">
        <v>6778837</v>
      </c>
      <c r="AB607" s="537" t="s">
        <v>979</v>
      </c>
      <c r="AC607" s="408"/>
      <c r="AD607" s="409"/>
      <c r="AE607" s="409"/>
      <c r="AF607" s="408"/>
      <c r="AG607" s="408"/>
      <c r="AH607" s="408"/>
      <c r="AI607" s="409"/>
      <c r="AJ607" s="409"/>
      <c r="AK607" s="408"/>
      <c r="AL607" s="408"/>
      <c r="AM607" s="408"/>
      <c r="AN607" s="408"/>
      <c r="AO607" s="409"/>
      <c r="AP607" s="408"/>
      <c r="AQ607" s="408"/>
      <c r="AR607" s="408"/>
      <c r="AS607" s="408"/>
      <c r="AT607" s="408"/>
      <c r="AU607" s="408"/>
      <c r="AV607" s="410"/>
    </row>
    <row r="608" spans="1:48" ht="28.8" hidden="1">
      <c r="A608" s="421" t="s">
        <v>2607</v>
      </c>
      <c r="B608" s="422" t="s">
        <v>1753</v>
      </c>
      <c r="C608" s="422"/>
      <c r="D608" s="395" t="s">
        <v>313</v>
      </c>
      <c r="E608" s="423" t="s">
        <v>1750</v>
      </c>
      <c r="F608" s="406">
        <v>2023</v>
      </c>
      <c r="G608" s="406">
        <v>2023</v>
      </c>
      <c r="H608" s="406">
        <v>2023</v>
      </c>
      <c r="I608" s="408" t="s">
        <v>44</v>
      </c>
      <c r="J608" s="409"/>
      <c r="K608" s="409"/>
      <c r="L608" s="409" t="s">
        <v>758</v>
      </c>
      <c r="M608" s="409"/>
      <c r="N608" s="408" t="s">
        <v>761</v>
      </c>
      <c r="O608" s="409" t="s">
        <v>758</v>
      </c>
      <c r="P608" s="409"/>
      <c r="Q608" s="409"/>
      <c r="R608" s="409"/>
      <c r="S608" s="408" t="s">
        <v>44</v>
      </c>
      <c r="T608" s="409" t="s">
        <v>758</v>
      </c>
      <c r="U608" s="409"/>
      <c r="V608" s="408"/>
      <c r="W608" s="408"/>
      <c r="X608" s="408" t="s">
        <v>71</v>
      </c>
      <c r="Y608" s="409" t="s">
        <v>620</v>
      </c>
      <c r="Z608" s="409"/>
      <c r="AA608" s="408"/>
      <c r="AB608" s="408"/>
      <c r="AC608" s="408" t="s">
        <v>43</v>
      </c>
      <c r="AD608" s="409" t="s">
        <v>758</v>
      </c>
      <c r="AE608" s="409"/>
      <c r="AF608" s="408"/>
      <c r="AG608" s="408"/>
      <c r="AH608" s="408" t="s">
        <v>1757</v>
      </c>
      <c r="AI608" s="409"/>
      <c r="AJ608" s="409"/>
      <c r="AK608" s="408"/>
      <c r="AL608" s="408"/>
      <c r="AM608" s="408"/>
      <c r="AN608" s="408"/>
      <c r="AO608" s="409"/>
      <c r="AP608" s="408"/>
      <c r="AQ608" s="408"/>
      <c r="AR608" s="408"/>
      <c r="AS608" s="408"/>
      <c r="AT608" s="408"/>
      <c r="AU608" s="408"/>
      <c r="AV608" s="410"/>
    </row>
    <row r="609" spans="1:48" ht="28.8" hidden="1">
      <c r="A609" s="421" t="s">
        <v>2608</v>
      </c>
      <c r="B609" s="422" t="s">
        <v>2609</v>
      </c>
      <c r="C609" s="422"/>
      <c r="D609" s="423" t="s">
        <v>277</v>
      </c>
      <c r="E609" s="423" t="s">
        <v>1122</v>
      </c>
      <c r="F609" s="406">
        <v>2023</v>
      </c>
      <c r="G609" s="406">
        <v>2023</v>
      </c>
      <c r="H609" s="406">
        <v>2023</v>
      </c>
      <c r="I609" s="408"/>
      <c r="J609" s="409"/>
      <c r="K609" s="409"/>
      <c r="L609" s="409"/>
      <c r="M609" s="409"/>
      <c r="N609" s="408" t="s">
        <v>67</v>
      </c>
      <c r="O609" s="409" t="s">
        <v>353</v>
      </c>
      <c r="P609" s="409"/>
      <c r="Q609" s="409"/>
      <c r="R609" s="409"/>
      <c r="S609" s="408" t="s">
        <v>2610</v>
      </c>
      <c r="T609" s="409"/>
      <c r="U609" s="409"/>
      <c r="V609" s="408"/>
      <c r="W609" s="408"/>
      <c r="X609" s="408" t="s">
        <v>177</v>
      </c>
      <c r="Y609" s="409" t="s">
        <v>758</v>
      </c>
      <c r="Z609" s="409"/>
      <c r="AA609" s="408"/>
      <c r="AB609" s="408"/>
      <c r="AC609" s="408" t="s">
        <v>770</v>
      </c>
      <c r="AD609" s="409"/>
      <c r="AE609" s="409"/>
      <c r="AF609" s="408"/>
      <c r="AG609" s="408"/>
      <c r="AH609" s="408"/>
      <c r="AI609" s="409"/>
      <c r="AJ609" s="409"/>
      <c r="AK609" s="408"/>
      <c r="AL609" s="408"/>
      <c r="AM609" s="408"/>
      <c r="AN609" s="408"/>
      <c r="AO609" s="409"/>
      <c r="AP609" s="408"/>
      <c r="AQ609" s="408"/>
      <c r="AR609" s="408"/>
      <c r="AS609" s="408"/>
      <c r="AT609" s="408"/>
      <c r="AU609" s="408"/>
      <c r="AV609" s="410"/>
    </row>
    <row r="610" spans="1:48" ht="28.8">
      <c r="A610" s="421" t="s">
        <v>2611</v>
      </c>
      <c r="B610" s="422" t="s">
        <v>2095</v>
      </c>
      <c r="C610" s="422" t="s">
        <v>2270</v>
      </c>
      <c r="D610" s="423" t="s">
        <v>782</v>
      </c>
      <c r="E610" s="423" t="s">
        <v>1750</v>
      </c>
      <c r="F610" s="406">
        <v>2024</v>
      </c>
      <c r="G610" s="406">
        <v>2024</v>
      </c>
      <c r="H610" s="406">
        <v>2024</v>
      </c>
      <c r="I610" s="408"/>
      <c r="J610" s="409"/>
      <c r="K610" s="409"/>
      <c r="L610" s="409"/>
      <c r="M610" s="374"/>
      <c r="N610" s="408" t="s">
        <v>75</v>
      </c>
      <c r="O610" s="409" t="s">
        <v>809</v>
      </c>
      <c r="P610" s="409" t="s">
        <v>2271</v>
      </c>
      <c r="Q610" s="409">
        <v>6760392</v>
      </c>
      <c r="R610" s="536" t="s">
        <v>948</v>
      </c>
      <c r="S610" s="408" t="s">
        <v>121</v>
      </c>
      <c r="T610" s="409" t="s">
        <v>809</v>
      </c>
      <c r="U610" s="409" t="s">
        <v>2271</v>
      </c>
      <c r="V610" s="408">
        <v>6806664</v>
      </c>
      <c r="W610" s="537" t="s">
        <v>2333</v>
      </c>
      <c r="X610" s="408" t="s">
        <v>79</v>
      </c>
      <c r="Y610" s="409" t="s">
        <v>809</v>
      </c>
      <c r="Z610" s="409" t="s">
        <v>2271</v>
      </c>
      <c r="AA610" s="408">
        <v>6793410</v>
      </c>
      <c r="AB610" s="537" t="s">
        <v>947</v>
      </c>
      <c r="AC610" s="408" t="s">
        <v>2612</v>
      </c>
      <c r="AD610" s="409" t="s">
        <v>2613</v>
      </c>
      <c r="AE610" s="409" t="s">
        <v>2271</v>
      </c>
      <c r="AF610" s="408"/>
      <c r="AG610" s="408">
        <v>1206220002</v>
      </c>
      <c r="AH610" s="408" t="s">
        <v>2614</v>
      </c>
      <c r="AI610" s="409" t="s">
        <v>2615</v>
      </c>
      <c r="AJ610" s="409" t="s">
        <v>2271</v>
      </c>
      <c r="AK610" s="408"/>
      <c r="AL610" s="408">
        <v>1205210006</v>
      </c>
      <c r="AM610" s="408"/>
      <c r="AN610" s="408"/>
      <c r="AO610" s="409"/>
      <c r="AP610" s="408"/>
      <c r="AQ610" s="408"/>
      <c r="AR610" s="408"/>
      <c r="AS610" s="408"/>
      <c r="AT610" s="408"/>
      <c r="AU610" s="408"/>
      <c r="AV610" s="410"/>
    </row>
    <row r="611" spans="1:48" ht="28.8" hidden="1">
      <c r="A611" s="421" t="s">
        <v>2616</v>
      </c>
      <c r="B611" s="422" t="s">
        <v>2617</v>
      </c>
      <c r="C611" s="422"/>
      <c r="D611" s="423" t="s">
        <v>302</v>
      </c>
      <c r="E611" s="423" t="s">
        <v>1750</v>
      </c>
      <c r="F611" s="406">
        <v>2023</v>
      </c>
      <c r="G611" s="406">
        <v>2023</v>
      </c>
      <c r="H611" s="406">
        <v>2023</v>
      </c>
      <c r="I611" s="408" t="s">
        <v>121</v>
      </c>
      <c r="J611" s="409"/>
      <c r="K611" s="409"/>
      <c r="L611" s="409" t="s">
        <v>809</v>
      </c>
      <c r="M611" s="409"/>
      <c r="N611" s="408" t="s">
        <v>121</v>
      </c>
      <c r="O611" s="409" t="s">
        <v>809</v>
      </c>
      <c r="P611" s="409"/>
      <c r="Q611" s="409"/>
      <c r="R611" s="409"/>
      <c r="S611" s="408" t="s">
        <v>75</v>
      </c>
      <c r="T611" s="409" t="s">
        <v>809</v>
      </c>
      <c r="U611" s="409"/>
      <c r="V611" s="408"/>
      <c r="W611" s="408"/>
      <c r="X611" s="408" t="s">
        <v>79</v>
      </c>
      <c r="Y611" s="409" t="s">
        <v>809</v>
      </c>
      <c r="Z611" s="409"/>
      <c r="AA611" s="408"/>
      <c r="AB611" s="408"/>
      <c r="AC611" s="408"/>
      <c r="AD611" s="409"/>
      <c r="AE611" s="409"/>
      <c r="AF611" s="408"/>
      <c r="AG611" s="408"/>
      <c r="AH611" s="408"/>
      <c r="AI611" s="409"/>
      <c r="AJ611" s="409"/>
      <c r="AK611" s="408"/>
      <c r="AL611" s="408"/>
      <c r="AM611" s="408"/>
      <c r="AN611" s="408"/>
      <c r="AO611" s="409"/>
      <c r="AP611" s="408"/>
      <c r="AQ611" s="408"/>
      <c r="AR611" s="408"/>
      <c r="AS611" s="408"/>
      <c r="AT611" s="408"/>
      <c r="AU611" s="408"/>
      <c r="AV611" s="410"/>
    </row>
    <row r="612" spans="1:48" ht="28.8" hidden="1">
      <c r="A612" s="421" t="s">
        <v>2618</v>
      </c>
      <c r="B612" s="422" t="s">
        <v>2095</v>
      </c>
      <c r="C612" s="422"/>
      <c r="D612" s="423" t="s">
        <v>782</v>
      </c>
      <c r="E612" s="423" t="s">
        <v>1750</v>
      </c>
      <c r="F612" s="406">
        <v>2023</v>
      </c>
      <c r="G612" s="406">
        <v>2023</v>
      </c>
      <c r="H612" s="406">
        <v>2023</v>
      </c>
      <c r="I612" s="408" t="s">
        <v>53</v>
      </c>
      <c r="J612" s="409"/>
      <c r="K612" s="409"/>
      <c r="L612" s="409" t="s">
        <v>620</v>
      </c>
      <c r="M612" s="409"/>
      <c r="N612" s="408" t="s">
        <v>75</v>
      </c>
      <c r="O612" s="409" t="s">
        <v>809</v>
      </c>
      <c r="P612" s="409"/>
      <c r="Q612" s="409"/>
      <c r="R612" s="409"/>
      <c r="S612" s="408" t="s">
        <v>53</v>
      </c>
      <c r="T612" s="409" t="s">
        <v>620</v>
      </c>
      <c r="U612" s="409"/>
      <c r="V612" s="408"/>
      <c r="W612" s="408"/>
      <c r="X612" s="408" t="s">
        <v>13</v>
      </c>
      <c r="Y612" s="409" t="s">
        <v>686</v>
      </c>
      <c r="Z612" s="409"/>
      <c r="AA612" s="408"/>
      <c r="AB612" s="408"/>
      <c r="AC612" s="408" t="s">
        <v>2619</v>
      </c>
      <c r="AD612" s="409"/>
      <c r="AE612" s="409"/>
      <c r="AF612" s="408"/>
      <c r="AG612" s="408"/>
      <c r="AH612" s="408" t="s">
        <v>2620</v>
      </c>
      <c r="AI612" s="409"/>
      <c r="AJ612" s="409"/>
      <c r="AK612" s="408"/>
      <c r="AL612" s="408"/>
      <c r="AM612" s="408" t="s">
        <v>2621</v>
      </c>
      <c r="AN612" s="408"/>
      <c r="AO612" s="409"/>
      <c r="AP612" s="408"/>
      <c r="AQ612" s="408"/>
      <c r="AR612" s="408"/>
      <c r="AS612" s="408"/>
      <c r="AT612" s="408"/>
      <c r="AU612" s="408"/>
      <c r="AV612" s="410"/>
    </row>
    <row r="613" spans="1:48" ht="28.8" hidden="1">
      <c r="A613" s="421" t="s">
        <v>2622</v>
      </c>
      <c r="B613" s="422" t="s">
        <v>2623</v>
      </c>
      <c r="C613" s="422"/>
      <c r="D613" s="423" t="s">
        <v>286</v>
      </c>
      <c r="E613" s="423"/>
      <c r="F613" s="406">
        <v>2023</v>
      </c>
      <c r="G613" s="406">
        <v>2023</v>
      </c>
      <c r="H613" s="406">
        <v>2023</v>
      </c>
      <c r="I613" s="408"/>
      <c r="J613" s="409"/>
      <c r="K613" s="409"/>
      <c r="L613" s="409"/>
      <c r="M613" s="409"/>
      <c r="N613" s="408" t="s">
        <v>1408</v>
      </c>
      <c r="O613" s="409"/>
      <c r="P613" s="409"/>
      <c r="Q613" s="409"/>
      <c r="R613" s="409"/>
      <c r="S613" s="408" t="s">
        <v>2624</v>
      </c>
      <c r="T613" s="409"/>
      <c r="U613" s="409"/>
      <c r="V613" s="408"/>
      <c r="W613" s="408"/>
      <c r="X613" s="408" t="s">
        <v>75</v>
      </c>
      <c r="Y613" s="409" t="s">
        <v>809</v>
      </c>
      <c r="Z613" s="409"/>
      <c r="AA613" s="408"/>
      <c r="AB613" s="408"/>
      <c r="AC613" s="408"/>
      <c r="AD613" s="409"/>
      <c r="AE613" s="409"/>
      <c r="AF613" s="408"/>
      <c r="AG613" s="408"/>
      <c r="AH613" s="408"/>
      <c r="AI613" s="409"/>
      <c r="AJ613" s="409"/>
      <c r="AK613" s="408"/>
      <c r="AL613" s="408"/>
      <c r="AM613" s="408"/>
      <c r="AN613" s="408"/>
      <c r="AO613" s="409"/>
      <c r="AP613" s="408"/>
      <c r="AQ613" s="408"/>
      <c r="AR613" s="408"/>
      <c r="AS613" s="408"/>
      <c r="AT613" s="408"/>
      <c r="AU613" s="408"/>
      <c r="AV613" s="410"/>
    </row>
    <row r="614" spans="1:48" ht="28.8" hidden="1">
      <c r="A614" s="421" t="s">
        <v>2625</v>
      </c>
      <c r="B614" s="422" t="s">
        <v>2626</v>
      </c>
      <c r="C614" s="422"/>
      <c r="D614" s="423" t="s">
        <v>277</v>
      </c>
      <c r="E614" s="423" t="s">
        <v>1122</v>
      </c>
      <c r="F614" s="406">
        <v>2023</v>
      </c>
      <c r="G614" s="406">
        <v>2023</v>
      </c>
      <c r="H614" s="406">
        <v>2023</v>
      </c>
      <c r="I614" s="408"/>
      <c r="J614" s="409"/>
      <c r="K614" s="409"/>
      <c r="L614" s="409"/>
      <c r="M614" s="409"/>
      <c r="N614" s="408" t="s">
        <v>2627</v>
      </c>
      <c r="O614" s="409"/>
      <c r="P614" s="409"/>
      <c r="Q614" s="409"/>
      <c r="R614" s="409"/>
      <c r="S614" s="408" t="s">
        <v>965</v>
      </c>
      <c r="T614" s="409"/>
      <c r="U614" s="409"/>
      <c r="V614" s="408"/>
      <c r="W614" s="408"/>
      <c r="X614" s="408" t="s">
        <v>79</v>
      </c>
      <c r="Y614" s="409" t="s">
        <v>809</v>
      </c>
      <c r="Z614" s="409"/>
      <c r="AA614" s="408"/>
      <c r="AB614" s="408"/>
      <c r="AC614" s="408"/>
      <c r="AD614" s="409"/>
      <c r="AE614" s="409"/>
      <c r="AF614" s="408"/>
      <c r="AG614" s="408"/>
      <c r="AH614" s="408"/>
      <c r="AI614" s="409"/>
      <c r="AJ614" s="409"/>
      <c r="AK614" s="408"/>
      <c r="AL614" s="408"/>
      <c r="AM614" s="408"/>
      <c r="AN614" s="408"/>
      <c r="AO614" s="409"/>
      <c r="AP614" s="408"/>
      <c r="AQ614" s="408"/>
      <c r="AR614" s="408"/>
      <c r="AS614" s="408"/>
      <c r="AT614" s="408"/>
      <c r="AU614" s="408"/>
      <c r="AV614" s="410"/>
    </row>
    <row r="615" spans="1:48" ht="28.8" hidden="1">
      <c r="A615" s="421" t="s">
        <v>2628</v>
      </c>
      <c r="B615" s="422" t="s">
        <v>2629</v>
      </c>
      <c r="C615" s="422"/>
      <c r="D615" s="423" t="s">
        <v>306</v>
      </c>
      <c r="E615" s="423" t="s">
        <v>1750</v>
      </c>
      <c r="F615" s="406">
        <v>2024</v>
      </c>
      <c r="G615" s="406">
        <v>2024</v>
      </c>
      <c r="H615" s="406">
        <v>2024</v>
      </c>
      <c r="I615" s="408" t="s">
        <v>121</v>
      </c>
      <c r="J615" s="409" t="s">
        <v>2630</v>
      </c>
      <c r="K615" s="536" t="s">
        <v>2333</v>
      </c>
      <c r="L615" s="409" t="s">
        <v>809</v>
      </c>
      <c r="M615" s="409" t="s">
        <v>2271</v>
      </c>
      <c r="N615" s="408" t="s">
        <v>121</v>
      </c>
      <c r="O615" s="409" t="s">
        <v>809</v>
      </c>
      <c r="P615" s="409" t="s">
        <v>2271</v>
      </c>
      <c r="Q615" s="409" t="s">
        <v>2630</v>
      </c>
      <c r="R615" s="536" t="s">
        <v>2333</v>
      </c>
      <c r="S615" s="408" t="s">
        <v>1577</v>
      </c>
      <c r="T615" s="409"/>
      <c r="U615" s="409"/>
      <c r="V615" s="408"/>
      <c r="W615" s="408"/>
      <c r="X615" s="408" t="s">
        <v>180</v>
      </c>
      <c r="Y615" s="409" t="s">
        <v>353</v>
      </c>
      <c r="Z615" s="409" t="s">
        <v>2271</v>
      </c>
      <c r="AA615" s="408">
        <v>6787771</v>
      </c>
      <c r="AB615" s="537" t="s">
        <v>1676</v>
      </c>
      <c r="AC615" s="408"/>
      <c r="AD615" s="409"/>
      <c r="AE615" s="409"/>
      <c r="AF615" s="408"/>
      <c r="AG615" s="408"/>
      <c r="AH615" s="408"/>
      <c r="AI615" s="409"/>
      <c r="AJ615" s="409"/>
      <c r="AK615" s="408"/>
      <c r="AL615" s="408"/>
      <c r="AM615" s="408"/>
      <c r="AN615" s="408"/>
      <c r="AO615" s="409"/>
      <c r="AP615" s="408"/>
      <c r="AQ615" s="408"/>
      <c r="AR615" s="408"/>
      <c r="AS615" s="408"/>
      <c r="AT615" s="408"/>
      <c r="AU615" s="408"/>
      <c r="AV615" s="410"/>
    </row>
    <row r="616" spans="1:48" ht="28.8" hidden="1">
      <c r="A616" s="421" t="s">
        <v>2631</v>
      </c>
      <c r="B616" s="422" t="s">
        <v>2632</v>
      </c>
      <c r="C616" s="422"/>
      <c r="D616" s="423" t="s">
        <v>321</v>
      </c>
      <c r="E616" s="423" t="s">
        <v>1750</v>
      </c>
      <c r="F616" s="406">
        <v>2024</v>
      </c>
      <c r="G616" s="406">
        <v>2024</v>
      </c>
      <c r="H616" s="406">
        <v>2024</v>
      </c>
      <c r="I616" s="408"/>
      <c r="J616" s="409"/>
      <c r="K616" s="409"/>
      <c r="L616" s="409"/>
      <c r="M616" s="409"/>
      <c r="N616" s="408" t="s">
        <v>121</v>
      </c>
      <c r="O616" s="409" t="s">
        <v>809</v>
      </c>
      <c r="P616" s="409" t="s">
        <v>2271</v>
      </c>
      <c r="Q616" s="409" t="s">
        <v>2630</v>
      </c>
      <c r="R616" s="536" t="s">
        <v>2333</v>
      </c>
      <c r="S616" s="408" t="s">
        <v>51</v>
      </c>
      <c r="T616" s="409" t="s">
        <v>809</v>
      </c>
      <c r="U616" s="409" t="s">
        <v>2271</v>
      </c>
      <c r="V616" s="408">
        <v>6806662</v>
      </c>
      <c r="W616" s="537" t="s">
        <v>1897</v>
      </c>
      <c r="X616" s="408" t="s">
        <v>2633</v>
      </c>
      <c r="Y616" s="409"/>
      <c r="Z616" s="409"/>
      <c r="AA616" s="408"/>
      <c r="AB616" s="408"/>
      <c r="AC616" s="408"/>
      <c r="AD616" s="409"/>
      <c r="AE616" s="409"/>
      <c r="AF616" s="408"/>
      <c r="AG616" s="408"/>
      <c r="AH616" s="408"/>
      <c r="AI616" s="409"/>
      <c r="AJ616" s="409"/>
      <c r="AK616" s="408"/>
      <c r="AL616" s="408"/>
      <c r="AM616" s="408"/>
      <c r="AN616" s="408"/>
      <c r="AO616" s="409"/>
      <c r="AP616" s="408"/>
      <c r="AQ616" s="408"/>
      <c r="AR616" s="408"/>
      <c r="AS616" s="408"/>
      <c r="AT616" s="408"/>
      <c r="AU616" s="408"/>
      <c r="AV616" s="410"/>
    </row>
    <row r="617" spans="1:48" ht="28.8" hidden="1">
      <c r="A617" s="523" t="s">
        <v>2634</v>
      </c>
      <c r="B617" s="524" t="s">
        <v>2632</v>
      </c>
      <c r="C617" s="524"/>
      <c r="D617" s="525" t="s">
        <v>321</v>
      </c>
      <c r="E617" s="525" t="s">
        <v>1750</v>
      </c>
      <c r="F617" s="96">
        <v>2024</v>
      </c>
      <c r="G617" s="96">
        <v>2024</v>
      </c>
      <c r="H617" s="96">
        <v>2024</v>
      </c>
      <c r="I617" s="110"/>
      <c r="J617" s="97"/>
      <c r="K617" s="97"/>
      <c r="L617" s="97"/>
      <c r="M617" s="97"/>
      <c r="N617" s="110" t="s">
        <v>121</v>
      </c>
      <c r="O617" s="97" t="s">
        <v>809</v>
      </c>
      <c r="P617" s="409" t="s">
        <v>2271</v>
      </c>
      <c r="Q617" s="409" t="s">
        <v>2630</v>
      </c>
      <c r="R617" s="536" t="s">
        <v>2333</v>
      </c>
      <c r="S617" s="110" t="s">
        <v>51</v>
      </c>
      <c r="T617" s="97" t="s">
        <v>809</v>
      </c>
      <c r="U617" s="409" t="s">
        <v>2271</v>
      </c>
      <c r="V617" s="408">
        <v>6806662</v>
      </c>
      <c r="W617" s="537" t="s">
        <v>1897</v>
      </c>
      <c r="X617" s="110" t="s">
        <v>2633</v>
      </c>
      <c r="Y617" s="97"/>
      <c r="Z617" s="97"/>
      <c r="AA617" s="110"/>
      <c r="AB617" s="110"/>
      <c r="AC617" s="110"/>
      <c r="AD617" s="97"/>
      <c r="AE617" s="97"/>
      <c r="AF617" s="110"/>
      <c r="AG617" s="110"/>
      <c r="AH617" s="110"/>
      <c r="AI617" s="97"/>
      <c r="AJ617" s="97"/>
      <c r="AK617" s="110"/>
      <c r="AL617" s="110"/>
      <c r="AM617" s="110"/>
      <c r="AN617" s="110"/>
      <c r="AO617" s="97"/>
      <c r="AP617" s="110"/>
      <c r="AQ617" s="110"/>
      <c r="AR617" s="110"/>
      <c r="AS617" s="110"/>
      <c r="AT617" s="110"/>
      <c r="AU617" s="110"/>
      <c r="AV617" s="475"/>
    </row>
    <row r="618" spans="1:48" ht="28.8" hidden="1">
      <c r="A618" s="421" t="s">
        <v>2635</v>
      </c>
      <c r="B618" s="422" t="s">
        <v>2623</v>
      </c>
      <c r="C618" s="422"/>
      <c r="D618" s="423" t="s">
        <v>286</v>
      </c>
      <c r="E618" s="423"/>
      <c r="F618" s="406">
        <v>2023</v>
      </c>
      <c r="G618" s="406">
        <v>2023</v>
      </c>
      <c r="H618" s="406">
        <v>2023</v>
      </c>
      <c r="I618" s="408"/>
      <c r="J618" s="409"/>
      <c r="K618" s="409"/>
      <c r="L618" s="409"/>
      <c r="M618" s="409"/>
      <c r="N618" s="408" t="s">
        <v>1284</v>
      </c>
      <c r="O618" s="409"/>
      <c r="P618" s="409"/>
      <c r="Q618" s="409"/>
      <c r="R618" s="409"/>
      <c r="S618" s="408" t="s">
        <v>2624</v>
      </c>
      <c r="T618" s="409"/>
      <c r="U618" s="409"/>
      <c r="V618" s="408"/>
      <c r="W618" s="408"/>
      <c r="X618" s="408" t="s">
        <v>2636</v>
      </c>
      <c r="Y618" s="409"/>
      <c r="Z618" s="409"/>
      <c r="AA618" s="408"/>
      <c r="AB618" s="408"/>
      <c r="AC618" s="408" t="s">
        <v>121</v>
      </c>
      <c r="AD618" s="409" t="s">
        <v>809</v>
      </c>
      <c r="AE618" s="409"/>
      <c r="AF618" s="408"/>
      <c r="AG618" s="408"/>
      <c r="AH618" s="408"/>
      <c r="AI618" s="409"/>
      <c r="AJ618" s="409"/>
      <c r="AK618" s="408"/>
      <c r="AL618" s="408"/>
      <c r="AM618" s="408"/>
      <c r="AN618" s="408"/>
      <c r="AO618" s="409"/>
      <c r="AP618" s="408"/>
      <c r="AQ618" s="408"/>
      <c r="AR618" s="408"/>
      <c r="AS618" s="408"/>
      <c r="AT618" s="408"/>
      <c r="AU618" s="408"/>
      <c r="AV618" s="410"/>
    </row>
    <row r="619" spans="1:48" ht="28.8" hidden="1">
      <c r="A619" s="421" t="s">
        <v>2637</v>
      </c>
      <c r="B619" s="422" t="s">
        <v>2638</v>
      </c>
      <c r="C619" s="422"/>
      <c r="D619" s="423" t="s">
        <v>321</v>
      </c>
      <c r="E619" s="423" t="s">
        <v>1750</v>
      </c>
      <c r="F619" s="406">
        <v>2023</v>
      </c>
      <c r="G619" s="406">
        <v>2023</v>
      </c>
      <c r="H619" s="406">
        <v>2023</v>
      </c>
      <c r="I619" s="408" t="s">
        <v>51</v>
      </c>
      <c r="J619" s="409"/>
      <c r="K619" s="409"/>
      <c r="L619" s="409" t="s">
        <v>809</v>
      </c>
      <c r="M619" s="409"/>
      <c r="N619" s="408" t="s">
        <v>51</v>
      </c>
      <c r="O619" s="409" t="s">
        <v>809</v>
      </c>
      <c r="P619" s="409"/>
      <c r="Q619" s="409"/>
      <c r="R619" s="409"/>
      <c r="S619" s="408" t="s">
        <v>121</v>
      </c>
      <c r="T619" s="409" t="s">
        <v>809</v>
      </c>
      <c r="U619" s="409"/>
      <c r="V619" s="408"/>
      <c r="W619" s="408"/>
      <c r="X619" s="408"/>
      <c r="Y619" s="409"/>
      <c r="Z619" s="409"/>
      <c r="AA619" s="408"/>
      <c r="AB619" s="408"/>
      <c r="AC619" s="408"/>
      <c r="AD619" s="409"/>
      <c r="AE619" s="409"/>
      <c r="AF619" s="408"/>
      <c r="AG619" s="408"/>
      <c r="AH619" s="408"/>
      <c r="AI619" s="409"/>
      <c r="AJ619" s="409"/>
      <c r="AK619" s="408"/>
      <c r="AL619" s="408"/>
      <c r="AM619" s="408"/>
      <c r="AN619" s="408"/>
      <c r="AO619" s="409"/>
      <c r="AP619" s="408"/>
      <c r="AQ619" s="408"/>
      <c r="AR619" s="408"/>
      <c r="AS619" s="408"/>
      <c r="AT619" s="408"/>
      <c r="AU619" s="408"/>
      <c r="AV619" s="410"/>
    </row>
    <row r="620" spans="1:48" ht="43.2" hidden="1">
      <c r="A620" s="421" t="s">
        <v>2639</v>
      </c>
      <c r="B620" s="422" t="s">
        <v>2640</v>
      </c>
      <c r="C620" s="422"/>
      <c r="D620" s="423" t="s">
        <v>286</v>
      </c>
      <c r="E620" s="423"/>
      <c r="F620" s="406">
        <v>2023</v>
      </c>
      <c r="G620" s="406">
        <v>2023</v>
      </c>
      <c r="H620" s="406">
        <v>2023</v>
      </c>
      <c r="I620" s="408"/>
      <c r="J620" s="409"/>
      <c r="K620" s="409"/>
      <c r="L620" s="409"/>
      <c r="M620" s="409"/>
      <c r="N620" s="408" t="s">
        <v>121</v>
      </c>
      <c r="O620" s="409" t="s">
        <v>809</v>
      </c>
      <c r="P620" s="409"/>
      <c r="Q620" s="409"/>
      <c r="R620" s="409"/>
      <c r="S620" s="408" t="s">
        <v>51</v>
      </c>
      <c r="T620" s="409" t="s">
        <v>809</v>
      </c>
      <c r="U620" s="409"/>
      <c r="V620" s="408"/>
      <c r="W620" s="408"/>
      <c r="X620" s="408" t="s">
        <v>1284</v>
      </c>
      <c r="Y620" s="409"/>
      <c r="Z620" s="409"/>
      <c r="AA620" s="408"/>
      <c r="AB620" s="408"/>
      <c r="AC620" s="408"/>
      <c r="AD620" s="409"/>
      <c r="AE620" s="409"/>
      <c r="AF620" s="408"/>
      <c r="AG620" s="408"/>
      <c r="AH620" s="408"/>
      <c r="AI620" s="409"/>
      <c r="AJ620" s="409"/>
      <c r="AK620" s="408"/>
      <c r="AL620" s="408"/>
      <c r="AM620" s="408"/>
      <c r="AN620" s="408"/>
      <c r="AO620" s="409"/>
      <c r="AP620" s="408"/>
      <c r="AQ620" s="408"/>
      <c r="AR620" s="408"/>
      <c r="AS620" s="408"/>
      <c r="AT620" s="408"/>
      <c r="AU620" s="408"/>
      <c r="AV620" s="410"/>
    </row>
    <row r="621" spans="1:48" ht="28.8" hidden="1">
      <c r="A621" s="421" t="s">
        <v>2641</v>
      </c>
      <c r="B621" s="422" t="s">
        <v>2642</v>
      </c>
      <c r="C621" s="422"/>
      <c r="D621" s="423" t="s">
        <v>302</v>
      </c>
      <c r="E621" s="423" t="s">
        <v>1750</v>
      </c>
      <c r="F621" s="406">
        <v>2023</v>
      </c>
      <c r="G621" s="406">
        <v>2023</v>
      </c>
      <c r="H621" s="406">
        <v>2023</v>
      </c>
      <c r="I621" s="408"/>
      <c r="J621" s="409"/>
      <c r="K621" s="409"/>
      <c r="L621" s="409"/>
      <c r="M621" s="409"/>
      <c r="N621" s="408" t="s">
        <v>51</v>
      </c>
      <c r="O621" s="409" t="s">
        <v>809</v>
      </c>
      <c r="P621" s="409"/>
      <c r="Q621" s="409"/>
      <c r="R621" s="409"/>
      <c r="S621" s="408"/>
      <c r="T621" s="409"/>
      <c r="U621" s="409"/>
      <c r="V621" s="408"/>
      <c r="W621" s="408"/>
      <c r="X621" s="408"/>
      <c r="Y621" s="409"/>
      <c r="Z621" s="409"/>
      <c r="AA621" s="408"/>
      <c r="AB621" s="408"/>
      <c r="AC621" s="408"/>
      <c r="AD621" s="409"/>
      <c r="AE621" s="409"/>
      <c r="AF621" s="408"/>
      <c r="AG621" s="408"/>
      <c r="AH621" s="408"/>
      <c r="AI621" s="409"/>
      <c r="AJ621" s="409"/>
      <c r="AK621" s="408"/>
      <c r="AL621" s="408"/>
      <c r="AM621" s="408"/>
      <c r="AN621" s="408"/>
      <c r="AO621" s="409"/>
      <c r="AP621" s="408"/>
      <c r="AQ621" s="408"/>
      <c r="AR621" s="408"/>
      <c r="AS621" s="408"/>
      <c r="AT621" s="408"/>
      <c r="AU621" s="408"/>
      <c r="AV621" s="410"/>
    </row>
    <row r="622" spans="1:48" ht="28.8" hidden="1">
      <c r="A622" s="421" t="s">
        <v>2643</v>
      </c>
      <c r="B622" s="422" t="s">
        <v>2644</v>
      </c>
      <c r="C622" s="422"/>
      <c r="D622" s="423" t="s">
        <v>321</v>
      </c>
      <c r="E622" s="423" t="s">
        <v>1750</v>
      </c>
      <c r="F622" s="406">
        <v>2023</v>
      </c>
      <c r="G622" s="406">
        <v>2023</v>
      </c>
      <c r="H622" s="406">
        <v>2023</v>
      </c>
      <c r="I622" s="408"/>
      <c r="J622" s="409"/>
      <c r="K622" s="409"/>
      <c r="L622" s="409"/>
      <c r="M622" s="409"/>
      <c r="N622" s="408" t="s">
        <v>53</v>
      </c>
      <c r="O622" s="409" t="s">
        <v>620</v>
      </c>
      <c r="P622" s="409"/>
      <c r="Q622" s="409"/>
      <c r="R622" s="409"/>
      <c r="S622" s="408" t="s">
        <v>38</v>
      </c>
      <c r="T622" s="409" t="s">
        <v>620</v>
      </c>
      <c r="U622" s="409"/>
      <c r="V622" s="408"/>
      <c r="W622" s="408"/>
      <c r="X622" s="408" t="s">
        <v>46</v>
      </c>
      <c r="Y622" s="409" t="s">
        <v>620</v>
      </c>
      <c r="Z622" s="409"/>
      <c r="AA622" s="408"/>
      <c r="AB622" s="408"/>
      <c r="AC622" s="408" t="s">
        <v>71</v>
      </c>
      <c r="AD622" s="409" t="s">
        <v>620</v>
      </c>
      <c r="AE622" s="409"/>
      <c r="AF622" s="408"/>
      <c r="AG622" s="408"/>
      <c r="AH622" s="408"/>
      <c r="AI622" s="409"/>
      <c r="AJ622" s="409"/>
      <c r="AK622" s="408"/>
      <c r="AL622" s="408"/>
      <c r="AM622" s="408"/>
      <c r="AN622" s="408"/>
      <c r="AO622" s="409"/>
      <c r="AP622" s="408"/>
      <c r="AQ622" s="408"/>
      <c r="AR622" s="408"/>
      <c r="AS622" s="408"/>
      <c r="AT622" s="408"/>
      <c r="AU622" s="408"/>
      <c r="AV622" s="410"/>
    </row>
    <row r="623" spans="1:48" s="496" customFormat="1" ht="28.8" hidden="1">
      <c r="A623" s="489" t="s">
        <v>2645</v>
      </c>
      <c r="B623" s="490" t="s">
        <v>2646</v>
      </c>
      <c r="C623" s="490"/>
      <c r="D623" s="491" t="s">
        <v>374</v>
      </c>
      <c r="E623" s="491" t="s">
        <v>1750</v>
      </c>
      <c r="F623" s="492">
        <v>2024</v>
      </c>
      <c r="G623" s="492">
        <v>2024</v>
      </c>
      <c r="H623" s="492">
        <v>2024</v>
      </c>
      <c r="I623" s="493"/>
      <c r="J623" s="494"/>
      <c r="K623" s="494"/>
      <c r="L623" s="494"/>
      <c r="M623" s="494"/>
      <c r="N623" s="493" t="s">
        <v>2647</v>
      </c>
      <c r="O623" s="494"/>
      <c r="P623" s="494"/>
      <c r="Q623" s="494"/>
      <c r="R623" s="494"/>
      <c r="S623" s="493" t="s">
        <v>2648</v>
      </c>
      <c r="T623" s="494"/>
      <c r="U623" s="494"/>
      <c r="V623" s="493"/>
      <c r="W623" s="493"/>
      <c r="X623" s="493" t="s">
        <v>2649</v>
      </c>
      <c r="Y623" s="494"/>
      <c r="Z623" s="494"/>
      <c r="AA623" s="493"/>
      <c r="AB623" s="493"/>
      <c r="AC623" s="493" t="s">
        <v>2650</v>
      </c>
      <c r="AD623" s="494"/>
      <c r="AE623" s="494"/>
      <c r="AF623" s="493"/>
      <c r="AG623" s="493"/>
      <c r="AH623" s="493" t="s">
        <v>2651</v>
      </c>
      <c r="AI623" s="494"/>
      <c r="AJ623" s="494"/>
      <c r="AK623" s="493"/>
      <c r="AL623" s="493"/>
      <c r="AM623" s="493" t="s">
        <v>2652</v>
      </c>
      <c r="AN623" s="493"/>
      <c r="AO623" s="494"/>
      <c r="AP623" s="493"/>
      <c r="AQ623" s="493"/>
      <c r="AR623" s="493"/>
      <c r="AS623" s="493"/>
      <c r="AT623" s="493"/>
      <c r="AU623" s="493"/>
      <c r="AV623" s="495"/>
    </row>
    <row r="624" spans="1:48" ht="28.8" hidden="1">
      <c r="A624" s="489" t="s">
        <v>2653</v>
      </c>
      <c r="B624" s="490" t="s">
        <v>2654</v>
      </c>
      <c r="C624" s="490"/>
      <c r="D624" s="491" t="s">
        <v>302</v>
      </c>
      <c r="E624" s="491" t="s">
        <v>1750</v>
      </c>
      <c r="F624" s="492">
        <v>2024</v>
      </c>
      <c r="G624" s="492">
        <v>2024</v>
      </c>
      <c r="H624" s="492">
        <v>2024</v>
      </c>
      <c r="I624" s="493" t="s">
        <v>2655</v>
      </c>
      <c r="J624" s="494"/>
      <c r="K624" s="494"/>
      <c r="L624" s="494"/>
      <c r="M624" s="494"/>
      <c r="N624" s="493" t="s">
        <v>2656</v>
      </c>
      <c r="O624" s="494"/>
      <c r="P624" s="494"/>
      <c r="Q624" s="494"/>
      <c r="R624" s="494"/>
      <c r="S624" s="493" t="s">
        <v>2657</v>
      </c>
      <c r="T624" s="494"/>
      <c r="U624" s="494"/>
      <c r="V624" s="493"/>
      <c r="W624" s="493"/>
      <c r="X624" s="493" t="s">
        <v>2658</v>
      </c>
      <c r="Y624" s="494"/>
      <c r="Z624" s="494"/>
      <c r="AA624" s="493"/>
      <c r="AB624" s="493"/>
      <c r="AC624" s="493" t="s">
        <v>2659</v>
      </c>
      <c r="AD624" s="494"/>
      <c r="AE624" s="494"/>
      <c r="AF624" s="493"/>
      <c r="AG624" s="493"/>
      <c r="AH624" s="493" t="s">
        <v>2651</v>
      </c>
      <c r="AI624" s="494"/>
      <c r="AJ624" s="494"/>
      <c r="AK624" s="493"/>
      <c r="AL624" s="493"/>
      <c r="AM624" s="493"/>
      <c r="AN624" s="493"/>
      <c r="AO624" s="494"/>
      <c r="AP624" s="493"/>
      <c r="AQ624" s="493"/>
      <c r="AR624" s="493"/>
      <c r="AS624" s="493"/>
      <c r="AT624" s="493"/>
      <c r="AU624" s="493"/>
      <c r="AV624" s="495"/>
    </row>
    <row r="625" spans="1:48" s="496" customFormat="1" ht="43.2" hidden="1">
      <c r="A625" s="489" t="s">
        <v>2660</v>
      </c>
      <c r="B625" s="490" t="s">
        <v>2661</v>
      </c>
      <c r="C625" s="490"/>
      <c r="D625" s="491"/>
      <c r="E625" s="491"/>
      <c r="F625" s="492">
        <v>2023</v>
      </c>
      <c r="G625" s="492">
        <v>2023</v>
      </c>
      <c r="H625" s="492">
        <v>2023</v>
      </c>
      <c r="I625" s="493" t="s">
        <v>2651</v>
      </c>
      <c r="J625" s="494"/>
      <c r="K625" s="494"/>
      <c r="L625" s="494"/>
      <c r="M625" s="494"/>
      <c r="N625" s="493" t="s">
        <v>2662</v>
      </c>
      <c r="O625" s="494"/>
      <c r="P625" s="494"/>
      <c r="Q625" s="494"/>
      <c r="R625" s="494"/>
      <c r="S625" s="493" t="s">
        <v>2663</v>
      </c>
      <c r="T625" s="494"/>
      <c r="U625" s="494"/>
      <c r="V625" s="493"/>
      <c r="W625" s="493"/>
      <c r="X625" s="493"/>
      <c r="Y625" s="494"/>
      <c r="Z625" s="494"/>
      <c r="AA625" s="493"/>
      <c r="AB625" s="493"/>
      <c r="AC625" s="493"/>
      <c r="AD625" s="494"/>
      <c r="AE625" s="494"/>
      <c r="AF625" s="493"/>
      <c r="AG625" s="493"/>
      <c r="AH625" s="493"/>
      <c r="AI625" s="494"/>
      <c r="AJ625" s="494"/>
      <c r="AK625" s="493"/>
      <c r="AL625" s="493"/>
      <c r="AM625" s="493"/>
      <c r="AN625" s="493"/>
      <c r="AO625" s="494"/>
      <c r="AP625" s="493"/>
      <c r="AQ625" s="493"/>
      <c r="AR625" s="493"/>
      <c r="AS625" s="493"/>
      <c r="AT625" s="493"/>
      <c r="AU625" s="493"/>
      <c r="AV625" s="495"/>
    </row>
    <row r="626" spans="1:48" ht="28.8" hidden="1">
      <c r="A626" s="421" t="s">
        <v>2110</v>
      </c>
      <c r="B626" s="422" t="s">
        <v>2111</v>
      </c>
      <c r="C626" s="422"/>
      <c r="D626" s="423" t="s">
        <v>313</v>
      </c>
      <c r="E626" s="423"/>
      <c r="F626" s="406">
        <v>2023</v>
      </c>
      <c r="G626" s="406">
        <v>2023</v>
      </c>
      <c r="H626" s="406">
        <v>2023</v>
      </c>
      <c r="I626" s="408" t="s">
        <v>44</v>
      </c>
      <c r="J626" s="409"/>
      <c r="K626" s="409"/>
      <c r="L626" s="409" t="s">
        <v>758</v>
      </c>
      <c r="M626" s="409"/>
      <c r="N626" s="408" t="s">
        <v>44</v>
      </c>
      <c r="O626" s="409" t="s">
        <v>758</v>
      </c>
      <c r="P626" s="409"/>
      <c r="Q626" s="409"/>
      <c r="R626" s="409"/>
      <c r="S626" s="408" t="s">
        <v>71</v>
      </c>
      <c r="T626" s="409" t="s">
        <v>620</v>
      </c>
      <c r="U626" s="409"/>
      <c r="V626" s="408"/>
      <c r="W626" s="408"/>
      <c r="X626" s="408" t="s">
        <v>761</v>
      </c>
      <c r="Y626" s="409" t="s">
        <v>758</v>
      </c>
      <c r="Z626" s="409"/>
      <c r="AA626" s="408"/>
      <c r="AB626" s="408"/>
      <c r="AC626" s="408" t="s">
        <v>2112</v>
      </c>
      <c r="AD626" s="409"/>
      <c r="AE626" s="409"/>
      <c r="AF626" s="408"/>
      <c r="AG626" s="408"/>
      <c r="AH626" s="408"/>
      <c r="AI626" s="409"/>
      <c r="AJ626" s="409"/>
      <c r="AK626" s="408"/>
      <c r="AL626" s="408"/>
      <c r="AM626" s="408"/>
      <c r="AN626" s="408"/>
      <c r="AO626" s="409"/>
      <c r="AP626" s="408"/>
      <c r="AQ626" s="408"/>
      <c r="AR626" s="408"/>
      <c r="AS626" s="408"/>
      <c r="AT626" s="408"/>
      <c r="AU626" s="408"/>
      <c r="AV626" s="410"/>
    </row>
    <row r="627" spans="1:48" ht="28.8" hidden="1">
      <c r="A627" s="421" t="s">
        <v>2664</v>
      </c>
      <c r="B627" s="422" t="s">
        <v>2665</v>
      </c>
      <c r="C627" s="422"/>
      <c r="D627" s="423" t="s">
        <v>306</v>
      </c>
      <c r="E627" s="423" t="s">
        <v>1750</v>
      </c>
      <c r="F627" s="406">
        <v>2023</v>
      </c>
      <c r="G627" s="406">
        <v>2023</v>
      </c>
      <c r="H627" s="406">
        <v>2023</v>
      </c>
      <c r="I627" s="408"/>
      <c r="J627" s="409"/>
      <c r="K627" s="409"/>
      <c r="L627" s="409"/>
      <c r="M627" s="409"/>
      <c r="N627" s="408" t="s">
        <v>46</v>
      </c>
      <c r="O627" s="409" t="s">
        <v>620</v>
      </c>
      <c r="P627" s="409"/>
      <c r="Q627" s="409"/>
      <c r="R627" s="409"/>
      <c r="S627" s="408" t="s">
        <v>187</v>
      </c>
      <c r="T627" s="409" t="s">
        <v>620</v>
      </c>
      <c r="U627" s="409"/>
      <c r="V627" s="408"/>
      <c r="W627" s="408"/>
      <c r="X627" s="408" t="s">
        <v>53</v>
      </c>
      <c r="Y627" s="409" t="s">
        <v>620</v>
      </c>
      <c r="Z627" s="409"/>
      <c r="AA627" s="408"/>
      <c r="AB627" s="408"/>
      <c r="AC627" s="408"/>
      <c r="AD627" s="409"/>
      <c r="AE627" s="409"/>
      <c r="AF627" s="408"/>
      <c r="AG627" s="408"/>
      <c r="AH627" s="408"/>
      <c r="AI627" s="409"/>
      <c r="AJ627" s="409"/>
      <c r="AK627" s="408"/>
      <c r="AL627" s="408"/>
      <c r="AM627" s="408"/>
      <c r="AN627" s="408"/>
      <c r="AO627" s="409"/>
      <c r="AP627" s="408"/>
      <c r="AQ627" s="408"/>
      <c r="AR627" s="408"/>
      <c r="AS627" s="408"/>
      <c r="AT627" s="408"/>
      <c r="AU627" s="408"/>
      <c r="AV627" s="410"/>
    </row>
    <row r="628" spans="1:48" ht="43.2" hidden="1">
      <c r="A628" s="421" t="s">
        <v>2666</v>
      </c>
      <c r="B628" s="422" t="s">
        <v>2667</v>
      </c>
      <c r="C628" s="422"/>
      <c r="D628" s="423" t="s">
        <v>302</v>
      </c>
      <c r="E628" s="423" t="s">
        <v>1750</v>
      </c>
      <c r="F628" s="406">
        <v>2023</v>
      </c>
      <c r="G628" s="406">
        <v>2023</v>
      </c>
      <c r="H628" s="406">
        <v>2023</v>
      </c>
      <c r="I628" s="408"/>
      <c r="J628" s="409"/>
      <c r="K628" s="409"/>
      <c r="L628" s="409"/>
      <c r="M628" s="409"/>
      <c r="N628" s="408" t="s">
        <v>53</v>
      </c>
      <c r="O628" s="409" t="s">
        <v>620</v>
      </c>
      <c r="P628" s="409"/>
      <c r="Q628" s="409"/>
      <c r="R628" s="409"/>
      <c r="S628" s="408" t="s">
        <v>2668</v>
      </c>
      <c r="T628" s="409"/>
      <c r="U628" s="409"/>
      <c r="V628" s="408"/>
      <c r="W628" s="408"/>
      <c r="X628" s="408" t="s">
        <v>610</v>
      </c>
      <c r="Y628" s="409"/>
      <c r="Z628" s="409"/>
      <c r="AA628" s="408"/>
      <c r="AB628" s="408"/>
      <c r="AC628" s="408" t="s">
        <v>2669</v>
      </c>
      <c r="AD628" s="409"/>
      <c r="AE628" s="409"/>
      <c r="AF628" s="408"/>
      <c r="AG628" s="408"/>
      <c r="AH628" s="408"/>
      <c r="AI628" s="409"/>
      <c r="AJ628" s="409"/>
      <c r="AK628" s="408"/>
      <c r="AL628" s="408"/>
      <c r="AM628" s="408"/>
      <c r="AN628" s="408"/>
      <c r="AO628" s="409"/>
      <c r="AP628" s="408"/>
      <c r="AQ628" s="408"/>
      <c r="AR628" s="408"/>
      <c r="AS628" s="408"/>
      <c r="AT628" s="408"/>
      <c r="AU628" s="408"/>
      <c r="AV628" s="410"/>
    </row>
    <row r="629" spans="1:48" ht="28.8">
      <c r="A629" s="421" t="s">
        <v>2670</v>
      </c>
      <c r="B629" s="422" t="s">
        <v>2095</v>
      </c>
      <c r="C629" s="422" t="s">
        <v>2270</v>
      </c>
      <c r="D629" s="423" t="s">
        <v>782</v>
      </c>
      <c r="E629" s="423" t="s">
        <v>1750</v>
      </c>
      <c r="F629" s="406">
        <v>2024</v>
      </c>
      <c r="G629" s="406">
        <v>2024</v>
      </c>
      <c r="H629" s="406">
        <v>2024</v>
      </c>
      <c r="I629" s="408" t="s">
        <v>36</v>
      </c>
      <c r="J629" s="409">
        <v>6839500</v>
      </c>
      <c r="K629" s="536" t="s">
        <v>2671</v>
      </c>
      <c r="L629" s="409" t="s">
        <v>620</v>
      </c>
      <c r="M629" s="409" t="s">
        <v>2271</v>
      </c>
      <c r="N629" s="408" t="s">
        <v>36</v>
      </c>
      <c r="O629" s="409" t="s">
        <v>620</v>
      </c>
      <c r="P629" s="409" t="s">
        <v>2271</v>
      </c>
      <c r="Q629" s="409">
        <v>6839500</v>
      </c>
      <c r="R629" s="536" t="s">
        <v>2671</v>
      </c>
      <c r="S629" s="408" t="s">
        <v>187</v>
      </c>
      <c r="T629" s="409" t="s">
        <v>620</v>
      </c>
      <c r="U629" s="409" t="s">
        <v>2271</v>
      </c>
      <c r="V629" s="408">
        <v>6837723</v>
      </c>
      <c r="W629" s="537" t="s">
        <v>2672</v>
      </c>
      <c r="X629" s="408" t="s">
        <v>34</v>
      </c>
      <c r="Y629" s="409" t="s">
        <v>620</v>
      </c>
      <c r="Z629" s="409" t="s">
        <v>2271</v>
      </c>
      <c r="AA629" s="408">
        <v>6767777</v>
      </c>
      <c r="AB629" s="537" t="s">
        <v>2673</v>
      </c>
      <c r="AC629" s="408" t="s">
        <v>2674</v>
      </c>
      <c r="AD629" s="409" t="s">
        <v>620</v>
      </c>
      <c r="AE629" s="409" t="s">
        <v>2271</v>
      </c>
      <c r="AF629" s="408"/>
      <c r="AG629" s="408">
        <v>1203210005</v>
      </c>
      <c r="AH629" s="408" t="s">
        <v>2675</v>
      </c>
      <c r="AI629" s="409" t="s">
        <v>620</v>
      </c>
      <c r="AJ629" s="409" t="s">
        <v>2271</v>
      </c>
      <c r="AK629" s="408"/>
      <c r="AL629" s="408">
        <v>1203210086</v>
      </c>
      <c r="AM629" s="408" t="s">
        <v>2676</v>
      </c>
      <c r="AN629" s="409" t="s">
        <v>620</v>
      </c>
      <c r="AO629" s="409" t="s">
        <v>2271</v>
      </c>
      <c r="AP629" s="408"/>
      <c r="AQ629" s="408">
        <v>1203210141</v>
      </c>
      <c r="AR629" s="408"/>
      <c r="AS629" s="408"/>
      <c r="AT629" s="408"/>
      <c r="AU629" s="408"/>
      <c r="AV629" s="410"/>
    </row>
    <row r="630" spans="1:48" ht="28.8" hidden="1">
      <c r="A630" s="421" t="s">
        <v>2677</v>
      </c>
      <c r="B630" s="422" t="s">
        <v>2678</v>
      </c>
      <c r="C630" s="422"/>
      <c r="D630" s="423" t="s">
        <v>321</v>
      </c>
      <c r="E630" s="423" t="s">
        <v>1750</v>
      </c>
      <c r="F630" s="406">
        <v>2023</v>
      </c>
      <c r="G630" s="406">
        <v>2023</v>
      </c>
      <c r="H630" s="406">
        <v>2023</v>
      </c>
      <c r="I630" s="408" t="s">
        <v>187</v>
      </c>
      <c r="J630" s="409"/>
      <c r="K630" s="409"/>
      <c r="L630" s="409" t="s">
        <v>620</v>
      </c>
      <c r="M630" s="409"/>
      <c r="N630" s="408" t="s">
        <v>187</v>
      </c>
      <c r="O630" s="409" t="s">
        <v>620</v>
      </c>
      <c r="P630" s="409"/>
      <c r="Q630" s="409"/>
      <c r="R630" s="409"/>
      <c r="S630" s="408" t="s">
        <v>34</v>
      </c>
      <c r="T630" s="409" t="s">
        <v>620</v>
      </c>
      <c r="U630" s="409"/>
      <c r="V630" s="408"/>
      <c r="W630" s="408"/>
      <c r="X630" s="408" t="s">
        <v>2679</v>
      </c>
      <c r="Y630" s="409"/>
      <c r="Z630" s="409"/>
      <c r="AA630" s="408"/>
      <c r="AB630" s="408"/>
      <c r="AC630" s="408" t="s">
        <v>2680</v>
      </c>
      <c r="AD630" s="409"/>
      <c r="AE630" s="409"/>
      <c r="AF630" s="408"/>
      <c r="AG630" s="408"/>
      <c r="AH630" s="408" t="s">
        <v>2681</v>
      </c>
      <c r="AI630" s="409"/>
      <c r="AJ630" s="409"/>
      <c r="AK630" s="408"/>
      <c r="AL630" s="408"/>
      <c r="AM630" s="408"/>
      <c r="AN630" s="408"/>
      <c r="AO630" s="409"/>
      <c r="AP630" s="408"/>
      <c r="AQ630" s="408"/>
      <c r="AR630" s="408"/>
      <c r="AS630" s="408"/>
      <c r="AT630" s="408"/>
      <c r="AU630" s="408"/>
      <c r="AV630" s="410"/>
    </row>
    <row r="631" spans="1:48" ht="28.8" hidden="1">
      <c r="A631" s="421" t="s">
        <v>2682</v>
      </c>
      <c r="B631" s="422" t="s">
        <v>2683</v>
      </c>
      <c r="C631" s="422"/>
      <c r="D631" s="423" t="s">
        <v>313</v>
      </c>
      <c r="E631" s="423"/>
      <c r="F631" s="406">
        <v>2023</v>
      </c>
      <c r="G631" s="406">
        <v>2023</v>
      </c>
      <c r="H631" s="406">
        <v>2023</v>
      </c>
      <c r="I631" s="408"/>
      <c r="J631" s="409"/>
      <c r="K631" s="409"/>
      <c r="L631" s="409"/>
      <c r="M631" s="409"/>
      <c r="N631" s="408" t="s">
        <v>139</v>
      </c>
      <c r="O631" s="409" t="s">
        <v>686</v>
      </c>
      <c r="P631" s="409"/>
      <c r="Q631" s="409"/>
      <c r="R631" s="409"/>
      <c r="S631" s="408" t="s">
        <v>187</v>
      </c>
      <c r="T631" s="409" t="s">
        <v>620</v>
      </c>
      <c r="U631" s="409"/>
      <c r="V631" s="408"/>
      <c r="W631" s="408"/>
      <c r="X631" s="408" t="s">
        <v>36</v>
      </c>
      <c r="Y631" s="409" t="s">
        <v>620</v>
      </c>
      <c r="Z631" s="409"/>
      <c r="AA631" s="408"/>
      <c r="AB631" s="408"/>
      <c r="AC631" s="408" t="s">
        <v>2684</v>
      </c>
      <c r="AD631" s="409"/>
      <c r="AE631" s="409"/>
      <c r="AF631" s="408"/>
      <c r="AG631" s="408"/>
      <c r="AH631" s="408" t="s">
        <v>2685</v>
      </c>
      <c r="AI631" s="409"/>
      <c r="AJ631" s="409"/>
      <c r="AK631" s="408"/>
      <c r="AL631" s="408"/>
      <c r="AM631" s="408" t="s">
        <v>2686</v>
      </c>
      <c r="AN631" s="408"/>
      <c r="AO631" s="409"/>
      <c r="AP631" s="408"/>
      <c r="AQ631" s="408"/>
      <c r="AR631" s="408"/>
      <c r="AS631" s="408"/>
      <c r="AT631" s="408"/>
      <c r="AU631" s="408"/>
      <c r="AV631" s="410"/>
    </row>
    <row r="632" spans="1:48" ht="28.8" hidden="1">
      <c r="A632" s="421" t="s">
        <v>2687</v>
      </c>
      <c r="B632" s="422" t="s">
        <v>2688</v>
      </c>
      <c r="C632" s="422"/>
      <c r="D632" s="423" t="s">
        <v>321</v>
      </c>
      <c r="E632" s="423" t="s">
        <v>1750</v>
      </c>
      <c r="F632" s="406">
        <v>2023</v>
      </c>
      <c r="G632" s="406">
        <v>2023</v>
      </c>
      <c r="H632" s="406">
        <v>2023</v>
      </c>
      <c r="I632" s="408"/>
      <c r="J632" s="409"/>
      <c r="K632" s="409"/>
      <c r="L632" s="409"/>
      <c r="M632" s="409"/>
      <c r="N632" s="408" t="s">
        <v>36</v>
      </c>
      <c r="O632" s="409" t="s">
        <v>620</v>
      </c>
      <c r="P632" s="409"/>
      <c r="Q632" s="409"/>
      <c r="R632" s="409"/>
      <c r="S632" s="408" t="s">
        <v>185</v>
      </c>
      <c r="T632" s="409" t="s">
        <v>353</v>
      </c>
      <c r="U632" s="409"/>
      <c r="V632" s="408"/>
      <c r="W632" s="408"/>
      <c r="X632" s="408" t="s">
        <v>71</v>
      </c>
      <c r="Y632" s="409" t="s">
        <v>620</v>
      </c>
      <c r="Z632" s="409"/>
      <c r="AA632" s="408"/>
      <c r="AB632" s="408"/>
      <c r="AC632" s="408" t="s">
        <v>2689</v>
      </c>
      <c r="AD632" s="409"/>
      <c r="AE632" s="409"/>
      <c r="AF632" s="408"/>
      <c r="AG632" s="408"/>
      <c r="AH632" s="408" t="s">
        <v>2690</v>
      </c>
      <c r="AI632" s="409"/>
      <c r="AJ632" s="409"/>
      <c r="AK632" s="408"/>
      <c r="AL632" s="408"/>
      <c r="AM632" s="408" t="s">
        <v>2691</v>
      </c>
      <c r="AN632" s="408"/>
      <c r="AO632" s="409"/>
      <c r="AP632" s="408"/>
      <c r="AQ632" s="408"/>
      <c r="AR632" s="408"/>
      <c r="AS632" s="408"/>
      <c r="AT632" s="408"/>
      <c r="AU632" s="408"/>
      <c r="AV632" s="410"/>
    </row>
    <row r="633" spans="1:48" ht="28.8" hidden="1">
      <c r="A633" s="421" t="s">
        <v>2692</v>
      </c>
      <c r="B633" s="422" t="s">
        <v>2386</v>
      </c>
      <c r="C633" s="422"/>
      <c r="D633" s="423" t="s">
        <v>374</v>
      </c>
      <c r="E633" s="423" t="s">
        <v>1750</v>
      </c>
      <c r="F633" s="406">
        <v>2023</v>
      </c>
      <c r="G633" s="406">
        <v>2023</v>
      </c>
      <c r="H633" s="406">
        <v>2023</v>
      </c>
      <c r="I633" s="408"/>
      <c r="J633" s="409"/>
      <c r="K633" s="409"/>
      <c r="L633" s="409"/>
      <c r="M633" s="409"/>
      <c r="N633" s="408" t="s">
        <v>204</v>
      </c>
      <c r="O633" s="409" t="s">
        <v>620</v>
      </c>
      <c r="P633" s="409"/>
      <c r="Q633" s="409"/>
      <c r="R633" s="409"/>
      <c r="S633" s="408" t="s">
        <v>193</v>
      </c>
      <c r="T633" s="409" t="s">
        <v>353</v>
      </c>
      <c r="U633" s="409"/>
      <c r="V633" s="408"/>
      <c r="W633" s="408"/>
      <c r="X633" s="408" t="s">
        <v>197</v>
      </c>
      <c r="Y633" s="409" t="s">
        <v>620</v>
      </c>
      <c r="Z633" s="409"/>
      <c r="AA633" s="408"/>
      <c r="AB633" s="408"/>
      <c r="AC633" s="408"/>
      <c r="AD633" s="409"/>
      <c r="AE633" s="409"/>
      <c r="AF633" s="408"/>
      <c r="AG633" s="408"/>
      <c r="AH633" s="408"/>
      <c r="AI633" s="409"/>
      <c r="AJ633" s="409"/>
      <c r="AK633" s="408"/>
      <c r="AL633" s="408"/>
      <c r="AM633" s="408"/>
      <c r="AN633" s="408"/>
      <c r="AO633" s="409"/>
      <c r="AP633" s="408"/>
      <c r="AQ633" s="408"/>
      <c r="AR633" s="408"/>
      <c r="AS633" s="408"/>
      <c r="AT633" s="408"/>
      <c r="AU633" s="408"/>
      <c r="AV633" s="410"/>
    </row>
    <row r="634" spans="1:48" ht="57.6" hidden="1">
      <c r="A634" s="421" t="s">
        <v>2693</v>
      </c>
      <c r="B634" s="422" t="s">
        <v>2694</v>
      </c>
      <c r="C634" s="422"/>
      <c r="D634" s="423" t="s">
        <v>374</v>
      </c>
      <c r="E634" s="423" t="s">
        <v>1750</v>
      </c>
      <c r="F634" s="406">
        <v>2024</v>
      </c>
      <c r="G634" s="406">
        <v>2024</v>
      </c>
      <c r="H634" s="406">
        <v>2024</v>
      </c>
      <c r="I634" s="408" t="s">
        <v>193</v>
      </c>
      <c r="J634" s="409" t="s">
        <v>2695</v>
      </c>
      <c r="K634" s="536" t="s">
        <v>2696</v>
      </c>
      <c r="L634" s="409" t="s">
        <v>353</v>
      </c>
      <c r="M634" s="409" t="s">
        <v>2271</v>
      </c>
      <c r="N634" s="408" t="s">
        <v>193</v>
      </c>
      <c r="O634" s="409" t="s">
        <v>353</v>
      </c>
      <c r="P634" s="409" t="s">
        <v>2271</v>
      </c>
      <c r="Q634" s="409" t="s">
        <v>2695</v>
      </c>
      <c r="R634" s="536" t="s">
        <v>2696</v>
      </c>
      <c r="S634" s="408" t="s">
        <v>185</v>
      </c>
      <c r="T634" s="409" t="s">
        <v>353</v>
      </c>
      <c r="U634" s="409" t="s">
        <v>2271</v>
      </c>
      <c r="V634" s="408" t="s">
        <v>2697</v>
      </c>
      <c r="W634" s="537" t="s">
        <v>2698</v>
      </c>
      <c r="X634" s="408" t="s">
        <v>204</v>
      </c>
      <c r="Y634" s="409" t="s">
        <v>620</v>
      </c>
      <c r="Z634" s="409" t="s">
        <v>2271</v>
      </c>
      <c r="AA634" s="408">
        <v>6803558</v>
      </c>
      <c r="AB634" s="537" t="s">
        <v>2699</v>
      </c>
      <c r="AC634" s="408" t="s">
        <v>200</v>
      </c>
      <c r="AD634" s="409" t="s">
        <v>620</v>
      </c>
      <c r="AE634" s="409" t="s">
        <v>2271</v>
      </c>
      <c r="AF634" s="408">
        <v>6854678</v>
      </c>
      <c r="AG634" s="537" t="s">
        <v>2700</v>
      </c>
      <c r="AH634" s="408"/>
      <c r="AI634" s="409"/>
      <c r="AJ634" s="409"/>
      <c r="AK634" s="408"/>
      <c r="AL634" s="408"/>
      <c r="AM634" s="408"/>
      <c r="AN634" s="408"/>
      <c r="AO634" s="409"/>
      <c r="AP634" s="408"/>
      <c r="AQ634" s="408"/>
      <c r="AR634" s="408"/>
      <c r="AS634" s="408"/>
      <c r="AT634" s="408"/>
      <c r="AU634" s="408"/>
      <c r="AV634" s="410"/>
    </row>
    <row r="635" spans="1:48" ht="28.8" hidden="1">
      <c r="A635" s="421" t="s">
        <v>2701</v>
      </c>
      <c r="B635" s="422" t="s">
        <v>159</v>
      </c>
      <c r="C635" s="422"/>
      <c r="D635" s="423" t="s">
        <v>681</v>
      </c>
      <c r="E635" s="423"/>
      <c r="F635" s="406">
        <v>2023</v>
      </c>
      <c r="G635" s="406">
        <v>2023</v>
      </c>
      <c r="H635" s="406">
        <v>2023</v>
      </c>
      <c r="I635" s="408"/>
      <c r="J635" s="409"/>
      <c r="K635" s="409"/>
      <c r="L635" s="409"/>
      <c r="M635" s="409"/>
      <c r="N635" s="408" t="s">
        <v>200</v>
      </c>
      <c r="O635" s="409" t="s">
        <v>620</v>
      </c>
      <c r="P635" s="409"/>
      <c r="Q635" s="409"/>
      <c r="R635" s="409"/>
      <c r="S635" s="408"/>
      <c r="T635" s="409"/>
      <c r="U635" s="409"/>
      <c r="V635" s="408"/>
      <c r="W635" s="408"/>
      <c r="X635" s="408"/>
      <c r="Y635" s="409"/>
      <c r="Z635" s="409"/>
      <c r="AA635" s="408"/>
      <c r="AB635" s="408"/>
      <c r="AC635" s="408"/>
      <c r="AD635" s="409"/>
      <c r="AE635" s="409"/>
      <c r="AF635" s="408"/>
      <c r="AG635" s="408"/>
      <c r="AH635" s="408"/>
      <c r="AI635" s="409"/>
      <c r="AJ635" s="409"/>
      <c r="AK635" s="408"/>
      <c r="AL635" s="408"/>
      <c r="AM635" s="408"/>
      <c r="AN635" s="408"/>
      <c r="AO635" s="409"/>
      <c r="AP635" s="408"/>
      <c r="AQ635" s="408"/>
      <c r="AR635" s="408"/>
      <c r="AS635" s="408"/>
      <c r="AT635" s="408"/>
      <c r="AU635" s="408"/>
      <c r="AV635" s="410"/>
    </row>
    <row r="636" spans="1:48" ht="28.8" hidden="1">
      <c r="A636" s="424" t="s">
        <v>2702</v>
      </c>
      <c r="B636" s="422" t="s">
        <v>2703</v>
      </c>
      <c r="C636" s="422"/>
      <c r="D636" s="423" t="s">
        <v>328</v>
      </c>
      <c r="E636" s="423"/>
      <c r="F636" s="406"/>
      <c r="G636" s="406"/>
      <c r="H636" s="435">
        <v>2021</v>
      </c>
      <c r="I636" s="408"/>
      <c r="J636" s="409"/>
      <c r="K636" s="409"/>
      <c r="L636" s="409"/>
      <c r="M636" s="409"/>
      <c r="N636" s="408"/>
      <c r="O636" s="409"/>
      <c r="P636" s="409"/>
      <c r="Q636" s="409"/>
      <c r="R636" s="409"/>
      <c r="S636" s="408"/>
      <c r="T636" s="409"/>
      <c r="U636" s="409"/>
      <c r="V636" s="408"/>
      <c r="W636" s="408"/>
      <c r="X636" s="408"/>
      <c r="Y636" s="409"/>
      <c r="Z636" s="409"/>
      <c r="AA636" s="408"/>
      <c r="AB636" s="408"/>
      <c r="AC636" s="408"/>
      <c r="AD636" s="409"/>
      <c r="AE636" s="409"/>
      <c r="AF636" s="408"/>
      <c r="AG636" s="408"/>
      <c r="AH636" s="408"/>
      <c r="AI636" s="409"/>
      <c r="AJ636" s="409"/>
      <c r="AK636" s="408"/>
      <c r="AL636" s="408"/>
      <c r="AM636" s="408"/>
      <c r="AN636" s="408"/>
      <c r="AO636" s="409"/>
      <c r="AP636" s="408"/>
      <c r="AQ636" s="408"/>
      <c r="AR636" s="408"/>
      <c r="AS636" s="408"/>
      <c r="AT636" s="408"/>
      <c r="AU636" s="408"/>
      <c r="AV636" s="410"/>
    </row>
    <row r="637" spans="1:48" ht="28.8" hidden="1">
      <c r="A637" s="421" t="s">
        <v>2704</v>
      </c>
      <c r="B637" s="422" t="s">
        <v>2705</v>
      </c>
      <c r="C637" s="422"/>
      <c r="D637" s="423" t="s">
        <v>1844</v>
      </c>
      <c r="E637" s="423"/>
      <c r="F637" s="406"/>
      <c r="G637" s="406"/>
      <c r="H637" s="435"/>
      <c r="I637" s="408"/>
      <c r="J637" s="409"/>
      <c r="K637" s="409"/>
      <c r="L637" s="409"/>
      <c r="M637" s="409"/>
      <c r="N637" s="408"/>
      <c r="O637" s="409"/>
      <c r="P637" s="409"/>
      <c r="Q637" s="409"/>
      <c r="R637" s="409"/>
      <c r="S637" s="408"/>
      <c r="T637" s="409"/>
      <c r="U637" s="409"/>
      <c r="V637" s="408"/>
      <c r="W637" s="408"/>
      <c r="X637" s="408"/>
      <c r="Y637" s="409"/>
      <c r="Z637" s="409"/>
      <c r="AA637" s="408"/>
      <c r="AB637" s="408"/>
      <c r="AC637" s="408"/>
      <c r="AD637" s="409"/>
      <c r="AE637" s="409"/>
      <c r="AF637" s="408"/>
      <c r="AG637" s="408"/>
      <c r="AH637" s="408"/>
      <c r="AI637" s="409"/>
      <c r="AJ637" s="409"/>
      <c r="AK637" s="408"/>
      <c r="AL637" s="408"/>
      <c r="AM637" s="408"/>
      <c r="AN637" s="408"/>
      <c r="AO637" s="409"/>
      <c r="AP637" s="408"/>
      <c r="AQ637" s="408"/>
      <c r="AR637" s="408"/>
      <c r="AS637" s="408"/>
      <c r="AT637" s="408"/>
      <c r="AU637" s="408"/>
      <c r="AV637" s="410"/>
    </row>
    <row r="638" spans="1:48" ht="28.8" hidden="1">
      <c r="A638" s="421" t="s">
        <v>2706</v>
      </c>
      <c r="B638" s="422" t="s">
        <v>2707</v>
      </c>
      <c r="C638" s="422"/>
      <c r="D638" s="423" t="s">
        <v>782</v>
      </c>
      <c r="E638" s="423" t="s">
        <v>1750</v>
      </c>
      <c r="F638" s="406">
        <v>2023</v>
      </c>
      <c r="G638" s="406">
        <v>2023</v>
      </c>
      <c r="H638" s="406">
        <v>2023</v>
      </c>
      <c r="I638" s="408" t="s">
        <v>13</v>
      </c>
      <c r="J638" s="409"/>
      <c r="K638" s="409"/>
      <c r="L638" s="409" t="s">
        <v>809</v>
      </c>
      <c r="M638" s="409"/>
      <c r="N638" s="408" t="s">
        <v>13</v>
      </c>
      <c r="O638" s="409" t="s">
        <v>686</v>
      </c>
      <c r="P638" s="409"/>
      <c r="Q638" s="409"/>
      <c r="R638" s="409"/>
      <c r="S638" s="408" t="s">
        <v>2530</v>
      </c>
      <c r="T638" s="409"/>
      <c r="U638" s="409"/>
      <c r="V638" s="408"/>
      <c r="W638" s="408"/>
      <c r="X638" s="408" t="s">
        <v>2708</v>
      </c>
      <c r="Y638" s="409"/>
      <c r="Z638" s="409"/>
      <c r="AA638" s="408"/>
      <c r="AB638" s="408"/>
      <c r="AC638" s="408"/>
      <c r="AD638" s="409"/>
      <c r="AE638" s="409"/>
      <c r="AF638" s="408"/>
      <c r="AG638" s="408"/>
      <c r="AH638" s="408"/>
      <c r="AI638" s="409"/>
      <c r="AJ638" s="409"/>
      <c r="AK638" s="408"/>
      <c r="AL638" s="408"/>
      <c r="AM638" s="408"/>
      <c r="AN638" s="408"/>
      <c r="AO638" s="409"/>
      <c r="AP638" s="408"/>
      <c r="AQ638" s="408"/>
      <c r="AR638" s="408"/>
      <c r="AS638" s="408"/>
      <c r="AT638" s="408"/>
      <c r="AU638" s="408"/>
      <c r="AV638" s="410"/>
    </row>
    <row r="639" spans="1:48" ht="28.8" hidden="1">
      <c r="A639" s="421" t="s">
        <v>2709</v>
      </c>
      <c r="B639" s="422" t="s">
        <v>2683</v>
      </c>
      <c r="C639" s="422"/>
      <c r="D639" s="423" t="s">
        <v>374</v>
      </c>
      <c r="E639" s="423" t="s">
        <v>1750</v>
      </c>
      <c r="F639" s="406">
        <v>2023</v>
      </c>
      <c r="G639" s="406">
        <v>2023</v>
      </c>
      <c r="H639" s="406">
        <v>2023</v>
      </c>
      <c r="I639" s="408" t="s">
        <v>42</v>
      </c>
      <c r="J639" s="409"/>
      <c r="K639" s="409"/>
      <c r="L639" s="409" t="s">
        <v>686</v>
      </c>
      <c r="M639" s="409"/>
      <c r="N639" s="408" t="s">
        <v>13</v>
      </c>
      <c r="O639" s="409" t="s">
        <v>686</v>
      </c>
      <c r="P639" s="409"/>
      <c r="Q639" s="409"/>
      <c r="R639" s="409"/>
      <c r="S639" s="408" t="s">
        <v>96</v>
      </c>
      <c r="T639" s="409" t="s">
        <v>686</v>
      </c>
      <c r="U639" s="409"/>
      <c r="V639" s="408"/>
      <c r="W639" s="408"/>
      <c r="X639" s="408" t="s">
        <v>2710</v>
      </c>
      <c r="Y639" s="409"/>
      <c r="Z639" s="409"/>
      <c r="AA639" s="408"/>
      <c r="AB639" s="408"/>
      <c r="AC639" s="408" t="s">
        <v>2711</v>
      </c>
      <c r="AD639" s="409"/>
      <c r="AE639" s="409"/>
      <c r="AF639" s="408"/>
      <c r="AG639" s="408"/>
      <c r="AH639" s="408" t="s">
        <v>2712</v>
      </c>
      <c r="AI639" s="409"/>
      <c r="AJ639" s="409"/>
      <c r="AK639" s="408"/>
      <c r="AL639" s="408"/>
      <c r="AM639" s="408"/>
      <c r="AN639" s="408"/>
      <c r="AO639" s="409"/>
      <c r="AP639" s="408"/>
      <c r="AQ639" s="408"/>
      <c r="AR639" s="408"/>
      <c r="AS639" s="408"/>
      <c r="AT639" s="408"/>
      <c r="AU639" s="408"/>
      <c r="AV639" s="410"/>
    </row>
    <row r="640" spans="1:48" ht="57.6" hidden="1">
      <c r="A640" s="421" t="s">
        <v>2713</v>
      </c>
      <c r="B640" s="422" t="s">
        <v>2714</v>
      </c>
      <c r="C640" s="422"/>
      <c r="D640" s="423" t="s">
        <v>277</v>
      </c>
      <c r="E640" s="423"/>
      <c r="F640" s="406">
        <v>2023</v>
      </c>
      <c r="G640" s="406">
        <v>2023</v>
      </c>
      <c r="H640" s="406">
        <v>2023</v>
      </c>
      <c r="I640" s="408"/>
      <c r="J640" s="409"/>
      <c r="K640" s="409"/>
      <c r="L640" s="409"/>
      <c r="M640" s="409"/>
      <c r="N640" s="408" t="s">
        <v>2715</v>
      </c>
      <c r="O640" s="409"/>
      <c r="P640" s="409"/>
      <c r="Q640" s="409"/>
      <c r="R640" s="409"/>
      <c r="S640" s="408" t="s">
        <v>2716</v>
      </c>
      <c r="T640" s="409"/>
      <c r="U640" s="409"/>
      <c r="V640" s="408"/>
      <c r="W640" s="408"/>
      <c r="X640" s="408" t="s">
        <v>2717</v>
      </c>
      <c r="Y640" s="409"/>
      <c r="Z640" s="409"/>
      <c r="AA640" s="408"/>
      <c r="AB640" s="408"/>
      <c r="AC640" s="408" t="s">
        <v>26</v>
      </c>
      <c r="AD640" s="409" t="s">
        <v>686</v>
      </c>
      <c r="AE640" s="409"/>
      <c r="AF640" s="408"/>
      <c r="AG640" s="408"/>
      <c r="AH640" s="408" t="s">
        <v>2718</v>
      </c>
      <c r="AI640" s="409"/>
      <c r="AJ640" s="409"/>
      <c r="AK640" s="408"/>
      <c r="AL640" s="408"/>
      <c r="AM640" s="408" t="s">
        <v>2719</v>
      </c>
      <c r="AN640" s="408"/>
      <c r="AO640" s="409"/>
      <c r="AP640" s="408"/>
      <c r="AQ640" s="408"/>
      <c r="AR640" s="408"/>
      <c r="AS640" s="408"/>
      <c r="AT640" s="408"/>
      <c r="AU640" s="408"/>
      <c r="AV640" s="410"/>
    </row>
    <row r="641" spans="1:48" s="496" customFormat="1" hidden="1">
      <c r="A641" s="489" t="s">
        <v>2720</v>
      </c>
      <c r="B641" s="490"/>
      <c r="C641" s="490"/>
      <c r="D641" s="491"/>
      <c r="E641" s="491"/>
      <c r="F641" s="492">
        <v>2024</v>
      </c>
      <c r="G641" s="492">
        <v>2024</v>
      </c>
      <c r="H641" s="492">
        <v>2024</v>
      </c>
      <c r="I641" s="493"/>
      <c r="J641" s="494"/>
      <c r="K641" s="494"/>
      <c r="L641" s="494"/>
      <c r="M641" s="494"/>
      <c r="N641" s="493" t="s">
        <v>26</v>
      </c>
      <c r="O641" s="494" t="s">
        <v>686</v>
      </c>
      <c r="P641" s="494"/>
      <c r="Q641" s="494"/>
      <c r="R641" s="494"/>
      <c r="S641" s="493"/>
      <c r="T641" s="494"/>
      <c r="U641" s="494"/>
      <c r="V641" s="493"/>
      <c r="W641" s="493"/>
      <c r="X641" s="493"/>
      <c r="Y641" s="494"/>
      <c r="Z641" s="494"/>
      <c r="AA641" s="493"/>
      <c r="AB641" s="493"/>
      <c r="AC641" s="493"/>
      <c r="AD641" s="494"/>
      <c r="AE641" s="494"/>
      <c r="AF641" s="493"/>
      <c r="AG641" s="493"/>
      <c r="AH641" s="493"/>
      <c r="AI641" s="494"/>
      <c r="AJ641" s="494"/>
      <c r="AK641" s="493"/>
      <c r="AL641" s="493"/>
      <c r="AM641" s="493"/>
      <c r="AN641" s="493"/>
      <c r="AO641" s="494"/>
      <c r="AP641" s="493"/>
      <c r="AQ641" s="493"/>
      <c r="AR641" s="493"/>
      <c r="AS641" s="493"/>
      <c r="AT641" s="493"/>
      <c r="AU641" s="493"/>
      <c r="AV641" s="495"/>
    </row>
    <row r="642" spans="1:48" s="496" customFormat="1" hidden="1">
      <c r="A642" s="489" t="s">
        <v>2721</v>
      </c>
      <c r="B642" s="490"/>
      <c r="C642" s="490"/>
      <c r="D642" s="491"/>
      <c r="E642" s="491"/>
      <c r="F642" s="492">
        <v>2024</v>
      </c>
      <c r="G642" s="492">
        <v>2024</v>
      </c>
      <c r="H642" s="492">
        <v>2024</v>
      </c>
      <c r="I642" s="493"/>
      <c r="J642" s="494"/>
      <c r="K642" s="494"/>
      <c r="L642" s="494"/>
      <c r="M642" s="494"/>
      <c r="N642" s="493" t="s">
        <v>26</v>
      </c>
      <c r="O642" s="494" t="s">
        <v>686</v>
      </c>
      <c r="P642" s="494"/>
      <c r="Q642" s="494"/>
      <c r="R642" s="494"/>
      <c r="S642" s="493"/>
      <c r="T642" s="494"/>
      <c r="U642" s="494"/>
      <c r="V642" s="493"/>
      <c r="W642" s="493"/>
      <c r="X642" s="493"/>
      <c r="Y642" s="494"/>
      <c r="Z642" s="494"/>
      <c r="AA642" s="493"/>
      <c r="AB642" s="493"/>
      <c r="AC642" s="493"/>
      <c r="AD642" s="494"/>
      <c r="AE642" s="494"/>
      <c r="AF642" s="493"/>
      <c r="AG642" s="493"/>
      <c r="AH642" s="493"/>
      <c r="AI642" s="494"/>
      <c r="AJ642" s="494"/>
      <c r="AK642" s="493"/>
      <c r="AL642" s="493"/>
      <c r="AM642" s="493"/>
      <c r="AN642" s="493"/>
      <c r="AO642" s="494"/>
      <c r="AP642" s="493"/>
      <c r="AQ642" s="493"/>
      <c r="AR642" s="493"/>
      <c r="AS642" s="493"/>
      <c r="AT642" s="493"/>
      <c r="AU642" s="493"/>
      <c r="AV642" s="495"/>
    </row>
    <row r="643" spans="1:48" s="496" customFormat="1" hidden="1">
      <c r="A643" s="489" t="s">
        <v>2722</v>
      </c>
      <c r="B643" s="490"/>
      <c r="C643" s="490"/>
      <c r="D643" s="491"/>
      <c r="E643" s="491"/>
      <c r="F643" s="492">
        <v>2023</v>
      </c>
      <c r="G643" s="492">
        <v>2023</v>
      </c>
      <c r="H643" s="492">
        <v>2023</v>
      </c>
      <c r="I643" s="493"/>
      <c r="J643" s="494"/>
      <c r="K643" s="494"/>
      <c r="L643" s="494"/>
      <c r="M643" s="494"/>
      <c r="N643" s="493" t="s">
        <v>26</v>
      </c>
      <c r="O643" s="494" t="s">
        <v>686</v>
      </c>
      <c r="P643" s="494"/>
      <c r="Q643" s="494"/>
      <c r="R643" s="494"/>
      <c r="S643" s="493"/>
      <c r="T643" s="494"/>
      <c r="U643" s="494"/>
      <c r="V643" s="493"/>
      <c r="W643" s="493"/>
      <c r="X643" s="493"/>
      <c r="Y643" s="494"/>
      <c r="Z643" s="494"/>
      <c r="AA643" s="493"/>
      <c r="AB643" s="493"/>
      <c r="AC643" s="493"/>
      <c r="AD643" s="494"/>
      <c r="AE643" s="494"/>
      <c r="AF643" s="493"/>
      <c r="AG643" s="493"/>
      <c r="AH643" s="493"/>
      <c r="AI643" s="494"/>
      <c r="AJ643" s="494"/>
      <c r="AK643" s="493"/>
      <c r="AL643" s="493"/>
      <c r="AM643" s="493"/>
      <c r="AN643" s="493"/>
      <c r="AO643" s="494"/>
      <c r="AP643" s="493"/>
      <c r="AQ643" s="493"/>
      <c r="AR643" s="493"/>
      <c r="AS643" s="493"/>
      <c r="AT643" s="493"/>
      <c r="AU643" s="493"/>
      <c r="AV643" s="495"/>
    </row>
    <row r="644" spans="1:48" ht="28.8" hidden="1">
      <c r="A644" s="421" t="s">
        <v>2723</v>
      </c>
      <c r="B644" s="422" t="s">
        <v>2724</v>
      </c>
      <c r="C644" s="422"/>
      <c r="D644" s="423" t="s">
        <v>374</v>
      </c>
      <c r="E644" s="423" t="s">
        <v>1750</v>
      </c>
      <c r="F644" s="406">
        <v>2023</v>
      </c>
      <c r="G644" s="406">
        <v>2023</v>
      </c>
      <c r="H644" s="406">
        <v>2023</v>
      </c>
      <c r="I644" s="408"/>
      <c r="J644" s="409"/>
      <c r="K644" s="409"/>
      <c r="L644" s="409"/>
      <c r="M644" s="409"/>
      <c r="N644" s="408" t="s">
        <v>139</v>
      </c>
      <c r="O644" s="409" t="s">
        <v>686</v>
      </c>
      <c r="P644" s="409"/>
      <c r="Q644" s="409"/>
      <c r="R644" s="409"/>
      <c r="S644" s="408" t="s">
        <v>174</v>
      </c>
      <c r="T644" s="409" t="s">
        <v>686</v>
      </c>
      <c r="U644" s="409"/>
      <c r="V644" s="408"/>
      <c r="W644" s="408"/>
      <c r="X644" s="408" t="s">
        <v>96</v>
      </c>
      <c r="Y644" s="409" t="s">
        <v>686</v>
      </c>
      <c r="Z644" s="409"/>
      <c r="AA644" s="408"/>
      <c r="AB644" s="408"/>
      <c r="AC644" s="408" t="s">
        <v>2725</v>
      </c>
      <c r="AD644" s="409"/>
      <c r="AE644" s="409"/>
      <c r="AF644" s="408"/>
      <c r="AG644" s="408"/>
      <c r="AH644" s="408" t="s">
        <v>2726</v>
      </c>
      <c r="AI644" s="409"/>
      <c r="AJ644" s="409"/>
      <c r="AK644" s="408"/>
      <c r="AL644" s="408"/>
      <c r="AM644" s="408" t="s">
        <v>2727</v>
      </c>
      <c r="AN644" s="408"/>
      <c r="AO644" s="409"/>
      <c r="AP644" s="408"/>
      <c r="AQ644" s="408"/>
      <c r="AR644" s="408"/>
      <c r="AS644" s="408"/>
      <c r="AT644" s="408"/>
      <c r="AU644" s="408"/>
      <c r="AV644" s="410"/>
    </row>
    <row r="645" spans="1:48" ht="28.8" hidden="1">
      <c r="A645" s="421" t="s">
        <v>2728</v>
      </c>
      <c r="B645" s="422" t="s">
        <v>2729</v>
      </c>
      <c r="C645" s="422"/>
      <c r="D645" s="423" t="s">
        <v>374</v>
      </c>
      <c r="E645" s="423" t="s">
        <v>1750</v>
      </c>
      <c r="F645" s="406">
        <v>2024</v>
      </c>
      <c r="G645" s="406">
        <v>2024</v>
      </c>
      <c r="H645" s="406">
        <v>2024</v>
      </c>
      <c r="I645" s="408"/>
      <c r="J645" s="409"/>
      <c r="K645" s="409"/>
      <c r="L645" s="409"/>
      <c r="M645" s="409"/>
      <c r="N645" s="408" t="s">
        <v>42</v>
      </c>
      <c r="O645" s="409" t="s">
        <v>686</v>
      </c>
      <c r="P645" s="409" t="s">
        <v>2271</v>
      </c>
      <c r="Q645" s="409">
        <v>6843682</v>
      </c>
      <c r="R645" s="536" t="s">
        <v>2730</v>
      </c>
      <c r="S645" s="408" t="s">
        <v>2731</v>
      </c>
      <c r="T645" s="409" t="s">
        <v>686</v>
      </c>
      <c r="U645" s="409" t="s">
        <v>2271</v>
      </c>
      <c r="V645" s="408"/>
      <c r="W645" s="408">
        <v>1205210082</v>
      </c>
      <c r="X645" s="408" t="s">
        <v>2732</v>
      </c>
      <c r="Y645" s="409" t="s">
        <v>686</v>
      </c>
      <c r="Z645" s="409" t="s">
        <v>2271</v>
      </c>
      <c r="AA645" s="408"/>
      <c r="AB645" s="408">
        <v>1205210025</v>
      </c>
      <c r="AC645" s="408"/>
      <c r="AD645" s="409"/>
      <c r="AE645" s="409"/>
      <c r="AF645" s="408"/>
      <c r="AG645" s="408"/>
      <c r="AH645" s="408"/>
      <c r="AI645" s="409"/>
      <c r="AJ645" s="409"/>
      <c r="AK645" s="408"/>
      <c r="AL645" s="408"/>
      <c r="AM645" s="408"/>
      <c r="AN645" s="408"/>
      <c r="AO645" s="409"/>
      <c r="AP645" s="408"/>
      <c r="AQ645" s="408"/>
      <c r="AR645" s="408"/>
      <c r="AS645" s="408"/>
      <c r="AT645" s="408"/>
      <c r="AU645" s="408"/>
      <c r="AV645" s="410"/>
    </row>
    <row r="646" spans="1:48" ht="43.2" hidden="1">
      <c r="A646" s="421" t="s">
        <v>2733</v>
      </c>
      <c r="B646" s="422" t="s">
        <v>2729</v>
      </c>
      <c r="C646" s="422"/>
      <c r="D646" s="423" t="s">
        <v>374</v>
      </c>
      <c r="E646" s="423" t="s">
        <v>1750</v>
      </c>
      <c r="F646" s="406">
        <v>2024</v>
      </c>
      <c r="G646" s="406">
        <v>2024</v>
      </c>
      <c r="H646" s="406">
        <v>2024</v>
      </c>
      <c r="I646" s="408"/>
      <c r="J646" s="409"/>
      <c r="K646" s="409"/>
      <c r="L646" s="409"/>
      <c r="M646" s="409"/>
      <c r="N646" s="408" t="s">
        <v>96</v>
      </c>
      <c r="O646" s="409" t="s">
        <v>686</v>
      </c>
      <c r="P646" s="409" t="s">
        <v>2271</v>
      </c>
      <c r="Q646" s="409">
        <v>6727245</v>
      </c>
      <c r="R646" s="536" t="s">
        <v>1889</v>
      </c>
      <c r="S646" s="408" t="s">
        <v>139</v>
      </c>
      <c r="T646" s="409" t="s">
        <v>686</v>
      </c>
      <c r="U646" s="409" t="s">
        <v>2271</v>
      </c>
      <c r="V646" s="408">
        <v>6833162</v>
      </c>
      <c r="W646" s="537" t="s">
        <v>2031</v>
      </c>
      <c r="X646" s="408" t="s">
        <v>2614</v>
      </c>
      <c r="Y646" s="409" t="s">
        <v>686</v>
      </c>
      <c r="Z646" s="409" t="s">
        <v>2271</v>
      </c>
      <c r="AA646" s="408"/>
      <c r="AB646" s="408">
        <v>1205210006</v>
      </c>
      <c r="AC646" s="408" t="s">
        <v>1329</v>
      </c>
      <c r="AD646" s="409" t="s">
        <v>686</v>
      </c>
      <c r="AE646" s="409" t="s">
        <v>2271</v>
      </c>
      <c r="AF646" s="408"/>
      <c r="AG646" s="408">
        <v>1205210040</v>
      </c>
      <c r="AH646" s="408"/>
      <c r="AI646" s="409"/>
      <c r="AJ646" s="409"/>
      <c r="AK646" s="408"/>
      <c r="AL646" s="408"/>
      <c r="AM646" s="408"/>
      <c r="AN646" s="408"/>
      <c r="AO646" s="409"/>
      <c r="AP646" s="408"/>
      <c r="AQ646" s="408"/>
      <c r="AR646" s="408"/>
      <c r="AS646" s="408"/>
      <c r="AT646" s="408"/>
      <c r="AU646" s="408"/>
      <c r="AV646" s="410"/>
    </row>
    <row r="647" spans="1:48" s="496" customFormat="1" hidden="1">
      <c r="A647" s="489" t="s">
        <v>2734</v>
      </c>
      <c r="B647" s="490" t="s">
        <v>997</v>
      </c>
      <c r="C647" s="490"/>
      <c r="D647" s="491"/>
      <c r="E647" s="491"/>
      <c r="F647" s="492">
        <v>2023</v>
      </c>
      <c r="G647" s="492">
        <v>2023</v>
      </c>
      <c r="H647" s="492">
        <v>2023</v>
      </c>
      <c r="I647" s="493"/>
      <c r="J647" s="494"/>
      <c r="K647" s="494"/>
      <c r="L647" s="494"/>
      <c r="M647" s="494"/>
      <c r="N647" s="493" t="s">
        <v>96</v>
      </c>
      <c r="O647" s="494" t="s">
        <v>686</v>
      </c>
      <c r="P647" s="494"/>
      <c r="Q647" s="494"/>
      <c r="R647" s="494"/>
      <c r="S647" s="493"/>
      <c r="T647" s="494"/>
      <c r="U647" s="494"/>
      <c r="V647" s="493"/>
      <c r="W647" s="493"/>
      <c r="X647" s="493"/>
      <c r="Y647" s="494"/>
      <c r="Z647" s="494"/>
      <c r="AA647" s="493"/>
      <c r="AB647" s="493"/>
      <c r="AC647" s="493"/>
      <c r="AD647" s="494"/>
      <c r="AE647" s="494"/>
      <c r="AF647" s="493"/>
      <c r="AG647" s="493"/>
      <c r="AH647" s="493"/>
      <c r="AI647" s="494"/>
      <c r="AJ647" s="494"/>
      <c r="AK647" s="493"/>
      <c r="AL647" s="493"/>
      <c r="AM647" s="493"/>
      <c r="AN647" s="493"/>
      <c r="AO647" s="494"/>
      <c r="AP647" s="493"/>
      <c r="AQ647" s="493"/>
      <c r="AR647" s="493"/>
      <c r="AS647" s="493"/>
      <c r="AT647" s="493"/>
      <c r="AU647" s="493"/>
      <c r="AV647" s="495"/>
    </row>
    <row r="648" spans="1:48" ht="30" hidden="1" customHeight="1">
      <c r="A648" s="421" t="s">
        <v>2735</v>
      </c>
      <c r="B648" s="422" t="s">
        <v>2736</v>
      </c>
      <c r="C648" s="422"/>
      <c r="D648" s="423" t="s">
        <v>313</v>
      </c>
      <c r="E648" s="423"/>
      <c r="F648" s="406">
        <v>2024</v>
      </c>
      <c r="G648" s="406">
        <v>2024</v>
      </c>
      <c r="H648" s="406">
        <v>2024</v>
      </c>
      <c r="I648" s="408"/>
      <c r="J648" s="409"/>
      <c r="K648" s="409"/>
      <c r="L648" s="409"/>
      <c r="M648" s="409"/>
      <c r="N648" s="408" t="s">
        <v>199</v>
      </c>
      <c r="O648" s="409" t="s">
        <v>686</v>
      </c>
      <c r="P648" s="409" t="s">
        <v>2271</v>
      </c>
      <c r="Q648" s="409">
        <v>6906149</v>
      </c>
      <c r="R648" s="536" t="s">
        <v>2737</v>
      </c>
      <c r="S648" s="408" t="s">
        <v>2738</v>
      </c>
      <c r="T648" s="409"/>
      <c r="U648" s="409"/>
      <c r="V648" s="408"/>
      <c r="W648" s="408"/>
      <c r="X648" s="408" t="s">
        <v>2739</v>
      </c>
      <c r="Y648" s="409"/>
      <c r="Z648" s="409"/>
      <c r="AA648" s="408"/>
      <c r="AB648" s="408"/>
      <c r="AC648" s="408" t="s">
        <v>2740</v>
      </c>
      <c r="AD648" s="409" t="s">
        <v>686</v>
      </c>
      <c r="AE648" s="409" t="s">
        <v>2271</v>
      </c>
      <c r="AF648" s="408"/>
      <c r="AG648" s="408">
        <v>1205222023</v>
      </c>
      <c r="AH648" s="408"/>
      <c r="AI648" s="409"/>
      <c r="AJ648" s="409"/>
      <c r="AK648" s="408"/>
      <c r="AL648" s="408"/>
      <c r="AM648" s="408"/>
      <c r="AN648" s="408"/>
      <c r="AO648" s="409"/>
      <c r="AP648" s="408"/>
      <c r="AQ648" s="408"/>
      <c r="AR648" s="408"/>
      <c r="AS648" s="408"/>
      <c r="AT648" s="408"/>
      <c r="AU648" s="408"/>
      <c r="AV648" s="410"/>
    </row>
    <row r="649" spans="1:48" ht="28.8" hidden="1">
      <c r="A649" s="421" t="s">
        <v>2741</v>
      </c>
      <c r="B649" s="422" t="s">
        <v>2742</v>
      </c>
      <c r="C649" s="422"/>
      <c r="D649" s="423" t="s">
        <v>277</v>
      </c>
      <c r="E649" s="423"/>
      <c r="F649" s="406">
        <v>2023</v>
      </c>
      <c r="G649" s="406">
        <v>2023</v>
      </c>
      <c r="H649" s="406">
        <v>2023</v>
      </c>
      <c r="I649" s="408" t="s">
        <v>2743</v>
      </c>
      <c r="J649" s="409"/>
      <c r="K649" s="409"/>
      <c r="L649" s="409"/>
      <c r="M649" s="409"/>
      <c r="N649" s="408" t="s">
        <v>2744</v>
      </c>
      <c r="O649" s="409"/>
      <c r="P649" s="409"/>
      <c r="Q649" s="409"/>
      <c r="R649" s="409"/>
      <c r="S649" s="408" t="s">
        <v>205</v>
      </c>
      <c r="T649" s="409" t="s">
        <v>686</v>
      </c>
      <c r="U649" s="409"/>
      <c r="V649" s="408"/>
      <c r="W649" s="408"/>
      <c r="X649" s="408" t="s">
        <v>2745</v>
      </c>
      <c r="Y649" s="409"/>
      <c r="Z649" s="409"/>
      <c r="AA649" s="408"/>
      <c r="AB649" s="408"/>
      <c r="AC649" s="408"/>
      <c r="AD649" s="409"/>
      <c r="AE649" s="409"/>
      <c r="AF649" s="408"/>
      <c r="AG649" s="408"/>
      <c r="AH649" s="408"/>
      <c r="AI649" s="409"/>
      <c r="AJ649" s="409"/>
      <c r="AK649" s="408"/>
      <c r="AL649" s="408"/>
      <c r="AM649" s="408"/>
      <c r="AN649" s="408"/>
      <c r="AO649" s="409"/>
      <c r="AP649" s="408"/>
      <c r="AQ649" s="408"/>
      <c r="AR649" s="408"/>
      <c r="AS649" s="408"/>
      <c r="AT649" s="408"/>
      <c r="AU649" s="408"/>
      <c r="AV649" s="410"/>
    </row>
    <row r="650" spans="1:48" ht="43.2" hidden="1">
      <c r="A650" s="421" t="s">
        <v>2746</v>
      </c>
      <c r="B650" s="422" t="s">
        <v>2747</v>
      </c>
      <c r="C650" s="422"/>
      <c r="D650" s="423" t="s">
        <v>286</v>
      </c>
      <c r="E650" s="423"/>
      <c r="F650" s="406">
        <v>2023</v>
      </c>
      <c r="G650" s="406">
        <v>2023</v>
      </c>
      <c r="H650" s="406">
        <v>2023</v>
      </c>
      <c r="I650" s="408" t="s">
        <v>2748</v>
      </c>
      <c r="J650" s="409"/>
      <c r="K650" s="409"/>
      <c r="L650" s="409"/>
      <c r="M650" s="409"/>
      <c r="N650" s="408" t="s">
        <v>2744</v>
      </c>
      <c r="O650" s="409"/>
      <c r="P650" s="409"/>
      <c r="Q650" s="409"/>
      <c r="R650" s="409"/>
      <c r="S650" s="408" t="s">
        <v>205</v>
      </c>
      <c r="T650" s="409" t="s">
        <v>686</v>
      </c>
      <c r="U650" s="409"/>
      <c r="V650" s="408"/>
      <c r="W650" s="408"/>
      <c r="X650" s="408"/>
      <c r="Y650" s="409"/>
      <c r="Z650" s="409"/>
      <c r="AA650" s="408"/>
      <c r="AB650" s="408"/>
      <c r="AC650" s="408"/>
      <c r="AD650" s="409"/>
      <c r="AE650" s="409"/>
      <c r="AF650" s="408"/>
      <c r="AG650" s="408"/>
      <c r="AH650" s="408"/>
      <c r="AI650" s="409"/>
      <c r="AJ650" s="409"/>
      <c r="AK650" s="408"/>
      <c r="AL650" s="408"/>
      <c r="AM650" s="408"/>
      <c r="AN650" s="408"/>
      <c r="AO650" s="409"/>
      <c r="AP650" s="408"/>
      <c r="AQ650" s="408"/>
      <c r="AR650" s="408"/>
      <c r="AS650" s="408"/>
      <c r="AT650" s="408"/>
      <c r="AU650" s="408"/>
      <c r="AV650" s="410"/>
    </row>
    <row r="651" spans="1:48" ht="43.2" hidden="1">
      <c r="A651" s="421" t="s">
        <v>2749</v>
      </c>
      <c r="B651" s="422" t="s">
        <v>2750</v>
      </c>
      <c r="C651" s="422"/>
      <c r="D651" s="423" t="s">
        <v>321</v>
      </c>
      <c r="E651" s="423" t="s">
        <v>1750</v>
      </c>
      <c r="F651" s="406">
        <v>2023</v>
      </c>
      <c r="G651" s="406">
        <v>2023</v>
      </c>
      <c r="H651" s="406">
        <v>2023</v>
      </c>
      <c r="I651" s="408"/>
      <c r="J651" s="409"/>
      <c r="K651" s="409"/>
      <c r="L651" s="409"/>
      <c r="M651" s="409"/>
      <c r="N651" s="408" t="s">
        <v>2751</v>
      </c>
      <c r="O651" s="409"/>
      <c r="P651" s="409"/>
      <c r="Q651" s="409"/>
      <c r="R651" s="409"/>
      <c r="S651" s="408" t="s">
        <v>2745</v>
      </c>
      <c r="T651" s="409"/>
      <c r="U651" s="409"/>
      <c r="V651" s="408"/>
      <c r="W651" s="408"/>
      <c r="X651" s="408" t="s">
        <v>205</v>
      </c>
      <c r="Y651" s="409" t="s">
        <v>686</v>
      </c>
      <c r="Z651" s="409"/>
      <c r="AA651" s="408"/>
      <c r="AB651" s="408"/>
      <c r="AC651" s="408" t="s">
        <v>2752</v>
      </c>
      <c r="AD651" s="409"/>
      <c r="AE651" s="409"/>
      <c r="AF651" s="408"/>
      <c r="AG651" s="408"/>
      <c r="AH651" s="408" t="s">
        <v>2753</v>
      </c>
      <c r="AI651" s="409"/>
      <c r="AJ651" s="409"/>
      <c r="AK651" s="408"/>
      <c r="AL651" s="408"/>
      <c r="AM651" s="408"/>
      <c r="AN651" s="408"/>
      <c r="AO651" s="409"/>
      <c r="AP651" s="408"/>
      <c r="AQ651" s="408"/>
      <c r="AR651" s="408"/>
      <c r="AS651" s="408"/>
      <c r="AT651" s="408"/>
      <c r="AU651" s="408"/>
      <c r="AV651" s="410"/>
    </row>
    <row r="652" spans="1:48" ht="28.8" hidden="1">
      <c r="A652" s="421" t="s">
        <v>2754</v>
      </c>
      <c r="B652" s="422" t="s">
        <v>2755</v>
      </c>
      <c r="C652" s="422"/>
      <c r="D652" s="423" t="s">
        <v>313</v>
      </c>
      <c r="E652" s="423"/>
      <c r="F652" s="406">
        <v>2023</v>
      </c>
      <c r="G652" s="406">
        <v>2023</v>
      </c>
      <c r="H652" s="406">
        <v>2023</v>
      </c>
      <c r="I652" s="408"/>
      <c r="J652" s="409"/>
      <c r="K652" s="409"/>
      <c r="L652" s="409"/>
      <c r="M652" s="409"/>
      <c r="N652" s="408" t="s">
        <v>2752</v>
      </c>
      <c r="O652" s="409"/>
      <c r="P652" s="409"/>
      <c r="Q652" s="409"/>
      <c r="R652" s="409"/>
      <c r="S652" s="408" t="s">
        <v>2751</v>
      </c>
      <c r="T652" s="409"/>
      <c r="U652" s="409"/>
      <c r="V652" s="408"/>
      <c r="W652" s="408"/>
      <c r="X652" s="408" t="s">
        <v>205</v>
      </c>
      <c r="Y652" s="409" t="s">
        <v>686</v>
      </c>
      <c r="Z652" s="409"/>
      <c r="AA652" s="408"/>
      <c r="AB652" s="408"/>
      <c r="AC652" s="408"/>
      <c r="AD652" s="409"/>
      <c r="AE652" s="409"/>
      <c r="AF652" s="408"/>
      <c r="AG652" s="408"/>
      <c r="AH652" s="408"/>
      <c r="AI652" s="409"/>
      <c r="AJ652" s="409"/>
      <c r="AK652" s="408"/>
      <c r="AL652" s="408"/>
      <c r="AM652" s="408"/>
      <c r="AN652" s="408"/>
      <c r="AO652" s="409"/>
      <c r="AP652" s="408"/>
      <c r="AQ652" s="408"/>
      <c r="AR652" s="408"/>
      <c r="AS652" s="408"/>
      <c r="AT652" s="408"/>
      <c r="AU652" s="408"/>
      <c r="AV652" s="410"/>
    </row>
    <row r="653" spans="1:48" ht="43.2" hidden="1">
      <c r="A653" s="421" t="s">
        <v>2756</v>
      </c>
      <c r="B653" s="422" t="s">
        <v>2757</v>
      </c>
      <c r="C653" s="422"/>
      <c r="D653" s="423" t="s">
        <v>528</v>
      </c>
      <c r="E653" s="423" t="s">
        <v>1122</v>
      </c>
      <c r="F653" s="406">
        <v>2024</v>
      </c>
      <c r="G653" s="406">
        <v>2024</v>
      </c>
      <c r="H653" s="406">
        <v>2024</v>
      </c>
      <c r="I653" s="408"/>
      <c r="J653" s="409"/>
      <c r="K653" s="409"/>
      <c r="L653" s="409"/>
      <c r="M653" s="409"/>
      <c r="N653" s="408" t="s">
        <v>743</v>
      </c>
      <c r="O653" s="409"/>
      <c r="P653" s="409"/>
      <c r="Q653" s="409"/>
      <c r="R653" s="409"/>
      <c r="S653" s="408" t="s">
        <v>34</v>
      </c>
      <c r="T653" s="409" t="s">
        <v>620</v>
      </c>
      <c r="U653" s="409" t="s">
        <v>2271</v>
      </c>
      <c r="V653" s="408">
        <v>6767777</v>
      </c>
      <c r="W653" s="537" t="s">
        <v>2673</v>
      </c>
      <c r="X653" s="408" t="s">
        <v>1436</v>
      </c>
      <c r="Y653" s="409"/>
      <c r="Z653" s="409"/>
      <c r="AA653" s="408"/>
      <c r="AB653" s="408"/>
      <c r="AC653" s="408" t="s">
        <v>2758</v>
      </c>
      <c r="AD653" s="409"/>
      <c r="AE653" s="409"/>
      <c r="AF653" s="408"/>
      <c r="AG653" s="408"/>
      <c r="AH653" s="408" t="s">
        <v>2759</v>
      </c>
      <c r="AI653" s="409"/>
      <c r="AJ653" s="409"/>
      <c r="AK653" s="408"/>
      <c r="AL653" s="408"/>
      <c r="AM653" s="408"/>
      <c r="AN653" s="408"/>
      <c r="AO653" s="409"/>
      <c r="AP653" s="408"/>
      <c r="AQ653" s="408"/>
      <c r="AR653" s="408"/>
      <c r="AS653" s="408"/>
      <c r="AT653" s="408"/>
      <c r="AU653" s="408"/>
      <c r="AV653" s="410"/>
    </row>
    <row r="654" spans="1:48" ht="43.2" hidden="1">
      <c r="A654" s="421" t="s">
        <v>2760</v>
      </c>
      <c r="B654" s="422" t="s">
        <v>2761</v>
      </c>
      <c r="C654" s="422"/>
      <c r="D654" s="423" t="s">
        <v>568</v>
      </c>
      <c r="E654" s="423" t="s">
        <v>1122</v>
      </c>
      <c r="F654" s="406">
        <v>2024</v>
      </c>
      <c r="G654" s="406">
        <v>2024</v>
      </c>
      <c r="H654" s="406">
        <v>2024</v>
      </c>
      <c r="I654" s="408"/>
      <c r="J654" s="409"/>
      <c r="K654" s="409"/>
      <c r="L654" s="409"/>
      <c r="M654" s="409"/>
      <c r="N654" s="408" t="s">
        <v>67</v>
      </c>
      <c r="O654" s="374" t="s">
        <v>353</v>
      </c>
      <c r="P654" s="409" t="s">
        <v>2271</v>
      </c>
      <c r="Q654" s="374">
        <v>6099359</v>
      </c>
      <c r="R654" s="539" t="s">
        <v>977</v>
      </c>
      <c r="S654" s="408"/>
      <c r="T654" s="409"/>
      <c r="U654" s="409"/>
      <c r="V654" s="408"/>
      <c r="W654" s="408"/>
      <c r="X654" s="408"/>
      <c r="Y654" s="409"/>
      <c r="Z654" s="409"/>
      <c r="AA654" s="408"/>
      <c r="AB654" s="408"/>
      <c r="AC654" s="408"/>
      <c r="AD654" s="409"/>
      <c r="AE654" s="409"/>
      <c r="AF654" s="408"/>
      <c r="AG654" s="408"/>
      <c r="AH654" s="408"/>
      <c r="AI654" s="409"/>
      <c r="AJ654" s="409"/>
      <c r="AK654" s="408"/>
      <c r="AL654" s="408"/>
      <c r="AM654" s="408"/>
      <c r="AN654" s="408"/>
      <c r="AO654" s="409"/>
      <c r="AP654" s="408"/>
      <c r="AQ654" s="408"/>
      <c r="AR654" s="408"/>
      <c r="AS654" s="408"/>
      <c r="AT654" s="408"/>
      <c r="AU654" s="408"/>
      <c r="AV654" s="410"/>
    </row>
    <row r="655" spans="1:48" ht="28.8" hidden="1">
      <c r="A655" s="421" t="s">
        <v>2762</v>
      </c>
      <c r="B655" s="422" t="s">
        <v>2763</v>
      </c>
      <c r="C655" s="422"/>
      <c r="D655" s="423" t="s">
        <v>416</v>
      </c>
      <c r="E655" s="423" t="s">
        <v>1122</v>
      </c>
      <c r="F655" s="406">
        <v>2024</v>
      </c>
      <c r="G655" s="406">
        <v>2024</v>
      </c>
      <c r="H655" s="406">
        <v>2024</v>
      </c>
      <c r="I655" s="408"/>
      <c r="J655" s="409"/>
      <c r="K655" s="409"/>
      <c r="L655" s="409"/>
      <c r="M655" s="409"/>
      <c r="N655" s="408" t="s">
        <v>134</v>
      </c>
      <c r="O655" s="409" t="s">
        <v>449</v>
      </c>
      <c r="P655" s="409" t="s">
        <v>2271</v>
      </c>
      <c r="Q655" s="409" t="s">
        <v>2764</v>
      </c>
      <c r="R655" s="536" t="s">
        <v>1723</v>
      </c>
      <c r="S655" s="408" t="s">
        <v>67</v>
      </c>
      <c r="T655" s="409" t="s">
        <v>353</v>
      </c>
      <c r="U655" s="409" t="s">
        <v>2271</v>
      </c>
      <c r="V655" s="374">
        <v>6099359</v>
      </c>
      <c r="W655" s="539" t="s">
        <v>977</v>
      </c>
      <c r="X655" s="408"/>
      <c r="Y655" s="409"/>
      <c r="Z655" s="409"/>
      <c r="AA655" s="408"/>
      <c r="AB655" s="408"/>
      <c r="AC655" s="408"/>
      <c r="AD655" s="409"/>
      <c r="AE655" s="409"/>
      <c r="AF655" s="408"/>
      <c r="AG655" s="408"/>
      <c r="AH655" s="408"/>
      <c r="AI655" s="409"/>
      <c r="AJ655" s="409"/>
      <c r="AK655" s="408"/>
      <c r="AL655" s="408"/>
      <c r="AM655" s="408"/>
      <c r="AN655" s="408"/>
      <c r="AO655" s="409"/>
      <c r="AP655" s="408"/>
      <c r="AQ655" s="408"/>
      <c r="AR655" s="408"/>
      <c r="AS655" s="408"/>
      <c r="AT655" s="408"/>
      <c r="AU655" s="408"/>
      <c r="AV655" s="410"/>
    </row>
    <row r="656" spans="1:48" ht="28.8" hidden="1">
      <c r="A656" s="421" t="s">
        <v>2765</v>
      </c>
      <c r="B656" s="422" t="s">
        <v>946</v>
      </c>
      <c r="C656" s="422"/>
      <c r="D656" s="423" t="s">
        <v>502</v>
      </c>
      <c r="E656" s="423" t="s">
        <v>1122</v>
      </c>
      <c r="F656" s="406">
        <v>2024</v>
      </c>
      <c r="G656" s="406">
        <v>2024</v>
      </c>
      <c r="H656" s="406">
        <v>2024</v>
      </c>
      <c r="I656" s="408" t="s">
        <v>2766</v>
      </c>
      <c r="J656" s="409"/>
      <c r="K656" s="409"/>
      <c r="L656" s="409"/>
      <c r="M656" s="409"/>
      <c r="N656" s="408" t="s">
        <v>185</v>
      </c>
      <c r="O656" s="409" t="s">
        <v>353</v>
      </c>
      <c r="P656" s="409" t="s">
        <v>2271</v>
      </c>
      <c r="Q656" s="408" t="s">
        <v>2697</v>
      </c>
      <c r="R656" s="537" t="s">
        <v>2698</v>
      </c>
      <c r="S656" s="408" t="s">
        <v>2767</v>
      </c>
      <c r="T656" s="409"/>
      <c r="U656" s="409"/>
      <c r="V656" s="408"/>
      <c r="W656" s="408"/>
      <c r="X656" s="375"/>
      <c r="Y656" s="409"/>
      <c r="Z656" s="409"/>
      <c r="AA656" s="408"/>
      <c r="AB656" s="408"/>
      <c r="AC656" s="408"/>
      <c r="AD656" s="409"/>
      <c r="AE656" s="409"/>
      <c r="AF656" s="408"/>
      <c r="AG656" s="408"/>
      <c r="AH656" s="408"/>
      <c r="AI656" s="409"/>
      <c r="AJ656" s="409"/>
      <c r="AK656" s="408"/>
      <c r="AL656" s="408"/>
      <c r="AM656" s="408"/>
      <c r="AN656" s="408"/>
      <c r="AO656" s="409"/>
      <c r="AP656" s="408"/>
      <c r="AQ656" s="408"/>
      <c r="AR656" s="408"/>
      <c r="AS656" s="408"/>
      <c r="AT656" s="408"/>
      <c r="AU656" s="408"/>
      <c r="AV656" s="410"/>
    </row>
    <row r="657" spans="1:48" ht="28.8" hidden="1">
      <c r="A657" s="421" t="s">
        <v>2768</v>
      </c>
      <c r="B657" s="422" t="s">
        <v>2769</v>
      </c>
      <c r="C657" s="422"/>
      <c r="D657" s="423" t="s">
        <v>568</v>
      </c>
      <c r="E657" s="423" t="s">
        <v>1122</v>
      </c>
      <c r="F657" s="406">
        <v>2024</v>
      </c>
      <c r="G657" s="406">
        <v>2024</v>
      </c>
      <c r="H657" s="406">
        <v>2024</v>
      </c>
      <c r="I657" s="408" t="s">
        <v>2770</v>
      </c>
      <c r="J657" s="409"/>
      <c r="K657" s="409"/>
      <c r="L657" s="409"/>
      <c r="M657" s="409"/>
      <c r="N657" s="408" t="s">
        <v>2771</v>
      </c>
      <c r="O657" s="409"/>
      <c r="P657" s="409"/>
      <c r="Q657" s="409"/>
      <c r="R657" s="409"/>
      <c r="S657" s="408" t="s">
        <v>2772</v>
      </c>
      <c r="T657" s="409"/>
      <c r="U657" s="409"/>
      <c r="V657" s="408"/>
      <c r="W657" s="408"/>
      <c r="X657" s="408" t="s">
        <v>2773</v>
      </c>
      <c r="Y657" s="409"/>
      <c r="Z657" s="409"/>
      <c r="AA657" s="408"/>
      <c r="AB657" s="408"/>
      <c r="AC657" s="408" t="s">
        <v>2774</v>
      </c>
      <c r="AD657" s="409"/>
      <c r="AE657" s="409"/>
      <c r="AF657" s="408"/>
      <c r="AG657" s="408"/>
      <c r="AH657" s="408" t="s">
        <v>185</v>
      </c>
      <c r="AI657" s="409" t="s">
        <v>353</v>
      </c>
      <c r="AJ657" s="409" t="s">
        <v>2271</v>
      </c>
      <c r="AK657" s="408" t="s">
        <v>2697</v>
      </c>
      <c r="AL657" s="537" t="s">
        <v>2698</v>
      </c>
      <c r="AM657" s="408" t="s">
        <v>2775</v>
      </c>
      <c r="AN657" s="408"/>
      <c r="AO657" s="409"/>
      <c r="AP657" s="408"/>
      <c r="AQ657" s="408"/>
      <c r="AR657" s="408" t="s">
        <v>2776</v>
      </c>
      <c r="AS657" s="408"/>
      <c r="AT657" s="408"/>
      <c r="AU657" s="408"/>
      <c r="AV657" s="410"/>
    </row>
    <row r="658" spans="1:48" ht="28.8" hidden="1">
      <c r="A658" s="421" t="s">
        <v>2777</v>
      </c>
      <c r="B658" s="422" t="s">
        <v>2778</v>
      </c>
      <c r="C658" s="422"/>
      <c r="D658" s="423" t="s">
        <v>568</v>
      </c>
      <c r="E658" s="423" t="s">
        <v>1122</v>
      </c>
      <c r="F658" s="406">
        <v>2024</v>
      </c>
      <c r="G658" s="406">
        <v>2024</v>
      </c>
      <c r="H658" s="406">
        <v>2024</v>
      </c>
      <c r="I658" s="408" t="s">
        <v>2766</v>
      </c>
      <c r="J658" s="409"/>
      <c r="K658" s="409"/>
      <c r="L658" s="409"/>
      <c r="M658" s="409"/>
      <c r="N658" s="408" t="s">
        <v>185</v>
      </c>
      <c r="O658" s="409" t="s">
        <v>353</v>
      </c>
      <c r="P658" s="409" t="s">
        <v>2271</v>
      </c>
      <c r="Q658" s="408" t="s">
        <v>2697</v>
      </c>
      <c r="R658" s="537" t="s">
        <v>2698</v>
      </c>
      <c r="S658" s="408" t="s">
        <v>2767</v>
      </c>
      <c r="T658" s="409"/>
      <c r="U658" s="409"/>
      <c r="V658" s="408"/>
      <c r="W658" s="408"/>
      <c r="X658" s="408"/>
      <c r="Y658" s="409"/>
      <c r="Z658" s="409"/>
      <c r="AA658" s="408"/>
      <c r="AB658" s="408"/>
      <c r="AC658" s="408"/>
      <c r="AD658" s="409"/>
      <c r="AE658" s="409"/>
      <c r="AF658" s="408"/>
      <c r="AG658" s="408"/>
      <c r="AH658" s="408"/>
      <c r="AI658" s="409"/>
      <c r="AJ658" s="409"/>
      <c r="AK658" s="408"/>
      <c r="AL658" s="408"/>
      <c r="AM658" s="408"/>
      <c r="AN658" s="408"/>
      <c r="AO658" s="409"/>
      <c r="AP658" s="408"/>
      <c r="AQ658" s="408"/>
      <c r="AR658" s="408"/>
      <c r="AS658" s="408"/>
      <c r="AT658" s="408"/>
      <c r="AU658" s="408"/>
      <c r="AV658" s="410"/>
    </row>
    <row r="659" spans="1:48" ht="28.8" hidden="1">
      <c r="A659" s="421" t="s">
        <v>2779</v>
      </c>
      <c r="B659" s="422" t="s">
        <v>2780</v>
      </c>
      <c r="C659" s="422"/>
      <c r="D659" s="423" t="s">
        <v>502</v>
      </c>
      <c r="E659" s="423" t="s">
        <v>1122</v>
      </c>
      <c r="F659" s="406">
        <v>2024</v>
      </c>
      <c r="G659" s="406">
        <v>2024</v>
      </c>
      <c r="H659" s="406">
        <v>2024</v>
      </c>
      <c r="I659" s="408" t="s">
        <v>2781</v>
      </c>
      <c r="J659" s="409"/>
      <c r="K659" s="409"/>
      <c r="L659" s="409"/>
      <c r="M659" s="409"/>
      <c r="N659" s="408" t="s">
        <v>2064</v>
      </c>
      <c r="O659" s="409"/>
      <c r="P659" s="409"/>
      <c r="Q659" s="409"/>
      <c r="R659" s="409"/>
      <c r="S659" s="408" t="s">
        <v>2782</v>
      </c>
      <c r="T659" s="409"/>
      <c r="U659" s="409"/>
      <c r="V659" s="408"/>
      <c r="W659" s="408"/>
      <c r="X659" s="408" t="s">
        <v>193</v>
      </c>
      <c r="Y659" s="409" t="s">
        <v>353</v>
      </c>
      <c r="Z659" s="409" t="s">
        <v>2271</v>
      </c>
      <c r="AA659" s="409" t="s">
        <v>2695</v>
      </c>
      <c r="AB659" s="536" t="s">
        <v>2696</v>
      </c>
      <c r="AC659" s="408"/>
      <c r="AD659" s="409"/>
      <c r="AE659" s="409"/>
      <c r="AF659" s="408"/>
      <c r="AG659" s="408"/>
      <c r="AH659" s="408"/>
      <c r="AI659" s="409"/>
      <c r="AJ659" s="409"/>
      <c r="AK659" s="408"/>
      <c r="AL659" s="408"/>
      <c r="AM659" s="408"/>
      <c r="AN659" s="408"/>
      <c r="AO659" s="409"/>
      <c r="AP659" s="408"/>
      <c r="AQ659" s="408"/>
      <c r="AR659" s="408"/>
      <c r="AS659" s="408"/>
      <c r="AT659" s="408"/>
      <c r="AU659" s="408"/>
      <c r="AV659" s="410"/>
    </row>
    <row r="660" spans="1:48" ht="28.8" hidden="1">
      <c r="A660" s="424" t="s">
        <v>2783</v>
      </c>
      <c r="B660" s="521" t="s">
        <v>2784</v>
      </c>
      <c r="C660" s="521"/>
      <c r="D660" s="423" t="s">
        <v>528</v>
      </c>
      <c r="E660" s="423" t="s">
        <v>1122</v>
      </c>
      <c r="F660" s="406">
        <v>2024</v>
      </c>
      <c r="G660" s="406">
        <v>2024</v>
      </c>
      <c r="H660" s="435">
        <v>2024</v>
      </c>
      <c r="I660" s="408"/>
      <c r="J660" s="409"/>
      <c r="K660" s="409"/>
      <c r="L660" s="409"/>
      <c r="M660" s="409"/>
      <c r="N660" s="408"/>
      <c r="O660" s="409"/>
      <c r="P660" s="409"/>
      <c r="Q660" s="409"/>
      <c r="R660" s="409"/>
      <c r="S660" s="408"/>
      <c r="T660" s="409"/>
      <c r="U660" s="409"/>
      <c r="V660" s="408"/>
      <c r="W660" s="408"/>
      <c r="X660" s="408"/>
      <c r="Y660" s="409"/>
      <c r="Z660" s="409"/>
      <c r="AA660" s="408"/>
      <c r="AB660" s="408"/>
      <c r="AC660" s="408"/>
      <c r="AD660" s="409"/>
      <c r="AE660" s="409"/>
      <c r="AF660" s="408"/>
      <c r="AG660" s="408"/>
      <c r="AH660" s="408"/>
      <c r="AI660" s="409"/>
      <c r="AJ660" s="409"/>
      <c r="AK660" s="408"/>
      <c r="AL660" s="408"/>
      <c r="AM660" s="408"/>
      <c r="AN660" s="408"/>
      <c r="AO660" s="409"/>
      <c r="AP660" s="408"/>
      <c r="AQ660" s="408"/>
      <c r="AR660" s="408"/>
      <c r="AS660" s="408"/>
      <c r="AT660" s="408"/>
      <c r="AU660" s="408"/>
      <c r="AV660" s="410"/>
    </row>
    <row r="661" spans="1:48" ht="28.8" hidden="1">
      <c r="A661" s="421" t="s">
        <v>2785</v>
      </c>
      <c r="B661" s="422"/>
      <c r="C661" s="422"/>
      <c r="D661" s="423" t="s">
        <v>321</v>
      </c>
      <c r="E661" s="423"/>
      <c r="F661" s="406"/>
      <c r="G661" s="406"/>
      <c r="H661" s="435"/>
      <c r="I661" s="375"/>
      <c r="J661" s="409"/>
      <c r="K661" s="409"/>
      <c r="L661" s="409"/>
      <c r="M661" s="409"/>
      <c r="N661" s="408"/>
      <c r="O661" s="409"/>
      <c r="P661" s="409"/>
      <c r="Q661" s="409"/>
      <c r="R661" s="409"/>
      <c r="S661" s="408"/>
      <c r="T661" s="409"/>
      <c r="U661" s="409"/>
      <c r="V661" s="408"/>
      <c r="W661" s="408"/>
      <c r="X661" s="408"/>
      <c r="Y661" s="409"/>
      <c r="Z661" s="409"/>
      <c r="AA661" s="408"/>
      <c r="AB661" s="408"/>
      <c r="AC661" s="408"/>
      <c r="AD661" s="409"/>
      <c r="AE661" s="409"/>
      <c r="AF661" s="408"/>
      <c r="AG661" s="408"/>
      <c r="AH661" s="408"/>
      <c r="AI661" s="409"/>
      <c r="AJ661" s="409"/>
      <c r="AK661" s="408"/>
      <c r="AL661" s="408"/>
      <c r="AM661" s="408"/>
      <c r="AN661" s="408"/>
      <c r="AO661" s="409"/>
      <c r="AP661" s="408"/>
      <c r="AQ661" s="408"/>
      <c r="AR661" s="408"/>
      <c r="AS661" s="408"/>
      <c r="AT661" s="408"/>
      <c r="AU661" s="408"/>
      <c r="AV661" s="410"/>
    </row>
    <row r="662" spans="1:48" ht="43.2" hidden="1">
      <c r="A662" s="421" t="s">
        <v>2786</v>
      </c>
      <c r="B662" s="422"/>
      <c r="C662" s="422"/>
      <c r="D662" s="423" t="s">
        <v>302</v>
      </c>
      <c r="E662" s="423"/>
      <c r="F662" s="406"/>
      <c r="G662" s="406"/>
      <c r="H662" s="435"/>
      <c r="I662" s="408"/>
      <c r="J662" s="409"/>
      <c r="K662" s="409"/>
      <c r="L662" s="409"/>
      <c r="M662" s="409"/>
      <c r="N662" s="408"/>
      <c r="O662" s="409"/>
      <c r="P662" s="409"/>
      <c r="Q662" s="409"/>
      <c r="R662" s="409"/>
      <c r="S662" s="408"/>
      <c r="T662" s="409"/>
      <c r="U662" s="409"/>
      <c r="V662" s="408"/>
      <c r="W662" s="408"/>
      <c r="X662" s="408"/>
      <c r="Y662" s="409"/>
      <c r="Z662" s="409"/>
      <c r="AA662" s="408"/>
      <c r="AB662" s="408"/>
      <c r="AC662" s="408"/>
      <c r="AD662" s="409"/>
      <c r="AE662" s="409"/>
      <c r="AF662" s="408"/>
      <c r="AG662" s="408"/>
      <c r="AH662" s="408"/>
      <c r="AI662" s="409"/>
      <c r="AJ662" s="409"/>
      <c r="AK662" s="408"/>
      <c r="AL662" s="408"/>
      <c r="AM662" s="408"/>
      <c r="AN662" s="408"/>
      <c r="AO662" s="409"/>
      <c r="AP662" s="408"/>
      <c r="AQ662" s="408"/>
      <c r="AR662" s="408"/>
      <c r="AS662" s="408"/>
      <c r="AT662" s="408"/>
      <c r="AU662" s="408"/>
      <c r="AV662" s="410"/>
    </row>
    <row r="663" spans="1:48" ht="43.2" hidden="1">
      <c r="A663" s="424" t="s">
        <v>2787</v>
      </c>
      <c r="B663" s="422" t="s">
        <v>2788</v>
      </c>
      <c r="C663" s="422"/>
      <c r="D663" s="423" t="s">
        <v>528</v>
      </c>
      <c r="E663" s="423" t="s">
        <v>1122</v>
      </c>
      <c r="F663" s="406">
        <v>2024</v>
      </c>
      <c r="G663" s="406">
        <v>2024</v>
      </c>
      <c r="H663" s="435">
        <v>2024</v>
      </c>
      <c r="I663" s="408"/>
      <c r="J663" s="409"/>
      <c r="K663" s="409"/>
      <c r="L663" s="409"/>
      <c r="M663" s="409"/>
      <c r="N663" s="408" t="s">
        <v>21</v>
      </c>
      <c r="O663" s="409" t="s">
        <v>309</v>
      </c>
      <c r="P663" s="409" t="s">
        <v>2271</v>
      </c>
      <c r="Q663" s="409">
        <v>6680685</v>
      </c>
      <c r="R663" s="536" t="s">
        <v>944</v>
      </c>
      <c r="S663" s="408" t="s">
        <v>1603</v>
      </c>
      <c r="T663" s="409"/>
      <c r="U663" s="409"/>
      <c r="V663" s="408"/>
      <c r="W663" s="408"/>
      <c r="X663" s="408" t="s">
        <v>479</v>
      </c>
      <c r="Y663" s="409"/>
      <c r="Z663" s="409"/>
      <c r="AA663" s="408"/>
      <c r="AB663" s="408"/>
      <c r="AC663" s="408" t="s">
        <v>140</v>
      </c>
      <c r="AD663" s="409"/>
      <c r="AE663" s="409"/>
      <c r="AF663" s="408"/>
      <c r="AG663" s="408"/>
      <c r="AH663" s="408" t="s">
        <v>2067</v>
      </c>
      <c r="AI663" s="409"/>
      <c r="AJ663" s="409"/>
      <c r="AK663" s="408"/>
      <c r="AL663" s="408"/>
      <c r="AM663" s="408" t="s">
        <v>484</v>
      </c>
      <c r="AN663" s="408"/>
      <c r="AO663" s="409"/>
      <c r="AP663" s="408"/>
      <c r="AQ663" s="408"/>
      <c r="AR663" s="408"/>
      <c r="AS663" s="408"/>
      <c r="AT663" s="408"/>
      <c r="AU663" s="408"/>
      <c r="AV663" s="410"/>
    </row>
    <row r="664" spans="1:48" ht="28.8" hidden="1">
      <c r="A664" s="421" t="s">
        <v>2789</v>
      </c>
      <c r="B664" s="422"/>
      <c r="C664" s="422"/>
      <c r="D664" s="423" t="s">
        <v>321</v>
      </c>
      <c r="E664" s="423"/>
      <c r="F664" s="406"/>
      <c r="G664" s="406"/>
      <c r="H664" s="435"/>
      <c r="I664" s="408"/>
      <c r="J664" s="409"/>
      <c r="K664" s="409"/>
      <c r="L664" s="409"/>
      <c r="M664" s="409"/>
      <c r="N664" s="408"/>
      <c r="O664" s="409"/>
      <c r="P664" s="409"/>
      <c r="Q664" s="409"/>
      <c r="R664" s="409"/>
      <c r="S664" s="408"/>
      <c r="T664" s="409"/>
      <c r="U664" s="409"/>
      <c r="V664" s="408"/>
      <c r="W664" s="408"/>
      <c r="X664" s="408"/>
      <c r="Y664" s="409"/>
      <c r="Z664" s="409"/>
      <c r="AA664" s="408"/>
      <c r="AB664" s="408"/>
      <c r="AC664" s="408"/>
      <c r="AD664" s="409"/>
      <c r="AE664" s="409"/>
      <c r="AF664" s="408"/>
      <c r="AG664" s="408"/>
      <c r="AH664" s="408"/>
      <c r="AI664" s="409"/>
      <c r="AJ664" s="409"/>
      <c r="AK664" s="408"/>
      <c r="AL664" s="408"/>
      <c r="AM664" s="408"/>
      <c r="AN664" s="408"/>
      <c r="AO664" s="409"/>
      <c r="AP664" s="408"/>
      <c r="AQ664" s="408"/>
      <c r="AR664" s="408"/>
      <c r="AS664" s="408"/>
      <c r="AT664" s="408"/>
      <c r="AU664" s="408"/>
      <c r="AV664" s="410"/>
    </row>
    <row r="665" spans="1:48" ht="43.2" hidden="1">
      <c r="A665" s="421" t="s">
        <v>2555</v>
      </c>
      <c r="B665" s="422"/>
      <c r="C665" s="422"/>
      <c r="D665" s="423" t="s">
        <v>374</v>
      </c>
      <c r="E665" s="423"/>
      <c r="F665" s="406"/>
      <c r="G665" s="406"/>
      <c r="H665" s="435"/>
      <c r="I665" s="408"/>
      <c r="J665" s="409"/>
      <c r="K665" s="409"/>
      <c r="L665" s="409"/>
      <c r="M665" s="409"/>
      <c r="N665" s="408"/>
      <c r="O665" s="409"/>
      <c r="P665" s="409"/>
      <c r="Q665" s="409"/>
      <c r="R665" s="409"/>
      <c r="S665" s="408" t="s">
        <v>203</v>
      </c>
      <c r="T665" s="409"/>
      <c r="U665" s="409"/>
      <c r="V665" s="408"/>
      <c r="W665" s="408"/>
      <c r="X665" s="408"/>
      <c r="Y665" s="409"/>
      <c r="Z665" s="409"/>
      <c r="AA665" s="408"/>
      <c r="AB665" s="408"/>
      <c r="AC665" s="408"/>
      <c r="AD665" s="409"/>
      <c r="AE665" s="409"/>
      <c r="AF665" s="408"/>
      <c r="AG665" s="408"/>
      <c r="AH665" s="408"/>
      <c r="AI665" s="409"/>
      <c r="AJ665" s="409"/>
      <c r="AK665" s="408"/>
      <c r="AL665" s="408"/>
      <c r="AM665" s="408"/>
      <c r="AN665" s="408"/>
      <c r="AO665" s="409"/>
      <c r="AP665" s="408"/>
      <c r="AQ665" s="408"/>
      <c r="AR665" s="408"/>
      <c r="AS665" s="408"/>
      <c r="AT665" s="408"/>
      <c r="AU665" s="408"/>
      <c r="AV665" s="410"/>
    </row>
    <row r="666" spans="1:48" ht="43.2" hidden="1">
      <c r="A666" s="2" t="s">
        <v>2790</v>
      </c>
      <c r="B666" s="2" t="s">
        <v>2791</v>
      </c>
      <c r="D666" s="5" t="s">
        <v>1310</v>
      </c>
      <c r="F666" s="406">
        <v>2024</v>
      </c>
      <c r="G666" s="406">
        <v>2024</v>
      </c>
      <c r="H666" s="435">
        <v>2024</v>
      </c>
      <c r="I666" s="2" t="s">
        <v>2792</v>
      </c>
      <c r="N666" s="2" t="s">
        <v>2793</v>
      </c>
      <c r="S666" s="2" t="s">
        <v>2794</v>
      </c>
      <c r="X666" s="2" t="s">
        <v>2795</v>
      </c>
      <c r="AC666" s="2" t="s">
        <v>2796</v>
      </c>
      <c r="AH666" s="2" t="s">
        <v>2797</v>
      </c>
      <c r="AM666" s="2" t="s">
        <v>201</v>
      </c>
      <c r="AP666" s="2" t="s">
        <v>2798</v>
      </c>
      <c r="AQ666" s="543" t="s">
        <v>2799</v>
      </c>
    </row>
    <row r="667" spans="1:48" ht="28.8" hidden="1">
      <c r="A667" s="489" t="s">
        <v>2800</v>
      </c>
      <c r="B667" s="490"/>
      <c r="C667" s="490"/>
      <c r="D667" s="491"/>
      <c r="E667" s="491"/>
      <c r="F667" s="492"/>
      <c r="G667" s="492"/>
      <c r="H667" s="522"/>
      <c r="I667" s="493"/>
      <c r="J667" s="494"/>
      <c r="K667" s="494"/>
      <c r="L667" s="494"/>
      <c r="M667" s="494"/>
      <c r="N667" s="493"/>
      <c r="O667" s="494"/>
      <c r="P667" s="494"/>
      <c r="Q667" s="494"/>
      <c r="R667" s="494"/>
      <c r="S667" s="493"/>
      <c r="T667" s="494"/>
      <c r="U667" s="494"/>
      <c r="V667" s="493"/>
      <c r="W667" s="493"/>
      <c r="X667" s="493"/>
      <c r="Y667" s="494"/>
      <c r="Z667" s="494"/>
      <c r="AA667" s="493"/>
      <c r="AB667" s="493"/>
      <c r="AC667" s="493"/>
      <c r="AD667" s="494"/>
      <c r="AE667" s="494"/>
      <c r="AF667" s="493"/>
      <c r="AG667" s="493"/>
      <c r="AH667" s="493"/>
      <c r="AI667" s="494"/>
      <c r="AJ667" s="494"/>
      <c r="AK667" s="493"/>
      <c r="AL667" s="493"/>
      <c r="AM667" s="493"/>
      <c r="AN667" s="493"/>
      <c r="AO667" s="494"/>
      <c r="AP667" s="493"/>
      <c r="AQ667" s="493"/>
      <c r="AR667" s="493"/>
      <c r="AS667" s="493"/>
      <c r="AT667" s="493"/>
      <c r="AU667" s="493"/>
      <c r="AV667" s="495"/>
    </row>
    <row r="668" spans="1:48" ht="28.8" hidden="1">
      <c r="A668" s="421" t="s">
        <v>2735</v>
      </c>
      <c r="B668" s="422" t="s">
        <v>2736</v>
      </c>
      <c r="C668" s="422"/>
      <c r="D668" s="423" t="s">
        <v>313</v>
      </c>
      <c r="E668" s="423"/>
      <c r="F668" s="406">
        <v>2024</v>
      </c>
      <c r="G668" s="406">
        <v>2024</v>
      </c>
      <c r="H668" s="435">
        <v>2024</v>
      </c>
      <c r="I668" s="408"/>
      <c r="J668" s="409"/>
      <c r="K668" s="409"/>
      <c r="L668" s="409"/>
      <c r="M668" s="409"/>
      <c r="N668" s="408" t="s">
        <v>199</v>
      </c>
      <c r="O668" s="409" t="s">
        <v>686</v>
      </c>
      <c r="P668" s="409" t="s">
        <v>2271</v>
      </c>
      <c r="Q668" s="409">
        <v>6906149</v>
      </c>
      <c r="R668" s="536" t="s">
        <v>2737</v>
      </c>
      <c r="S668" s="408" t="s">
        <v>2738</v>
      </c>
      <c r="T668" s="409"/>
      <c r="U668" s="409"/>
      <c r="V668" s="408"/>
      <c r="W668" s="408"/>
      <c r="X668" s="408" t="s">
        <v>2739</v>
      </c>
      <c r="Y668" s="409"/>
      <c r="Z668" s="409"/>
      <c r="AA668" s="408"/>
      <c r="AB668" s="408"/>
      <c r="AC668" s="408" t="s">
        <v>2740</v>
      </c>
      <c r="AD668" s="409" t="s">
        <v>686</v>
      </c>
      <c r="AE668" s="409" t="s">
        <v>2271</v>
      </c>
      <c r="AF668" s="408"/>
      <c r="AG668" s="408">
        <v>1205222023</v>
      </c>
      <c r="AH668" s="408"/>
      <c r="AI668" s="409"/>
      <c r="AJ668" s="409"/>
      <c r="AK668" s="408"/>
      <c r="AL668" s="408"/>
      <c r="AM668" s="408"/>
      <c r="AN668" s="408"/>
      <c r="AO668" s="409"/>
      <c r="AP668" s="408"/>
      <c r="AQ668" s="408"/>
      <c r="AR668" s="408"/>
      <c r="AS668" s="408"/>
      <c r="AT668" s="408"/>
      <c r="AU668" s="408"/>
      <c r="AV668" s="410"/>
    </row>
    <row r="669" spans="1:48" ht="43.2" hidden="1">
      <c r="A669" s="421" t="s">
        <v>2801</v>
      </c>
      <c r="B669" s="422" t="s">
        <v>2802</v>
      </c>
      <c r="C669" s="422"/>
      <c r="D669" s="423" t="s">
        <v>313</v>
      </c>
      <c r="E669" s="423" t="s">
        <v>1750</v>
      </c>
      <c r="F669" s="406">
        <v>2024</v>
      </c>
      <c r="G669" s="406">
        <v>2024</v>
      </c>
      <c r="H669" s="435">
        <v>2024</v>
      </c>
      <c r="I669" s="408" t="s">
        <v>193</v>
      </c>
      <c r="J669" s="409" t="s">
        <v>2695</v>
      </c>
      <c r="K669" s="536" t="s">
        <v>2696</v>
      </c>
      <c r="L669" s="409" t="s">
        <v>353</v>
      </c>
      <c r="M669" s="409" t="s">
        <v>2271</v>
      </c>
      <c r="N669" s="408" t="s">
        <v>193</v>
      </c>
      <c r="O669" s="409" t="s">
        <v>353</v>
      </c>
      <c r="P669" s="409" t="s">
        <v>2271</v>
      </c>
      <c r="Q669" s="409" t="s">
        <v>2695</v>
      </c>
      <c r="R669" s="536" t="s">
        <v>2696</v>
      </c>
      <c r="S669" s="408" t="s">
        <v>200</v>
      </c>
      <c r="T669" s="409" t="s">
        <v>620</v>
      </c>
      <c r="U669" s="409" t="s">
        <v>2271</v>
      </c>
      <c r="V669" s="408">
        <v>6854678</v>
      </c>
      <c r="W669" s="537" t="s">
        <v>2700</v>
      </c>
      <c r="X669" s="408" t="s">
        <v>195</v>
      </c>
      <c r="Y669" s="409" t="s">
        <v>162</v>
      </c>
      <c r="Z669" s="409" t="s">
        <v>2271</v>
      </c>
      <c r="AA669" s="408">
        <v>6868847</v>
      </c>
      <c r="AB669" s="537" t="s">
        <v>2393</v>
      </c>
      <c r="AC669" s="408" t="s">
        <v>2803</v>
      </c>
      <c r="AD669" s="409" t="s">
        <v>353</v>
      </c>
      <c r="AE669" s="409" t="s">
        <v>2271</v>
      </c>
      <c r="AF669" s="408" t="s">
        <v>2697</v>
      </c>
      <c r="AG669" s="537" t="s">
        <v>2698</v>
      </c>
      <c r="AH669" s="408"/>
      <c r="AI669" s="409"/>
      <c r="AJ669" s="409"/>
      <c r="AK669" s="408"/>
      <c r="AL669" s="408"/>
      <c r="AM669" s="408"/>
      <c r="AN669" s="408"/>
      <c r="AO669" s="409"/>
      <c r="AP669" s="408"/>
      <c r="AQ669" s="408"/>
      <c r="AR669" s="408"/>
      <c r="AS669" s="408"/>
      <c r="AT669" s="408"/>
      <c r="AU669" s="408"/>
      <c r="AV669" s="410"/>
    </row>
    <row r="670" spans="1:48" ht="28.8" hidden="1">
      <c r="A670" s="421" t="s">
        <v>2804</v>
      </c>
      <c r="B670" s="422" t="s">
        <v>2805</v>
      </c>
      <c r="C670" s="422"/>
      <c r="D670" s="423" t="s">
        <v>374</v>
      </c>
      <c r="E670" s="423" t="s">
        <v>1750</v>
      </c>
      <c r="F670" s="406">
        <v>2024</v>
      </c>
      <c r="G670" s="406">
        <v>2024</v>
      </c>
      <c r="H670" s="435">
        <v>2024</v>
      </c>
      <c r="I670" s="408" t="s">
        <v>195</v>
      </c>
      <c r="J670" s="408">
        <v>6868847</v>
      </c>
      <c r="K670" s="537" t="s">
        <v>2393</v>
      </c>
      <c r="L670" s="409" t="s">
        <v>162</v>
      </c>
      <c r="M670" s="409" t="s">
        <v>2271</v>
      </c>
      <c r="N670" s="408" t="s">
        <v>195</v>
      </c>
      <c r="O670" s="409" t="s">
        <v>162</v>
      </c>
      <c r="P670" s="409" t="s">
        <v>2271</v>
      </c>
      <c r="Q670" s="408">
        <v>6868847</v>
      </c>
      <c r="R670" s="537" t="s">
        <v>2393</v>
      </c>
      <c r="S670" s="408" t="s">
        <v>2806</v>
      </c>
      <c r="T670" s="409" t="s">
        <v>162</v>
      </c>
      <c r="U670" s="409" t="s">
        <v>2271</v>
      </c>
      <c r="V670" s="408"/>
      <c r="W670" s="408">
        <v>1201202555</v>
      </c>
      <c r="X670" s="408" t="s">
        <v>2807</v>
      </c>
      <c r="Y670" s="409" t="s">
        <v>162</v>
      </c>
      <c r="Z670" s="409" t="s">
        <v>2271</v>
      </c>
      <c r="AA670" s="408"/>
      <c r="AB670" s="408">
        <v>1201200547</v>
      </c>
      <c r="AC670" s="408" t="s">
        <v>2808</v>
      </c>
      <c r="AD670" s="409" t="s">
        <v>162</v>
      </c>
      <c r="AE670" s="409" t="s">
        <v>2271</v>
      </c>
      <c r="AF670" s="408"/>
      <c r="AG670" s="408">
        <v>1201200016</v>
      </c>
      <c r="AH670" s="408" t="s">
        <v>197</v>
      </c>
      <c r="AI670" s="409" t="s">
        <v>620</v>
      </c>
      <c r="AJ670" s="409" t="s">
        <v>2271</v>
      </c>
      <c r="AK670" s="408">
        <v>6867249</v>
      </c>
      <c r="AL670" s="537" t="s">
        <v>2598</v>
      </c>
      <c r="AM670" s="408"/>
      <c r="AN670" s="408"/>
      <c r="AO670" s="409"/>
      <c r="AP670" s="408"/>
      <c r="AQ670" s="408"/>
      <c r="AR670" s="408"/>
      <c r="AS670" s="408"/>
      <c r="AT670" s="408"/>
      <c r="AU670" s="408"/>
      <c r="AV670" s="410"/>
    </row>
    <row r="671" spans="1:48" ht="43.2" hidden="1">
      <c r="A671" s="421" t="s">
        <v>2809</v>
      </c>
      <c r="B671" s="422"/>
      <c r="C671" s="422"/>
      <c r="D671" s="423" t="s">
        <v>328</v>
      </c>
      <c r="E671" s="423"/>
      <c r="F671" s="406">
        <v>2024</v>
      </c>
      <c r="G671" s="406">
        <v>2024</v>
      </c>
      <c r="H671" s="435">
        <v>2024</v>
      </c>
      <c r="I671" s="408"/>
      <c r="J671" s="409"/>
      <c r="K671" s="409"/>
      <c r="L671" s="409"/>
      <c r="M671" s="409"/>
      <c r="N671" s="408" t="s">
        <v>193</v>
      </c>
      <c r="O671" s="409" t="s">
        <v>353</v>
      </c>
      <c r="P671" s="409" t="s">
        <v>2271</v>
      </c>
      <c r="Q671" s="409" t="s">
        <v>2695</v>
      </c>
      <c r="R671" s="536" t="s">
        <v>2696</v>
      </c>
      <c r="S671" s="408" t="s">
        <v>2810</v>
      </c>
      <c r="T671" s="409" t="s">
        <v>353</v>
      </c>
      <c r="U671" s="409" t="s">
        <v>2271</v>
      </c>
      <c r="V671" s="408"/>
      <c r="W671" s="408">
        <v>1202184020</v>
      </c>
      <c r="X671" s="408" t="s">
        <v>2811</v>
      </c>
      <c r="Y671" s="409"/>
      <c r="Z671" s="409"/>
      <c r="AA671" s="408"/>
      <c r="AB671" s="408"/>
      <c r="AC671" s="408" t="s">
        <v>2812</v>
      </c>
      <c r="AD671" s="409"/>
      <c r="AE671" s="409"/>
      <c r="AF671" s="408"/>
      <c r="AG671" s="408"/>
      <c r="AH671" s="408" t="s">
        <v>2813</v>
      </c>
      <c r="AI671" s="409"/>
      <c r="AJ671" s="409"/>
      <c r="AK671" s="408"/>
      <c r="AL671" s="408"/>
      <c r="AM671" s="408" t="s">
        <v>2814</v>
      </c>
      <c r="AN671" s="408"/>
      <c r="AO671" s="409"/>
      <c r="AP671" s="408"/>
      <c r="AQ671" s="408"/>
      <c r="AR671" s="408" t="s">
        <v>2815</v>
      </c>
      <c r="AS671" s="408"/>
      <c r="AT671" s="408"/>
      <c r="AU671" s="408"/>
      <c r="AV671" s="410"/>
    </row>
    <row r="672" spans="1:48" ht="43.2" hidden="1">
      <c r="A672" s="424" t="s">
        <v>2816</v>
      </c>
      <c r="B672" s="422" t="s">
        <v>2817</v>
      </c>
      <c r="C672" s="422"/>
      <c r="D672" s="423" t="s">
        <v>528</v>
      </c>
      <c r="E672" s="423" t="s">
        <v>1122</v>
      </c>
      <c r="F672" s="406">
        <v>2024</v>
      </c>
      <c r="G672" s="406">
        <v>2024</v>
      </c>
      <c r="H672" s="435">
        <v>2024</v>
      </c>
      <c r="I672" s="408" t="s">
        <v>1173</v>
      </c>
      <c r="J672" s="409"/>
      <c r="K672" s="409"/>
      <c r="L672" s="409"/>
      <c r="M672" s="409"/>
      <c r="N672" s="408" t="s">
        <v>2818</v>
      </c>
      <c r="O672" s="409"/>
      <c r="P672" s="409"/>
      <c r="Q672" s="409"/>
      <c r="R672" s="409"/>
      <c r="S672" s="408" t="s">
        <v>2819</v>
      </c>
      <c r="T672" s="409"/>
      <c r="U672" s="409"/>
      <c r="V672" s="408"/>
      <c r="W672" s="408"/>
      <c r="X672" s="408" t="s">
        <v>1972</v>
      </c>
      <c r="Y672" s="409"/>
      <c r="Z672" s="409"/>
      <c r="AA672" s="408"/>
      <c r="AB672" s="408"/>
      <c r="AC672" s="408" t="s">
        <v>1975</v>
      </c>
      <c r="AD672" s="409"/>
      <c r="AE672" s="409"/>
      <c r="AF672" s="408"/>
      <c r="AG672" s="408"/>
      <c r="AH672" s="408" t="s">
        <v>2520</v>
      </c>
      <c r="AI672" s="409"/>
      <c r="AJ672" s="409"/>
      <c r="AK672" s="408"/>
      <c r="AL672" s="408"/>
      <c r="AM672" s="408" t="s">
        <v>77</v>
      </c>
      <c r="AN672" s="408" t="s">
        <v>309</v>
      </c>
      <c r="AO672" s="409" t="s">
        <v>2271</v>
      </c>
      <c r="AP672" s="408">
        <v>6680631</v>
      </c>
      <c r="AQ672" s="537" t="s">
        <v>1770</v>
      </c>
      <c r="AR672" s="408" t="s">
        <v>2820</v>
      </c>
      <c r="AS672" s="408"/>
      <c r="AT672" s="408"/>
      <c r="AU672" s="408"/>
      <c r="AV672" s="410"/>
    </row>
    <row r="673" spans="1:48" ht="43.2">
      <c r="A673" s="421" t="s">
        <v>2821</v>
      </c>
      <c r="B673" s="422" t="s">
        <v>2008</v>
      </c>
      <c r="C673" s="422" t="s">
        <v>2270</v>
      </c>
      <c r="D673" s="423" t="s">
        <v>321</v>
      </c>
      <c r="E673" s="423" t="s">
        <v>1750</v>
      </c>
      <c r="F673" s="406">
        <v>2024</v>
      </c>
      <c r="G673" s="406">
        <v>2024</v>
      </c>
      <c r="H673" s="435">
        <v>2024</v>
      </c>
      <c r="I673" s="408" t="s">
        <v>179</v>
      </c>
      <c r="J673" s="409" t="s">
        <v>2822</v>
      </c>
      <c r="K673" s="536" t="s">
        <v>1917</v>
      </c>
      <c r="L673" s="409" t="s">
        <v>353</v>
      </c>
      <c r="M673" s="409" t="s">
        <v>2271</v>
      </c>
      <c r="N673" s="408" t="s">
        <v>179</v>
      </c>
      <c r="O673" s="409" t="s">
        <v>353</v>
      </c>
      <c r="P673" s="409" t="s">
        <v>2271</v>
      </c>
      <c r="Q673" s="409" t="s">
        <v>2822</v>
      </c>
      <c r="R673" s="536" t="s">
        <v>1917</v>
      </c>
      <c r="S673" s="408" t="s">
        <v>193</v>
      </c>
      <c r="T673" s="409" t="s">
        <v>353</v>
      </c>
      <c r="U673" s="409" t="s">
        <v>2271</v>
      </c>
      <c r="V673" s="409" t="s">
        <v>2695</v>
      </c>
      <c r="W673" s="536" t="s">
        <v>2696</v>
      </c>
      <c r="X673" s="408" t="s">
        <v>192</v>
      </c>
      <c r="Y673" s="409" t="s">
        <v>351</v>
      </c>
      <c r="Z673" s="409" t="s">
        <v>2271</v>
      </c>
      <c r="AA673" s="408">
        <v>6879158</v>
      </c>
      <c r="AB673" s="537" t="s">
        <v>2540</v>
      </c>
      <c r="AC673" s="408" t="s">
        <v>2823</v>
      </c>
      <c r="AD673" s="409" t="s">
        <v>353</v>
      </c>
      <c r="AE673" s="409" t="s">
        <v>2271</v>
      </c>
      <c r="AF673" s="408"/>
      <c r="AG673" s="408">
        <v>1204230029</v>
      </c>
      <c r="AH673" s="408" t="s">
        <v>1556</v>
      </c>
      <c r="AI673" s="409" t="s">
        <v>353</v>
      </c>
      <c r="AJ673" s="409" t="s">
        <v>2271</v>
      </c>
      <c r="AK673" s="408"/>
      <c r="AL673" s="408">
        <v>1204210104</v>
      </c>
      <c r="AM673" s="408" t="s">
        <v>2824</v>
      </c>
      <c r="AN673" s="409" t="s">
        <v>353</v>
      </c>
      <c r="AO673" s="409" t="s">
        <v>2271</v>
      </c>
      <c r="AP673" s="408"/>
      <c r="AQ673" s="408">
        <v>1204228146</v>
      </c>
      <c r="AR673" s="408"/>
      <c r="AS673" s="408"/>
      <c r="AT673" s="408"/>
      <c r="AU673" s="408"/>
      <c r="AV673" s="410"/>
    </row>
    <row r="674" spans="1:48" hidden="1">
      <c r="A674" s="421" t="s">
        <v>2825</v>
      </c>
      <c r="B674" s="422"/>
      <c r="C674" s="422"/>
      <c r="D674" s="423" t="s">
        <v>328</v>
      </c>
      <c r="E674" s="423"/>
      <c r="F674" s="406"/>
      <c r="G674" s="406"/>
      <c r="H674" s="435"/>
      <c r="I674" s="408"/>
      <c r="J674" s="409"/>
      <c r="K674" s="409"/>
      <c r="L674" s="409"/>
      <c r="M674" s="409"/>
      <c r="N674" s="408"/>
      <c r="O674" s="409"/>
      <c r="P674" s="409"/>
      <c r="Q674" s="409"/>
      <c r="R674" s="409"/>
      <c r="S674" s="408"/>
      <c r="T674" s="409"/>
      <c r="U674" s="409"/>
      <c r="V674" s="408"/>
      <c r="W674" s="408"/>
      <c r="X674" s="408"/>
      <c r="Y674" s="409"/>
      <c r="Z674" s="409"/>
      <c r="AA674" s="408"/>
      <c r="AB674" s="408"/>
      <c r="AC674" s="408"/>
      <c r="AD674" s="409"/>
      <c r="AE674" s="409"/>
      <c r="AF674" s="408"/>
      <c r="AG674" s="408"/>
      <c r="AH674" s="408"/>
      <c r="AI674" s="409"/>
      <c r="AJ674" s="409"/>
      <c r="AK674" s="408"/>
      <c r="AL674" s="408"/>
      <c r="AM674" s="408"/>
      <c r="AN674" s="408"/>
      <c r="AO674" s="409"/>
      <c r="AP674" s="408"/>
      <c r="AQ674" s="408"/>
      <c r="AR674" s="408"/>
      <c r="AS674" s="408"/>
      <c r="AT674" s="408"/>
      <c r="AU674" s="408"/>
      <c r="AV674" s="410"/>
    </row>
    <row r="675" spans="1:48" hidden="1">
      <c r="A675" s="421" t="s">
        <v>2826</v>
      </c>
      <c r="B675" s="422"/>
      <c r="C675" s="422"/>
      <c r="D675" s="423" t="s">
        <v>328</v>
      </c>
      <c r="E675" s="423"/>
      <c r="F675" s="406"/>
      <c r="G675" s="406"/>
      <c r="H675" s="435"/>
      <c r="I675" s="408"/>
      <c r="J675" s="409"/>
      <c r="K675" s="409"/>
      <c r="L675" s="409"/>
      <c r="M675" s="409"/>
      <c r="N675" s="408"/>
      <c r="O675" s="409"/>
      <c r="P675" s="409"/>
      <c r="Q675" s="409"/>
      <c r="R675" s="409"/>
      <c r="S675" s="408"/>
      <c r="T675" s="409"/>
      <c r="U675" s="409"/>
      <c r="V675" s="408"/>
      <c r="W675" s="408"/>
      <c r="X675" s="408"/>
      <c r="Y675" s="409"/>
      <c r="Z675" s="409"/>
      <c r="AA675" s="408"/>
      <c r="AB675" s="408"/>
      <c r="AC675" s="408"/>
      <c r="AD675" s="409"/>
      <c r="AE675" s="409"/>
      <c r="AF675" s="408"/>
      <c r="AG675" s="408"/>
      <c r="AH675" s="408"/>
      <c r="AI675" s="409"/>
      <c r="AJ675" s="409"/>
      <c r="AK675" s="408"/>
      <c r="AL675" s="408"/>
      <c r="AM675" s="408"/>
      <c r="AN675" s="408"/>
      <c r="AO675" s="409"/>
      <c r="AP675" s="408"/>
      <c r="AQ675" s="408"/>
      <c r="AR675" s="408"/>
      <c r="AS675" s="408"/>
      <c r="AT675" s="408"/>
      <c r="AU675" s="408"/>
      <c r="AV675" s="410"/>
    </row>
    <row r="676" spans="1:48" hidden="1">
      <c r="A676" s="421" t="s">
        <v>2827</v>
      </c>
      <c r="B676" s="422"/>
      <c r="C676" s="422"/>
      <c r="D676" s="423" t="s">
        <v>328</v>
      </c>
      <c r="E676" s="423"/>
      <c r="F676" s="406"/>
      <c r="G676" s="406"/>
      <c r="H676" s="435"/>
      <c r="I676" s="408"/>
      <c r="J676" s="409"/>
      <c r="K676" s="409"/>
      <c r="L676" s="409"/>
      <c r="M676" s="409"/>
      <c r="N676" s="408"/>
      <c r="O676" s="409"/>
      <c r="P676" s="409"/>
      <c r="Q676" s="409"/>
      <c r="R676" s="409"/>
      <c r="S676" s="408"/>
      <c r="T676" s="409"/>
      <c r="U676" s="409"/>
      <c r="V676" s="408"/>
      <c r="W676" s="408"/>
      <c r="X676" s="408"/>
      <c r="Y676" s="409"/>
      <c r="Z676" s="409"/>
      <c r="AA676" s="408"/>
      <c r="AB676" s="408"/>
      <c r="AC676" s="408"/>
      <c r="AD676" s="409"/>
      <c r="AE676" s="409"/>
      <c r="AF676" s="408"/>
      <c r="AG676" s="408"/>
      <c r="AH676" s="408"/>
      <c r="AI676" s="409"/>
      <c r="AJ676" s="409"/>
      <c r="AK676" s="408"/>
      <c r="AL676" s="408"/>
      <c r="AM676" s="408"/>
      <c r="AN676" s="408"/>
      <c r="AO676" s="409"/>
      <c r="AP676" s="408"/>
      <c r="AQ676" s="408"/>
      <c r="AR676" s="408"/>
      <c r="AS676" s="408"/>
      <c r="AT676" s="408"/>
      <c r="AU676" s="408"/>
      <c r="AV676" s="410"/>
    </row>
    <row r="677" spans="1:48" ht="28.8" hidden="1">
      <c r="A677" s="421" t="s">
        <v>2828</v>
      </c>
      <c r="B677" s="422" t="s">
        <v>2829</v>
      </c>
      <c r="C677" s="422"/>
      <c r="D677" s="423" t="s">
        <v>302</v>
      </c>
      <c r="E677" s="423" t="s">
        <v>1750</v>
      </c>
      <c r="F677" s="406">
        <v>2024</v>
      </c>
      <c r="G677" s="406">
        <v>2024</v>
      </c>
      <c r="H677" s="435">
        <v>2024</v>
      </c>
      <c r="I677" s="408"/>
      <c r="J677" s="409"/>
      <c r="K677" s="409"/>
      <c r="L677" s="409"/>
      <c r="M677" s="409"/>
      <c r="N677" s="408" t="s">
        <v>2830</v>
      </c>
      <c r="O677" s="409" t="s">
        <v>353</v>
      </c>
      <c r="P677" s="409" t="s">
        <v>2271</v>
      </c>
      <c r="Q677" s="409"/>
      <c r="R677" s="409">
        <v>1204200189</v>
      </c>
      <c r="S677" s="408" t="s">
        <v>17</v>
      </c>
      <c r="T677" s="409" t="s">
        <v>353</v>
      </c>
      <c r="U677" s="409" t="s">
        <v>2271</v>
      </c>
      <c r="V677" s="408" t="s">
        <v>2308</v>
      </c>
      <c r="W677" s="537" t="s">
        <v>1036</v>
      </c>
      <c r="X677" s="408" t="s">
        <v>193</v>
      </c>
      <c r="Y677" s="409" t="s">
        <v>353</v>
      </c>
      <c r="Z677" s="409" t="s">
        <v>2271</v>
      </c>
      <c r="AA677" s="409" t="s">
        <v>2695</v>
      </c>
      <c r="AB677" s="536" t="s">
        <v>2696</v>
      </c>
      <c r="AC677" s="408"/>
      <c r="AD677" s="409"/>
      <c r="AE677" s="409"/>
      <c r="AF677" s="408"/>
      <c r="AG677" s="408"/>
      <c r="AH677" s="408"/>
      <c r="AI677" s="409"/>
      <c r="AJ677" s="409"/>
      <c r="AK677" s="408"/>
      <c r="AL677" s="408"/>
      <c r="AM677" s="408"/>
      <c r="AN677" s="408"/>
      <c r="AO677" s="409"/>
      <c r="AP677" s="408"/>
      <c r="AQ677" s="408"/>
      <c r="AR677" s="408"/>
      <c r="AS677" s="408"/>
      <c r="AT677" s="408"/>
      <c r="AU677" s="408"/>
      <c r="AV677" s="410"/>
    </row>
    <row r="678" spans="1:48" ht="43.2" hidden="1">
      <c r="A678" s="421" t="s">
        <v>2831</v>
      </c>
      <c r="B678" s="422" t="s">
        <v>2832</v>
      </c>
      <c r="C678" s="422"/>
      <c r="D678" s="423" t="s">
        <v>321</v>
      </c>
      <c r="E678" s="423" t="s">
        <v>1750</v>
      </c>
      <c r="F678" s="406">
        <v>2024</v>
      </c>
      <c r="G678" s="406">
        <v>2024</v>
      </c>
      <c r="H678" s="435">
        <v>2024</v>
      </c>
      <c r="I678" s="408" t="s">
        <v>193</v>
      </c>
      <c r="J678" s="409" t="s">
        <v>2695</v>
      </c>
      <c r="K678" s="536" t="s">
        <v>2696</v>
      </c>
      <c r="L678" s="409" t="s">
        <v>353</v>
      </c>
      <c r="M678" s="409" t="s">
        <v>2271</v>
      </c>
      <c r="N678" s="408" t="s">
        <v>2142</v>
      </c>
      <c r="O678" s="409" t="s">
        <v>353</v>
      </c>
      <c r="P678" s="409" t="s">
        <v>2271</v>
      </c>
      <c r="Q678" s="409"/>
      <c r="R678" s="409">
        <v>1204210123</v>
      </c>
      <c r="S678" s="408" t="s">
        <v>2833</v>
      </c>
      <c r="T678" s="409"/>
      <c r="U678" s="409"/>
      <c r="V678" s="408"/>
      <c r="W678" s="408"/>
      <c r="X678" s="408"/>
      <c r="Y678" s="409"/>
      <c r="Z678" s="409"/>
      <c r="AA678" s="408"/>
      <c r="AB678" s="408"/>
      <c r="AC678" s="408"/>
      <c r="AD678" s="409"/>
      <c r="AE678" s="409"/>
      <c r="AF678" s="408"/>
      <c r="AG678" s="408"/>
      <c r="AH678" s="408"/>
      <c r="AI678" s="409"/>
      <c r="AJ678" s="409"/>
      <c r="AK678" s="408"/>
      <c r="AL678" s="408"/>
      <c r="AM678" s="408"/>
      <c r="AN678" s="408"/>
      <c r="AO678" s="409"/>
      <c r="AP678" s="408"/>
      <c r="AQ678" s="408"/>
      <c r="AR678" s="408"/>
      <c r="AS678" s="408"/>
      <c r="AT678" s="408"/>
      <c r="AU678" s="408"/>
      <c r="AV678" s="410"/>
    </row>
    <row r="679" spans="1:48" ht="57.6" hidden="1">
      <c r="A679" s="429" t="s">
        <v>2834</v>
      </c>
      <c r="B679" s="425" t="s">
        <v>2835</v>
      </c>
      <c r="C679" s="425"/>
      <c r="D679" s="395" t="s">
        <v>528</v>
      </c>
      <c r="E679" s="395" t="s">
        <v>1122</v>
      </c>
      <c r="F679" s="406">
        <v>2024</v>
      </c>
      <c r="G679" s="406">
        <v>2024</v>
      </c>
      <c r="H679" s="435">
        <v>2024</v>
      </c>
      <c r="I679" s="375"/>
      <c r="J679" s="374"/>
      <c r="K679" s="374"/>
      <c r="L679" s="374"/>
      <c r="M679" s="374"/>
      <c r="N679" s="375" t="s">
        <v>165</v>
      </c>
      <c r="O679" s="374" t="s">
        <v>162</v>
      </c>
      <c r="P679" s="409" t="s">
        <v>2271</v>
      </c>
      <c r="Q679" s="374">
        <v>6680698</v>
      </c>
      <c r="R679" s="539" t="s">
        <v>1002</v>
      </c>
      <c r="S679" s="375" t="s">
        <v>533</v>
      </c>
      <c r="T679" s="374"/>
      <c r="U679" s="374"/>
      <c r="V679" s="375"/>
      <c r="W679" s="375"/>
      <c r="X679" s="375" t="s">
        <v>2003</v>
      </c>
      <c r="Y679" s="374"/>
      <c r="Z679" s="374"/>
      <c r="AA679" s="375"/>
      <c r="AB679" s="375"/>
      <c r="AC679" s="375"/>
      <c r="AD679" s="374"/>
      <c r="AE679" s="374"/>
      <c r="AF679" s="375"/>
      <c r="AG679" s="375"/>
      <c r="AH679" s="375"/>
      <c r="AI679" s="374"/>
      <c r="AJ679" s="374"/>
      <c r="AK679" s="375"/>
      <c r="AL679" s="375"/>
      <c r="AM679" s="375"/>
      <c r="AN679" s="375"/>
      <c r="AO679" s="374"/>
      <c r="AP679" s="375"/>
      <c r="AQ679" s="375"/>
      <c r="AR679" s="375"/>
      <c r="AS679" s="375"/>
      <c r="AT679" s="375"/>
      <c r="AU679" s="375"/>
      <c r="AV679" s="376"/>
    </row>
    <row r="680" spans="1:48" s="496" customFormat="1" ht="28.8">
      <c r="A680" s="489" t="s">
        <v>2836</v>
      </c>
      <c r="B680" s="490" t="s">
        <v>2837</v>
      </c>
      <c r="C680" s="490" t="s">
        <v>2270</v>
      </c>
      <c r="D680" s="423" t="s">
        <v>313</v>
      </c>
      <c r="E680" s="491" t="s">
        <v>1750</v>
      </c>
      <c r="F680" s="492">
        <v>2024</v>
      </c>
      <c r="G680" s="492">
        <v>2024</v>
      </c>
      <c r="H680" s="492">
        <v>2024</v>
      </c>
      <c r="I680" s="493" t="s">
        <v>26</v>
      </c>
      <c r="J680" s="494"/>
      <c r="K680" s="494"/>
      <c r="L680" s="494" t="s">
        <v>686</v>
      </c>
      <c r="M680" s="494"/>
      <c r="N680" s="493" t="s">
        <v>139</v>
      </c>
      <c r="O680" s="494" t="s">
        <v>686</v>
      </c>
      <c r="P680" s="494"/>
      <c r="Q680" s="494"/>
      <c r="R680" s="494"/>
      <c r="S680" s="493" t="s">
        <v>775</v>
      </c>
      <c r="T680" s="494" t="s">
        <v>686</v>
      </c>
      <c r="U680" s="494"/>
      <c r="V680" s="493"/>
      <c r="W680" s="493"/>
      <c r="X680" s="493" t="s">
        <v>201</v>
      </c>
      <c r="Y680" s="494" t="s">
        <v>620</v>
      </c>
      <c r="Z680" s="494"/>
      <c r="AA680" s="493"/>
      <c r="AB680" s="493"/>
      <c r="AC680" s="493" t="s">
        <v>114</v>
      </c>
      <c r="AD680" s="494" t="s">
        <v>449</v>
      </c>
      <c r="AE680" s="494"/>
      <c r="AF680" s="493"/>
      <c r="AG680" s="493"/>
      <c r="AH680" s="493" t="s">
        <v>165</v>
      </c>
      <c r="AI680" s="494" t="s">
        <v>162</v>
      </c>
      <c r="AJ680" s="494"/>
      <c r="AK680" s="493"/>
      <c r="AL680" s="493"/>
      <c r="AM680" s="493" t="s">
        <v>204</v>
      </c>
      <c r="AN680" s="493" t="s">
        <v>620</v>
      </c>
      <c r="AO680" s="494"/>
      <c r="AP680" s="493"/>
      <c r="AQ680" s="493"/>
      <c r="AR680" s="493" t="s">
        <v>2838</v>
      </c>
      <c r="AS680" s="493" t="s">
        <v>2839</v>
      </c>
      <c r="AT680" s="493"/>
      <c r="AU680" s="493"/>
      <c r="AV680" s="495"/>
    </row>
    <row r="681" spans="1:48" ht="28.8" hidden="1">
      <c r="A681" s="424" t="s">
        <v>2840</v>
      </c>
      <c r="B681" s="2" t="s">
        <v>2841</v>
      </c>
      <c r="D681" s="423" t="s">
        <v>313</v>
      </c>
      <c r="E681" s="423"/>
      <c r="F681" s="406">
        <v>2024</v>
      </c>
      <c r="G681" s="406">
        <v>2024</v>
      </c>
      <c r="H681" s="435">
        <v>2024</v>
      </c>
      <c r="I681" s="408" t="s">
        <v>493</v>
      </c>
      <c r="J681" s="409">
        <v>6680741</v>
      </c>
      <c r="K681" s="536" t="s">
        <v>1838</v>
      </c>
      <c r="L681" s="409" t="s">
        <v>494</v>
      </c>
      <c r="M681" s="409" t="s">
        <v>2271</v>
      </c>
      <c r="N681" s="408" t="s">
        <v>2842</v>
      </c>
      <c r="O681" s="409" t="s">
        <v>494</v>
      </c>
      <c r="P681" s="409" t="s">
        <v>2271</v>
      </c>
      <c r="Q681" s="409"/>
      <c r="R681" s="409">
        <v>1101200058</v>
      </c>
      <c r="S681" s="408" t="s">
        <v>16</v>
      </c>
      <c r="T681" s="409" t="s">
        <v>494</v>
      </c>
      <c r="U681" s="409" t="s">
        <v>2271</v>
      </c>
      <c r="V681" s="409">
        <v>6680741</v>
      </c>
      <c r="W681" s="536" t="s">
        <v>1838</v>
      </c>
      <c r="X681" s="408" t="s">
        <v>108</v>
      </c>
      <c r="Y681" s="409" t="s">
        <v>494</v>
      </c>
      <c r="Z681" s="409" t="s">
        <v>2271</v>
      </c>
      <c r="AA681" s="408">
        <v>6724784</v>
      </c>
      <c r="AB681" s="537" t="s">
        <v>1781</v>
      </c>
      <c r="AC681" s="408"/>
      <c r="AD681" s="409"/>
      <c r="AE681" s="409"/>
      <c r="AF681" s="408"/>
      <c r="AG681" s="408"/>
      <c r="AH681" s="408"/>
      <c r="AI681" s="409"/>
      <c r="AJ681" s="409"/>
      <c r="AK681" s="408"/>
      <c r="AL681" s="408"/>
      <c r="AM681" s="408"/>
      <c r="AN681" s="408"/>
      <c r="AO681" s="409"/>
      <c r="AP681" s="408"/>
      <c r="AQ681" s="408"/>
      <c r="AR681" s="408"/>
      <c r="AS681" s="408"/>
      <c r="AT681" s="408"/>
      <c r="AU681" s="408"/>
      <c r="AV681" s="410"/>
    </row>
    <row r="682" spans="1:48" ht="28.8" hidden="1">
      <c r="A682" s="424" t="s">
        <v>2468</v>
      </c>
      <c r="B682" s="422" t="s">
        <v>2843</v>
      </c>
      <c r="C682" s="422"/>
      <c r="D682" s="423" t="s">
        <v>302</v>
      </c>
      <c r="E682" s="423" t="s">
        <v>1750</v>
      </c>
      <c r="F682" s="406">
        <v>2024</v>
      </c>
      <c r="G682" s="406">
        <v>2024</v>
      </c>
      <c r="H682" s="435">
        <v>2024</v>
      </c>
      <c r="I682" s="408" t="s">
        <v>2470</v>
      </c>
      <c r="J682" s="409"/>
      <c r="K682" s="409">
        <v>1101202569</v>
      </c>
      <c r="L682" s="409" t="s">
        <v>494</v>
      </c>
      <c r="M682" s="409" t="s">
        <v>2271</v>
      </c>
      <c r="N682" s="408" t="s">
        <v>2470</v>
      </c>
      <c r="O682" s="409" t="s">
        <v>494</v>
      </c>
      <c r="P682" s="409" t="s">
        <v>2271</v>
      </c>
      <c r="Q682" s="409"/>
      <c r="R682" s="409">
        <v>1101202569</v>
      </c>
      <c r="S682" s="408" t="s">
        <v>493</v>
      </c>
      <c r="T682" s="409" t="s">
        <v>494</v>
      </c>
      <c r="U682" s="409" t="s">
        <v>2271</v>
      </c>
      <c r="V682" s="409">
        <v>6680741</v>
      </c>
      <c r="W682" s="536" t="s">
        <v>1838</v>
      </c>
      <c r="X682" s="408" t="s">
        <v>87</v>
      </c>
      <c r="Y682" s="409" t="s">
        <v>494</v>
      </c>
      <c r="Z682" s="409" t="s">
        <v>2271</v>
      </c>
      <c r="AA682" s="408">
        <v>6786182</v>
      </c>
      <c r="AB682" s="537" t="s">
        <v>2471</v>
      </c>
      <c r="AC682" s="408"/>
      <c r="AD682" s="409"/>
      <c r="AE682" s="409"/>
      <c r="AF682" s="408"/>
      <c r="AG682" s="408"/>
      <c r="AH682" s="408"/>
      <c r="AI682" s="409"/>
      <c r="AJ682" s="409"/>
      <c r="AK682" s="408"/>
      <c r="AL682" s="408"/>
      <c r="AM682" s="408"/>
      <c r="AN682" s="408"/>
      <c r="AO682" s="409"/>
      <c r="AP682" s="408"/>
      <c r="AQ682" s="408"/>
      <c r="AR682" s="408"/>
      <c r="AS682" s="408"/>
      <c r="AT682" s="408"/>
      <c r="AU682" s="408"/>
      <c r="AV682" s="410"/>
    </row>
    <row r="683" spans="1:48" ht="28.8" hidden="1">
      <c r="A683" s="424" t="s">
        <v>2844</v>
      </c>
      <c r="B683" s="422" t="s">
        <v>2845</v>
      </c>
      <c r="C683" s="422"/>
      <c r="D683" s="423" t="s">
        <v>313</v>
      </c>
      <c r="E683" s="423"/>
      <c r="F683" s="406">
        <v>2024</v>
      </c>
      <c r="G683" s="406">
        <v>2024</v>
      </c>
      <c r="H683" s="435">
        <v>2024</v>
      </c>
      <c r="I683" s="408" t="s">
        <v>23</v>
      </c>
      <c r="J683" s="409">
        <v>6680625</v>
      </c>
      <c r="K683" s="536" t="s">
        <v>1782</v>
      </c>
      <c r="L683" s="409" t="s">
        <v>494</v>
      </c>
      <c r="M683" s="409" t="s">
        <v>2271</v>
      </c>
      <c r="N683" s="408" t="s">
        <v>2846</v>
      </c>
      <c r="O683" s="409" t="s">
        <v>494</v>
      </c>
      <c r="P683" s="409" t="s">
        <v>2271</v>
      </c>
      <c r="Q683" s="409"/>
      <c r="R683" s="409">
        <v>1101200042</v>
      </c>
      <c r="S683" s="408" t="s">
        <v>493</v>
      </c>
      <c r="T683" s="409" t="s">
        <v>494</v>
      </c>
      <c r="U683" s="409" t="s">
        <v>2271</v>
      </c>
      <c r="V683" s="409">
        <v>6680741</v>
      </c>
      <c r="W683" s="536" t="s">
        <v>1838</v>
      </c>
      <c r="X683" s="408" t="s">
        <v>23</v>
      </c>
      <c r="Y683" s="409" t="s">
        <v>494</v>
      </c>
      <c r="Z683" s="409" t="s">
        <v>2271</v>
      </c>
      <c r="AA683" s="409">
        <v>6680625</v>
      </c>
      <c r="AB683" s="536" t="s">
        <v>1782</v>
      </c>
      <c r="AC683" s="408"/>
      <c r="AD683" s="409"/>
      <c r="AE683" s="409"/>
      <c r="AF683" s="408"/>
      <c r="AG683" s="408"/>
      <c r="AH683" s="408"/>
      <c r="AI683" s="409"/>
      <c r="AJ683" s="409"/>
      <c r="AK683" s="408"/>
      <c r="AL683" s="408"/>
      <c r="AM683" s="408"/>
      <c r="AN683" s="408"/>
      <c r="AO683" s="409"/>
      <c r="AP683" s="408"/>
      <c r="AQ683" s="408"/>
      <c r="AR683" s="408"/>
      <c r="AS683" s="408"/>
      <c r="AT683" s="408"/>
      <c r="AU683" s="408"/>
      <c r="AV683" s="410"/>
    </row>
    <row r="684" spans="1:48" ht="43.2" hidden="1">
      <c r="A684" s="424" t="s">
        <v>2847</v>
      </c>
      <c r="B684" s="422" t="s">
        <v>2841</v>
      </c>
      <c r="C684" s="422"/>
      <c r="D684" s="423" t="s">
        <v>313</v>
      </c>
      <c r="E684" s="423"/>
      <c r="F684" s="406">
        <v>2024</v>
      </c>
      <c r="G684" s="406">
        <v>2024</v>
      </c>
      <c r="H684" s="435">
        <v>2024</v>
      </c>
      <c r="I684" s="408" t="s">
        <v>83</v>
      </c>
      <c r="J684" s="408" t="s">
        <v>2848</v>
      </c>
      <c r="K684" s="537" t="s">
        <v>2849</v>
      </c>
      <c r="L684" s="409" t="s">
        <v>494</v>
      </c>
      <c r="M684" s="409" t="s">
        <v>2271</v>
      </c>
      <c r="N684" s="408" t="s">
        <v>2850</v>
      </c>
      <c r="O684" s="409"/>
      <c r="P684" s="409"/>
      <c r="Q684" s="409"/>
      <c r="R684" s="409"/>
      <c r="S684" s="408" t="s">
        <v>83</v>
      </c>
      <c r="T684" s="409" t="s">
        <v>494</v>
      </c>
      <c r="U684" s="409" t="s">
        <v>2271</v>
      </c>
      <c r="V684" s="408" t="s">
        <v>2848</v>
      </c>
      <c r="W684" s="537" t="s">
        <v>2849</v>
      </c>
      <c r="X684" s="408" t="s">
        <v>16</v>
      </c>
      <c r="Y684" s="409" t="s">
        <v>494</v>
      </c>
      <c r="Z684" s="409" t="s">
        <v>2271</v>
      </c>
      <c r="AA684" s="409">
        <v>6680741</v>
      </c>
      <c r="AB684" s="536" t="s">
        <v>1838</v>
      </c>
      <c r="AC684" s="408"/>
      <c r="AD684" s="409"/>
      <c r="AE684" s="409"/>
      <c r="AF684" s="408"/>
      <c r="AG684" s="408"/>
      <c r="AH684" s="408"/>
      <c r="AI684" s="409"/>
      <c r="AJ684" s="409"/>
      <c r="AK684" s="408"/>
      <c r="AL684" s="408"/>
      <c r="AM684" s="408"/>
      <c r="AN684" s="408"/>
      <c r="AO684" s="409"/>
      <c r="AP684" s="408"/>
      <c r="AQ684" s="408"/>
      <c r="AR684" s="408"/>
      <c r="AS684" s="408"/>
      <c r="AT684" s="408"/>
      <c r="AU684" s="408"/>
      <c r="AV684" s="410"/>
    </row>
    <row r="685" spans="1:48" ht="72" hidden="1">
      <c r="A685" s="421" t="s">
        <v>2851</v>
      </c>
      <c r="B685" s="422" t="s">
        <v>2852</v>
      </c>
      <c r="C685" s="422"/>
      <c r="D685" s="423" t="s">
        <v>302</v>
      </c>
      <c r="E685" s="423" t="s">
        <v>1750</v>
      </c>
      <c r="F685" s="406">
        <v>2024</v>
      </c>
      <c r="G685" s="406">
        <v>2024</v>
      </c>
      <c r="H685" s="435">
        <v>2024</v>
      </c>
      <c r="I685" s="408" t="s">
        <v>421</v>
      </c>
      <c r="J685" s="409"/>
      <c r="K685" s="409"/>
      <c r="L685" s="409"/>
      <c r="M685" s="409"/>
      <c r="N685" s="408" t="s">
        <v>2530</v>
      </c>
      <c r="O685" s="409"/>
      <c r="P685" s="409"/>
      <c r="Q685" s="409"/>
      <c r="R685" s="409"/>
      <c r="S685" s="408" t="s">
        <v>2853</v>
      </c>
      <c r="T685" s="409"/>
      <c r="U685" s="409"/>
      <c r="V685" s="408"/>
      <c r="W685" s="408"/>
      <c r="X685" s="408" t="s">
        <v>2854</v>
      </c>
      <c r="Y685" s="409"/>
      <c r="Z685" s="409"/>
      <c r="AA685" s="408"/>
      <c r="AB685" s="408"/>
      <c r="AC685" s="408" t="s">
        <v>179</v>
      </c>
      <c r="AD685" s="409" t="s">
        <v>353</v>
      </c>
      <c r="AE685" s="409" t="s">
        <v>2271</v>
      </c>
      <c r="AF685" s="408">
        <v>6789028</v>
      </c>
      <c r="AG685" s="537" t="s">
        <v>1917</v>
      </c>
      <c r="AH685" s="408" t="s">
        <v>37</v>
      </c>
      <c r="AI685" s="409" t="s">
        <v>353</v>
      </c>
      <c r="AJ685" s="409" t="s">
        <v>2271</v>
      </c>
      <c r="AK685" s="408">
        <v>6835039</v>
      </c>
      <c r="AL685" s="537" t="s">
        <v>2009</v>
      </c>
      <c r="AM685" s="408" t="s">
        <v>41</v>
      </c>
      <c r="AN685" s="408" t="s">
        <v>353</v>
      </c>
      <c r="AO685" s="409" t="s">
        <v>2271</v>
      </c>
      <c r="AP685" s="408">
        <v>6843087</v>
      </c>
      <c r="AQ685" s="537" t="s">
        <v>2010</v>
      </c>
      <c r="AR685" s="408" t="s">
        <v>2855</v>
      </c>
      <c r="AS685" s="408"/>
      <c r="AT685" s="408"/>
      <c r="AU685" s="408"/>
      <c r="AV685" s="410"/>
    </row>
    <row r="686" spans="1:48" hidden="1">
      <c r="A686" s="421" t="s">
        <v>2856</v>
      </c>
      <c r="B686" s="422"/>
      <c r="C686" s="422"/>
      <c r="D686" s="423" t="s">
        <v>328</v>
      </c>
      <c r="E686" s="423"/>
      <c r="F686" s="406"/>
      <c r="G686" s="406"/>
      <c r="H686" s="435"/>
      <c r="I686" s="408"/>
      <c r="J686" s="409"/>
      <c r="K686" s="409"/>
      <c r="L686" s="409"/>
      <c r="M686" s="409"/>
      <c r="N686" s="408"/>
      <c r="O686" s="409"/>
      <c r="P686" s="409"/>
      <c r="Q686" s="409"/>
      <c r="R686" s="409"/>
      <c r="S686" s="408"/>
      <c r="T686" s="409"/>
      <c r="U686" s="409"/>
      <c r="V686" s="408"/>
      <c r="W686" s="408"/>
      <c r="X686" s="408"/>
      <c r="Y686" s="409"/>
      <c r="Z686" s="409"/>
      <c r="AA686" s="408"/>
      <c r="AB686" s="408"/>
      <c r="AC686" s="408"/>
      <c r="AD686" s="409"/>
      <c r="AE686" s="409"/>
      <c r="AF686" s="408"/>
      <c r="AG686" s="408"/>
      <c r="AH686" s="408"/>
      <c r="AI686" s="409"/>
      <c r="AJ686" s="409"/>
      <c r="AK686" s="408"/>
      <c r="AL686" s="408"/>
      <c r="AM686" s="408"/>
      <c r="AN686" s="408"/>
      <c r="AO686" s="409"/>
      <c r="AP686" s="408"/>
      <c r="AQ686" s="408"/>
      <c r="AR686" s="408"/>
      <c r="AS686" s="408"/>
      <c r="AT686" s="408"/>
      <c r="AU686" s="408"/>
      <c r="AV686" s="410"/>
    </row>
    <row r="687" spans="1:48" ht="28.8" hidden="1">
      <c r="A687" s="404" t="s">
        <v>2857</v>
      </c>
      <c r="B687" s="425" t="s">
        <v>2841</v>
      </c>
      <c r="C687" s="422"/>
      <c r="D687" s="395" t="s">
        <v>1942</v>
      </c>
      <c r="E687" s="395"/>
      <c r="F687" s="372">
        <v>2024</v>
      </c>
      <c r="G687" s="372">
        <v>2024</v>
      </c>
      <c r="H687" s="431">
        <v>2024</v>
      </c>
      <c r="I687" s="375" t="s">
        <v>23</v>
      </c>
      <c r="J687" s="374">
        <v>6680625</v>
      </c>
      <c r="K687" s="374" t="s">
        <v>1782</v>
      </c>
      <c r="L687" s="374" t="s">
        <v>494</v>
      </c>
      <c r="M687" s="374" t="s">
        <v>2271</v>
      </c>
      <c r="N687" s="375" t="s">
        <v>2858</v>
      </c>
      <c r="O687" s="374" t="s">
        <v>494</v>
      </c>
      <c r="P687" s="374" t="s">
        <v>2271</v>
      </c>
      <c r="Q687" s="374"/>
      <c r="R687" s="374">
        <v>1101200025</v>
      </c>
      <c r="S687" s="375" t="s">
        <v>23</v>
      </c>
      <c r="T687" s="374" t="s">
        <v>494</v>
      </c>
      <c r="U687" s="374" t="s">
        <v>2271</v>
      </c>
      <c r="V687" s="375">
        <v>6680625</v>
      </c>
      <c r="W687" s="375" t="s">
        <v>1782</v>
      </c>
      <c r="X687" s="375" t="s">
        <v>190</v>
      </c>
      <c r="Y687" s="374" t="s">
        <v>279</v>
      </c>
      <c r="Z687" s="374" t="s">
        <v>2271</v>
      </c>
      <c r="AA687" s="375">
        <v>6843797</v>
      </c>
      <c r="AB687" s="538" t="s">
        <v>2418</v>
      </c>
      <c r="AC687" s="375"/>
      <c r="AD687" s="374"/>
      <c r="AE687" s="374"/>
      <c r="AF687" s="375"/>
      <c r="AG687" s="375"/>
      <c r="AH687" s="375"/>
      <c r="AI687" s="374"/>
      <c r="AJ687" s="374"/>
      <c r="AK687" s="375"/>
      <c r="AL687" s="375"/>
      <c r="AM687" s="375"/>
      <c r="AN687" s="375"/>
      <c r="AO687" s="374"/>
      <c r="AP687" s="375"/>
      <c r="AQ687" s="375"/>
      <c r="AR687" s="375"/>
      <c r="AS687" s="375"/>
      <c r="AT687" s="375"/>
      <c r="AU687" s="375"/>
      <c r="AV687" s="376"/>
    </row>
    <row r="688" spans="1:48" ht="57.6" hidden="1">
      <c r="A688" s="404" t="s">
        <v>2859</v>
      </c>
      <c r="B688" s="425" t="s">
        <v>2860</v>
      </c>
      <c r="C688" s="548"/>
      <c r="D688" s="395" t="s">
        <v>782</v>
      </c>
      <c r="E688" s="395" t="s">
        <v>1750</v>
      </c>
      <c r="F688" s="372">
        <v>2024</v>
      </c>
      <c r="G688" s="372">
        <v>2024</v>
      </c>
      <c r="H688" s="431">
        <v>2024</v>
      </c>
      <c r="I688" s="375" t="s">
        <v>2861</v>
      </c>
      <c r="J688" s="374"/>
      <c r="K688" s="374">
        <v>1203200010</v>
      </c>
      <c r="L688" s="374" t="s">
        <v>351</v>
      </c>
      <c r="M688" s="374" t="s">
        <v>2271</v>
      </c>
      <c r="N688" s="375" t="s">
        <v>2862</v>
      </c>
      <c r="O688" s="374" t="s">
        <v>351</v>
      </c>
      <c r="P688" s="374" t="s">
        <v>2271</v>
      </c>
      <c r="Q688" s="374"/>
      <c r="R688" s="374">
        <v>1203200010</v>
      </c>
      <c r="S688" s="375" t="s">
        <v>24</v>
      </c>
      <c r="T688" s="374" t="s">
        <v>351</v>
      </c>
      <c r="U688" s="374" t="s">
        <v>2271</v>
      </c>
      <c r="V688" s="375">
        <v>6680618</v>
      </c>
      <c r="W688" s="538" t="s">
        <v>1737</v>
      </c>
      <c r="X688" s="375" t="s">
        <v>56</v>
      </c>
      <c r="Y688" s="374" t="s">
        <v>351</v>
      </c>
      <c r="Z688" s="374" t="s">
        <v>2271</v>
      </c>
      <c r="AA688" s="375">
        <v>6795859</v>
      </c>
      <c r="AB688" s="538" t="s">
        <v>1672</v>
      </c>
      <c r="AC688" s="375"/>
      <c r="AD688" s="374"/>
      <c r="AE688" s="374"/>
      <c r="AF688" s="375"/>
      <c r="AG688" s="375"/>
      <c r="AH688" s="375"/>
      <c r="AI688" s="374"/>
      <c r="AJ688" s="374"/>
      <c r="AK688" s="375"/>
      <c r="AL688" s="375"/>
      <c r="AM688" s="375"/>
      <c r="AN688" s="375"/>
      <c r="AO688" s="374"/>
      <c r="AP688" s="375"/>
      <c r="AQ688" s="375"/>
      <c r="AR688" s="375"/>
      <c r="AS688" s="375"/>
      <c r="AT688" s="375"/>
      <c r="AU688" s="375"/>
      <c r="AV688" s="376"/>
    </row>
    <row r="689" spans="1:48" ht="28.8" hidden="1">
      <c r="A689" s="404" t="s">
        <v>2863</v>
      </c>
      <c r="B689" s="425" t="s">
        <v>2864</v>
      </c>
      <c r="C689" s="548"/>
      <c r="D689" s="395" t="s">
        <v>321</v>
      </c>
      <c r="E689" s="395" t="s">
        <v>1750</v>
      </c>
      <c r="F689" s="372">
        <v>2024</v>
      </c>
      <c r="G689" s="372">
        <v>2024</v>
      </c>
      <c r="H689" s="431">
        <v>2024</v>
      </c>
      <c r="I689" s="375" t="s">
        <v>188</v>
      </c>
      <c r="J689" s="374">
        <v>6833033</v>
      </c>
      <c r="K689" s="539" t="s">
        <v>2023</v>
      </c>
      <c r="L689" s="374" t="s">
        <v>353</v>
      </c>
      <c r="M689" s="374" t="s">
        <v>2271</v>
      </c>
      <c r="N689" s="375" t="s">
        <v>188</v>
      </c>
      <c r="O689" s="374" t="s">
        <v>353</v>
      </c>
      <c r="P689" s="374" t="s">
        <v>2271</v>
      </c>
      <c r="Q689" s="374">
        <v>6833033</v>
      </c>
      <c r="R689" s="539" t="s">
        <v>2023</v>
      </c>
      <c r="S689" s="375" t="s">
        <v>2865</v>
      </c>
      <c r="T689" s="374" t="s">
        <v>353</v>
      </c>
      <c r="U689" s="374" t="s">
        <v>2271</v>
      </c>
      <c r="V689" s="375"/>
      <c r="W689" s="375">
        <v>1204220023</v>
      </c>
      <c r="X689" s="375" t="s">
        <v>67</v>
      </c>
      <c r="Y689" s="374" t="s">
        <v>353</v>
      </c>
      <c r="Z689" s="374" t="s">
        <v>2271</v>
      </c>
      <c r="AA689" s="375">
        <v>6099359</v>
      </c>
      <c r="AB689" s="375" t="s">
        <v>977</v>
      </c>
      <c r="AC689" s="375" t="s">
        <v>28</v>
      </c>
      <c r="AD689" s="374" t="s">
        <v>353</v>
      </c>
      <c r="AE689" s="374" t="s">
        <v>2271</v>
      </c>
      <c r="AF689" s="375">
        <v>6665306</v>
      </c>
      <c r="AG689" s="538" t="s">
        <v>1727</v>
      </c>
      <c r="AH689" s="375" t="s">
        <v>2866</v>
      </c>
      <c r="AI689" s="374" t="s">
        <v>353</v>
      </c>
      <c r="AJ689" s="374" t="s">
        <v>2271</v>
      </c>
      <c r="AK689" s="375"/>
      <c r="AL689" s="375">
        <v>1204220021</v>
      </c>
      <c r="AM689" s="375" t="s">
        <v>2867</v>
      </c>
      <c r="AN689" s="375" t="s">
        <v>353</v>
      </c>
      <c r="AO689" s="374" t="s">
        <v>2271</v>
      </c>
      <c r="AP689" s="375"/>
      <c r="AQ689" s="375">
        <v>1204220111</v>
      </c>
      <c r="AR689" s="375" t="s">
        <v>2868</v>
      </c>
      <c r="AS689" s="375" t="s">
        <v>353</v>
      </c>
      <c r="AT689" s="375" t="s">
        <v>2271</v>
      </c>
      <c r="AU689" s="375"/>
      <c r="AV689" s="376">
        <v>1204220008</v>
      </c>
    </row>
    <row r="690" spans="1:48" ht="28.8" hidden="1">
      <c r="A690" s="404" t="s">
        <v>2869</v>
      </c>
      <c r="B690" s="425" t="s">
        <v>2006</v>
      </c>
      <c r="C690" s="548"/>
      <c r="D690" s="395" t="s">
        <v>302</v>
      </c>
      <c r="E690" s="395" t="s">
        <v>1750</v>
      </c>
      <c r="F690" s="372">
        <v>2024</v>
      </c>
      <c r="G690" s="372">
        <v>2024</v>
      </c>
      <c r="H690" s="431">
        <v>2024</v>
      </c>
      <c r="I690" s="375"/>
      <c r="J690" s="374"/>
      <c r="K690" s="374"/>
      <c r="L690" s="374"/>
      <c r="M690" s="374"/>
      <c r="N690" s="375" t="s">
        <v>188</v>
      </c>
      <c r="O690" s="374" t="s">
        <v>353</v>
      </c>
      <c r="P690" s="374" t="s">
        <v>2271</v>
      </c>
      <c r="Q690" s="374">
        <v>6833033</v>
      </c>
      <c r="R690" s="539" t="s">
        <v>2023</v>
      </c>
      <c r="S690" s="375" t="s">
        <v>67</v>
      </c>
      <c r="T690" s="374" t="s">
        <v>353</v>
      </c>
      <c r="U690" s="374" t="s">
        <v>2271</v>
      </c>
      <c r="V690" s="375">
        <v>6099359</v>
      </c>
      <c r="W690" s="375" t="s">
        <v>977</v>
      </c>
      <c r="X690" s="375"/>
      <c r="Y690" s="374"/>
      <c r="Z690" s="374"/>
      <c r="AA690" s="375"/>
      <c r="AB690" s="375"/>
      <c r="AC690" s="375"/>
      <c r="AD690" s="374"/>
      <c r="AE690" s="374"/>
      <c r="AF690" s="375"/>
      <c r="AG690" s="375"/>
      <c r="AH690" s="375"/>
      <c r="AI690" s="374"/>
      <c r="AJ690" s="374"/>
      <c r="AK690" s="375"/>
      <c r="AL690" s="375"/>
      <c r="AM690" s="375"/>
      <c r="AN690" s="375"/>
      <c r="AO690" s="374"/>
      <c r="AP690" s="375"/>
      <c r="AQ690" s="375"/>
      <c r="AR690" s="375"/>
      <c r="AS690" s="375"/>
      <c r="AT690" s="375"/>
      <c r="AU690" s="375"/>
      <c r="AV690" s="376"/>
    </row>
    <row r="691" spans="1:48" ht="28.8" hidden="1">
      <c r="A691" s="404" t="s">
        <v>2870</v>
      </c>
      <c r="B691" s="425" t="s">
        <v>2871</v>
      </c>
      <c r="C691" s="548"/>
      <c r="D691" s="395" t="s">
        <v>306</v>
      </c>
      <c r="E691" s="395" t="s">
        <v>1750</v>
      </c>
      <c r="F691" s="372">
        <v>2024</v>
      </c>
      <c r="G691" s="372">
        <v>2024</v>
      </c>
      <c r="H691" s="431">
        <v>2024</v>
      </c>
      <c r="I691" s="375" t="s">
        <v>6</v>
      </c>
      <c r="J691" s="374">
        <v>6681051</v>
      </c>
      <c r="K691" s="374" t="s">
        <v>1657</v>
      </c>
      <c r="L691" s="374" t="s">
        <v>351</v>
      </c>
      <c r="M691" s="374" t="s">
        <v>2271</v>
      </c>
      <c r="N691" s="375" t="s">
        <v>6</v>
      </c>
      <c r="O691" s="374" t="s">
        <v>351</v>
      </c>
      <c r="P691" s="374" t="s">
        <v>2271</v>
      </c>
      <c r="Q691" s="374">
        <v>6681051</v>
      </c>
      <c r="R691" s="374" t="s">
        <v>1657</v>
      </c>
      <c r="S691" s="375" t="s">
        <v>2543</v>
      </c>
      <c r="T691" s="374" t="s">
        <v>351</v>
      </c>
      <c r="U691" s="374" t="s">
        <v>2271</v>
      </c>
      <c r="V691" s="375"/>
      <c r="W691" s="375">
        <v>1104210051</v>
      </c>
      <c r="X691" s="375" t="s">
        <v>50</v>
      </c>
      <c r="Y691" s="374" t="s">
        <v>351</v>
      </c>
      <c r="Z691" s="374" t="s">
        <v>2271</v>
      </c>
      <c r="AA691" s="375">
        <v>6826739</v>
      </c>
      <c r="AB691" s="538" t="s">
        <v>2307</v>
      </c>
      <c r="AC691" s="375" t="s">
        <v>180</v>
      </c>
      <c r="AD691" s="374" t="s">
        <v>353</v>
      </c>
      <c r="AE691" s="374" t="s">
        <v>2271</v>
      </c>
      <c r="AF691" s="375" t="s">
        <v>2872</v>
      </c>
      <c r="AG691" s="538" t="s">
        <v>1676</v>
      </c>
      <c r="AH691" s="375" t="s">
        <v>45</v>
      </c>
      <c r="AI691" s="374" t="s">
        <v>351</v>
      </c>
      <c r="AJ691" s="374" t="s">
        <v>2271</v>
      </c>
      <c r="AK691" s="375">
        <v>6826743</v>
      </c>
      <c r="AL691" s="538" t="s">
        <v>1880</v>
      </c>
      <c r="AM691" s="375" t="s">
        <v>17</v>
      </c>
      <c r="AN691" s="375" t="s">
        <v>353</v>
      </c>
      <c r="AO691" s="374" t="s">
        <v>2271</v>
      </c>
      <c r="AP691" s="375" t="s">
        <v>2308</v>
      </c>
      <c r="AQ691" s="375" t="s">
        <v>1036</v>
      </c>
      <c r="AR691" s="375" t="s">
        <v>2873</v>
      </c>
      <c r="AS691" s="375"/>
      <c r="AT691" s="375"/>
      <c r="AU691" s="375"/>
      <c r="AV691" s="376"/>
    </row>
    <row r="692" spans="1:48" ht="43.2" hidden="1">
      <c r="A692" s="404" t="s">
        <v>2874</v>
      </c>
      <c r="B692" s="425" t="s">
        <v>2550</v>
      </c>
      <c r="C692" s="548"/>
      <c r="D692" s="395" t="s">
        <v>374</v>
      </c>
      <c r="E692" s="395" t="s">
        <v>1750</v>
      </c>
      <c r="F692" s="372">
        <v>2024</v>
      </c>
      <c r="G692" s="372">
        <v>2024</v>
      </c>
      <c r="H692" s="431">
        <v>2024</v>
      </c>
      <c r="I692" s="375" t="s">
        <v>1914</v>
      </c>
      <c r="J692" s="374"/>
      <c r="K692" s="374">
        <v>1203200101</v>
      </c>
      <c r="L692" s="374" t="s">
        <v>351</v>
      </c>
      <c r="M692" s="374" t="s">
        <v>2271</v>
      </c>
      <c r="N692" s="375" t="s">
        <v>1914</v>
      </c>
      <c r="O692" s="374" t="s">
        <v>351</v>
      </c>
      <c r="P692" s="374" t="s">
        <v>2271</v>
      </c>
      <c r="Q692" s="374"/>
      <c r="R692" s="374">
        <v>1203200101</v>
      </c>
      <c r="S692" s="375" t="s">
        <v>24</v>
      </c>
      <c r="T692" s="374" t="s">
        <v>351</v>
      </c>
      <c r="U692" s="374" t="s">
        <v>2271</v>
      </c>
      <c r="V692" s="375">
        <v>6680618</v>
      </c>
      <c r="W692" s="538" t="s">
        <v>1737</v>
      </c>
      <c r="X692" s="375" t="s">
        <v>56</v>
      </c>
      <c r="Y692" s="374" t="s">
        <v>351</v>
      </c>
      <c r="Z692" s="374" t="s">
        <v>2271</v>
      </c>
      <c r="AA692" s="375" t="s">
        <v>2875</v>
      </c>
      <c r="AB692" s="538" t="s">
        <v>1672</v>
      </c>
      <c r="AC692" s="375"/>
      <c r="AD692" s="374"/>
      <c r="AE692" s="374"/>
      <c r="AF692" s="375"/>
      <c r="AG692" s="375"/>
      <c r="AH692" s="375"/>
      <c r="AI692" s="374"/>
      <c r="AJ692" s="374"/>
      <c r="AK692" s="375"/>
      <c r="AL692" s="375"/>
      <c r="AM692" s="375"/>
      <c r="AN692" s="375"/>
      <c r="AO692" s="374"/>
      <c r="AP692" s="375"/>
      <c r="AQ692" s="375"/>
      <c r="AR692" s="375"/>
      <c r="AS692" s="375"/>
      <c r="AT692" s="375"/>
      <c r="AU692" s="375"/>
      <c r="AV692" s="376"/>
    </row>
    <row r="693" spans="1:48" ht="28.8" hidden="1">
      <c r="A693" s="404" t="s">
        <v>2876</v>
      </c>
      <c r="B693" s="425" t="s">
        <v>2877</v>
      </c>
      <c r="C693" s="548"/>
      <c r="D693" s="395" t="s">
        <v>321</v>
      </c>
      <c r="E693" s="395" t="s">
        <v>1750</v>
      </c>
      <c r="F693" s="372">
        <v>2024</v>
      </c>
      <c r="G693" s="372">
        <v>2024</v>
      </c>
      <c r="H693" s="431">
        <v>2024</v>
      </c>
      <c r="I693" s="375" t="s">
        <v>6</v>
      </c>
      <c r="J693" s="374">
        <v>6681051</v>
      </c>
      <c r="K693" s="374" t="s">
        <v>1657</v>
      </c>
      <c r="L693" s="374" t="s">
        <v>351</v>
      </c>
      <c r="M693" s="374" t="s">
        <v>2271</v>
      </c>
      <c r="N693" s="375" t="s">
        <v>2878</v>
      </c>
      <c r="O693" s="374" t="s">
        <v>351</v>
      </c>
      <c r="P693" s="374" t="s">
        <v>2271</v>
      </c>
      <c r="Q693" s="374"/>
      <c r="R693" s="374">
        <v>1104210050</v>
      </c>
      <c r="S693" s="375" t="s">
        <v>6</v>
      </c>
      <c r="T693" s="374" t="s">
        <v>351</v>
      </c>
      <c r="U693" s="374" t="s">
        <v>2271</v>
      </c>
      <c r="V693" s="375">
        <v>6681051</v>
      </c>
      <c r="W693" s="375" t="s">
        <v>1657</v>
      </c>
      <c r="X693" s="375" t="s">
        <v>45</v>
      </c>
      <c r="Y693" s="374" t="s">
        <v>351</v>
      </c>
      <c r="Z693" s="374" t="s">
        <v>2271</v>
      </c>
      <c r="AA693" s="375">
        <v>6826743</v>
      </c>
      <c r="AB693" s="538" t="s">
        <v>1880</v>
      </c>
      <c r="AC693" s="375" t="s">
        <v>50</v>
      </c>
      <c r="AD693" s="374" t="s">
        <v>351</v>
      </c>
      <c r="AE693" s="374" t="s">
        <v>2271</v>
      </c>
      <c r="AF693" s="375">
        <v>6826739</v>
      </c>
      <c r="AG693" s="538" t="s">
        <v>2307</v>
      </c>
      <c r="AH693" s="375" t="s">
        <v>180</v>
      </c>
      <c r="AI693" s="374" t="s">
        <v>353</v>
      </c>
      <c r="AJ693" s="374" t="s">
        <v>2271</v>
      </c>
      <c r="AK693" s="375" t="s">
        <v>2872</v>
      </c>
      <c r="AL693" s="538" t="s">
        <v>1676</v>
      </c>
      <c r="AM693" s="375" t="s">
        <v>17</v>
      </c>
      <c r="AN693" s="375" t="s">
        <v>353</v>
      </c>
      <c r="AO693" s="374" t="s">
        <v>2271</v>
      </c>
      <c r="AP693" s="375" t="s">
        <v>2308</v>
      </c>
      <c r="AQ693" s="375" t="s">
        <v>1036</v>
      </c>
      <c r="AR693" s="375"/>
      <c r="AS693" s="375"/>
      <c r="AT693" s="375"/>
      <c r="AU693" s="375"/>
      <c r="AV693" s="376"/>
    </row>
    <row r="694" spans="1:48" ht="28.8" hidden="1">
      <c r="A694" s="404" t="s">
        <v>2879</v>
      </c>
      <c r="B694" s="425"/>
      <c r="C694" s="548"/>
      <c r="D694" s="395" t="s">
        <v>321</v>
      </c>
      <c r="E694" s="395"/>
      <c r="F694" s="372"/>
      <c r="G694" s="372"/>
      <c r="H694" s="431"/>
      <c r="I694" s="375"/>
      <c r="J694" s="374"/>
      <c r="K694" s="374"/>
      <c r="L694" s="374"/>
      <c r="M694" s="374"/>
      <c r="N694" s="375"/>
      <c r="O694" s="374"/>
      <c r="P694" s="374"/>
      <c r="Q694" s="374"/>
      <c r="R694" s="374"/>
      <c r="S694" s="375"/>
      <c r="T694" s="374"/>
      <c r="U694" s="374"/>
      <c r="V694" s="375"/>
      <c r="W694" s="375"/>
      <c r="X694" s="375"/>
      <c r="Y694" s="374"/>
      <c r="Z694" s="374"/>
      <c r="AA694" s="375"/>
      <c r="AB694" s="375"/>
      <c r="AC694" s="375"/>
      <c r="AD694" s="374"/>
      <c r="AE694" s="374"/>
      <c r="AF694" s="375"/>
      <c r="AG694" s="375"/>
      <c r="AH694" s="375"/>
      <c r="AI694" s="374"/>
      <c r="AJ694" s="374"/>
      <c r="AK694" s="375"/>
      <c r="AL694" s="375"/>
      <c r="AM694" s="375"/>
      <c r="AN694" s="375"/>
      <c r="AO694" s="374"/>
      <c r="AP694" s="375"/>
      <c r="AQ694" s="375"/>
      <c r="AR694" s="375"/>
      <c r="AS694" s="375"/>
      <c r="AT694" s="375"/>
      <c r="AU694" s="375"/>
      <c r="AV694" s="376"/>
    </row>
    <row r="695" spans="1:48" ht="28.8" hidden="1">
      <c r="A695" s="404" t="s">
        <v>2880</v>
      </c>
      <c r="B695" s="425" t="s">
        <v>2877</v>
      </c>
      <c r="C695" s="548"/>
      <c r="D695" s="395" t="s">
        <v>321</v>
      </c>
      <c r="E695" s="395" t="s">
        <v>1750</v>
      </c>
      <c r="F695" s="372">
        <v>2024</v>
      </c>
      <c r="G695" s="372">
        <v>2024</v>
      </c>
      <c r="H695" s="431">
        <v>2024</v>
      </c>
      <c r="I695" s="375"/>
      <c r="J695" s="374"/>
      <c r="K695" s="374"/>
      <c r="L695" s="374"/>
      <c r="M695" s="374"/>
      <c r="N695" s="375" t="s">
        <v>2583</v>
      </c>
      <c r="O695" s="374" t="s">
        <v>351</v>
      </c>
      <c r="P695" s="374" t="s">
        <v>2271</v>
      </c>
      <c r="Q695" s="374"/>
      <c r="R695" s="374">
        <v>1104210024</v>
      </c>
      <c r="S695" s="375" t="s">
        <v>50</v>
      </c>
      <c r="T695" s="374" t="s">
        <v>351</v>
      </c>
      <c r="U695" s="374" t="s">
        <v>2271</v>
      </c>
      <c r="V695" s="375">
        <v>6826739</v>
      </c>
      <c r="W695" s="538" t="s">
        <v>2307</v>
      </c>
      <c r="X695" s="375" t="s">
        <v>6</v>
      </c>
      <c r="Y695" s="374" t="s">
        <v>351</v>
      </c>
      <c r="Z695" s="374" t="s">
        <v>2271</v>
      </c>
      <c r="AA695" s="375">
        <v>6681051</v>
      </c>
      <c r="AB695" s="375" t="s">
        <v>1657</v>
      </c>
      <c r="AC695" s="375" t="s">
        <v>180</v>
      </c>
      <c r="AD695" s="374" t="s">
        <v>353</v>
      </c>
      <c r="AE695" s="374" t="s">
        <v>2271</v>
      </c>
      <c r="AF695" s="375" t="s">
        <v>2872</v>
      </c>
      <c r="AG695" s="538" t="s">
        <v>1676</v>
      </c>
      <c r="AH695" s="375" t="s">
        <v>2881</v>
      </c>
      <c r="AI695" s="374" t="s">
        <v>353</v>
      </c>
      <c r="AJ695" s="374" t="s">
        <v>2271</v>
      </c>
      <c r="AK695" s="375" t="s">
        <v>2308</v>
      </c>
      <c r="AL695" s="375" t="s">
        <v>1036</v>
      </c>
      <c r="AM695" s="375" t="s">
        <v>45</v>
      </c>
      <c r="AN695" s="375" t="s">
        <v>351</v>
      </c>
      <c r="AO695" s="374" t="s">
        <v>2271</v>
      </c>
      <c r="AP695" s="375">
        <v>6826743</v>
      </c>
      <c r="AQ695" s="538" t="s">
        <v>1880</v>
      </c>
      <c r="AR695" s="375" t="s">
        <v>2882</v>
      </c>
      <c r="AS695" s="375" t="s">
        <v>351</v>
      </c>
      <c r="AT695" s="375" t="s">
        <v>2271</v>
      </c>
      <c r="AU695" s="375"/>
      <c r="AV695" s="376">
        <v>1104220037</v>
      </c>
    </row>
    <row r="696" spans="1:48" ht="28.8" hidden="1">
      <c r="A696" s="404" t="s">
        <v>2883</v>
      </c>
      <c r="B696" s="425" t="s">
        <v>2884</v>
      </c>
      <c r="C696" s="548"/>
      <c r="D696" s="395" t="s">
        <v>302</v>
      </c>
      <c r="E696" s="395" t="s">
        <v>1750</v>
      </c>
      <c r="F696" s="372">
        <v>2024</v>
      </c>
      <c r="G696" s="372">
        <v>2024</v>
      </c>
      <c r="H696" s="431">
        <v>2024</v>
      </c>
      <c r="I696" s="375" t="s">
        <v>1376</v>
      </c>
      <c r="J696" s="374"/>
      <c r="K696" s="374">
        <v>1204200004</v>
      </c>
      <c r="L696" s="374" t="s">
        <v>353</v>
      </c>
      <c r="M696" s="374" t="s">
        <v>2271</v>
      </c>
      <c r="N696" s="375" t="s">
        <v>1376</v>
      </c>
      <c r="O696" s="374" t="s">
        <v>353</v>
      </c>
      <c r="P696" s="374" t="s">
        <v>2271</v>
      </c>
      <c r="Q696" s="374"/>
      <c r="R696" s="374">
        <v>1204200004</v>
      </c>
      <c r="S696" s="375" t="s">
        <v>57</v>
      </c>
      <c r="T696" s="374" t="s">
        <v>353</v>
      </c>
      <c r="U696" s="374" t="s">
        <v>2271</v>
      </c>
      <c r="V696" s="538" t="s">
        <v>2885</v>
      </c>
      <c r="W696" s="538" t="s">
        <v>985</v>
      </c>
      <c r="X696" s="375" t="s">
        <v>47</v>
      </c>
      <c r="Y696" s="374" t="s">
        <v>353</v>
      </c>
      <c r="Z696" s="374" t="s">
        <v>2271</v>
      </c>
      <c r="AA696" s="375">
        <v>6680634</v>
      </c>
      <c r="AB696" s="538" t="s">
        <v>989</v>
      </c>
      <c r="AC696" s="375"/>
      <c r="AD696" s="374"/>
      <c r="AE696" s="374"/>
      <c r="AF696" s="375"/>
      <c r="AG696" s="375"/>
      <c r="AH696" s="375"/>
      <c r="AI696" s="374"/>
      <c r="AJ696" s="374"/>
      <c r="AK696" s="375"/>
      <c r="AL696" s="375"/>
      <c r="AM696" s="375"/>
      <c r="AN696" s="375"/>
      <c r="AO696" s="374"/>
      <c r="AP696" s="375"/>
      <c r="AQ696" s="375"/>
      <c r="AR696" s="375"/>
      <c r="AS696" s="375"/>
      <c r="AT696" s="375"/>
      <c r="AU696" s="375"/>
      <c r="AV696" s="376"/>
    </row>
    <row r="697" spans="1:48" ht="28.8" hidden="1">
      <c r="A697" s="404" t="s">
        <v>2886</v>
      </c>
      <c r="B697" s="425" t="s">
        <v>987</v>
      </c>
      <c r="C697" s="548"/>
      <c r="D697" s="395" t="s">
        <v>321</v>
      </c>
      <c r="E697" s="395" t="s">
        <v>1750</v>
      </c>
      <c r="F697" s="372">
        <v>2024</v>
      </c>
      <c r="G697" s="372">
        <v>2024</v>
      </c>
      <c r="H697" s="431">
        <v>2024</v>
      </c>
      <c r="I697" s="375"/>
      <c r="J697" s="374"/>
      <c r="K697" s="374"/>
      <c r="L697" s="374"/>
      <c r="M697" s="374"/>
      <c r="N697" s="375" t="s">
        <v>47</v>
      </c>
      <c r="O697" s="374" t="s">
        <v>353</v>
      </c>
      <c r="P697" s="374" t="s">
        <v>2271</v>
      </c>
      <c r="Q697" s="374">
        <v>6680634</v>
      </c>
      <c r="R697" s="539" t="s">
        <v>989</v>
      </c>
      <c r="S697" s="375" t="s">
        <v>57</v>
      </c>
      <c r="T697" s="374" t="s">
        <v>353</v>
      </c>
      <c r="U697" s="374" t="s">
        <v>2271</v>
      </c>
      <c r="V697" s="538" t="s">
        <v>2885</v>
      </c>
      <c r="W697" s="538" t="s">
        <v>985</v>
      </c>
      <c r="X697" s="375" t="s">
        <v>2887</v>
      </c>
      <c r="Y697" s="374"/>
      <c r="Z697" s="374"/>
      <c r="AA697" s="375"/>
      <c r="AB697" s="375"/>
      <c r="AC697" s="375"/>
      <c r="AD697" s="374"/>
      <c r="AE697" s="374"/>
      <c r="AF697" s="375"/>
      <c r="AG697" s="375"/>
      <c r="AH697" s="375"/>
      <c r="AI697" s="374"/>
      <c r="AJ697" s="374"/>
      <c r="AK697" s="375"/>
      <c r="AL697" s="375"/>
      <c r="AM697" s="375"/>
      <c r="AN697" s="375"/>
      <c r="AO697" s="374"/>
      <c r="AP697" s="375"/>
      <c r="AQ697" s="375"/>
      <c r="AR697" s="375"/>
      <c r="AS697" s="375"/>
      <c r="AT697" s="375"/>
      <c r="AU697" s="375"/>
      <c r="AV697" s="376"/>
    </row>
    <row r="698" spans="1:48" ht="43.2">
      <c r="A698" s="404" t="s">
        <v>2528</v>
      </c>
      <c r="B698" s="425" t="s">
        <v>2888</v>
      </c>
      <c r="C698" s="548" t="s">
        <v>2270</v>
      </c>
      <c r="D698" s="395" t="s">
        <v>313</v>
      </c>
      <c r="E698" s="395"/>
      <c r="F698" s="372">
        <v>2024</v>
      </c>
      <c r="G698" s="372">
        <v>2024</v>
      </c>
      <c r="H698" s="431">
        <v>2024</v>
      </c>
      <c r="I698" s="375" t="s">
        <v>2530</v>
      </c>
      <c r="J698" s="374"/>
      <c r="K698" s="374"/>
      <c r="L698" s="374"/>
      <c r="M698" s="374"/>
      <c r="N698" s="375" t="s">
        <v>2530</v>
      </c>
      <c r="O698" s="374"/>
      <c r="P698" s="374"/>
      <c r="Q698" s="374"/>
      <c r="R698" s="374"/>
      <c r="S698" s="375" t="s">
        <v>6</v>
      </c>
      <c r="T698" s="374" t="s">
        <v>351</v>
      </c>
      <c r="U698" s="374" t="s">
        <v>2271</v>
      </c>
      <c r="V698" s="375">
        <v>6681051</v>
      </c>
      <c r="W698" s="375" t="s">
        <v>1657</v>
      </c>
      <c r="X698" s="375" t="s">
        <v>50</v>
      </c>
      <c r="Y698" s="374" t="s">
        <v>351</v>
      </c>
      <c r="Z698" s="374" t="s">
        <v>2271</v>
      </c>
      <c r="AA698" s="375">
        <v>6826739</v>
      </c>
      <c r="AB698" s="538" t="s">
        <v>2307</v>
      </c>
      <c r="AC698" s="375"/>
      <c r="AD698" s="374"/>
      <c r="AE698" s="374"/>
      <c r="AF698" s="375"/>
      <c r="AG698" s="375"/>
      <c r="AH698" s="375"/>
      <c r="AI698" s="374"/>
      <c r="AJ698" s="374"/>
      <c r="AK698" s="375"/>
      <c r="AL698" s="375"/>
      <c r="AM698" s="375"/>
      <c r="AN698" s="375"/>
      <c r="AO698" s="374"/>
      <c r="AP698" s="375"/>
      <c r="AQ698" s="375"/>
      <c r="AR698" s="375"/>
      <c r="AS698" s="375"/>
      <c r="AT698" s="375"/>
      <c r="AU698" s="375"/>
      <c r="AV698" s="376"/>
    </row>
    <row r="699" spans="1:48" ht="28.8">
      <c r="A699" s="404" t="s">
        <v>2889</v>
      </c>
      <c r="B699" s="425" t="s">
        <v>2890</v>
      </c>
      <c r="C699" s="548" t="s">
        <v>2275</v>
      </c>
      <c r="D699" s="395" t="s">
        <v>313</v>
      </c>
      <c r="E699" s="395"/>
      <c r="F699" s="372">
        <v>2024</v>
      </c>
      <c r="G699" s="372">
        <v>2024</v>
      </c>
      <c r="H699" s="431">
        <v>2024</v>
      </c>
      <c r="I699" s="375" t="s">
        <v>114</v>
      </c>
      <c r="J699" s="374">
        <v>6826727</v>
      </c>
      <c r="K699" s="539" t="s">
        <v>2276</v>
      </c>
      <c r="L699" s="374" t="s">
        <v>449</v>
      </c>
      <c r="M699" s="374" t="s">
        <v>2271</v>
      </c>
      <c r="N699" s="375" t="s">
        <v>114</v>
      </c>
      <c r="O699" s="374" t="s">
        <v>449</v>
      </c>
      <c r="P699" s="374" t="s">
        <v>2271</v>
      </c>
      <c r="Q699" s="374">
        <v>6826727</v>
      </c>
      <c r="R699" s="539" t="s">
        <v>2276</v>
      </c>
      <c r="S699" s="375" t="s">
        <v>57</v>
      </c>
      <c r="T699" s="374" t="s">
        <v>353</v>
      </c>
      <c r="U699" s="374" t="s">
        <v>2271</v>
      </c>
      <c r="V699" s="538" t="s">
        <v>2885</v>
      </c>
      <c r="W699" s="538" t="s">
        <v>985</v>
      </c>
      <c r="X699" s="375" t="s">
        <v>30</v>
      </c>
      <c r="Y699" s="374" t="s">
        <v>353</v>
      </c>
      <c r="Z699" s="374" t="s">
        <v>2271</v>
      </c>
      <c r="AA699" s="375">
        <v>6680623</v>
      </c>
      <c r="AB699" s="538" t="s">
        <v>1841</v>
      </c>
      <c r="AC699" s="375" t="s">
        <v>2891</v>
      </c>
      <c r="AD699" s="374" t="s">
        <v>449</v>
      </c>
      <c r="AE699" s="374" t="s">
        <v>2271</v>
      </c>
      <c r="AF699" s="375"/>
      <c r="AG699" s="375">
        <v>1202202061</v>
      </c>
      <c r="AH699" s="375" t="s">
        <v>2892</v>
      </c>
      <c r="AI699" s="374" t="s">
        <v>351</v>
      </c>
      <c r="AJ699" s="374" t="s">
        <v>2271</v>
      </c>
      <c r="AK699" s="375"/>
      <c r="AL699" s="375">
        <v>1202202044</v>
      </c>
      <c r="AM699" s="375" t="s">
        <v>2278</v>
      </c>
      <c r="AN699" s="375" t="s">
        <v>351</v>
      </c>
      <c r="AO699" s="374" t="s">
        <v>2271</v>
      </c>
      <c r="AP699" s="375"/>
      <c r="AQ699" s="375">
        <v>1202200014</v>
      </c>
      <c r="AR699" s="375" t="s">
        <v>2893</v>
      </c>
      <c r="AS699" s="375"/>
      <c r="AT699" s="375"/>
      <c r="AU699" s="375"/>
      <c r="AV699" s="376"/>
    </row>
    <row r="700" spans="1:48" ht="43.2" hidden="1">
      <c r="A700" s="404" t="s">
        <v>2894</v>
      </c>
      <c r="B700" s="425" t="s">
        <v>2895</v>
      </c>
      <c r="C700" s="548"/>
      <c r="D700" s="395" t="s">
        <v>302</v>
      </c>
      <c r="E700" s="395" t="s">
        <v>1750</v>
      </c>
      <c r="F700" s="372">
        <v>2024</v>
      </c>
      <c r="G700" s="372">
        <v>2024</v>
      </c>
      <c r="H700" s="431">
        <v>2024</v>
      </c>
      <c r="I700" s="375"/>
      <c r="J700" s="374"/>
      <c r="K700" s="374"/>
      <c r="L700" s="374"/>
      <c r="M700" s="374"/>
      <c r="N700" s="375" t="s">
        <v>2896</v>
      </c>
      <c r="O700" s="374" t="s">
        <v>353</v>
      </c>
      <c r="P700" s="374" t="s">
        <v>2271</v>
      </c>
      <c r="Q700" s="374"/>
      <c r="R700" s="374">
        <v>1204200044</v>
      </c>
      <c r="S700" s="375" t="s">
        <v>30</v>
      </c>
      <c r="T700" s="374" t="s">
        <v>353</v>
      </c>
      <c r="U700" s="374" t="s">
        <v>2271</v>
      </c>
      <c r="V700" s="375">
        <v>6680623</v>
      </c>
      <c r="W700" s="538" t="s">
        <v>1841</v>
      </c>
      <c r="X700" s="375" t="s">
        <v>39</v>
      </c>
      <c r="Y700" s="374" t="s">
        <v>353</v>
      </c>
      <c r="Z700" s="374" t="s">
        <v>2271</v>
      </c>
      <c r="AA700" s="375">
        <v>6801883</v>
      </c>
      <c r="AB700" s="538" t="s">
        <v>1751</v>
      </c>
      <c r="AC700" s="375"/>
      <c r="AD700" s="374"/>
      <c r="AE700" s="374"/>
      <c r="AF700" s="375"/>
      <c r="AG700" s="375"/>
      <c r="AH700" s="375"/>
      <c r="AI700" s="374"/>
      <c r="AJ700" s="374"/>
      <c r="AK700" s="375"/>
      <c r="AL700" s="375"/>
      <c r="AM700" s="375"/>
      <c r="AN700" s="375"/>
      <c r="AO700" s="374"/>
      <c r="AP700" s="375"/>
      <c r="AQ700" s="375"/>
      <c r="AR700" s="375"/>
      <c r="AS700" s="375"/>
      <c r="AT700" s="375"/>
      <c r="AU700" s="375"/>
      <c r="AV700" s="376"/>
    </row>
    <row r="701" spans="1:48" ht="43.2">
      <c r="A701" s="404" t="s">
        <v>2897</v>
      </c>
      <c r="B701" s="425" t="s">
        <v>1735</v>
      </c>
      <c r="C701" s="548" t="s">
        <v>2270</v>
      </c>
      <c r="D701" s="395" t="s">
        <v>374</v>
      </c>
      <c r="E701" s="395" t="s">
        <v>1750</v>
      </c>
      <c r="F701" s="372">
        <v>2024</v>
      </c>
      <c r="G701" s="372">
        <v>2024</v>
      </c>
      <c r="H701" s="431">
        <v>2024</v>
      </c>
      <c r="I701" s="375" t="s">
        <v>85</v>
      </c>
      <c r="J701" s="374">
        <v>6680708</v>
      </c>
      <c r="K701" s="539" t="s">
        <v>2436</v>
      </c>
      <c r="L701" s="374" t="s">
        <v>309</v>
      </c>
      <c r="M701" s="374" t="s">
        <v>2271</v>
      </c>
      <c r="N701" s="375" t="s">
        <v>85</v>
      </c>
      <c r="O701" s="374" t="s">
        <v>309</v>
      </c>
      <c r="P701" s="374" t="s">
        <v>2271</v>
      </c>
      <c r="Q701" s="374">
        <v>6680708</v>
      </c>
      <c r="R701" s="539" t="s">
        <v>2436</v>
      </c>
      <c r="S701" s="375" t="s">
        <v>92</v>
      </c>
      <c r="T701" s="374" t="s">
        <v>279</v>
      </c>
      <c r="U701" s="374" t="s">
        <v>2271</v>
      </c>
      <c r="V701" s="375">
        <v>6680641</v>
      </c>
      <c r="W701" s="538" t="s">
        <v>1794</v>
      </c>
      <c r="X701" s="375" t="s">
        <v>6</v>
      </c>
      <c r="Y701" s="374" t="s">
        <v>351</v>
      </c>
      <c r="Z701" s="374" t="s">
        <v>2271</v>
      </c>
      <c r="AA701" s="375">
        <v>6681051</v>
      </c>
      <c r="AB701" s="375" t="s">
        <v>1657</v>
      </c>
      <c r="AC701" s="375" t="s">
        <v>1088</v>
      </c>
      <c r="AD701" s="374" t="s">
        <v>309</v>
      </c>
      <c r="AE701" s="374" t="s">
        <v>2271</v>
      </c>
      <c r="AF701" s="375"/>
      <c r="AG701" s="375">
        <v>1103210015</v>
      </c>
      <c r="AH701" s="375" t="s">
        <v>2898</v>
      </c>
      <c r="AI701" s="374" t="s">
        <v>309</v>
      </c>
      <c r="AJ701" s="374" t="s">
        <v>2271</v>
      </c>
      <c r="AK701" s="375"/>
      <c r="AL701" s="375">
        <v>1103220005</v>
      </c>
      <c r="AM701" s="375" t="s">
        <v>2439</v>
      </c>
      <c r="AN701" s="375" t="s">
        <v>309</v>
      </c>
      <c r="AO701" s="374" t="s">
        <v>2271</v>
      </c>
      <c r="AP701" s="375"/>
      <c r="AQ701" s="375">
        <v>1103229001</v>
      </c>
      <c r="AR701" s="375" t="s">
        <v>2899</v>
      </c>
      <c r="AS701" s="375"/>
      <c r="AT701" s="375"/>
      <c r="AU701" s="375"/>
      <c r="AV701" s="376"/>
    </row>
    <row r="702" spans="1:48" ht="28.8">
      <c r="A702" s="404" t="s">
        <v>2900</v>
      </c>
      <c r="B702" s="425" t="s">
        <v>2864</v>
      </c>
      <c r="C702" s="548" t="s">
        <v>2270</v>
      </c>
      <c r="D702" s="395" t="s">
        <v>321</v>
      </c>
      <c r="E702" s="395" t="s">
        <v>1750</v>
      </c>
      <c r="F702" s="372">
        <v>2024</v>
      </c>
      <c r="G702" s="372">
        <v>2024</v>
      </c>
      <c r="H702" s="431">
        <v>2024</v>
      </c>
      <c r="I702" s="375" t="s">
        <v>180</v>
      </c>
      <c r="J702" s="374" t="s">
        <v>2872</v>
      </c>
      <c r="K702" s="539" t="s">
        <v>1676</v>
      </c>
      <c r="L702" s="374" t="s">
        <v>353</v>
      </c>
      <c r="M702" s="374" t="s">
        <v>2271</v>
      </c>
      <c r="N702" s="375" t="s">
        <v>180</v>
      </c>
      <c r="O702" s="374" t="s">
        <v>353</v>
      </c>
      <c r="P702" s="374" t="s">
        <v>2271</v>
      </c>
      <c r="Q702" s="374">
        <v>6787771</v>
      </c>
      <c r="R702" s="539" t="s">
        <v>1676</v>
      </c>
      <c r="S702" s="375" t="s">
        <v>183</v>
      </c>
      <c r="T702" s="374" t="s">
        <v>353</v>
      </c>
      <c r="U702" s="374" t="s">
        <v>2271</v>
      </c>
      <c r="V702" s="375">
        <v>6832969</v>
      </c>
      <c r="W702" s="538" t="s">
        <v>2901</v>
      </c>
      <c r="X702" s="375" t="s">
        <v>185</v>
      </c>
      <c r="Y702" s="374" t="s">
        <v>353</v>
      </c>
      <c r="Z702" s="374" t="s">
        <v>2271</v>
      </c>
      <c r="AA702" s="375">
        <v>6834400</v>
      </c>
      <c r="AB702" s="538" t="s">
        <v>2698</v>
      </c>
      <c r="AC702" s="375" t="s">
        <v>2902</v>
      </c>
      <c r="AD702" s="374" t="s">
        <v>353</v>
      </c>
      <c r="AE702" s="374" t="s">
        <v>2271</v>
      </c>
      <c r="AF702" s="375"/>
      <c r="AG702" s="375">
        <v>1204200046</v>
      </c>
      <c r="AH702" s="375" t="s">
        <v>2903</v>
      </c>
      <c r="AI702" s="374" t="s">
        <v>353</v>
      </c>
      <c r="AJ702" s="374" t="s">
        <v>2271</v>
      </c>
      <c r="AK702" s="375"/>
      <c r="AL702" s="375">
        <v>1204200063</v>
      </c>
      <c r="AM702" s="375" t="s">
        <v>2904</v>
      </c>
      <c r="AN702" s="375" t="s">
        <v>353</v>
      </c>
      <c r="AO702" s="374" t="s">
        <v>2271</v>
      </c>
      <c r="AP702" s="375"/>
      <c r="AQ702" s="375">
        <v>1204200015</v>
      </c>
      <c r="AR702" s="375" t="s">
        <v>2905</v>
      </c>
      <c r="AS702" s="375" t="s">
        <v>620</v>
      </c>
      <c r="AT702" s="375" t="s">
        <v>2271</v>
      </c>
      <c r="AU702" s="375"/>
      <c r="AV702" s="376">
        <v>1203220158</v>
      </c>
    </row>
    <row r="703" spans="1:48" ht="57.6" hidden="1">
      <c r="A703" s="404" t="s">
        <v>2906</v>
      </c>
      <c r="B703" s="425" t="s">
        <v>2907</v>
      </c>
      <c r="C703" s="548"/>
      <c r="D703" s="395" t="s">
        <v>277</v>
      </c>
      <c r="E703" s="395"/>
      <c r="F703" s="372">
        <v>2024</v>
      </c>
      <c r="G703" s="372">
        <v>2024</v>
      </c>
      <c r="H703" s="431">
        <v>2024</v>
      </c>
      <c r="I703" s="375" t="s">
        <v>2770</v>
      </c>
      <c r="J703" s="374"/>
      <c r="K703" s="374"/>
      <c r="L703" s="374"/>
      <c r="M703" s="374"/>
      <c r="N703" s="375" t="s">
        <v>2908</v>
      </c>
      <c r="O703" s="374"/>
      <c r="P703" s="374"/>
      <c r="Q703" s="374"/>
      <c r="R703" s="374"/>
      <c r="S703" s="375" t="s">
        <v>185</v>
      </c>
      <c r="T703" s="374" t="s">
        <v>353</v>
      </c>
      <c r="U703" s="374" t="s">
        <v>2271</v>
      </c>
      <c r="V703" s="375">
        <v>6834400</v>
      </c>
      <c r="W703" s="538" t="s">
        <v>2698</v>
      </c>
      <c r="X703" s="375" t="s">
        <v>2909</v>
      </c>
      <c r="Y703" s="374"/>
      <c r="Z703" s="374"/>
      <c r="AA703" s="375"/>
      <c r="AB703" s="375"/>
      <c r="AC703" s="375" t="s">
        <v>2910</v>
      </c>
      <c r="AD703" s="374"/>
      <c r="AE703" s="374"/>
      <c r="AF703" s="375"/>
      <c r="AG703" s="375"/>
      <c r="AH703" s="375"/>
      <c r="AI703" s="374"/>
      <c r="AJ703" s="374"/>
      <c r="AK703" s="375"/>
      <c r="AL703" s="375"/>
      <c r="AM703" s="375"/>
      <c r="AN703" s="375"/>
      <c r="AO703" s="374"/>
      <c r="AP703" s="375"/>
      <c r="AQ703" s="375"/>
      <c r="AR703" s="375"/>
      <c r="AS703" s="375"/>
      <c r="AT703" s="375"/>
      <c r="AU703" s="375"/>
      <c r="AV703" s="376"/>
    </row>
    <row r="704" spans="1:48" ht="43.2" hidden="1">
      <c r="A704" s="404" t="s">
        <v>2911</v>
      </c>
      <c r="B704" s="425" t="s">
        <v>2912</v>
      </c>
      <c r="C704" s="548"/>
      <c r="D704" s="395" t="s">
        <v>277</v>
      </c>
      <c r="E704" s="395"/>
      <c r="F704" s="372">
        <v>2024</v>
      </c>
      <c r="G704" s="372">
        <v>2024</v>
      </c>
      <c r="H704" s="431">
        <v>2024</v>
      </c>
      <c r="I704" s="375"/>
      <c r="J704" s="374"/>
      <c r="K704" s="374"/>
      <c r="L704" s="374"/>
      <c r="M704" s="374"/>
      <c r="N704" s="375" t="s">
        <v>26</v>
      </c>
      <c r="O704" s="374" t="s">
        <v>686</v>
      </c>
      <c r="P704" s="374" t="s">
        <v>2271</v>
      </c>
      <c r="Q704" s="374" t="s">
        <v>2913</v>
      </c>
      <c r="R704" s="539" t="s">
        <v>982</v>
      </c>
      <c r="S704" s="375" t="s">
        <v>2914</v>
      </c>
      <c r="T704" s="374"/>
      <c r="U704" s="374"/>
      <c r="V704" s="375"/>
      <c r="W704" s="375"/>
      <c r="X704" s="375" t="s">
        <v>2003</v>
      </c>
      <c r="Y704" s="374"/>
      <c r="Z704" s="374"/>
      <c r="AA704" s="375"/>
      <c r="AB704" s="375"/>
      <c r="AC704" s="375"/>
      <c r="AD704" s="374"/>
      <c r="AE704" s="374"/>
      <c r="AF704" s="375"/>
      <c r="AG704" s="375"/>
      <c r="AH704" s="375"/>
      <c r="AI704" s="374"/>
      <c r="AJ704" s="374"/>
      <c r="AK704" s="375"/>
      <c r="AL704" s="375"/>
      <c r="AM704" s="375"/>
      <c r="AN704" s="375"/>
      <c r="AO704" s="374"/>
      <c r="AP704" s="375"/>
      <c r="AQ704" s="375"/>
      <c r="AR704" s="375"/>
      <c r="AS704" s="375"/>
      <c r="AT704" s="375"/>
      <c r="AU704" s="375"/>
      <c r="AV704" s="376"/>
    </row>
    <row r="705" spans="1:48" ht="28.8" hidden="1">
      <c r="A705" s="404" t="s">
        <v>2915</v>
      </c>
      <c r="B705" s="425" t="s">
        <v>2916</v>
      </c>
      <c r="C705" s="548"/>
      <c r="D705" s="395" t="s">
        <v>313</v>
      </c>
      <c r="E705" s="395"/>
      <c r="F705" s="372">
        <v>2024</v>
      </c>
      <c r="G705" s="372">
        <v>2024</v>
      </c>
      <c r="H705" s="431">
        <v>2024</v>
      </c>
      <c r="I705" s="375"/>
      <c r="J705" s="374"/>
      <c r="K705" s="374"/>
      <c r="L705" s="374"/>
      <c r="M705" s="374"/>
      <c r="N705" s="375" t="s">
        <v>185</v>
      </c>
      <c r="O705" s="374" t="s">
        <v>353</v>
      </c>
      <c r="P705" s="374" t="s">
        <v>2271</v>
      </c>
      <c r="Q705" s="374">
        <v>6834400</v>
      </c>
      <c r="R705" s="539" t="s">
        <v>2698</v>
      </c>
      <c r="S705" s="375" t="s">
        <v>2770</v>
      </c>
      <c r="T705" s="374"/>
      <c r="U705" s="374"/>
      <c r="V705" s="375"/>
      <c r="W705" s="375"/>
      <c r="X705" s="375"/>
      <c r="Y705" s="374"/>
      <c r="Z705" s="374"/>
      <c r="AA705" s="375"/>
      <c r="AB705" s="375"/>
      <c r="AC705" s="375"/>
      <c r="AD705" s="374"/>
      <c r="AE705" s="374"/>
      <c r="AF705" s="375"/>
      <c r="AG705" s="375"/>
      <c r="AH705" s="375"/>
      <c r="AI705" s="374"/>
      <c r="AJ705" s="374"/>
      <c r="AK705" s="375"/>
      <c r="AL705" s="375"/>
      <c r="AM705" s="375"/>
      <c r="AN705" s="375"/>
      <c r="AO705" s="374"/>
      <c r="AP705" s="375"/>
      <c r="AQ705" s="375"/>
      <c r="AR705" s="375"/>
      <c r="AS705" s="375"/>
      <c r="AT705" s="375"/>
      <c r="AU705" s="375"/>
      <c r="AV705" s="376"/>
    </row>
    <row r="706" spans="1:48" ht="28.8" hidden="1">
      <c r="A706" s="404" t="s">
        <v>2917</v>
      </c>
      <c r="B706" s="425" t="s">
        <v>2918</v>
      </c>
      <c r="C706" s="548"/>
      <c r="D706" s="395" t="s">
        <v>374</v>
      </c>
      <c r="E706" s="395" t="s">
        <v>1750</v>
      </c>
      <c r="F706" s="372">
        <v>2024</v>
      </c>
      <c r="G706" s="372">
        <v>2024</v>
      </c>
      <c r="H706" s="431">
        <v>2024</v>
      </c>
      <c r="I706" s="375"/>
      <c r="J706" s="374"/>
      <c r="K706" s="374"/>
      <c r="L706" s="374"/>
      <c r="M706" s="374"/>
      <c r="N706" s="375" t="s">
        <v>2919</v>
      </c>
      <c r="O706" s="374"/>
      <c r="P706" s="374"/>
      <c r="Q706" s="374"/>
      <c r="R706" s="374"/>
      <c r="S706" s="375" t="s">
        <v>184</v>
      </c>
      <c r="T706" s="374" t="s">
        <v>353</v>
      </c>
      <c r="U706" s="374" t="s">
        <v>2271</v>
      </c>
      <c r="V706" s="375" t="s">
        <v>2920</v>
      </c>
      <c r="W706" s="538" t="s">
        <v>2343</v>
      </c>
      <c r="X706" s="375" t="s">
        <v>2921</v>
      </c>
      <c r="Y706" s="374"/>
      <c r="Z706" s="374"/>
      <c r="AA706" s="375"/>
      <c r="AB706" s="375"/>
      <c r="AC706" s="375"/>
      <c r="AD706" s="374"/>
      <c r="AE706" s="374"/>
      <c r="AF706" s="375"/>
      <c r="AG706" s="375"/>
      <c r="AH706" s="375"/>
      <c r="AI706" s="374"/>
      <c r="AJ706" s="374"/>
      <c r="AK706" s="375"/>
      <c r="AL706" s="375"/>
      <c r="AM706" s="375"/>
      <c r="AN706" s="375"/>
      <c r="AO706" s="374"/>
      <c r="AP706" s="375"/>
      <c r="AQ706" s="375"/>
      <c r="AR706" s="375"/>
      <c r="AS706" s="375"/>
      <c r="AT706" s="375"/>
      <c r="AU706" s="375"/>
      <c r="AV706" s="376"/>
    </row>
    <row r="707" spans="1:48" ht="28.8">
      <c r="A707" s="404" t="s">
        <v>2922</v>
      </c>
      <c r="B707" s="425" t="s">
        <v>2923</v>
      </c>
      <c r="C707" s="548" t="s">
        <v>2270</v>
      </c>
      <c r="D707" s="395" t="s">
        <v>313</v>
      </c>
      <c r="E707" s="395"/>
      <c r="F707" s="372">
        <v>2024</v>
      </c>
      <c r="G707" s="372">
        <v>2024</v>
      </c>
      <c r="H707" s="431">
        <v>2024</v>
      </c>
      <c r="I707" s="375" t="s">
        <v>2919</v>
      </c>
      <c r="J707" s="374"/>
      <c r="K707" s="374"/>
      <c r="L707" s="374"/>
      <c r="M707" s="374"/>
      <c r="N707" s="375" t="s">
        <v>2919</v>
      </c>
      <c r="O707" s="374"/>
      <c r="P707" s="374"/>
      <c r="Q707" s="374"/>
      <c r="R707" s="374"/>
      <c r="S707" s="375" t="s">
        <v>2530</v>
      </c>
      <c r="T707" s="374"/>
      <c r="U707" s="374"/>
      <c r="V707" s="375"/>
      <c r="W707" s="375"/>
      <c r="X707" s="375" t="s">
        <v>184</v>
      </c>
      <c r="Y707" s="374" t="s">
        <v>353</v>
      </c>
      <c r="Z707" s="374" t="s">
        <v>2271</v>
      </c>
      <c r="AA707" s="375" t="s">
        <v>2920</v>
      </c>
      <c r="AB707" s="538" t="s">
        <v>2343</v>
      </c>
      <c r="AC707" s="375" t="s">
        <v>2924</v>
      </c>
      <c r="AD707" s="374"/>
      <c r="AE707" s="374"/>
      <c r="AF707" s="375"/>
      <c r="AG707" s="375"/>
      <c r="AH707" s="375" t="s">
        <v>2925</v>
      </c>
      <c r="AI707" s="374"/>
      <c r="AJ707" s="374"/>
      <c r="AK707" s="375"/>
      <c r="AL707" s="375"/>
      <c r="AM707" s="375"/>
      <c r="AN707" s="375"/>
      <c r="AO707" s="374"/>
      <c r="AP707" s="375"/>
      <c r="AQ707" s="375"/>
      <c r="AR707" s="375"/>
      <c r="AS707" s="375"/>
      <c r="AT707" s="375"/>
      <c r="AU707" s="375"/>
      <c r="AV707" s="376"/>
    </row>
    <row r="708" spans="1:48" ht="28.8" hidden="1">
      <c r="A708" s="404" t="s">
        <v>2926</v>
      </c>
      <c r="B708" s="425" t="s">
        <v>2927</v>
      </c>
      <c r="C708" s="548"/>
      <c r="D708" s="395" t="s">
        <v>321</v>
      </c>
      <c r="E708" s="395" t="s">
        <v>1750</v>
      </c>
      <c r="F708" s="372">
        <v>2024</v>
      </c>
      <c r="G708" s="372">
        <v>2024</v>
      </c>
      <c r="H708" s="431">
        <v>2024</v>
      </c>
      <c r="I708" s="375" t="s">
        <v>179</v>
      </c>
      <c r="J708" s="374">
        <v>6789028</v>
      </c>
      <c r="K708" s="539" t="s">
        <v>1917</v>
      </c>
      <c r="L708" s="374" t="s">
        <v>353</v>
      </c>
      <c r="M708" s="374" t="s">
        <v>2271</v>
      </c>
      <c r="N708" s="375" t="s">
        <v>179</v>
      </c>
      <c r="O708" s="374" t="s">
        <v>353</v>
      </c>
      <c r="P708" s="374" t="s">
        <v>2271</v>
      </c>
      <c r="Q708" s="374">
        <v>6789028</v>
      </c>
      <c r="R708" s="539" t="s">
        <v>1917</v>
      </c>
      <c r="S708" s="375" t="s">
        <v>37</v>
      </c>
      <c r="T708" s="374" t="s">
        <v>353</v>
      </c>
      <c r="U708" s="374" t="s">
        <v>2271</v>
      </c>
      <c r="V708" s="375">
        <v>6835039</v>
      </c>
      <c r="W708" s="538" t="s">
        <v>2009</v>
      </c>
      <c r="X708" s="375" t="s">
        <v>33</v>
      </c>
      <c r="Y708" s="374" t="s">
        <v>353</v>
      </c>
      <c r="Z708" s="374" t="s">
        <v>2271</v>
      </c>
      <c r="AA708" s="375">
        <v>6826699</v>
      </c>
      <c r="AB708" s="538" t="s">
        <v>1905</v>
      </c>
      <c r="AC708" s="375" t="s">
        <v>2928</v>
      </c>
      <c r="AD708" s="374" t="s">
        <v>353</v>
      </c>
      <c r="AE708" s="374" t="s">
        <v>2271</v>
      </c>
      <c r="AF708" s="375"/>
      <c r="AG708" s="375">
        <v>1204210010</v>
      </c>
      <c r="AH708" s="375" t="s">
        <v>2929</v>
      </c>
      <c r="AI708" s="374" t="s">
        <v>353</v>
      </c>
      <c r="AJ708" s="374" t="s">
        <v>2271</v>
      </c>
      <c r="AK708" s="375"/>
      <c r="AL708" s="375">
        <v>1204210047</v>
      </c>
      <c r="AM708" s="375" t="s">
        <v>2930</v>
      </c>
      <c r="AN708" s="375" t="s">
        <v>353</v>
      </c>
      <c r="AO708" s="374" t="s">
        <v>2271</v>
      </c>
      <c r="AP708" s="375"/>
      <c r="AQ708" s="375">
        <v>1204210134</v>
      </c>
      <c r="AR708" s="375"/>
      <c r="AS708" s="375"/>
      <c r="AT708" s="375"/>
      <c r="AU708" s="375"/>
      <c r="AV708" s="376"/>
    </row>
    <row r="709" spans="1:48" hidden="1">
      <c r="A709" s="404" t="s">
        <v>2931</v>
      </c>
      <c r="B709" s="425"/>
      <c r="C709" s="548"/>
      <c r="D709" s="395" t="s">
        <v>321</v>
      </c>
      <c r="E709" s="395"/>
      <c r="F709" s="372"/>
      <c r="G709" s="372"/>
      <c r="H709" s="431"/>
      <c r="I709" s="375"/>
      <c r="J709" s="374"/>
      <c r="K709" s="374"/>
      <c r="L709" s="374"/>
      <c r="M709" s="374"/>
      <c r="N709" s="375"/>
      <c r="O709" s="374"/>
      <c r="P709" s="374"/>
      <c r="Q709" s="374"/>
      <c r="R709" s="374"/>
      <c r="S709" s="375"/>
      <c r="T709" s="374"/>
      <c r="U709" s="374"/>
      <c r="V709" s="375"/>
      <c r="W709" s="375"/>
      <c r="X709" s="375"/>
      <c r="Y709" s="374"/>
      <c r="Z709" s="374"/>
      <c r="AA709" s="375"/>
      <c r="AB709" s="375"/>
      <c r="AC709" s="375"/>
      <c r="AD709" s="374"/>
      <c r="AE709" s="374"/>
      <c r="AF709" s="375"/>
      <c r="AG709" s="375"/>
      <c r="AH709" s="375"/>
      <c r="AI709" s="374"/>
      <c r="AJ709" s="374"/>
      <c r="AK709" s="375"/>
      <c r="AL709" s="375"/>
      <c r="AM709" s="375"/>
      <c r="AN709" s="375"/>
      <c r="AO709" s="374"/>
      <c r="AP709" s="375"/>
      <c r="AQ709" s="375"/>
      <c r="AR709" s="375"/>
      <c r="AS709" s="375"/>
      <c r="AT709" s="375"/>
      <c r="AU709" s="375"/>
      <c r="AV709" s="376"/>
    </row>
    <row r="710" spans="1:48" ht="28.8" hidden="1">
      <c r="A710" s="404" t="s">
        <v>2932</v>
      </c>
      <c r="B710" s="425" t="s">
        <v>2933</v>
      </c>
      <c r="C710" s="548"/>
      <c r="D710" s="395" t="s">
        <v>374</v>
      </c>
      <c r="E710" s="395" t="s">
        <v>1750</v>
      </c>
      <c r="F710" s="372">
        <v>2024</v>
      </c>
      <c r="G710" s="372">
        <v>2024</v>
      </c>
      <c r="H710" s="431">
        <v>2024</v>
      </c>
      <c r="I710" s="375" t="s">
        <v>2934</v>
      </c>
      <c r="J710" s="374"/>
      <c r="K710" s="374">
        <v>1204200148</v>
      </c>
      <c r="L710" s="374" t="s">
        <v>353</v>
      </c>
      <c r="M710" s="374" t="s">
        <v>2271</v>
      </c>
      <c r="N710" s="375" t="s">
        <v>2934</v>
      </c>
      <c r="O710" s="374" t="s">
        <v>353</v>
      </c>
      <c r="P710" s="374" t="s">
        <v>2271</v>
      </c>
      <c r="Q710" s="374"/>
      <c r="R710" s="374">
        <v>1204200148</v>
      </c>
      <c r="S710" s="375" t="s">
        <v>176</v>
      </c>
      <c r="T710" s="374" t="s">
        <v>2613</v>
      </c>
      <c r="U710" s="374" t="s">
        <v>2271</v>
      </c>
      <c r="V710" s="375">
        <v>6756318</v>
      </c>
      <c r="W710" s="538" t="s">
        <v>950</v>
      </c>
      <c r="X710" s="375" t="s">
        <v>37</v>
      </c>
      <c r="Y710" s="374" t="s">
        <v>353</v>
      </c>
      <c r="Z710" s="374" t="s">
        <v>2271</v>
      </c>
      <c r="AA710" s="375">
        <v>6835039</v>
      </c>
      <c r="AB710" s="538" t="s">
        <v>2009</v>
      </c>
      <c r="AC710" s="375"/>
      <c r="AD710" s="374"/>
      <c r="AE710" s="374"/>
      <c r="AF710" s="375"/>
      <c r="AG710" s="375"/>
      <c r="AH710" s="375"/>
      <c r="AI710" s="374"/>
      <c r="AJ710" s="374"/>
      <c r="AK710" s="375"/>
      <c r="AL710" s="375"/>
      <c r="AM710" s="375"/>
      <c r="AN710" s="375"/>
      <c r="AO710" s="374"/>
      <c r="AP710" s="375"/>
      <c r="AQ710" s="375"/>
      <c r="AR710" s="375"/>
      <c r="AS710" s="375"/>
      <c r="AT710" s="375"/>
      <c r="AU710" s="375"/>
      <c r="AV710" s="376"/>
    </row>
    <row r="711" spans="1:48" ht="28.8" hidden="1">
      <c r="A711" s="404" t="s">
        <v>2935</v>
      </c>
      <c r="B711" s="425" t="s">
        <v>2936</v>
      </c>
      <c r="C711" s="548"/>
      <c r="D711" s="395" t="s">
        <v>374</v>
      </c>
      <c r="E711" s="395" t="s">
        <v>1750</v>
      </c>
      <c r="F711" s="372">
        <v>2024</v>
      </c>
      <c r="G711" s="372">
        <v>2024</v>
      </c>
      <c r="H711" s="431">
        <v>2024</v>
      </c>
      <c r="I711" s="375" t="s">
        <v>37</v>
      </c>
      <c r="J711" s="374">
        <v>6835039</v>
      </c>
      <c r="K711" s="539" t="s">
        <v>2009</v>
      </c>
      <c r="L711" s="374" t="s">
        <v>353</v>
      </c>
      <c r="M711" s="374" t="s">
        <v>2271</v>
      </c>
      <c r="N711" s="375" t="s">
        <v>37</v>
      </c>
      <c r="O711" s="374" t="s">
        <v>353</v>
      </c>
      <c r="P711" s="374" t="s">
        <v>2271</v>
      </c>
      <c r="Q711" s="374">
        <v>6835039</v>
      </c>
      <c r="R711" s="539" t="s">
        <v>2009</v>
      </c>
      <c r="S711" s="375" t="s">
        <v>67</v>
      </c>
      <c r="T711" s="374" t="s">
        <v>353</v>
      </c>
      <c r="U711" s="374" t="s">
        <v>2271</v>
      </c>
      <c r="V711" s="375">
        <v>6099359</v>
      </c>
      <c r="W711" s="375" t="s">
        <v>977</v>
      </c>
      <c r="X711" s="375"/>
      <c r="Y711" s="374"/>
      <c r="Z711" s="374"/>
      <c r="AA711" s="375"/>
      <c r="AB711" s="375"/>
      <c r="AC711" s="375"/>
      <c r="AD711" s="374"/>
      <c r="AE711" s="374"/>
      <c r="AF711" s="375"/>
      <c r="AG711" s="375"/>
      <c r="AH711" s="375"/>
      <c r="AI711" s="374"/>
      <c r="AJ711" s="374"/>
      <c r="AK711" s="375"/>
      <c r="AL711" s="375"/>
      <c r="AM711" s="375"/>
      <c r="AN711" s="375"/>
      <c r="AO711" s="374"/>
      <c r="AP711" s="375"/>
      <c r="AQ711" s="375"/>
      <c r="AR711" s="375"/>
      <c r="AS711" s="375"/>
      <c r="AT711" s="375"/>
      <c r="AU711" s="375"/>
      <c r="AV711" s="376"/>
    </row>
    <row r="712" spans="1:48" ht="28.8">
      <c r="A712" s="404" t="s">
        <v>2937</v>
      </c>
      <c r="B712" s="425" t="s">
        <v>2938</v>
      </c>
      <c r="C712" s="548" t="s">
        <v>2270</v>
      </c>
      <c r="D712" s="395" t="s">
        <v>313</v>
      </c>
      <c r="E712" s="395"/>
      <c r="F712" s="372">
        <v>2024</v>
      </c>
      <c r="G712" s="372">
        <v>2024</v>
      </c>
      <c r="H712" s="431">
        <v>2024</v>
      </c>
      <c r="I712" s="375"/>
      <c r="J712" s="374"/>
      <c r="K712" s="374"/>
      <c r="L712" s="374"/>
      <c r="M712" s="374"/>
      <c r="N712" s="375" t="s">
        <v>26</v>
      </c>
      <c r="O712" s="374" t="s">
        <v>686</v>
      </c>
      <c r="P712" s="374" t="s">
        <v>2271</v>
      </c>
      <c r="Q712" s="374" t="s">
        <v>2913</v>
      </c>
      <c r="R712" s="539" t="s">
        <v>982</v>
      </c>
      <c r="S712" s="375" t="s">
        <v>139</v>
      </c>
      <c r="T712" s="374" t="s">
        <v>686</v>
      </c>
      <c r="U712" s="374" t="s">
        <v>2271</v>
      </c>
      <c r="V712" s="375">
        <v>6833162</v>
      </c>
      <c r="W712" s="538" t="s">
        <v>2031</v>
      </c>
      <c r="X712" s="375" t="s">
        <v>2939</v>
      </c>
      <c r="Y712" s="374"/>
      <c r="Z712" s="374"/>
      <c r="AA712" s="375"/>
      <c r="AB712" s="375"/>
      <c r="AC712" s="375" t="s">
        <v>2940</v>
      </c>
      <c r="AD712" s="374"/>
      <c r="AE712" s="374"/>
      <c r="AF712" s="375"/>
      <c r="AG712" s="375"/>
      <c r="AH712" s="375" t="s">
        <v>2941</v>
      </c>
      <c r="AI712" s="374" t="s">
        <v>2615</v>
      </c>
      <c r="AJ712" s="374" t="s">
        <v>2271</v>
      </c>
      <c r="AK712" s="375"/>
      <c r="AL712" s="375">
        <v>1205222067</v>
      </c>
      <c r="AM712" s="375" t="s">
        <v>2125</v>
      </c>
      <c r="AN712" s="375" t="s">
        <v>2942</v>
      </c>
      <c r="AO712" s="374" t="s">
        <v>2271</v>
      </c>
      <c r="AP712" s="375"/>
      <c r="AQ712" s="375">
        <v>1205220078</v>
      </c>
      <c r="AR712" s="375" t="s">
        <v>2943</v>
      </c>
      <c r="AS712" s="375" t="s">
        <v>2615</v>
      </c>
      <c r="AT712" s="375" t="s">
        <v>2271</v>
      </c>
      <c r="AU712" s="375"/>
      <c r="AV712" s="376">
        <v>1205222013</v>
      </c>
    </row>
    <row r="713" spans="1:48" ht="43.2" hidden="1">
      <c r="A713" s="404" t="s">
        <v>2944</v>
      </c>
      <c r="B713" s="425" t="s">
        <v>2945</v>
      </c>
      <c r="C713" s="548"/>
      <c r="D713" s="395" t="s">
        <v>302</v>
      </c>
      <c r="E713" s="395" t="s">
        <v>1750</v>
      </c>
      <c r="F713" s="372">
        <v>2024</v>
      </c>
      <c r="G713" s="372">
        <v>2024</v>
      </c>
      <c r="H713" s="431">
        <v>2024</v>
      </c>
      <c r="I713" s="375" t="s">
        <v>2946</v>
      </c>
      <c r="J713" s="374"/>
      <c r="K713" s="374">
        <v>1204202107</v>
      </c>
      <c r="L713" s="374" t="s">
        <v>353</v>
      </c>
      <c r="M713" s="374" t="s">
        <v>2271</v>
      </c>
      <c r="N713" s="375" t="s">
        <v>2946</v>
      </c>
      <c r="O713" s="374" t="s">
        <v>353</v>
      </c>
      <c r="P713" s="374" t="s">
        <v>2271</v>
      </c>
      <c r="Q713" s="374"/>
      <c r="R713" s="374">
        <v>1204202107</v>
      </c>
      <c r="S713" s="375" t="s">
        <v>35</v>
      </c>
      <c r="T713" s="374" t="s">
        <v>353</v>
      </c>
      <c r="U713" s="374" t="s">
        <v>2271</v>
      </c>
      <c r="V713" s="375">
        <v>6833034</v>
      </c>
      <c r="W713" s="538" t="s">
        <v>2022</v>
      </c>
      <c r="X713" s="375" t="s">
        <v>17</v>
      </c>
      <c r="Y713" s="374" t="s">
        <v>353</v>
      </c>
      <c r="Z713" s="374" t="s">
        <v>2271</v>
      </c>
      <c r="AA713" s="375" t="s">
        <v>2308</v>
      </c>
      <c r="AB713" s="375" t="s">
        <v>1036</v>
      </c>
      <c r="AC713" s="375"/>
      <c r="AD713" s="374"/>
      <c r="AE713" s="374"/>
      <c r="AF713" s="375"/>
      <c r="AG713" s="375"/>
      <c r="AH713" s="375"/>
      <c r="AI713" s="374"/>
      <c r="AJ713" s="374"/>
      <c r="AK713" s="375"/>
      <c r="AL713" s="375"/>
      <c r="AM713" s="375"/>
      <c r="AN713" s="375"/>
      <c r="AO713" s="374"/>
      <c r="AP713" s="375"/>
      <c r="AQ713" s="375"/>
      <c r="AR713" s="375"/>
      <c r="AS713" s="375"/>
      <c r="AT713" s="375"/>
      <c r="AU713" s="375"/>
      <c r="AV713" s="376"/>
    </row>
    <row r="714" spans="1:48" ht="43.2">
      <c r="A714" s="404" t="s">
        <v>2947</v>
      </c>
      <c r="B714" s="425" t="s">
        <v>2948</v>
      </c>
      <c r="C714" s="548" t="s">
        <v>2270</v>
      </c>
      <c r="D714" s="395" t="s">
        <v>321</v>
      </c>
      <c r="E714" s="395" t="s">
        <v>1750</v>
      </c>
      <c r="F714" s="372">
        <v>2024</v>
      </c>
      <c r="G714" s="372">
        <v>2024</v>
      </c>
      <c r="H714" s="431">
        <v>2024</v>
      </c>
      <c r="I714" s="375"/>
      <c r="J714" s="374"/>
      <c r="K714" s="374"/>
      <c r="L714" s="374"/>
      <c r="M714" s="374"/>
      <c r="N714" s="375" t="s">
        <v>33</v>
      </c>
      <c r="O714" s="374" t="s">
        <v>353</v>
      </c>
      <c r="P714" s="374" t="s">
        <v>2271</v>
      </c>
      <c r="Q714" s="374">
        <v>6826699</v>
      </c>
      <c r="R714" s="539" t="s">
        <v>1905</v>
      </c>
      <c r="S714" s="375" t="s">
        <v>54</v>
      </c>
      <c r="T714" s="374" t="s">
        <v>353</v>
      </c>
      <c r="U714" s="374" t="s">
        <v>2271</v>
      </c>
      <c r="V714" s="375">
        <v>6839112</v>
      </c>
      <c r="W714" s="538" t="s">
        <v>2949</v>
      </c>
      <c r="X714" s="375" t="s">
        <v>775</v>
      </c>
      <c r="Y714" s="374" t="s">
        <v>686</v>
      </c>
      <c r="Z714" s="374" t="s">
        <v>2271</v>
      </c>
      <c r="AA714" s="375">
        <v>6785861</v>
      </c>
      <c r="AB714" s="538" t="s">
        <v>1904</v>
      </c>
      <c r="AC714" s="375" t="s">
        <v>1412</v>
      </c>
      <c r="AD714" s="374" t="s">
        <v>449</v>
      </c>
      <c r="AE714" s="374" t="s">
        <v>2271</v>
      </c>
      <c r="AF714" s="375"/>
      <c r="AG714" s="375">
        <v>1202210032</v>
      </c>
      <c r="AH714" s="375" t="s">
        <v>2950</v>
      </c>
      <c r="AI714" s="374" t="s">
        <v>353</v>
      </c>
      <c r="AJ714" s="374" t="s">
        <v>2271</v>
      </c>
      <c r="AK714" s="375"/>
      <c r="AL714" s="375">
        <v>1204210015</v>
      </c>
      <c r="AM714" s="375" t="s">
        <v>2951</v>
      </c>
      <c r="AN714" s="375" t="s">
        <v>2942</v>
      </c>
      <c r="AO714" s="374" t="s">
        <v>2271</v>
      </c>
      <c r="AP714" s="375"/>
      <c r="AQ714" s="375">
        <v>1205220080</v>
      </c>
      <c r="AR714" s="375"/>
      <c r="AS714" s="375"/>
      <c r="AT714" s="375"/>
      <c r="AU714" s="375"/>
      <c r="AV714" s="376"/>
    </row>
    <row r="715" spans="1:48" ht="28.8" hidden="1">
      <c r="A715" s="404" t="s">
        <v>2952</v>
      </c>
      <c r="B715" s="425"/>
      <c r="C715" s="548"/>
      <c r="D715" s="395" t="s">
        <v>321</v>
      </c>
      <c r="E715" s="395"/>
      <c r="F715" s="372"/>
      <c r="G715" s="372"/>
      <c r="H715" s="431"/>
      <c r="I715" s="375"/>
      <c r="J715" s="374"/>
      <c r="K715" s="374"/>
      <c r="L715" s="374"/>
      <c r="M715" s="374"/>
      <c r="N715" s="375"/>
      <c r="O715" s="374"/>
      <c r="P715" s="374"/>
      <c r="Q715" s="374"/>
      <c r="R715" s="374"/>
      <c r="S715" s="375"/>
      <c r="T715" s="374"/>
      <c r="U715" s="374"/>
      <c r="V715" s="375"/>
      <c r="W715" s="375"/>
      <c r="X715" s="375"/>
      <c r="Y715" s="374"/>
      <c r="Z715" s="374"/>
      <c r="AA715" s="375"/>
      <c r="AB715" s="375"/>
      <c r="AC715" s="375"/>
      <c r="AD715" s="374"/>
      <c r="AE715" s="374"/>
      <c r="AF715" s="375"/>
      <c r="AG715" s="375"/>
      <c r="AH715" s="375"/>
      <c r="AI715" s="374"/>
      <c r="AJ715" s="374"/>
      <c r="AK715" s="375"/>
      <c r="AL715" s="375"/>
      <c r="AM715" s="375"/>
      <c r="AN715" s="375"/>
      <c r="AO715" s="374"/>
      <c r="AP715" s="375"/>
      <c r="AQ715" s="375"/>
      <c r="AR715" s="375"/>
      <c r="AS715" s="375"/>
      <c r="AT715" s="375"/>
      <c r="AU715" s="375"/>
      <c r="AV715" s="376"/>
    </row>
    <row r="716" spans="1:48" ht="28.8" hidden="1">
      <c r="A716" s="404" t="s">
        <v>2953</v>
      </c>
      <c r="B716" s="425"/>
      <c r="C716" s="548"/>
      <c r="D716" s="395" t="s">
        <v>328</v>
      </c>
      <c r="E716" s="395"/>
      <c r="F716" s="372">
        <v>2024</v>
      </c>
      <c r="G716" s="372">
        <v>2024</v>
      </c>
      <c r="H716" s="431">
        <v>2024</v>
      </c>
      <c r="I716" s="375"/>
      <c r="J716" s="374"/>
      <c r="K716" s="374"/>
      <c r="L716" s="374"/>
      <c r="M716" s="374"/>
      <c r="N716" s="375" t="s">
        <v>89</v>
      </c>
      <c r="O716" s="374" t="s">
        <v>162</v>
      </c>
      <c r="P716" s="374" t="s">
        <v>2271</v>
      </c>
      <c r="Q716" s="374">
        <v>6680628</v>
      </c>
      <c r="R716" s="539" t="s">
        <v>1007</v>
      </c>
      <c r="S716" s="375" t="s">
        <v>2130</v>
      </c>
      <c r="T716" s="374" t="s">
        <v>353</v>
      </c>
      <c r="U716" s="374" t="s">
        <v>2271</v>
      </c>
      <c r="V716" s="375">
        <v>6826699</v>
      </c>
      <c r="W716" s="538" t="s">
        <v>1905</v>
      </c>
      <c r="X716" s="375" t="s">
        <v>775</v>
      </c>
      <c r="Y716" s="374" t="s">
        <v>686</v>
      </c>
      <c r="Z716" s="374" t="s">
        <v>2271</v>
      </c>
      <c r="AA716" s="375">
        <v>6785861</v>
      </c>
      <c r="AB716" s="538" t="s">
        <v>1904</v>
      </c>
      <c r="AC716" s="375" t="s">
        <v>37</v>
      </c>
      <c r="AD716" s="374" t="s">
        <v>353</v>
      </c>
      <c r="AE716" s="374" t="s">
        <v>2271</v>
      </c>
      <c r="AF716" s="375">
        <v>6835039</v>
      </c>
      <c r="AG716" s="538" t="s">
        <v>2009</v>
      </c>
      <c r="AH716" s="375" t="s">
        <v>41</v>
      </c>
      <c r="AI716" s="374" t="s">
        <v>353</v>
      </c>
      <c r="AJ716" s="374" t="s">
        <v>2271</v>
      </c>
      <c r="AK716" s="375" t="s">
        <v>2954</v>
      </c>
      <c r="AL716" s="538" t="s">
        <v>2010</v>
      </c>
      <c r="AM716" s="375"/>
      <c r="AN716" s="375"/>
      <c r="AO716" s="374"/>
      <c r="AP716" s="375"/>
      <c r="AQ716" s="375"/>
      <c r="AR716" s="375"/>
      <c r="AS716" s="375"/>
      <c r="AT716" s="375"/>
      <c r="AU716" s="375"/>
      <c r="AV716" s="376"/>
    </row>
    <row r="717" spans="1:48" ht="28.8">
      <c r="A717" s="404" t="s">
        <v>2955</v>
      </c>
      <c r="B717" s="425" t="s">
        <v>2683</v>
      </c>
      <c r="C717" s="548" t="s">
        <v>2270</v>
      </c>
      <c r="D717" s="395" t="s">
        <v>313</v>
      </c>
      <c r="E717" s="395"/>
      <c r="F717" s="372">
        <v>2024</v>
      </c>
      <c r="G717" s="372">
        <v>2024</v>
      </c>
      <c r="H717" s="431">
        <v>2024</v>
      </c>
      <c r="I717" s="375" t="s">
        <v>11</v>
      </c>
      <c r="J717" s="374" t="s">
        <v>2956</v>
      </c>
      <c r="K717" s="539" t="s">
        <v>983</v>
      </c>
      <c r="L717" s="374" t="s">
        <v>162</v>
      </c>
      <c r="M717" s="374" t="s">
        <v>2271</v>
      </c>
      <c r="N717" s="375" t="s">
        <v>11</v>
      </c>
      <c r="O717" s="374" t="s">
        <v>162</v>
      </c>
      <c r="P717" s="374" t="s">
        <v>2271</v>
      </c>
      <c r="Q717" s="374" t="s">
        <v>2956</v>
      </c>
      <c r="R717" s="539" t="s">
        <v>983</v>
      </c>
      <c r="S717" s="375" t="s">
        <v>2957</v>
      </c>
      <c r="T717" s="374" t="s">
        <v>162</v>
      </c>
      <c r="U717" s="374" t="s">
        <v>2271</v>
      </c>
      <c r="V717" s="375" t="s">
        <v>2958</v>
      </c>
      <c r="W717" s="538" t="s">
        <v>2959</v>
      </c>
      <c r="X717" s="375" t="s">
        <v>26</v>
      </c>
      <c r="Y717" s="374" t="s">
        <v>686</v>
      </c>
      <c r="Z717" s="374" t="s">
        <v>2271</v>
      </c>
      <c r="AA717" s="375" t="s">
        <v>2913</v>
      </c>
      <c r="AB717" s="538" t="s">
        <v>982</v>
      </c>
      <c r="AC717" s="375"/>
      <c r="AD717" s="374"/>
      <c r="AE717" s="374"/>
      <c r="AF717" s="375"/>
      <c r="AG717" s="375"/>
      <c r="AH717" s="375"/>
      <c r="AI717" s="374"/>
      <c r="AJ717" s="374"/>
      <c r="AK717" s="375"/>
      <c r="AL717" s="375"/>
      <c r="AM717" s="375"/>
      <c r="AN717" s="375"/>
      <c r="AO717" s="374"/>
      <c r="AP717" s="375"/>
      <c r="AQ717" s="375"/>
      <c r="AR717" s="375"/>
      <c r="AS717" s="375"/>
      <c r="AT717" s="375"/>
      <c r="AU717" s="375"/>
      <c r="AV717" s="376"/>
    </row>
    <row r="718" spans="1:48" ht="28.8">
      <c r="A718" s="404" t="s">
        <v>2960</v>
      </c>
      <c r="B718" s="425" t="s">
        <v>2837</v>
      </c>
      <c r="C718" s="548" t="s">
        <v>2270</v>
      </c>
      <c r="D718" s="395" t="s">
        <v>313</v>
      </c>
      <c r="E718" s="395"/>
      <c r="F718" s="372">
        <v>2024</v>
      </c>
      <c r="G718" s="372">
        <v>2024</v>
      </c>
      <c r="H718" s="431">
        <v>2024</v>
      </c>
      <c r="I718" s="375" t="s">
        <v>26</v>
      </c>
      <c r="J718" s="374" t="s">
        <v>2913</v>
      </c>
      <c r="K718" s="539" t="s">
        <v>982</v>
      </c>
      <c r="L718" s="374" t="s">
        <v>686</v>
      </c>
      <c r="M718" s="374" t="s">
        <v>2271</v>
      </c>
      <c r="N718" s="375" t="s">
        <v>139</v>
      </c>
      <c r="O718" s="374" t="s">
        <v>686</v>
      </c>
      <c r="P718" s="374" t="s">
        <v>2271</v>
      </c>
      <c r="Q718" s="374">
        <v>6833162</v>
      </c>
      <c r="R718" s="539" t="s">
        <v>2031</v>
      </c>
      <c r="S718" s="375" t="s">
        <v>775</v>
      </c>
      <c r="T718" s="374" t="s">
        <v>686</v>
      </c>
      <c r="U718" s="374" t="s">
        <v>2271</v>
      </c>
      <c r="V718" s="375">
        <v>6785861</v>
      </c>
      <c r="W718" s="538" t="s">
        <v>1904</v>
      </c>
      <c r="X718" s="375" t="s">
        <v>201</v>
      </c>
      <c r="Y718" s="374" t="s">
        <v>620</v>
      </c>
      <c r="Z718" s="374" t="s">
        <v>2271</v>
      </c>
      <c r="AA718" s="375">
        <v>6882289</v>
      </c>
      <c r="AB718" s="538" t="s">
        <v>2799</v>
      </c>
      <c r="AC718" s="375" t="s">
        <v>114</v>
      </c>
      <c r="AD718" s="374" t="s">
        <v>449</v>
      </c>
      <c r="AE718" s="374" t="s">
        <v>2271</v>
      </c>
      <c r="AF718" s="375">
        <v>6826727</v>
      </c>
      <c r="AG718" s="538" t="s">
        <v>2276</v>
      </c>
      <c r="AH718" s="375" t="s">
        <v>165</v>
      </c>
      <c r="AI718" s="374" t="s">
        <v>162</v>
      </c>
      <c r="AJ718" s="374" t="s">
        <v>2271</v>
      </c>
      <c r="AK718" s="375">
        <v>6680698</v>
      </c>
      <c r="AL718" s="538" t="s">
        <v>1002</v>
      </c>
      <c r="AM718" s="375" t="s">
        <v>204</v>
      </c>
      <c r="AN718" s="375" t="s">
        <v>620</v>
      </c>
      <c r="AO718" s="374" t="s">
        <v>2271</v>
      </c>
      <c r="AP718" s="375">
        <v>6803558</v>
      </c>
      <c r="AQ718" s="538" t="s">
        <v>2699</v>
      </c>
      <c r="AR718" s="375" t="s">
        <v>2838</v>
      </c>
      <c r="AS718" s="375" t="s">
        <v>2961</v>
      </c>
      <c r="AT718" s="375" t="s">
        <v>2271</v>
      </c>
      <c r="AU718" s="375">
        <v>6801883</v>
      </c>
      <c r="AV718" s="549" t="s">
        <v>1751</v>
      </c>
    </row>
    <row r="719" spans="1:48" ht="28.8" hidden="1">
      <c r="A719" s="404" t="s">
        <v>2962</v>
      </c>
      <c r="B719" s="420" t="s">
        <v>2963</v>
      </c>
      <c r="C719" s="548"/>
      <c r="D719" s="395" t="s">
        <v>374</v>
      </c>
      <c r="E719" s="395" t="s">
        <v>1750</v>
      </c>
      <c r="F719" s="372">
        <v>2024</v>
      </c>
      <c r="G719" s="372">
        <v>2024</v>
      </c>
      <c r="H719" s="431">
        <v>2024</v>
      </c>
      <c r="I719" s="375"/>
      <c r="J719" s="374"/>
      <c r="K719" s="374"/>
      <c r="L719" s="374"/>
      <c r="M719" s="374"/>
      <c r="N719" s="375" t="s">
        <v>2964</v>
      </c>
      <c r="O719" s="374"/>
      <c r="P719" s="374"/>
      <c r="Q719" s="374"/>
      <c r="R719" s="374"/>
      <c r="S719" s="375" t="s">
        <v>2965</v>
      </c>
      <c r="T719" s="374"/>
      <c r="U719" s="374"/>
      <c r="V719" s="375"/>
      <c r="W719" s="375"/>
      <c r="X719" s="375" t="s">
        <v>49</v>
      </c>
      <c r="Y719" s="374" t="s">
        <v>279</v>
      </c>
      <c r="Z719" s="374" t="s">
        <v>2271</v>
      </c>
      <c r="AA719" s="375">
        <v>6682794</v>
      </c>
      <c r="AB719" s="538" t="s">
        <v>1744</v>
      </c>
      <c r="AC719" s="375" t="s">
        <v>2966</v>
      </c>
      <c r="AD719" s="374"/>
      <c r="AE719" s="374"/>
      <c r="AF719" s="375"/>
      <c r="AG719" s="375"/>
      <c r="AH719" s="375"/>
      <c r="AI719" s="374"/>
      <c r="AJ719" s="374"/>
      <c r="AK719" s="375"/>
      <c r="AL719" s="375"/>
      <c r="AM719" s="375"/>
      <c r="AN719" s="375"/>
      <c r="AO719" s="374"/>
      <c r="AP719" s="375"/>
      <c r="AQ719" s="375"/>
      <c r="AR719" s="375"/>
      <c r="AS719" s="375"/>
      <c r="AT719" s="375"/>
      <c r="AU719" s="375"/>
      <c r="AV719" s="376"/>
    </row>
    <row r="720" spans="1:48" ht="28.8" hidden="1">
      <c r="A720" s="404" t="s">
        <v>2967</v>
      </c>
      <c r="B720" s="425" t="s">
        <v>2968</v>
      </c>
      <c r="C720" s="548"/>
      <c r="D720" s="395" t="s">
        <v>374</v>
      </c>
      <c r="E720" s="395" t="s">
        <v>1750</v>
      </c>
      <c r="F720" s="372">
        <v>2024</v>
      </c>
      <c r="G720" s="372">
        <v>2024</v>
      </c>
      <c r="H720" s="431">
        <v>2024</v>
      </c>
      <c r="I720" s="375"/>
      <c r="J720" s="374"/>
      <c r="K720" s="374"/>
      <c r="L720" s="374"/>
      <c r="M720" s="374"/>
      <c r="N720" s="375" t="s">
        <v>2965</v>
      </c>
      <c r="O720" s="374"/>
      <c r="P720" s="374"/>
      <c r="Q720" s="374"/>
      <c r="R720" s="374"/>
      <c r="S720" s="375" t="s">
        <v>2966</v>
      </c>
      <c r="T720" s="374"/>
      <c r="U720" s="374"/>
      <c r="V720" s="375"/>
      <c r="W720" s="375"/>
      <c r="X720" s="375" t="s">
        <v>2969</v>
      </c>
      <c r="Y720" s="374"/>
      <c r="Z720" s="374"/>
      <c r="AA720" s="375"/>
      <c r="AB720" s="375"/>
      <c r="AC720" s="375" t="s">
        <v>49</v>
      </c>
      <c r="AD720" s="374" t="s">
        <v>279</v>
      </c>
      <c r="AE720" s="374" t="s">
        <v>2271</v>
      </c>
      <c r="AF720" s="375">
        <v>6682794</v>
      </c>
      <c r="AG720" s="538" t="s">
        <v>1744</v>
      </c>
      <c r="AH720" s="375"/>
      <c r="AI720" s="374"/>
      <c r="AJ720" s="374"/>
      <c r="AK720" s="375"/>
      <c r="AL720" s="375"/>
      <c r="AM720" s="375"/>
      <c r="AN720" s="375"/>
      <c r="AO720" s="374"/>
      <c r="AP720" s="375"/>
      <c r="AQ720" s="375"/>
      <c r="AR720" s="375"/>
      <c r="AS720" s="375"/>
      <c r="AT720" s="375"/>
      <c r="AU720" s="375"/>
      <c r="AV720" s="376"/>
    </row>
    <row r="721" spans="1:48" ht="43.2">
      <c r="A721" s="404" t="s">
        <v>2970</v>
      </c>
      <c r="B721" s="425" t="s">
        <v>2971</v>
      </c>
      <c r="C721" s="548" t="s">
        <v>2270</v>
      </c>
      <c r="D721" s="395" t="s">
        <v>313</v>
      </c>
      <c r="E721" s="395"/>
      <c r="F721" s="372">
        <v>2024</v>
      </c>
      <c r="G721" s="372">
        <v>2024</v>
      </c>
      <c r="H721" s="431">
        <v>2024</v>
      </c>
      <c r="I721" s="375"/>
      <c r="J721" s="374"/>
      <c r="K721" s="374"/>
      <c r="L721" s="374"/>
      <c r="M721" s="374"/>
      <c r="N721" s="375" t="s">
        <v>12</v>
      </c>
      <c r="O721" s="374" t="s">
        <v>309</v>
      </c>
      <c r="P721" s="374" t="s">
        <v>2271</v>
      </c>
      <c r="Q721" s="374">
        <v>6680651</v>
      </c>
      <c r="R721" s="539" t="s">
        <v>1016</v>
      </c>
      <c r="S721" s="375" t="s">
        <v>8</v>
      </c>
      <c r="T721" s="374" t="s">
        <v>758</v>
      </c>
      <c r="U721" s="374" t="s">
        <v>2271</v>
      </c>
      <c r="V721" s="375">
        <v>6680643</v>
      </c>
      <c r="W721" s="538" t="s">
        <v>1017</v>
      </c>
      <c r="X721" s="375" t="s">
        <v>52</v>
      </c>
      <c r="Y721" s="374" t="s">
        <v>309</v>
      </c>
      <c r="Z721" s="374" t="s">
        <v>2271</v>
      </c>
      <c r="AA721" s="375">
        <v>6859016</v>
      </c>
      <c r="AB721" s="538" t="s">
        <v>2497</v>
      </c>
      <c r="AC721" s="375" t="s">
        <v>2499</v>
      </c>
      <c r="AD721" s="374" t="s">
        <v>309</v>
      </c>
      <c r="AE721" s="374" t="s">
        <v>2271</v>
      </c>
      <c r="AF721" s="375"/>
      <c r="AG721" s="375">
        <v>1103210269</v>
      </c>
      <c r="AH721" s="375" t="s">
        <v>2972</v>
      </c>
      <c r="AI721" s="374" t="s">
        <v>309</v>
      </c>
      <c r="AJ721" s="374" t="s">
        <v>2271</v>
      </c>
      <c r="AK721" s="375"/>
      <c r="AL721" s="375">
        <v>1103210019</v>
      </c>
      <c r="AM721" s="375"/>
      <c r="AN721" s="375"/>
      <c r="AO721" s="374"/>
      <c r="AP721" s="375"/>
      <c r="AQ721" s="375"/>
      <c r="AR721" s="375"/>
      <c r="AS721" s="375"/>
      <c r="AT721" s="375"/>
      <c r="AU721" s="375"/>
      <c r="AV721" s="376"/>
    </row>
    <row r="722" spans="1:48" ht="28.8" hidden="1">
      <c r="A722" s="404" t="s">
        <v>2973</v>
      </c>
      <c r="B722" s="425" t="s">
        <v>2974</v>
      </c>
      <c r="C722" s="548"/>
      <c r="D722" s="395" t="s">
        <v>313</v>
      </c>
      <c r="E722" s="395"/>
      <c r="F722" s="372">
        <v>2024</v>
      </c>
      <c r="G722" s="372">
        <v>2024</v>
      </c>
      <c r="H722" s="431">
        <v>2024</v>
      </c>
      <c r="I722" s="375"/>
      <c r="J722" s="374"/>
      <c r="K722" s="374"/>
      <c r="L722" s="374"/>
      <c r="M722" s="374"/>
      <c r="N722" s="375" t="s">
        <v>2975</v>
      </c>
      <c r="O722" s="374" t="s">
        <v>2613</v>
      </c>
      <c r="P722" s="374" t="s">
        <v>2271</v>
      </c>
      <c r="Q722" s="374"/>
      <c r="R722" s="374">
        <v>1206220015</v>
      </c>
      <c r="S722" s="375" t="s">
        <v>75</v>
      </c>
      <c r="T722" s="374" t="s">
        <v>2613</v>
      </c>
      <c r="U722" s="374" t="s">
        <v>2271</v>
      </c>
      <c r="V722" s="375">
        <v>6760392</v>
      </c>
      <c r="W722" s="538" t="s">
        <v>948</v>
      </c>
      <c r="X722" s="375" t="s">
        <v>2976</v>
      </c>
      <c r="Y722" s="374" t="s">
        <v>2613</v>
      </c>
      <c r="Z722" s="374" t="s">
        <v>2271</v>
      </c>
      <c r="AA722" s="375"/>
      <c r="AB722" s="375">
        <v>1206220007</v>
      </c>
      <c r="AC722" s="375" t="s">
        <v>2977</v>
      </c>
      <c r="AD722" s="374"/>
      <c r="AE722" s="374"/>
      <c r="AF722" s="375"/>
      <c r="AG722" s="375"/>
      <c r="AH722" s="375"/>
      <c r="AI722" s="374"/>
      <c r="AJ722" s="374"/>
      <c r="AK722" s="375"/>
      <c r="AL722" s="375"/>
      <c r="AM722" s="375"/>
      <c r="AN722" s="375"/>
      <c r="AO722" s="374"/>
      <c r="AP722" s="375"/>
      <c r="AQ722" s="375"/>
      <c r="AR722" s="375"/>
      <c r="AS722" s="375"/>
      <c r="AT722" s="375"/>
      <c r="AU722" s="375"/>
      <c r="AV722" s="376"/>
    </row>
    <row r="723" spans="1:48" ht="28.8" hidden="1">
      <c r="A723" s="404" t="s">
        <v>2978</v>
      </c>
      <c r="B723" s="425" t="s">
        <v>2979</v>
      </c>
      <c r="C723" s="548"/>
      <c r="D723" s="395" t="s">
        <v>313</v>
      </c>
      <c r="E723" s="395"/>
      <c r="F723" s="372">
        <v>2024</v>
      </c>
      <c r="G723" s="372">
        <v>2024</v>
      </c>
      <c r="H723" s="431">
        <v>2024</v>
      </c>
      <c r="I723" s="375" t="s">
        <v>2980</v>
      </c>
      <c r="J723" s="374"/>
      <c r="K723" s="374">
        <v>1203200012</v>
      </c>
      <c r="L723" s="374" t="s">
        <v>2613</v>
      </c>
      <c r="M723" s="374" t="s">
        <v>2271</v>
      </c>
      <c r="N723" s="375" t="s">
        <v>56</v>
      </c>
      <c r="O723" s="374" t="s">
        <v>351</v>
      </c>
      <c r="P723" s="374" t="s">
        <v>2271</v>
      </c>
      <c r="Q723" s="374">
        <v>6795859</v>
      </c>
      <c r="R723" s="539" t="s">
        <v>1672</v>
      </c>
      <c r="S723" s="375" t="s">
        <v>8</v>
      </c>
      <c r="T723" s="374" t="s">
        <v>758</v>
      </c>
      <c r="U723" s="374" t="s">
        <v>2271</v>
      </c>
      <c r="V723" s="375">
        <v>6680643</v>
      </c>
      <c r="W723" s="538" t="s">
        <v>1017</v>
      </c>
      <c r="X723" s="375"/>
      <c r="Y723" s="374"/>
      <c r="Z723" s="374"/>
      <c r="AA723" s="375"/>
      <c r="AB723" s="375"/>
      <c r="AC723" s="375"/>
      <c r="AD723" s="374"/>
      <c r="AE723" s="374"/>
      <c r="AF723" s="375"/>
      <c r="AG723" s="375"/>
      <c r="AH723" s="375"/>
      <c r="AI723" s="374"/>
      <c r="AJ723" s="374"/>
      <c r="AK723" s="375"/>
      <c r="AL723" s="375"/>
      <c r="AM723" s="375"/>
      <c r="AN723" s="375"/>
      <c r="AO723" s="374"/>
      <c r="AP723" s="375"/>
      <c r="AQ723" s="375"/>
      <c r="AR723" s="375"/>
      <c r="AS723" s="375"/>
      <c r="AT723" s="375"/>
      <c r="AU723" s="375"/>
      <c r="AV723" s="376"/>
    </row>
    <row r="724" spans="1:48" ht="28.8" hidden="1">
      <c r="A724" s="404" t="s">
        <v>2981</v>
      </c>
      <c r="B724" s="425" t="s">
        <v>2982</v>
      </c>
      <c r="C724" s="548"/>
      <c r="D724" s="395" t="s">
        <v>321</v>
      </c>
      <c r="E724" s="395" t="s">
        <v>1750</v>
      </c>
      <c r="F724" s="372">
        <v>2024</v>
      </c>
      <c r="G724" s="372">
        <v>2024</v>
      </c>
      <c r="H724" s="431">
        <v>2024</v>
      </c>
      <c r="I724" s="375"/>
      <c r="J724" s="374"/>
      <c r="K724" s="374"/>
      <c r="L724" s="374"/>
      <c r="M724" s="374"/>
      <c r="N724" s="375" t="s">
        <v>2983</v>
      </c>
      <c r="O724" s="374" t="s">
        <v>2613</v>
      </c>
      <c r="P724" s="374" t="s">
        <v>2271</v>
      </c>
      <c r="Q724" s="374"/>
      <c r="R724" s="374">
        <v>1206220029</v>
      </c>
      <c r="S724" s="375" t="s">
        <v>75</v>
      </c>
      <c r="T724" s="374" t="s">
        <v>2613</v>
      </c>
      <c r="U724" s="374" t="s">
        <v>2271</v>
      </c>
      <c r="V724" s="375">
        <v>6760392</v>
      </c>
      <c r="W724" s="538" t="s">
        <v>948</v>
      </c>
      <c r="X724" s="375" t="s">
        <v>2984</v>
      </c>
      <c r="Y724" s="374" t="s">
        <v>2613</v>
      </c>
      <c r="Z724" s="374" t="s">
        <v>2271</v>
      </c>
      <c r="AA724" s="375"/>
      <c r="AB724" s="375">
        <v>1206220010</v>
      </c>
      <c r="AC724" s="375" t="s">
        <v>2985</v>
      </c>
      <c r="AD724" s="374" t="s">
        <v>2613</v>
      </c>
      <c r="AE724" s="374" t="s">
        <v>2271</v>
      </c>
      <c r="AF724" s="375"/>
      <c r="AG724" s="375">
        <v>1206220043</v>
      </c>
      <c r="AH724" s="375" t="s">
        <v>2986</v>
      </c>
      <c r="AI724" s="374"/>
      <c r="AJ724" s="374"/>
      <c r="AK724" s="375"/>
      <c r="AL724" s="375"/>
      <c r="AM724" s="375"/>
      <c r="AN724" s="375"/>
      <c r="AO724" s="374"/>
      <c r="AP724" s="375"/>
      <c r="AQ724" s="375"/>
      <c r="AR724" s="375"/>
      <c r="AS724" s="375"/>
      <c r="AT724" s="375"/>
      <c r="AU724" s="375"/>
      <c r="AV724" s="376"/>
    </row>
    <row r="725" spans="1:48" ht="28.8" hidden="1">
      <c r="A725" s="404" t="s">
        <v>2987</v>
      </c>
      <c r="B725" s="425" t="s">
        <v>2988</v>
      </c>
      <c r="C725" s="548"/>
      <c r="D725" s="395" t="s">
        <v>313</v>
      </c>
      <c r="E725" s="395"/>
      <c r="F725" s="372">
        <v>2024</v>
      </c>
      <c r="G725" s="372">
        <v>2024</v>
      </c>
      <c r="H725" s="431">
        <v>2024</v>
      </c>
      <c r="I725" s="375" t="s">
        <v>180</v>
      </c>
      <c r="J725" s="374">
        <v>6787771</v>
      </c>
      <c r="K725" s="539" t="s">
        <v>1676</v>
      </c>
      <c r="L725" s="374" t="s">
        <v>353</v>
      </c>
      <c r="M725" s="374" t="s">
        <v>2271</v>
      </c>
      <c r="N725" s="375" t="s">
        <v>2989</v>
      </c>
      <c r="O725" s="374" t="s">
        <v>353</v>
      </c>
      <c r="P725" s="374" t="s">
        <v>2271</v>
      </c>
      <c r="Q725" s="374"/>
      <c r="R725" s="374">
        <v>1204210053</v>
      </c>
      <c r="S725" s="375" t="s">
        <v>2990</v>
      </c>
      <c r="T725" s="374" t="s">
        <v>353</v>
      </c>
      <c r="U725" s="374" t="s">
        <v>2271</v>
      </c>
      <c r="V725" s="375"/>
      <c r="W725" s="375">
        <v>1204210122</v>
      </c>
      <c r="X725" s="375" t="s">
        <v>1919</v>
      </c>
      <c r="Y725" s="374" t="s">
        <v>353</v>
      </c>
      <c r="Z725" s="374" t="s">
        <v>2271</v>
      </c>
      <c r="AA725" s="375"/>
      <c r="AB725" s="375">
        <v>1204210017</v>
      </c>
      <c r="AC725" s="375" t="s">
        <v>180</v>
      </c>
      <c r="AD725" s="374" t="s">
        <v>353</v>
      </c>
      <c r="AE725" s="374" t="s">
        <v>2271</v>
      </c>
      <c r="AF725" s="375">
        <v>6787771</v>
      </c>
      <c r="AG725" s="538" t="s">
        <v>1676</v>
      </c>
      <c r="AH725" s="375"/>
      <c r="AI725" s="374"/>
      <c r="AJ725" s="374"/>
      <c r="AK725" s="375"/>
      <c r="AL725" s="375"/>
      <c r="AM725" s="375"/>
      <c r="AN725" s="375"/>
      <c r="AO725" s="374"/>
      <c r="AP725" s="375"/>
      <c r="AQ725" s="375"/>
      <c r="AR725" s="375"/>
      <c r="AS725" s="375"/>
      <c r="AT725" s="375"/>
      <c r="AU725" s="375"/>
      <c r="AV725" s="376"/>
    </row>
    <row r="726" spans="1:48" ht="43.2" hidden="1">
      <c r="A726" s="404" t="s">
        <v>2991</v>
      </c>
      <c r="B726" s="425" t="s">
        <v>2992</v>
      </c>
      <c r="C726" s="548"/>
      <c r="D726" s="395" t="s">
        <v>321</v>
      </c>
      <c r="E726" s="395" t="s">
        <v>1750</v>
      </c>
      <c r="F726" s="372">
        <v>2024</v>
      </c>
      <c r="G726" s="372">
        <v>2024</v>
      </c>
      <c r="H726" s="431">
        <v>2024</v>
      </c>
      <c r="I726" s="375"/>
      <c r="J726" s="374"/>
      <c r="K726" s="374"/>
      <c r="L726" s="374"/>
      <c r="M726" s="374"/>
      <c r="N726" s="375" t="s">
        <v>2993</v>
      </c>
      <c r="O726" s="374" t="s">
        <v>353</v>
      </c>
      <c r="P726" s="374" t="s">
        <v>2271</v>
      </c>
      <c r="Q726" s="374"/>
      <c r="R726" s="374">
        <v>1204200042</v>
      </c>
      <c r="S726" s="375" t="s">
        <v>179</v>
      </c>
      <c r="T726" s="374" t="s">
        <v>353</v>
      </c>
      <c r="U726" s="374" t="s">
        <v>2271</v>
      </c>
      <c r="V726" s="375">
        <v>6789028</v>
      </c>
      <c r="W726" s="538" t="s">
        <v>1917</v>
      </c>
      <c r="X726" s="375" t="s">
        <v>17</v>
      </c>
      <c r="Y726" s="374" t="s">
        <v>353</v>
      </c>
      <c r="Z726" s="374" t="s">
        <v>2271</v>
      </c>
      <c r="AA726" s="375" t="s">
        <v>2308</v>
      </c>
      <c r="AB726" s="375" t="s">
        <v>1036</v>
      </c>
      <c r="AC726" s="375"/>
      <c r="AD726" s="374"/>
      <c r="AE726" s="374"/>
      <c r="AF726" s="375"/>
      <c r="AG726" s="375"/>
      <c r="AH726" s="375"/>
      <c r="AI726" s="374"/>
      <c r="AJ726" s="374"/>
      <c r="AK726" s="375"/>
      <c r="AL726" s="375"/>
      <c r="AM726" s="375"/>
      <c r="AN726" s="375"/>
      <c r="AO726" s="374"/>
      <c r="AP726" s="375"/>
      <c r="AQ726" s="375"/>
      <c r="AR726" s="375"/>
      <c r="AS726" s="375"/>
      <c r="AT726" s="375"/>
      <c r="AU726" s="375"/>
      <c r="AV726" s="376"/>
    </row>
    <row r="727" spans="1:48" ht="28.8" hidden="1">
      <c r="A727" s="404" t="s">
        <v>2994</v>
      </c>
      <c r="B727" s="425" t="s">
        <v>2213</v>
      </c>
      <c r="C727" s="548"/>
      <c r="D727" s="395" t="s">
        <v>302</v>
      </c>
      <c r="E727" s="395" t="s">
        <v>1750</v>
      </c>
      <c r="F727" s="372">
        <v>2024</v>
      </c>
      <c r="G727" s="372">
        <v>2024</v>
      </c>
      <c r="H727" s="431">
        <v>2024</v>
      </c>
      <c r="I727" s="375" t="s">
        <v>2554</v>
      </c>
      <c r="J727" s="374"/>
      <c r="K727" s="374">
        <v>1203200107</v>
      </c>
      <c r="L727" s="374" t="s">
        <v>351</v>
      </c>
      <c r="M727" s="374" t="s">
        <v>2271</v>
      </c>
      <c r="N727" s="375" t="s">
        <v>2554</v>
      </c>
      <c r="O727" s="374" t="s">
        <v>351</v>
      </c>
      <c r="P727" s="374" t="s">
        <v>2271</v>
      </c>
      <c r="Q727" s="374"/>
      <c r="R727" s="374">
        <v>1203200107</v>
      </c>
      <c r="S727" s="375" t="s">
        <v>88</v>
      </c>
      <c r="T727" s="374" t="s">
        <v>351</v>
      </c>
      <c r="U727" s="374" t="s">
        <v>2271</v>
      </c>
      <c r="V727" s="375" t="s">
        <v>2552</v>
      </c>
      <c r="W727" s="538" t="s">
        <v>1912</v>
      </c>
      <c r="X727" s="375" t="s">
        <v>45</v>
      </c>
      <c r="Y727" s="374" t="s">
        <v>351</v>
      </c>
      <c r="Z727" s="374" t="s">
        <v>2271</v>
      </c>
      <c r="AA727" s="375">
        <v>6826743</v>
      </c>
      <c r="AB727" s="538" t="s">
        <v>1880</v>
      </c>
      <c r="AC727" s="375"/>
      <c r="AD727" s="374"/>
      <c r="AE727" s="374"/>
      <c r="AF727" s="375"/>
      <c r="AG727" s="375"/>
      <c r="AH727" s="375"/>
      <c r="AI727" s="374"/>
      <c r="AJ727" s="374"/>
      <c r="AK727" s="375"/>
      <c r="AL727" s="375"/>
      <c r="AM727" s="375"/>
      <c r="AN727" s="375"/>
      <c r="AO727" s="374"/>
      <c r="AP727" s="375"/>
      <c r="AQ727" s="375"/>
      <c r="AR727" s="375"/>
      <c r="AS727" s="375"/>
      <c r="AT727" s="375"/>
      <c r="AU727" s="375"/>
      <c r="AV727" s="376"/>
    </row>
    <row r="728" spans="1:48" ht="28.8" hidden="1">
      <c r="A728" s="404" t="s">
        <v>2995</v>
      </c>
      <c r="B728" s="425" t="s">
        <v>2992</v>
      </c>
      <c r="C728" s="548"/>
      <c r="D728" s="395" t="s">
        <v>321</v>
      </c>
      <c r="E728" s="395" t="s">
        <v>1750</v>
      </c>
      <c r="F728" s="372">
        <v>2024</v>
      </c>
      <c r="G728" s="372">
        <v>2024</v>
      </c>
      <c r="H728" s="431">
        <v>2024</v>
      </c>
      <c r="I728" s="375"/>
      <c r="J728" s="374"/>
      <c r="K728" s="374"/>
      <c r="L728" s="374"/>
      <c r="M728" s="374"/>
      <c r="N728" s="375" t="s">
        <v>2996</v>
      </c>
      <c r="O728" s="374" t="s">
        <v>353</v>
      </c>
      <c r="P728" s="374" t="s">
        <v>2271</v>
      </c>
      <c r="Q728" s="374"/>
      <c r="R728" s="374">
        <v>1204200113</v>
      </c>
      <c r="S728" s="375" t="s">
        <v>775</v>
      </c>
      <c r="T728" s="374" t="s">
        <v>686</v>
      </c>
      <c r="U728" s="374" t="s">
        <v>2271</v>
      </c>
      <c r="V728" s="375">
        <v>6785861</v>
      </c>
      <c r="W728" s="538" t="s">
        <v>1904</v>
      </c>
      <c r="X728" s="375" t="s">
        <v>179</v>
      </c>
      <c r="Y728" s="374" t="s">
        <v>353</v>
      </c>
      <c r="Z728" s="374" t="s">
        <v>2271</v>
      </c>
      <c r="AA728" s="375">
        <v>6789028</v>
      </c>
      <c r="AB728" s="538" t="s">
        <v>1917</v>
      </c>
      <c r="AC728" s="375"/>
      <c r="AD728" s="374"/>
      <c r="AE728" s="374"/>
      <c r="AF728" s="375"/>
      <c r="AG728" s="375"/>
      <c r="AH728" s="375"/>
      <c r="AI728" s="374"/>
      <c r="AJ728" s="374"/>
      <c r="AK728" s="375"/>
      <c r="AL728" s="375"/>
      <c r="AM728" s="375"/>
      <c r="AN728" s="375"/>
      <c r="AO728" s="374"/>
      <c r="AP728" s="375"/>
      <c r="AQ728" s="375"/>
      <c r="AR728" s="375"/>
      <c r="AS728" s="375"/>
      <c r="AT728" s="375"/>
      <c r="AU728" s="375"/>
      <c r="AV728" s="376"/>
    </row>
    <row r="729" spans="1:48" ht="28.8" hidden="1">
      <c r="A729" s="404" t="s">
        <v>2997</v>
      </c>
      <c r="B729" s="425" t="s">
        <v>2998</v>
      </c>
      <c r="C729" s="548"/>
      <c r="D729" s="395" t="s">
        <v>528</v>
      </c>
      <c r="E729" s="395" t="s">
        <v>1122</v>
      </c>
      <c r="F729" s="372">
        <v>2024</v>
      </c>
      <c r="G729" s="372">
        <v>2024</v>
      </c>
      <c r="H729" s="431">
        <v>2024</v>
      </c>
      <c r="I729" s="375" t="s">
        <v>965</v>
      </c>
      <c r="J729" s="374"/>
      <c r="K729" s="374"/>
      <c r="L729" s="374"/>
      <c r="M729" s="374"/>
      <c r="N729" s="375" t="s">
        <v>2627</v>
      </c>
      <c r="O729" s="374"/>
      <c r="P729" s="374"/>
      <c r="Q729" s="374"/>
      <c r="R729" s="374"/>
      <c r="S729" s="375" t="s">
        <v>965</v>
      </c>
      <c r="T729" s="374"/>
      <c r="U729" s="374"/>
      <c r="V729" s="375"/>
      <c r="W729" s="375"/>
      <c r="X729" s="375" t="s">
        <v>79</v>
      </c>
      <c r="Y729" s="374" t="s">
        <v>2613</v>
      </c>
      <c r="Z729" s="374" t="s">
        <v>2271</v>
      </c>
      <c r="AA729" s="375">
        <v>6793410</v>
      </c>
      <c r="AB729" s="538" t="s">
        <v>947</v>
      </c>
      <c r="AC729" s="375"/>
      <c r="AD729" s="374"/>
      <c r="AE729" s="374"/>
      <c r="AF729" s="375"/>
      <c r="AG729" s="375"/>
      <c r="AH729" s="375"/>
      <c r="AI729" s="374"/>
      <c r="AJ729" s="374"/>
      <c r="AK729" s="375"/>
      <c r="AL729" s="375"/>
      <c r="AM729" s="375"/>
      <c r="AN729" s="375"/>
      <c r="AO729" s="374"/>
      <c r="AP729" s="375"/>
      <c r="AQ729" s="375"/>
      <c r="AR729" s="375"/>
      <c r="AS729" s="375"/>
      <c r="AT729" s="375"/>
      <c r="AU729" s="375"/>
      <c r="AV729" s="376"/>
    </row>
    <row r="730" spans="1:48" ht="28.8" hidden="1">
      <c r="A730" s="404" t="s">
        <v>2999</v>
      </c>
      <c r="B730" s="425" t="s">
        <v>3000</v>
      </c>
      <c r="C730" s="548"/>
      <c r="D730" s="395" t="s">
        <v>313</v>
      </c>
      <c r="E730" s="395"/>
      <c r="F730" s="372">
        <v>2024</v>
      </c>
      <c r="G730" s="372">
        <v>2024</v>
      </c>
      <c r="H730" s="431">
        <v>2024</v>
      </c>
      <c r="I730" s="375"/>
      <c r="J730" s="374"/>
      <c r="K730" s="374"/>
      <c r="L730" s="374"/>
      <c r="M730" s="374"/>
      <c r="N730" s="375" t="s">
        <v>2319</v>
      </c>
      <c r="O730" s="374" t="s">
        <v>353</v>
      </c>
      <c r="P730" s="374" t="s">
        <v>2271</v>
      </c>
      <c r="Q730" s="374"/>
      <c r="R730" s="374">
        <v>1204200088</v>
      </c>
      <c r="S730" s="375" t="s">
        <v>25</v>
      </c>
      <c r="T730" s="374" t="s">
        <v>353</v>
      </c>
      <c r="U730" s="374" t="s">
        <v>2271</v>
      </c>
      <c r="V730" s="375">
        <v>6764236</v>
      </c>
      <c r="W730" s="538" t="s">
        <v>1684</v>
      </c>
      <c r="X730" s="375" t="s">
        <v>41</v>
      </c>
      <c r="Y730" s="374" t="s">
        <v>353</v>
      </c>
      <c r="Z730" s="374" t="s">
        <v>2271</v>
      </c>
      <c r="AA730" s="375">
        <v>6843087</v>
      </c>
      <c r="AB730" s="375" t="s">
        <v>2010</v>
      </c>
      <c r="AC730" s="375"/>
      <c r="AD730" s="374"/>
      <c r="AE730" s="374"/>
      <c r="AF730" s="375"/>
      <c r="AG730" s="375"/>
      <c r="AH730" s="375"/>
      <c r="AI730" s="374"/>
      <c r="AJ730" s="374"/>
      <c r="AK730" s="375"/>
      <c r="AL730" s="375"/>
      <c r="AM730" s="375"/>
      <c r="AN730" s="375"/>
      <c r="AO730" s="374"/>
      <c r="AP730" s="375"/>
      <c r="AQ730" s="375"/>
      <c r="AR730" s="375"/>
      <c r="AS730" s="375"/>
      <c r="AT730" s="375"/>
      <c r="AU730" s="375"/>
      <c r="AV730" s="376"/>
    </row>
    <row r="731" spans="1:48" ht="28.8" hidden="1">
      <c r="A731" s="404" t="s">
        <v>3001</v>
      </c>
      <c r="B731" s="425" t="s">
        <v>2974</v>
      </c>
      <c r="C731" s="548"/>
      <c r="D731" s="395" t="s">
        <v>313</v>
      </c>
      <c r="E731" s="395"/>
      <c r="F731" s="372">
        <v>2024</v>
      </c>
      <c r="G731" s="372">
        <v>2024</v>
      </c>
      <c r="H731" s="431">
        <v>2024</v>
      </c>
      <c r="I731" s="375" t="s">
        <v>121</v>
      </c>
      <c r="J731" s="374">
        <v>6806664</v>
      </c>
      <c r="K731" s="539" t="s">
        <v>2333</v>
      </c>
      <c r="L731" s="374" t="s">
        <v>2613</v>
      </c>
      <c r="M731" s="374" t="s">
        <v>2271</v>
      </c>
      <c r="N731" s="375" t="s">
        <v>3002</v>
      </c>
      <c r="O731" s="374" t="s">
        <v>2613</v>
      </c>
      <c r="P731" s="374" t="s">
        <v>2271</v>
      </c>
      <c r="Q731" s="374"/>
      <c r="R731" s="374">
        <v>1206210019</v>
      </c>
      <c r="S731" s="375" t="s">
        <v>3003</v>
      </c>
      <c r="T731" s="374" t="s">
        <v>2613</v>
      </c>
      <c r="U731" s="374" t="s">
        <v>2271</v>
      </c>
      <c r="V731" s="375"/>
      <c r="W731" s="375">
        <v>1206220001</v>
      </c>
      <c r="X731" s="375" t="s">
        <v>2612</v>
      </c>
      <c r="Y731" s="374" t="s">
        <v>2613</v>
      </c>
      <c r="Z731" s="374" t="s">
        <v>2271</v>
      </c>
      <c r="AA731" s="375"/>
      <c r="AB731" s="375">
        <v>1206220002</v>
      </c>
      <c r="AC731" s="375" t="s">
        <v>121</v>
      </c>
      <c r="AD731" s="374" t="s">
        <v>2613</v>
      </c>
      <c r="AE731" s="374" t="s">
        <v>2271</v>
      </c>
      <c r="AF731" s="375">
        <v>6806664</v>
      </c>
      <c r="AG731" s="538" t="s">
        <v>2333</v>
      </c>
      <c r="AH731" s="375" t="s">
        <v>51</v>
      </c>
      <c r="AI731" s="374" t="s">
        <v>2613</v>
      </c>
      <c r="AJ731" s="374" t="s">
        <v>2271</v>
      </c>
      <c r="AK731" s="375">
        <v>6806662</v>
      </c>
      <c r="AL731" s="538" t="s">
        <v>1897</v>
      </c>
      <c r="AM731" s="375"/>
      <c r="AN731" s="375"/>
      <c r="AO731" s="374"/>
      <c r="AP731" s="375"/>
      <c r="AQ731" s="375"/>
      <c r="AR731" s="375"/>
      <c r="AS731" s="375"/>
      <c r="AT731" s="375"/>
      <c r="AU731" s="375"/>
      <c r="AV731" s="376"/>
    </row>
    <row r="732" spans="1:48" ht="43.2" hidden="1">
      <c r="A732" s="404" t="s">
        <v>3004</v>
      </c>
      <c r="B732" s="425" t="s">
        <v>3005</v>
      </c>
      <c r="C732" s="548"/>
      <c r="D732" s="395" t="s">
        <v>302</v>
      </c>
      <c r="E732" s="395" t="s">
        <v>1750</v>
      </c>
      <c r="F732" s="372">
        <v>2024</v>
      </c>
      <c r="G732" s="372">
        <v>2024</v>
      </c>
      <c r="H732" s="431">
        <v>2024</v>
      </c>
      <c r="I732" s="375" t="s">
        <v>3006</v>
      </c>
      <c r="J732" s="374"/>
      <c r="K732" s="374">
        <v>1204200064</v>
      </c>
      <c r="L732" s="374" t="s">
        <v>353</v>
      </c>
      <c r="M732" s="374" t="s">
        <v>2271</v>
      </c>
      <c r="N732" s="375" t="s">
        <v>3006</v>
      </c>
      <c r="O732" s="374" t="s">
        <v>353</v>
      </c>
      <c r="P732" s="374" t="s">
        <v>2271</v>
      </c>
      <c r="Q732" s="374"/>
      <c r="R732" s="374">
        <v>1204200064</v>
      </c>
      <c r="S732" s="375" t="s">
        <v>25</v>
      </c>
      <c r="T732" s="374" t="s">
        <v>353</v>
      </c>
      <c r="U732" s="374" t="s">
        <v>2271</v>
      </c>
      <c r="V732" s="375">
        <v>6764236</v>
      </c>
      <c r="W732" s="538" t="s">
        <v>1684</v>
      </c>
      <c r="X732" s="375" t="s">
        <v>41</v>
      </c>
      <c r="Y732" s="374" t="s">
        <v>353</v>
      </c>
      <c r="Z732" s="374" t="s">
        <v>2271</v>
      </c>
      <c r="AA732" s="375">
        <v>6843087</v>
      </c>
      <c r="AB732" s="375" t="s">
        <v>2010</v>
      </c>
      <c r="AC732" s="375"/>
      <c r="AD732" s="374"/>
      <c r="AE732" s="374"/>
      <c r="AF732" s="375"/>
      <c r="AG732" s="375"/>
      <c r="AH732" s="375"/>
      <c r="AI732" s="374"/>
      <c r="AJ732" s="374"/>
      <c r="AK732" s="375"/>
      <c r="AL732" s="375"/>
      <c r="AM732" s="375"/>
      <c r="AN732" s="375"/>
      <c r="AO732" s="374"/>
      <c r="AP732" s="375"/>
      <c r="AQ732" s="375"/>
      <c r="AR732" s="375"/>
      <c r="AS732" s="375"/>
      <c r="AT732" s="375"/>
      <c r="AU732" s="375"/>
      <c r="AV732" s="376"/>
    </row>
    <row r="733" spans="1:48" ht="43.2" hidden="1">
      <c r="A733" s="404" t="s">
        <v>3007</v>
      </c>
      <c r="B733" s="425" t="s">
        <v>3008</v>
      </c>
      <c r="C733" s="548"/>
      <c r="D733" s="395" t="s">
        <v>321</v>
      </c>
      <c r="E733" s="395" t="s">
        <v>1750</v>
      </c>
      <c r="F733" s="372">
        <v>2024</v>
      </c>
      <c r="G733" s="372">
        <v>2024</v>
      </c>
      <c r="H733" s="431">
        <v>2024</v>
      </c>
      <c r="I733" s="375"/>
      <c r="J733" s="374"/>
      <c r="K733" s="374"/>
      <c r="L733" s="374"/>
      <c r="M733" s="374"/>
      <c r="N733" s="375" t="s">
        <v>3009</v>
      </c>
      <c r="O733" s="374" t="s">
        <v>353</v>
      </c>
      <c r="P733" s="374" t="s">
        <v>2271</v>
      </c>
      <c r="Q733" s="374"/>
      <c r="R733" s="374">
        <v>1204200046</v>
      </c>
      <c r="S733" s="375" t="s">
        <v>949</v>
      </c>
      <c r="T733" s="374" t="s">
        <v>2613</v>
      </c>
      <c r="U733" s="374" t="s">
        <v>2271</v>
      </c>
      <c r="V733" s="375">
        <v>6756318</v>
      </c>
      <c r="W733" s="538" t="s">
        <v>950</v>
      </c>
      <c r="X733" s="375" t="s">
        <v>41</v>
      </c>
      <c r="Y733" s="374" t="s">
        <v>353</v>
      </c>
      <c r="Z733" s="374" t="s">
        <v>2271</v>
      </c>
      <c r="AA733" s="375">
        <v>6843087</v>
      </c>
      <c r="AB733" s="375" t="s">
        <v>2010</v>
      </c>
      <c r="AC733" s="375"/>
      <c r="AD733" s="374"/>
      <c r="AE733" s="374"/>
      <c r="AF733" s="375"/>
      <c r="AG733" s="375"/>
      <c r="AH733" s="375"/>
      <c r="AI733" s="374"/>
      <c r="AJ733" s="374"/>
      <c r="AK733" s="375"/>
      <c r="AL733" s="375"/>
      <c r="AM733" s="375"/>
      <c r="AN733" s="375"/>
      <c r="AO733" s="374"/>
      <c r="AP733" s="375"/>
      <c r="AQ733" s="375"/>
      <c r="AR733" s="375"/>
      <c r="AS733" s="375"/>
      <c r="AT733" s="375"/>
      <c r="AU733" s="375"/>
      <c r="AV733" s="376"/>
    </row>
    <row r="734" spans="1:48" ht="28.8" hidden="1">
      <c r="A734" s="404" t="s">
        <v>3010</v>
      </c>
      <c r="B734" s="425" t="s">
        <v>3011</v>
      </c>
      <c r="C734" s="548"/>
      <c r="D734" s="395" t="s">
        <v>306</v>
      </c>
      <c r="E734" s="395" t="s">
        <v>1750</v>
      </c>
      <c r="F734" s="372">
        <v>2024</v>
      </c>
      <c r="G734" s="372">
        <v>2024</v>
      </c>
      <c r="H734" s="431">
        <v>2024</v>
      </c>
      <c r="I734" s="375"/>
      <c r="J734" s="374"/>
      <c r="K734" s="374"/>
      <c r="L734" s="374"/>
      <c r="M734" s="374"/>
      <c r="N734" s="375" t="s">
        <v>1386</v>
      </c>
      <c r="O734" s="374"/>
      <c r="P734" s="374"/>
      <c r="Q734" s="374"/>
      <c r="R734" s="374"/>
      <c r="S734" s="375" t="s">
        <v>949</v>
      </c>
      <c r="T734" s="374" t="s">
        <v>2613</v>
      </c>
      <c r="U734" s="374" t="s">
        <v>2271</v>
      </c>
      <c r="V734" s="375">
        <v>6756318</v>
      </c>
      <c r="W734" s="538" t="s">
        <v>950</v>
      </c>
      <c r="X734" s="375" t="s">
        <v>71</v>
      </c>
      <c r="Y734" s="374" t="s">
        <v>620</v>
      </c>
      <c r="Z734" s="374" t="s">
        <v>2271</v>
      </c>
      <c r="AA734" s="375">
        <v>6778837</v>
      </c>
      <c r="AB734" s="538" t="s">
        <v>979</v>
      </c>
      <c r="AC734" s="375"/>
      <c r="AD734" s="374"/>
      <c r="AE734" s="374"/>
      <c r="AF734" s="375"/>
      <c r="AG734" s="375"/>
      <c r="AH734" s="375"/>
      <c r="AI734" s="374"/>
      <c r="AJ734" s="374"/>
      <c r="AK734" s="375"/>
      <c r="AL734" s="375"/>
      <c r="AM734" s="375"/>
      <c r="AN734" s="375"/>
      <c r="AO734" s="374"/>
      <c r="AP734" s="375"/>
      <c r="AQ734" s="375"/>
      <c r="AR734" s="375"/>
      <c r="AS734" s="375"/>
      <c r="AT734" s="375"/>
      <c r="AU734" s="375"/>
      <c r="AV734" s="376"/>
    </row>
    <row r="735" spans="1:48" ht="28.8">
      <c r="A735" s="404" t="s">
        <v>3012</v>
      </c>
      <c r="B735" s="425" t="s">
        <v>3013</v>
      </c>
      <c r="C735" s="548" t="s">
        <v>2270</v>
      </c>
      <c r="D735" s="395" t="s">
        <v>313</v>
      </c>
      <c r="E735" s="395"/>
      <c r="F735" s="372">
        <v>2024</v>
      </c>
      <c r="G735" s="372">
        <v>2024</v>
      </c>
      <c r="H735" s="431">
        <v>2024</v>
      </c>
      <c r="I735" s="375"/>
      <c r="J735" s="374"/>
      <c r="K735" s="374"/>
      <c r="L735" s="374"/>
      <c r="M735" s="374"/>
      <c r="N735" s="375" t="s">
        <v>3014</v>
      </c>
      <c r="O735" s="374" t="s">
        <v>353</v>
      </c>
      <c r="P735" s="374" t="s">
        <v>2271</v>
      </c>
      <c r="Q735" s="374"/>
      <c r="R735" s="374">
        <v>1204200035</v>
      </c>
      <c r="S735" s="375" t="s">
        <v>25</v>
      </c>
      <c r="T735" s="374" t="s">
        <v>353</v>
      </c>
      <c r="U735" s="374" t="s">
        <v>2271</v>
      </c>
      <c r="V735" s="375">
        <v>6764236</v>
      </c>
      <c r="W735" s="538" t="s">
        <v>1684</v>
      </c>
      <c r="X735" s="375" t="s">
        <v>178</v>
      </c>
      <c r="Y735" s="374" t="s">
        <v>353</v>
      </c>
      <c r="Z735" s="374" t="s">
        <v>2271</v>
      </c>
      <c r="AA735" s="375">
        <v>6802117</v>
      </c>
      <c r="AB735" s="538" t="s">
        <v>978</v>
      </c>
      <c r="AC735" s="375"/>
      <c r="AD735" s="374"/>
      <c r="AE735" s="374"/>
      <c r="AF735" s="375"/>
      <c r="AG735" s="375"/>
      <c r="AH735" s="375"/>
      <c r="AI735" s="374"/>
      <c r="AJ735" s="374"/>
      <c r="AK735" s="375"/>
      <c r="AL735" s="375"/>
      <c r="AM735" s="375"/>
      <c r="AN735" s="375"/>
      <c r="AO735" s="374"/>
      <c r="AP735" s="375"/>
      <c r="AQ735" s="375"/>
      <c r="AR735" s="375"/>
      <c r="AS735" s="375"/>
      <c r="AT735" s="375"/>
      <c r="AU735" s="375"/>
      <c r="AV735" s="376"/>
    </row>
    <row r="736" spans="1:48" ht="57.6" hidden="1">
      <c r="A736" s="404" t="s">
        <v>3015</v>
      </c>
      <c r="B736" s="425" t="s">
        <v>2315</v>
      </c>
      <c r="C736" s="548"/>
      <c r="D736" s="395" t="s">
        <v>313</v>
      </c>
      <c r="E736" s="395"/>
      <c r="F736" s="372">
        <v>2024</v>
      </c>
      <c r="G736" s="372">
        <v>2024</v>
      </c>
      <c r="H736" s="431">
        <v>2024</v>
      </c>
      <c r="I736" s="375" t="s">
        <v>2316</v>
      </c>
      <c r="J736" s="374"/>
      <c r="K736" s="374">
        <v>1204200011</v>
      </c>
      <c r="L736" s="374" t="s">
        <v>353</v>
      </c>
      <c r="M736" s="374" t="s">
        <v>2271</v>
      </c>
      <c r="N736" s="375" t="s">
        <v>2316</v>
      </c>
      <c r="O736" s="374" t="s">
        <v>353</v>
      </c>
      <c r="P736" s="374" t="s">
        <v>2271</v>
      </c>
      <c r="Q736" s="374"/>
      <c r="R736" s="374">
        <v>1204200011</v>
      </c>
      <c r="S736" s="375" t="s">
        <v>25</v>
      </c>
      <c r="T736" s="374" t="s">
        <v>353</v>
      </c>
      <c r="U736" s="374" t="s">
        <v>2271</v>
      </c>
      <c r="V736" s="375">
        <v>6764236</v>
      </c>
      <c r="W736" s="538" t="s">
        <v>1684</v>
      </c>
      <c r="X736" s="375" t="s">
        <v>41</v>
      </c>
      <c r="Y736" s="374" t="s">
        <v>353</v>
      </c>
      <c r="Z736" s="374" t="s">
        <v>2271</v>
      </c>
      <c r="AA736" s="375">
        <v>6843087</v>
      </c>
      <c r="AB736" s="375" t="s">
        <v>2010</v>
      </c>
      <c r="AC736" s="375"/>
      <c r="AD736" s="374"/>
      <c r="AE736" s="374"/>
      <c r="AF736" s="375"/>
      <c r="AG736" s="375"/>
      <c r="AH736" s="375"/>
      <c r="AI736" s="374"/>
      <c r="AJ736" s="374"/>
      <c r="AK736" s="375"/>
      <c r="AL736" s="375"/>
      <c r="AM736" s="375"/>
      <c r="AN736" s="375"/>
      <c r="AO736" s="374"/>
      <c r="AP736" s="375"/>
      <c r="AQ736" s="375"/>
      <c r="AR736" s="375"/>
      <c r="AS736" s="375"/>
      <c r="AT736" s="375"/>
      <c r="AU736" s="375"/>
      <c r="AV736" s="376"/>
    </row>
    <row r="737" spans="1:49" ht="28.8">
      <c r="A737" s="404" t="s">
        <v>2312</v>
      </c>
      <c r="B737" s="425" t="s">
        <v>2006</v>
      </c>
      <c r="C737" s="548" t="s">
        <v>2275</v>
      </c>
      <c r="D737" s="395" t="s">
        <v>302</v>
      </c>
      <c r="E737" s="395" t="s">
        <v>1750</v>
      </c>
      <c r="F737" s="372">
        <v>2024</v>
      </c>
      <c r="G737" s="372">
        <v>2024</v>
      </c>
      <c r="H737" s="431">
        <v>2024</v>
      </c>
      <c r="I737" s="375"/>
      <c r="J737" s="374"/>
      <c r="K737" s="374"/>
      <c r="L737" s="374"/>
      <c r="M737" s="374"/>
      <c r="N737" s="375" t="s">
        <v>3016</v>
      </c>
      <c r="O737" s="374" t="s">
        <v>353</v>
      </c>
      <c r="P737" s="374" t="s">
        <v>2271</v>
      </c>
      <c r="Q737" s="374"/>
      <c r="R737" s="374">
        <v>1204200213</v>
      </c>
      <c r="S737" s="375" t="s">
        <v>25</v>
      </c>
      <c r="T737" s="374" t="s">
        <v>353</v>
      </c>
      <c r="U737" s="374" t="s">
        <v>2271</v>
      </c>
      <c r="V737" s="375">
        <v>6764236</v>
      </c>
      <c r="W737" s="538" t="s">
        <v>1684</v>
      </c>
      <c r="X737" s="375" t="s">
        <v>37</v>
      </c>
      <c r="Y737" s="374" t="s">
        <v>353</v>
      </c>
      <c r="Z737" s="374" t="s">
        <v>2271</v>
      </c>
      <c r="AA737" s="375">
        <v>6835039</v>
      </c>
      <c r="AB737" s="538" t="s">
        <v>2009</v>
      </c>
      <c r="AC737" s="375"/>
      <c r="AD737" s="374"/>
      <c r="AE737" s="374"/>
      <c r="AF737" s="375"/>
      <c r="AG737" s="375"/>
      <c r="AH737" s="375"/>
      <c r="AI737" s="374"/>
      <c r="AJ737" s="374"/>
      <c r="AK737" s="375"/>
      <c r="AL737" s="375"/>
      <c r="AM737" s="375"/>
      <c r="AN737" s="375"/>
      <c r="AO737" s="374"/>
      <c r="AP737" s="375"/>
      <c r="AQ737" s="375"/>
      <c r="AR737" s="375"/>
      <c r="AS737" s="375"/>
      <c r="AT737" s="375"/>
      <c r="AU737" s="375"/>
      <c r="AV737" s="376"/>
    </row>
    <row r="738" spans="1:49" ht="28.8" hidden="1">
      <c r="A738" s="404" t="s">
        <v>3017</v>
      </c>
      <c r="B738" s="425" t="s">
        <v>3018</v>
      </c>
      <c r="C738" s="548"/>
      <c r="D738" s="395" t="s">
        <v>302</v>
      </c>
      <c r="E738" s="395" t="s">
        <v>1750</v>
      </c>
      <c r="F738" s="372">
        <v>2024</v>
      </c>
      <c r="G738" s="372">
        <v>2024</v>
      </c>
      <c r="H738" s="431">
        <v>2024</v>
      </c>
      <c r="I738" s="375" t="s">
        <v>23</v>
      </c>
      <c r="J738" s="374">
        <v>6680625</v>
      </c>
      <c r="K738" s="374" t="s">
        <v>1782</v>
      </c>
      <c r="L738" s="374" t="s">
        <v>494</v>
      </c>
      <c r="M738" s="374" t="s">
        <v>2271</v>
      </c>
      <c r="N738" s="375" t="s">
        <v>3019</v>
      </c>
      <c r="O738" s="374" t="s">
        <v>494</v>
      </c>
      <c r="P738" s="374" t="s">
        <v>2271</v>
      </c>
      <c r="Q738" s="374"/>
      <c r="R738" s="374">
        <v>1101200010</v>
      </c>
      <c r="S738" s="375" t="s">
        <v>23</v>
      </c>
      <c r="T738" s="374" t="s">
        <v>494</v>
      </c>
      <c r="U738" s="374" t="s">
        <v>2271</v>
      </c>
      <c r="V738" s="375">
        <v>6680625</v>
      </c>
      <c r="W738" s="375" t="s">
        <v>1782</v>
      </c>
      <c r="X738" s="375" t="s">
        <v>173</v>
      </c>
      <c r="Y738" s="374" t="s">
        <v>494</v>
      </c>
      <c r="Z738" s="374" t="s">
        <v>2271</v>
      </c>
      <c r="AA738" s="375">
        <v>6829130</v>
      </c>
      <c r="AB738" s="538" t="s">
        <v>3020</v>
      </c>
      <c r="AC738" s="375"/>
      <c r="AD738" s="374"/>
      <c r="AE738" s="374"/>
      <c r="AF738" s="375"/>
      <c r="AG738" s="375"/>
      <c r="AH738" s="375"/>
      <c r="AI738" s="374"/>
      <c r="AJ738" s="374"/>
      <c r="AK738" s="375"/>
      <c r="AL738" s="375"/>
      <c r="AM738" s="375"/>
      <c r="AN738" s="375"/>
      <c r="AO738" s="374"/>
      <c r="AP738" s="375"/>
      <c r="AQ738" s="375"/>
      <c r="AR738" s="375"/>
      <c r="AS738" s="375"/>
      <c r="AT738" s="375"/>
      <c r="AU738" s="375"/>
      <c r="AV738" s="376"/>
    </row>
    <row r="739" spans="1:49" ht="28.8" hidden="1">
      <c r="A739" s="404" t="s">
        <v>3021</v>
      </c>
      <c r="B739" s="425" t="s">
        <v>2974</v>
      </c>
      <c r="C739" s="548"/>
      <c r="D739" s="395" t="s">
        <v>313</v>
      </c>
      <c r="E739" s="395"/>
      <c r="F739" s="372">
        <v>2024</v>
      </c>
      <c r="G739" s="372">
        <v>2024</v>
      </c>
      <c r="H739" s="431">
        <v>2024</v>
      </c>
      <c r="I739" s="375" t="s">
        <v>3022</v>
      </c>
      <c r="J739" s="374"/>
      <c r="K739" s="374">
        <v>1206220006</v>
      </c>
      <c r="L739" s="374" t="s">
        <v>2613</v>
      </c>
      <c r="M739" s="374" t="s">
        <v>2271</v>
      </c>
      <c r="N739" s="375" t="s">
        <v>3023</v>
      </c>
      <c r="O739" s="374" t="s">
        <v>2613</v>
      </c>
      <c r="P739" s="374" t="s">
        <v>2271</v>
      </c>
      <c r="Q739" s="374"/>
      <c r="R739" s="374">
        <v>1206210015</v>
      </c>
      <c r="S739" s="375" t="s">
        <v>3022</v>
      </c>
      <c r="T739" s="374" t="s">
        <v>2613</v>
      </c>
      <c r="U739" s="374" t="s">
        <v>2271</v>
      </c>
      <c r="V739" s="375"/>
      <c r="W739" s="375">
        <v>1206220006</v>
      </c>
      <c r="X739" s="375" t="s">
        <v>3024</v>
      </c>
      <c r="Y739" s="374" t="s">
        <v>2613</v>
      </c>
      <c r="Z739" s="374" t="s">
        <v>2271</v>
      </c>
      <c r="AA739" s="375"/>
      <c r="AB739" s="375">
        <v>1206220020</v>
      </c>
      <c r="AC739" s="375" t="s">
        <v>51</v>
      </c>
      <c r="AD739" s="374" t="s">
        <v>2613</v>
      </c>
      <c r="AE739" s="374" t="s">
        <v>2271</v>
      </c>
      <c r="AF739" s="375">
        <v>6806662</v>
      </c>
      <c r="AG739" s="538" t="s">
        <v>1897</v>
      </c>
      <c r="AH739" s="375"/>
      <c r="AI739" s="374"/>
      <c r="AJ739" s="374"/>
      <c r="AK739" s="375"/>
      <c r="AL739" s="375"/>
      <c r="AM739" s="375"/>
      <c r="AN739" s="375"/>
      <c r="AO739" s="374"/>
      <c r="AP739" s="375"/>
      <c r="AQ739" s="375"/>
      <c r="AR739" s="375"/>
      <c r="AS739" s="375"/>
      <c r="AT739" s="375"/>
      <c r="AU739" s="375"/>
      <c r="AV739" s="376"/>
    </row>
    <row r="740" spans="1:49" ht="28.8">
      <c r="A740" s="404" t="s">
        <v>3025</v>
      </c>
      <c r="B740" s="425" t="s">
        <v>2529</v>
      </c>
      <c r="C740" s="548" t="s">
        <v>2270</v>
      </c>
      <c r="D740" s="395" t="s">
        <v>782</v>
      </c>
      <c r="E740" s="395" t="s">
        <v>1750</v>
      </c>
      <c r="F740" s="372">
        <v>2024</v>
      </c>
      <c r="G740" s="372">
        <v>2024</v>
      </c>
      <c r="H740" s="431">
        <v>2024</v>
      </c>
      <c r="I740" s="375" t="s">
        <v>45</v>
      </c>
      <c r="J740" s="374">
        <v>6826743</v>
      </c>
      <c r="K740" s="539" t="s">
        <v>1880</v>
      </c>
      <c r="L740" s="374" t="s">
        <v>351</v>
      </c>
      <c r="M740" s="374" t="s">
        <v>2271</v>
      </c>
      <c r="N740" s="375" t="s">
        <v>45</v>
      </c>
      <c r="O740" s="374" t="s">
        <v>351</v>
      </c>
      <c r="P740" s="374" t="s">
        <v>2271</v>
      </c>
      <c r="Q740" s="374">
        <v>6826743</v>
      </c>
      <c r="R740" s="539" t="s">
        <v>1880</v>
      </c>
      <c r="S740" s="375" t="s">
        <v>203</v>
      </c>
      <c r="T740" s="374" t="s">
        <v>351</v>
      </c>
      <c r="U740" s="374" t="s">
        <v>2271</v>
      </c>
      <c r="V740" s="375">
        <v>6892129</v>
      </c>
      <c r="W740" s="538" t="s">
        <v>2557</v>
      </c>
      <c r="X740" s="375" t="s">
        <v>3026</v>
      </c>
      <c r="Y740" s="374" t="s">
        <v>351</v>
      </c>
      <c r="Z740" s="374" t="s">
        <v>2271</v>
      </c>
      <c r="AA740" s="375">
        <v>6658545</v>
      </c>
      <c r="AB740" s="538" t="s">
        <v>984</v>
      </c>
      <c r="AC740" s="375" t="s">
        <v>3027</v>
      </c>
      <c r="AD740" s="374" t="s">
        <v>351</v>
      </c>
      <c r="AE740" s="374" t="s">
        <v>2271</v>
      </c>
      <c r="AF740" s="375"/>
      <c r="AG740" s="375">
        <v>1104230040</v>
      </c>
      <c r="AH740" s="375" t="s">
        <v>2565</v>
      </c>
      <c r="AI740" s="374" t="s">
        <v>351</v>
      </c>
      <c r="AJ740" s="374" t="s">
        <v>2271</v>
      </c>
      <c r="AK740" s="375"/>
      <c r="AL740" s="375">
        <v>1104220168</v>
      </c>
      <c r="AM740" s="375" t="s">
        <v>2566</v>
      </c>
      <c r="AN740" s="375" t="s">
        <v>351</v>
      </c>
      <c r="AO740" s="374" t="s">
        <v>2271</v>
      </c>
      <c r="AP740" s="375"/>
      <c r="AQ740" s="375">
        <v>1104220163</v>
      </c>
      <c r="AR740" s="375" t="s">
        <v>2567</v>
      </c>
      <c r="AS740" s="375" t="s">
        <v>351</v>
      </c>
      <c r="AT740" s="375" t="s">
        <v>2271</v>
      </c>
      <c r="AU740" s="375"/>
      <c r="AV740" s="376">
        <v>1104220059</v>
      </c>
    </row>
    <row r="741" spans="1:49" ht="28.8" hidden="1">
      <c r="A741" s="404" t="s">
        <v>3028</v>
      </c>
      <c r="B741" s="425"/>
      <c r="C741" s="548"/>
      <c r="D741" s="395" t="s">
        <v>313</v>
      </c>
      <c r="E741" s="395"/>
      <c r="F741" s="372"/>
      <c r="G741" s="372"/>
      <c r="H741" s="431"/>
      <c r="I741" s="375"/>
      <c r="J741" s="374"/>
      <c r="K741" s="374"/>
      <c r="L741" s="374"/>
      <c r="M741" s="374"/>
      <c r="N741" s="375"/>
      <c r="O741" s="374"/>
      <c r="P741" s="374"/>
      <c r="Q741" s="374"/>
      <c r="R741" s="374"/>
      <c r="S741" s="375"/>
      <c r="T741" s="374"/>
      <c r="U741" s="374"/>
      <c r="V741" s="375"/>
      <c r="W741" s="375"/>
      <c r="X741" s="375"/>
      <c r="Y741" s="374"/>
      <c r="Z741" s="374"/>
      <c r="AA741" s="375"/>
      <c r="AB741" s="375"/>
      <c r="AC741" s="375"/>
      <c r="AD741" s="374"/>
      <c r="AE741" s="374"/>
      <c r="AF741" s="375"/>
      <c r="AG741" s="375"/>
      <c r="AH741" s="375"/>
      <c r="AI741" s="374"/>
      <c r="AJ741" s="374"/>
      <c r="AK741" s="375"/>
      <c r="AL741" s="375"/>
      <c r="AM741" s="375"/>
      <c r="AN741" s="375"/>
      <c r="AO741" s="374"/>
      <c r="AP741" s="375"/>
      <c r="AQ741" s="375"/>
      <c r="AR741" s="375"/>
      <c r="AS741" s="375"/>
      <c r="AT741" s="375"/>
      <c r="AU741" s="375"/>
      <c r="AV741" s="376"/>
    </row>
    <row r="742" spans="1:49" ht="43.2">
      <c r="A742" s="404" t="s">
        <v>3029</v>
      </c>
      <c r="B742" s="425" t="s">
        <v>3030</v>
      </c>
      <c r="C742" s="548" t="s">
        <v>2275</v>
      </c>
      <c r="D742" s="395" t="s">
        <v>374</v>
      </c>
      <c r="E742" s="395" t="s">
        <v>1750</v>
      </c>
      <c r="F742" s="372">
        <v>2024</v>
      </c>
      <c r="G742" s="372">
        <v>2024</v>
      </c>
      <c r="H742" s="431">
        <v>2024</v>
      </c>
      <c r="I742" s="375" t="s">
        <v>2556</v>
      </c>
      <c r="J742" s="374"/>
      <c r="K742" s="374">
        <v>1203200076</v>
      </c>
      <c r="L742" s="374" t="s">
        <v>351</v>
      </c>
      <c r="M742" s="374" t="s">
        <v>2271</v>
      </c>
      <c r="N742" s="375" t="s">
        <v>2556</v>
      </c>
      <c r="O742" s="374" t="s">
        <v>351</v>
      </c>
      <c r="P742" s="374" t="s">
        <v>2271</v>
      </c>
      <c r="Q742" s="374"/>
      <c r="R742" s="374">
        <v>1203200076</v>
      </c>
      <c r="S742" s="375" t="s">
        <v>203</v>
      </c>
      <c r="T742" s="374" t="s">
        <v>351</v>
      </c>
      <c r="U742" s="374" t="s">
        <v>2271</v>
      </c>
      <c r="V742" s="375">
        <v>6892129</v>
      </c>
      <c r="W742" s="538" t="s">
        <v>2557</v>
      </c>
      <c r="X742" s="375" t="s">
        <v>40</v>
      </c>
      <c r="Y742" s="374" t="s">
        <v>351</v>
      </c>
      <c r="Z742" s="374" t="s">
        <v>2271</v>
      </c>
      <c r="AA742" s="375">
        <v>6658545</v>
      </c>
      <c r="AB742" s="538" t="s">
        <v>984</v>
      </c>
      <c r="AC742" s="375"/>
      <c r="AD742" s="374"/>
      <c r="AE742" s="374"/>
      <c r="AF742" s="375"/>
      <c r="AG742" s="375"/>
      <c r="AH742" s="375"/>
      <c r="AI742" s="374"/>
      <c r="AJ742" s="374"/>
      <c r="AK742" s="375"/>
      <c r="AL742" s="375"/>
      <c r="AM742" s="375"/>
      <c r="AN742" s="375"/>
      <c r="AO742" s="374"/>
      <c r="AP742" s="375"/>
      <c r="AQ742" s="375"/>
      <c r="AR742" s="375"/>
      <c r="AS742" s="375"/>
      <c r="AT742" s="375"/>
      <c r="AU742" s="375"/>
      <c r="AV742" s="376"/>
    </row>
    <row r="743" spans="1:49" ht="28.8">
      <c r="A743" s="404" t="s">
        <v>3031</v>
      </c>
      <c r="B743" s="425" t="s">
        <v>2864</v>
      </c>
      <c r="C743" s="548" t="s">
        <v>2270</v>
      </c>
      <c r="D743" s="395" t="s">
        <v>321</v>
      </c>
      <c r="E743" s="395" t="s">
        <v>1750</v>
      </c>
      <c r="F743" s="372">
        <v>2024</v>
      </c>
      <c r="G743" s="372">
        <v>2024</v>
      </c>
      <c r="H743" s="431">
        <v>2024</v>
      </c>
      <c r="I743" s="375" t="s">
        <v>39</v>
      </c>
      <c r="J743" s="374">
        <v>6801883</v>
      </c>
      <c r="K743" s="539" t="s">
        <v>1751</v>
      </c>
      <c r="L743" s="374" t="s">
        <v>353</v>
      </c>
      <c r="M743" s="374" t="s">
        <v>2271</v>
      </c>
      <c r="N743" s="375" t="s">
        <v>39</v>
      </c>
      <c r="O743" s="374" t="s">
        <v>353</v>
      </c>
      <c r="P743" s="374" t="s">
        <v>2271</v>
      </c>
      <c r="Q743" s="374">
        <v>6801883</v>
      </c>
      <c r="R743" s="539" t="s">
        <v>1751</v>
      </c>
      <c r="S743" s="375" t="s">
        <v>2142</v>
      </c>
      <c r="T743" s="374" t="s">
        <v>353</v>
      </c>
      <c r="U743" s="374" t="s">
        <v>2271</v>
      </c>
      <c r="V743" s="375"/>
      <c r="W743" s="375">
        <v>1204210123</v>
      </c>
      <c r="X743" s="375" t="s">
        <v>3032</v>
      </c>
      <c r="Y743" s="374" t="s">
        <v>353</v>
      </c>
      <c r="Z743" s="374" t="s">
        <v>2271</v>
      </c>
      <c r="AA743" s="375"/>
      <c r="AB743" s="375">
        <v>1204210031</v>
      </c>
      <c r="AC743" s="375"/>
      <c r="AD743" s="374"/>
      <c r="AE743" s="374"/>
      <c r="AF743" s="375"/>
      <c r="AG743" s="375"/>
      <c r="AH743" s="375"/>
      <c r="AI743" s="374"/>
      <c r="AJ743" s="374"/>
      <c r="AK743" s="375"/>
      <c r="AL743" s="375"/>
      <c r="AM743" s="375"/>
      <c r="AN743" s="375"/>
      <c r="AO743" s="374"/>
      <c r="AP743" s="375"/>
      <c r="AQ743" s="375"/>
      <c r="AR743" s="375"/>
      <c r="AS743" s="375"/>
      <c r="AT743" s="375"/>
      <c r="AU743" s="375"/>
      <c r="AV743" s="376"/>
    </row>
    <row r="744" spans="1:49" ht="43.2" hidden="1">
      <c r="A744" s="404" t="s">
        <v>3033</v>
      </c>
      <c r="B744" s="425" t="s">
        <v>2992</v>
      </c>
      <c r="C744" s="548"/>
      <c r="D744" s="395" t="s">
        <v>374</v>
      </c>
      <c r="E744" s="395" t="s">
        <v>1750</v>
      </c>
      <c r="F744" s="372">
        <v>2024</v>
      </c>
      <c r="G744" s="372">
        <v>2024</v>
      </c>
      <c r="H744" s="431">
        <v>2024</v>
      </c>
      <c r="I744" s="375"/>
      <c r="J744" s="374"/>
      <c r="K744" s="374"/>
      <c r="L744" s="374"/>
      <c r="M744" s="374"/>
      <c r="N744" s="375" t="s">
        <v>3034</v>
      </c>
      <c r="O744" s="374" t="s">
        <v>353</v>
      </c>
      <c r="P744" s="374" t="s">
        <v>2271</v>
      </c>
      <c r="Q744" s="374"/>
      <c r="R744" s="374">
        <v>1204202151</v>
      </c>
      <c r="S744" s="375" t="s">
        <v>775</v>
      </c>
      <c r="T744" s="374" t="s">
        <v>686</v>
      </c>
      <c r="U744" s="374" t="s">
        <v>2271</v>
      </c>
      <c r="V744" s="375">
        <v>6785861</v>
      </c>
      <c r="W744" s="538" t="s">
        <v>1904</v>
      </c>
      <c r="X744" s="375" t="s">
        <v>39</v>
      </c>
      <c r="Y744" s="374" t="s">
        <v>353</v>
      </c>
      <c r="Z744" s="374" t="s">
        <v>2271</v>
      </c>
      <c r="AA744" s="375">
        <v>6801883</v>
      </c>
      <c r="AB744" s="538" t="s">
        <v>1751</v>
      </c>
      <c r="AC744" s="375"/>
      <c r="AD744" s="374"/>
      <c r="AE744" s="374"/>
      <c r="AF744" s="375"/>
      <c r="AG744" s="375"/>
      <c r="AH744" s="375"/>
      <c r="AI744" s="374"/>
      <c r="AJ744" s="374"/>
      <c r="AK744" s="375"/>
      <c r="AL744" s="375"/>
      <c r="AM744" s="375"/>
      <c r="AN744" s="375"/>
      <c r="AO744" s="374"/>
      <c r="AP744" s="375"/>
      <c r="AQ744" s="375"/>
      <c r="AR744" s="375"/>
      <c r="AS744" s="375"/>
      <c r="AT744" s="375"/>
      <c r="AU744" s="375"/>
      <c r="AV744" s="376"/>
    </row>
    <row r="745" spans="1:49" ht="28.8" hidden="1">
      <c r="A745" s="404" t="s">
        <v>3035</v>
      </c>
      <c r="B745" s="425" t="s">
        <v>3036</v>
      </c>
      <c r="C745" s="548"/>
      <c r="D745" s="395" t="s">
        <v>302</v>
      </c>
      <c r="E745" s="395" t="s">
        <v>1750</v>
      </c>
      <c r="F745" s="372">
        <v>2024</v>
      </c>
      <c r="G745" s="372">
        <v>2024</v>
      </c>
      <c r="H745" s="431">
        <v>2024</v>
      </c>
      <c r="I745" s="375" t="s">
        <v>3037</v>
      </c>
      <c r="J745" s="374"/>
      <c r="K745" s="374">
        <v>1204200113</v>
      </c>
      <c r="L745" s="374" t="s">
        <v>353</v>
      </c>
      <c r="M745" s="374" t="s">
        <v>2271</v>
      </c>
      <c r="N745" s="375" t="s">
        <v>3037</v>
      </c>
      <c r="O745" s="374" t="s">
        <v>353</v>
      </c>
      <c r="P745" s="374" t="s">
        <v>2271</v>
      </c>
      <c r="Q745" s="374"/>
      <c r="R745" s="374">
        <v>1204200113</v>
      </c>
      <c r="S745" s="375" t="s">
        <v>57</v>
      </c>
      <c r="T745" s="374" t="s">
        <v>353</v>
      </c>
      <c r="U745" s="374" t="s">
        <v>2271</v>
      </c>
      <c r="V745" s="538" t="s">
        <v>2885</v>
      </c>
      <c r="W745" s="538" t="s">
        <v>985</v>
      </c>
      <c r="X745" s="375" t="s">
        <v>39</v>
      </c>
      <c r="Y745" s="374" t="s">
        <v>353</v>
      </c>
      <c r="Z745" s="374" t="s">
        <v>2271</v>
      </c>
      <c r="AA745" s="375">
        <v>6801883</v>
      </c>
      <c r="AB745" s="538" t="s">
        <v>1751</v>
      </c>
      <c r="AC745" s="375"/>
      <c r="AD745" s="374"/>
      <c r="AE745" s="374"/>
      <c r="AF745" s="375"/>
      <c r="AG745" s="375"/>
      <c r="AH745" s="375"/>
      <c r="AI745" s="374"/>
      <c r="AJ745" s="374"/>
      <c r="AK745" s="375"/>
      <c r="AL745" s="375"/>
      <c r="AM745" s="375"/>
      <c r="AN745" s="375"/>
      <c r="AO745" s="374"/>
      <c r="AP745" s="375"/>
      <c r="AQ745" s="375"/>
      <c r="AR745" s="375"/>
      <c r="AS745" s="375"/>
      <c r="AT745" s="375"/>
      <c r="AU745" s="375"/>
      <c r="AV745" s="376"/>
    </row>
    <row r="746" spans="1:49" ht="28.8">
      <c r="A746" s="404" t="s">
        <v>3038</v>
      </c>
      <c r="B746" s="425" t="s">
        <v>2213</v>
      </c>
      <c r="C746" s="548" t="s">
        <v>2275</v>
      </c>
      <c r="D746" s="395" t="s">
        <v>302</v>
      </c>
      <c r="E746" s="395" t="s">
        <v>1750</v>
      </c>
      <c r="F746" s="372">
        <v>2024</v>
      </c>
      <c r="G746" s="372">
        <v>2024</v>
      </c>
      <c r="H746" s="431">
        <v>2024</v>
      </c>
      <c r="I746" s="375" t="s">
        <v>114</v>
      </c>
      <c r="J746" s="374">
        <v>6826727</v>
      </c>
      <c r="K746" s="539" t="s">
        <v>2276</v>
      </c>
      <c r="L746" s="374" t="s">
        <v>449</v>
      </c>
      <c r="M746" s="374" t="s">
        <v>2271</v>
      </c>
      <c r="N746" s="375" t="s">
        <v>57</v>
      </c>
      <c r="O746" s="374" t="s">
        <v>353</v>
      </c>
      <c r="P746" s="374" t="s">
        <v>2271</v>
      </c>
      <c r="Q746" s="539" t="s">
        <v>2885</v>
      </c>
      <c r="R746" s="539" t="s">
        <v>985</v>
      </c>
      <c r="S746" s="375" t="s">
        <v>2891</v>
      </c>
      <c r="T746" s="374" t="s">
        <v>3039</v>
      </c>
      <c r="U746" s="374" t="s">
        <v>2271</v>
      </c>
      <c r="V746" s="375"/>
      <c r="W746" s="375">
        <v>1202202061</v>
      </c>
      <c r="X746" s="375" t="s">
        <v>2278</v>
      </c>
      <c r="Y746" s="374" t="s">
        <v>3039</v>
      </c>
      <c r="Z746" s="374" t="s">
        <v>2271</v>
      </c>
      <c r="AA746" s="375"/>
      <c r="AB746" s="375">
        <v>1202200014</v>
      </c>
      <c r="AC746" s="375" t="s">
        <v>913</v>
      </c>
      <c r="AD746" s="374"/>
      <c r="AE746" s="374"/>
      <c r="AF746" s="375"/>
      <c r="AG746" s="375"/>
      <c r="AH746" s="375"/>
      <c r="AI746" s="374"/>
      <c r="AJ746" s="374"/>
      <c r="AK746" s="375"/>
      <c r="AL746" s="375"/>
      <c r="AM746" s="375"/>
      <c r="AN746" s="375"/>
      <c r="AO746" s="374"/>
      <c r="AP746" s="375"/>
      <c r="AQ746" s="375"/>
      <c r="AR746" s="375"/>
      <c r="AS746" s="375"/>
      <c r="AT746" s="375"/>
      <c r="AU746" s="375"/>
      <c r="AV746" s="376"/>
    </row>
    <row r="747" spans="1:49" ht="28.8" hidden="1">
      <c r="A747" s="404" t="s">
        <v>3040</v>
      </c>
      <c r="B747" s="425" t="s">
        <v>3041</v>
      </c>
      <c r="C747" s="548"/>
      <c r="D747" s="395" t="s">
        <v>313</v>
      </c>
      <c r="E747" s="395"/>
      <c r="F747" s="372">
        <v>2024</v>
      </c>
      <c r="G747" s="372">
        <v>2024</v>
      </c>
      <c r="H747" s="431">
        <v>2024</v>
      </c>
      <c r="I747" s="375"/>
      <c r="J747" s="374"/>
      <c r="K747" s="374"/>
      <c r="L747" s="374"/>
      <c r="M747" s="374"/>
      <c r="N747" s="375" t="s">
        <v>3042</v>
      </c>
      <c r="O747" s="374" t="s">
        <v>353</v>
      </c>
      <c r="P747" s="374" t="s">
        <v>2271</v>
      </c>
      <c r="Q747" s="374"/>
      <c r="R747" s="374">
        <v>1204200038</v>
      </c>
      <c r="S747" s="375" t="s">
        <v>39</v>
      </c>
      <c r="T747" s="374" t="s">
        <v>353</v>
      </c>
      <c r="U747" s="374" t="s">
        <v>2271</v>
      </c>
      <c r="V747" s="375">
        <v>6801883</v>
      </c>
      <c r="W747" s="538" t="s">
        <v>1751</v>
      </c>
      <c r="X747" s="375" t="s">
        <v>775</v>
      </c>
      <c r="Y747" s="374" t="s">
        <v>686</v>
      </c>
      <c r="Z747" s="374" t="s">
        <v>2271</v>
      </c>
      <c r="AA747" s="375">
        <v>6785861</v>
      </c>
      <c r="AB747" s="538" t="s">
        <v>1904</v>
      </c>
      <c r="AC747" s="375"/>
      <c r="AD747" s="374"/>
      <c r="AE747" s="374"/>
      <c r="AF747" s="375"/>
      <c r="AG747" s="375"/>
      <c r="AH747" s="375"/>
      <c r="AI747" s="374"/>
      <c r="AJ747" s="374"/>
      <c r="AK747" s="375"/>
      <c r="AL747" s="375"/>
      <c r="AM747" s="375"/>
      <c r="AN747" s="375"/>
      <c r="AO747" s="374"/>
      <c r="AP747" s="375"/>
      <c r="AQ747" s="375"/>
      <c r="AR747" s="375"/>
      <c r="AS747" s="375"/>
      <c r="AT747" s="375"/>
      <c r="AU747" s="375"/>
      <c r="AV747" s="376"/>
    </row>
    <row r="748" spans="1:49" ht="43.2" hidden="1">
      <c r="A748" s="404" t="s">
        <v>3043</v>
      </c>
      <c r="B748" s="425" t="s">
        <v>3044</v>
      </c>
      <c r="C748" s="548"/>
      <c r="D748" s="395" t="s">
        <v>302</v>
      </c>
      <c r="E748" s="395" t="s">
        <v>1750</v>
      </c>
      <c r="F748" s="372">
        <v>2024</v>
      </c>
      <c r="G748" s="372">
        <v>2024</v>
      </c>
      <c r="H748" s="431">
        <v>2024</v>
      </c>
      <c r="I748" s="375"/>
      <c r="J748" s="374"/>
      <c r="K748" s="374"/>
      <c r="L748" s="374"/>
      <c r="M748" s="374"/>
      <c r="N748" s="375" t="s">
        <v>2896</v>
      </c>
      <c r="O748" s="374" t="s">
        <v>353</v>
      </c>
      <c r="P748" s="374" t="s">
        <v>2271</v>
      </c>
      <c r="Q748" s="374"/>
      <c r="R748" s="374">
        <v>1204200044</v>
      </c>
      <c r="S748" s="375" t="s">
        <v>30</v>
      </c>
      <c r="T748" s="374" t="s">
        <v>353</v>
      </c>
      <c r="U748" s="374" t="s">
        <v>2271</v>
      </c>
      <c r="V748" s="375">
        <v>6680623</v>
      </c>
      <c r="W748" s="538" t="s">
        <v>1841</v>
      </c>
      <c r="X748" s="375" t="s">
        <v>39</v>
      </c>
      <c r="Y748" s="374" t="s">
        <v>353</v>
      </c>
      <c r="Z748" s="374" t="s">
        <v>2271</v>
      </c>
      <c r="AA748" s="375">
        <v>6801883</v>
      </c>
      <c r="AB748" s="538" t="s">
        <v>1751</v>
      </c>
      <c r="AC748" s="375"/>
      <c r="AD748" s="374"/>
      <c r="AE748" s="374"/>
      <c r="AF748" s="375"/>
      <c r="AG748" s="375"/>
      <c r="AH748" s="375"/>
      <c r="AI748" s="374"/>
      <c r="AJ748" s="374"/>
      <c r="AK748" s="375"/>
      <c r="AL748" s="375"/>
      <c r="AM748" s="375"/>
      <c r="AN748" s="375"/>
      <c r="AO748" s="374"/>
      <c r="AP748" s="375"/>
      <c r="AQ748" s="375"/>
      <c r="AR748" s="375"/>
      <c r="AS748" s="375"/>
      <c r="AT748" s="375"/>
      <c r="AU748" s="375"/>
      <c r="AV748" s="376"/>
    </row>
    <row r="749" spans="1:49" ht="28.8">
      <c r="A749" s="404" t="s">
        <v>3045</v>
      </c>
      <c r="B749" s="425" t="s">
        <v>3046</v>
      </c>
      <c r="C749" s="548" t="s">
        <v>2275</v>
      </c>
      <c r="D749" s="395" t="s">
        <v>374</v>
      </c>
      <c r="E749" s="395" t="s">
        <v>1750</v>
      </c>
      <c r="F749" s="372">
        <v>2024</v>
      </c>
      <c r="G749" s="372">
        <v>2024</v>
      </c>
      <c r="H749" s="431">
        <v>2024</v>
      </c>
      <c r="I749" s="375" t="s">
        <v>3047</v>
      </c>
      <c r="J749" s="374"/>
      <c r="K749" s="374">
        <v>1204200135</v>
      </c>
      <c r="L749" s="374" t="s">
        <v>353</v>
      </c>
      <c r="M749" s="374" t="s">
        <v>2271</v>
      </c>
      <c r="N749" s="375" t="s">
        <v>3047</v>
      </c>
      <c r="O749" s="374" t="s">
        <v>353</v>
      </c>
      <c r="P749" s="374" t="s">
        <v>2271</v>
      </c>
      <c r="Q749" s="374"/>
      <c r="R749" s="374">
        <v>1204200135</v>
      </c>
      <c r="S749" s="375" t="s">
        <v>352</v>
      </c>
      <c r="T749" s="374" t="s">
        <v>353</v>
      </c>
      <c r="U749" s="374" t="s">
        <v>2271</v>
      </c>
      <c r="V749" s="538" t="s">
        <v>2885</v>
      </c>
      <c r="W749" s="538" t="s">
        <v>985</v>
      </c>
      <c r="X749" s="375" t="s">
        <v>39</v>
      </c>
      <c r="Y749" s="374" t="s">
        <v>353</v>
      </c>
      <c r="Z749" s="374" t="s">
        <v>2271</v>
      </c>
      <c r="AA749" s="375">
        <v>6801883</v>
      </c>
      <c r="AB749" s="538" t="s">
        <v>1751</v>
      </c>
      <c r="AC749" s="375"/>
      <c r="AD749" s="374"/>
      <c r="AE749" s="374"/>
      <c r="AF749" s="375"/>
      <c r="AG749" s="375"/>
      <c r="AH749" s="375"/>
      <c r="AI749" s="374"/>
      <c r="AJ749" s="374"/>
      <c r="AK749" s="375"/>
      <c r="AL749" s="375"/>
      <c r="AM749" s="375"/>
      <c r="AN749" s="375"/>
      <c r="AO749" s="374"/>
      <c r="AP749" s="375"/>
      <c r="AQ749" s="375"/>
      <c r="AR749" s="375"/>
      <c r="AS749" s="375"/>
      <c r="AT749" s="375"/>
      <c r="AU749" s="375"/>
      <c r="AV749" s="376"/>
    </row>
    <row r="750" spans="1:49" s="2" customFormat="1" ht="43.2" hidden="1">
      <c r="A750" s="404" t="s">
        <v>2756</v>
      </c>
      <c r="B750" s="425" t="s">
        <v>3048</v>
      </c>
      <c r="C750" s="548"/>
      <c r="D750" s="395" t="s">
        <v>502</v>
      </c>
      <c r="E750" s="395" t="s">
        <v>1122</v>
      </c>
      <c r="F750" s="372">
        <v>2024</v>
      </c>
      <c r="G750" s="372">
        <v>2024</v>
      </c>
      <c r="H750" s="431">
        <v>2024</v>
      </c>
      <c r="I750" s="375" t="s">
        <v>743</v>
      </c>
      <c r="J750" s="374"/>
      <c r="K750" s="374"/>
      <c r="L750" s="374"/>
      <c r="M750" s="374"/>
      <c r="N750" s="375" t="s">
        <v>743</v>
      </c>
      <c r="O750" s="374"/>
      <c r="P750" s="374"/>
      <c r="Q750" s="374"/>
      <c r="R750" s="374"/>
      <c r="S750" s="375" t="s">
        <v>34</v>
      </c>
      <c r="T750" s="374" t="s">
        <v>620</v>
      </c>
      <c r="U750" s="374" t="s">
        <v>2271</v>
      </c>
      <c r="V750" s="375">
        <v>6767777</v>
      </c>
      <c r="W750" s="375" t="s">
        <v>2673</v>
      </c>
      <c r="X750" s="375" t="s">
        <v>1436</v>
      </c>
      <c r="Y750" s="374"/>
      <c r="Z750" s="374"/>
      <c r="AA750" s="375"/>
      <c r="AB750" s="375"/>
      <c r="AC750" s="375" t="s">
        <v>2758</v>
      </c>
      <c r="AD750" s="374"/>
      <c r="AE750" s="374"/>
      <c r="AF750" s="375"/>
      <c r="AG750" s="375"/>
      <c r="AH750" s="375" t="s">
        <v>2759</v>
      </c>
      <c r="AI750" s="374"/>
      <c r="AJ750" s="374"/>
      <c r="AK750" s="375"/>
      <c r="AL750" s="375"/>
      <c r="AM750" s="375"/>
      <c r="AN750" s="375"/>
      <c r="AO750" s="374"/>
      <c r="AP750" s="375"/>
      <c r="AQ750" s="375"/>
      <c r="AR750" s="375"/>
      <c r="AS750" s="375"/>
      <c r="AT750" s="375"/>
      <c r="AU750" s="375"/>
      <c r="AV750" s="376"/>
      <c r="AW750" s="30"/>
    </row>
    <row r="751" spans="1:49" s="2" customFormat="1" ht="28.8" hidden="1">
      <c r="A751" s="404" t="s">
        <v>3049</v>
      </c>
      <c r="B751" s="425" t="s">
        <v>946</v>
      </c>
      <c r="C751" s="548"/>
      <c r="D751" s="395" t="s">
        <v>502</v>
      </c>
      <c r="E751" s="395" t="s">
        <v>1122</v>
      </c>
      <c r="F751" s="372">
        <v>2024</v>
      </c>
      <c r="G751" s="372">
        <v>2024</v>
      </c>
      <c r="H751" s="431">
        <v>2024</v>
      </c>
      <c r="I751" s="375" t="s">
        <v>67</v>
      </c>
      <c r="J751" s="374">
        <v>6099359</v>
      </c>
      <c r="K751" s="374" t="s">
        <v>977</v>
      </c>
      <c r="L751" s="374" t="s">
        <v>353</v>
      </c>
      <c r="M751" s="374" t="s">
        <v>2271</v>
      </c>
      <c r="N751" s="375" t="s">
        <v>67</v>
      </c>
      <c r="O751" s="374" t="s">
        <v>353</v>
      </c>
      <c r="P751" s="374" t="s">
        <v>2271</v>
      </c>
      <c r="Q751" s="374">
        <v>6099359</v>
      </c>
      <c r="R751" s="374" t="s">
        <v>977</v>
      </c>
      <c r="S751" s="375"/>
      <c r="T751" s="374"/>
      <c r="U751" s="374"/>
      <c r="V751" s="375"/>
      <c r="W751" s="375"/>
      <c r="X751" s="375"/>
      <c r="Y751" s="374"/>
      <c r="Z751" s="374"/>
      <c r="AA751" s="375"/>
      <c r="AB751" s="375"/>
      <c r="AC751" s="375"/>
      <c r="AD751" s="374"/>
      <c r="AE751" s="374"/>
      <c r="AF751" s="375"/>
      <c r="AG751" s="375"/>
      <c r="AH751" s="375"/>
      <c r="AI751" s="374"/>
      <c r="AJ751" s="374"/>
      <c r="AK751" s="375"/>
      <c r="AL751" s="375"/>
      <c r="AM751" s="375"/>
      <c r="AN751" s="375"/>
      <c r="AO751" s="374"/>
      <c r="AP751" s="375"/>
      <c r="AQ751" s="375"/>
      <c r="AR751" s="375"/>
      <c r="AS751" s="375"/>
      <c r="AT751" s="375"/>
      <c r="AU751" s="375"/>
      <c r="AV751" s="376"/>
      <c r="AW751" s="30"/>
    </row>
    <row r="752" spans="1:49" s="2" customFormat="1" ht="43.2" hidden="1">
      <c r="A752" s="404" t="s">
        <v>3050</v>
      </c>
      <c r="B752" s="425" t="s">
        <v>3051</v>
      </c>
      <c r="C752" s="548"/>
      <c r="D752" s="395" t="s">
        <v>306</v>
      </c>
      <c r="E752" s="395" t="s">
        <v>1750</v>
      </c>
      <c r="F752" s="372">
        <v>2024</v>
      </c>
      <c r="G752" s="372">
        <v>2024</v>
      </c>
      <c r="H752" s="431">
        <v>2024</v>
      </c>
      <c r="I752" s="375" t="s">
        <v>3052</v>
      </c>
      <c r="J752" s="374"/>
      <c r="K752" s="374"/>
      <c r="L752" s="374"/>
      <c r="M752" s="374"/>
      <c r="N752" s="375" t="s">
        <v>3052</v>
      </c>
      <c r="O752" s="374"/>
      <c r="P752" s="374"/>
      <c r="Q752" s="374"/>
      <c r="R752" s="374"/>
      <c r="S752" s="375" t="s">
        <v>67</v>
      </c>
      <c r="T752" s="374" t="s">
        <v>353</v>
      </c>
      <c r="U752" s="374" t="s">
        <v>2271</v>
      </c>
      <c r="V752" s="375">
        <v>6099359</v>
      </c>
      <c r="W752" s="375" t="s">
        <v>977</v>
      </c>
      <c r="X752" s="375" t="s">
        <v>3053</v>
      </c>
      <c r="Y752" s="374"/>
      <c r="Z752" s="374"/>
      <c r="AA752" s="375"/>
      <c r="AB752" s="375"/>
      <c r="AC752" s="375" t="s">
        <v>3054</v>
      </c>
      <c r="AD752" s="374"/>
      <c r="AE752" s="374"/>
      <c r="AF752" s="375"/>
      <c r="AG752" s="375"/>
      <c r="AH752" s="375" t="s">
        <v>3055</v>
      </c>
      <c r="AI752" s="374"/>
      <c r="AJ752" s="374"/>
      <c r="AK752" s="375"/>
      <c r="AL752" s="375"/>
      <c r="AM752" s="375"/>
      <c r="AN752" s="375"/>
      <c r="AO752" s="374"/>
      <c r="AP752" s="375"/>
      <c r="AQ752" s="375"/>
      <c r="AR752" s="375"/>
      <c r="AS752" s="375"/>
      <c r="AT752" s="375"/>
      <c r="AU752" s="375"/>
      <c r="AV752" s="376"/>
      <c r="AW752" s="30"/>
    </row>
    <row r="753" spans="1:49" s="2" customFormat="1" ht="28.8" hidden="1">
      <c r="A753" s="404" t="s">
        <v>3056</v>
      </c>
      <c r="B753" s="425" t="s">
        <v>3057</v>
      </c>
      <c r="C753" s="548"/>
      <c r="D753" s="395" t="s">
        <v>321</v>
      </c>
      <c r="E753" s="395" t="s">
        <v>1750</v>
      </c>
      <c r="F753" s="372">
        <v>2024</v>
      </c>
      <c r="G753" s="372">
        <v>2024</v>
      </c>
      <c r="H753" s="431">
        <v>2024</v>
      </c>
      <c r="I753" s="375" t="s">
        <v>3052</v>
      </c>
      <c r="J753" s="374"/>
      <c r="K753" s="374"/>
      <c r="L753" s="374"/>
      <c r="M753" s="374"/>
      <c r="N753" s="375" t="s">
        <v>3052</v>
      </c>
      <c r="O753" s="374"/>
      <c r="P753" s="374"/>
      <c r="Q753" s="374"/>
      <c r="R753" s="374"/>
      <c r="S753" s="375" t="s">
        <v>67</v>
      </c>
      <c r="T753" s="374" t="s">
        <v>353</v>
      </c>
      <c r="U753" s="374" t="s">
        <v>2271</v>
      </c>
      <c r="V753" s="375">
        <v>6099359</v>
      </c>
      <c r="W753" s="375" t="s">
        <v>977</v>
      </c>
      <c r="X753" s="375" t="s">
        <v>3058</v>
      </c>
      <c r="Y753" s="374"/>
      <c r="Z753" s="374"/>
      <c r="AA753" s="375"/>
      <c r="AB753" s="375"/>
      <c r="AC753" s="375" t="s">
        <v>3059</v>
      </c>
      <c r="AD753" s="374"/>
      <c r="AE753" s="374"/>
      <c r="AF753" s="375"/>
      <c r="AG753" s="375"/>
      <c r="AH753" s="375"/>
      <c r="AI753" s="374"/>
      <c r="AJ753" s="374"/>
      <c r="AK753" s="375"/>
      <c r="AL753" s="375"/>
      <c r="AM753" s="375"/>
      <c r="AN753" s="375"/>
      <c r="AO753" s="374"/>
      <c r="AP753" s="375"/>
      <c r="AQ753" s="375"/>
      <c r="AR753" s="375"/>
      <c r="AS753" s="375"/>
      <c r="AT753" s="375"/>
      <c r="AU753" s="375"/>
      <c r="AV753" s="376"/>
      <c r="AW753" s="30"/>
    </row>
    <row r="754" spans="1:49" hidden="1">
      <c r="A754" s="404"/>
      <c r="B754" s="425"/>
      <c r="C754" s="548"/>
      <c r="D754" s="395"/>
      <c r="E754" s="395"/>
      <c r="F754" s="372"/>
      <c r="G754" s="372"/>
      <c r="H754" s="431"/>
      <c r="I754" s="375"/>
      <c r="J754" s="374"/>
      <c r="K754" s="374"/>
      <c r="L754" s="374"/>
      <c r="M754" s="374"/>
      <c r="N754" s="375"/>
      <c r="O754" s="374"/>
      <c r="P754" s="374"/>
      <c r="Q754" s="374"/>
      <c r="R754" s="374"/>
      <c r="S754" s="375"/>
      <c r="T754" s="374"/>
      <c r="U754" s="374"/>
      <c r="V754" s="375"/>
      <c r="W754" s="375"/>
      <c r="X754" s="375"/>
      <c r="Y754" s="374"/>
      <c r="Z754" s="374"/>
      <c r="AA754" s="375"/>
      <c r="AB754" s="375"/>
      <c r="AC754" s="375"/>
      <c r="AD754" s="374"/>
      <c r="AE754" s="374"/>
      <c r="AF754" s="375"/>
      <c r="AG754" s="375"/>
      <c r="AH754" s="375"/>
      <c r="AI754" s="374"/>
      <c r="AJ754" s="374"/>
      <c r="AK754" s="375"/>
      <c r="AL754" s="375"/>
      <c r="AM754" s="375"/>
      <c r="AN754" s="375"/>
      <c r="AO754" s="374"/>
      <c r="AP754" s="375"/>
      <c r="AQ754" s="375"/>
      <c r="AR754" s="375"/>
      <c r="AS754" s="375"/>
      <c r="AT754" s="375"/>
      <c r="AU754" s="375"/>
      <c r="AV754" s="376"/>
    </row>
    <row r="755" spans="1:49" hidden="1">
      <c r="A755" s="404"/>
      <c r="B755" s="425"/>
      <c r="C755" s="548"/>
      <c r="D755" s="395"/>
      <c r="E755" s="395"/>
      <c r="F755" s="372"/>
      <c r="G755" s="372"/>
      <c r="H755" s="431"/>
      <c r="I755" s="375"/>
      <c r="J755" s="374"/>
      <c r="K755" s="374"/>
      <c r="L755" s="374"/>
      <c r="M755" s="374"/>
      <c r="N755" s="375"/>
      <c r="O755" s="374"/>
      <c r="P755" s="374"/>
      <c r="Q755" s="374"/>
      <c r="R755" s="374"/>
      <c r="S755" s="375"/>
      <c r="T755" s="374"/>
      <c r="U755" s="374"/>
      <c r="V755" s="375"/>
      <c r="W755" s="375"/>
      <c r="X755" s="375"/>
      <c r="Y755" s="374"/>
      <c r="Z755" s="374"/>
      <c r="AA755" s="375"/>
      <c r="AB755" s="375"/>
      <c r="AC755" s="375"/>
      <c r="AD755" s="374"/>
      <c r="AE755" s="374"/>
      <c r="AF755" s="375"/>
      <c r="AG755" s="375"/>
      <c r="AH755" s="375"/>
      <c r="AI755" s="374"/>
      <c r="AJ755" s="374"/>
      <c r="AK755" s="375"/>
      <c r="AL755" s="375"/>
      <c r="AM755" s="375"/>
      <c r="AN755" s="375"/>
      <c r="AO755" s="374"/>
      <c r="AP755" s="375"/>
      <c r="AQ755" s="375"/>
      <c r="AR755" s="375"/>
      <c r="AS755" s="375"/>
      <c r="AT755" s="375"/>
      <c r="AU755" s="375"/>
      <c r="AV755" s="376"/>
    </row>
    <row r="756" spans="1:49" hidden="1">
      <c r="A756" s="404"/>
      <c r="B756" s="425"/>
      <c r="C756" s="548"/>
      <c r="D756" s="395"/>
      <c r="E756" s="395"/>
      <c r="F756" s="372"/>
      <c r="G756" s="372"/>
      <c r="H756" s="431"/>
      <c r="I756" s="375"/>
      <c r="J756" s="374"/>
      <c r="K756" s="374"/>
      <c r="L756" s="374"/>
      <c r="M756" s="374"/>
      <c r="N756" s="375"/>
      <c r="O756" s="374"/>
      <c r="P756" s="374"/>
      <c r="Q756" s="374"/>
      <c r="R756" s="374"/>
      <c r="S756" s="375"/>
      <c r="T756" s="374"/>
      <c r="U756" s="374"/>
      <c r="V756" s="375"/>
      <c r="W756" s="375"/>
      <c r="X756" s="375"/>
      <c r="Y756" s="374"/>
      <c r="Z756" s="374"/>
      <c r="AA756" s="375"/>
      <c r="AB756" s="375"/>
      <c r="AC756" s="375"/>
      <c r="AD756" s="374"/>
      <c r="AE756" s="374"/>
      <c r="AF756" s="375"/>
      <c r="AG756" s="375"/>
      <c r="AH756" s="375"/>
      <c r="AI756" s="374"/>
      <c r="AJ756" s="374"/>
      <c r="AK756" s="375"/>
      <c r="AL756" s="375"/>
      <c r="AM756" s="375"/>
      <c r="AN756" s="375"/>
      <c r="AO756" s="374"/>
      <c r="AP756" s="375"/>
      <c r="AQ756" s="375"/>
      <c r="AR756" s="375"/>
      <c r="AS756" s="375"/>
      <c r="AT756" s="375"/>
      <c r="AU756" s="375"/>
      <c r="AV756" s="376"/>
    </row>
    <row r="757" spans="1:49" hidden="1">
      <c r="A757" s="404"/>
      <c r="B757" s="425"/>
      <c r="C757" s="548"/>
      <c r="D757" s="395"/>
      <c r="E757" s="395"/>
      <c r="F757" s="372"/>
      <c r="G757" s="372"/>
      <c r="H757" s="431"/>
      <c r="I757" s="375"/>
      <c r="J757" s="374"/>
      <c r="K757" s="374"/>
      <c r="L757" s="374"/>
      <c r="M757" s="374"/>
      <c r="N757" s="375"/>
      <c r="O757" s="374"/>
      <c r="P757" s="374"/>
      <c r="Q757" s="374"/>
      <c r="R757" s="374"/>
      <c r="S757" s="375"/>
      <c r="T757" s="374"/>
      <c r="U757" s="374"/>
      <c r="V757" s="375"/>
      <c r="W757" s="375"/>
      <c r="X757" s="375"/>
      <c r="Y757" s="374"/>
      <c r="Z757" s="374"/>
      <c r="AA757" s="375"/>
      <c r="AB757" s="375"/>
      <c r="AC757" s="375"/>
      <c r="AD757" s="374"/>
      <c r="AE757" s="374"/>
      <c r="AF757" s="375"/>
      <c r="AG757" s="375"/>
      <c r="AH757" s="375"/>
      <c r="AI757" s="374"/>
      <c r="AJ757" s="374"/>
      <c r="AK757" s="375"/>
      <c r="AL757" s="375"/>
      <c r="AM757" s="375"/>
      <c r="AN757" s="375"/>
      <c r="AO757" s="374"/>
      <c r="AP757" s="375"/>
      <c r="AQ757" s="375"/>
      <c r="AR757" s="375"/>
      <c r="AS757" s="375"/>
      <c r="AT757" s="375"/>
      <c r="AU757" s="375"/>
      <c r="AV757" s="376"/>
    </row>
    <row r="758" spans="1:49" hidden="1">
      <c r="A758" s="404"/>
      <c r="B758" s="425"/>
      <c r="C758" s="548"/>
      <c r="D758" s="395"/>
      <c r="E758" s="395"/>
      <c r="F758" s="372"/>
      <c r="G758" s="372"/>
      <c r="H758" s="431"/>
      <c r="I758" s="375"/>
      <c r="J758" s="374"/>
      <c r="K758" s="374"/>
      <c r="L758" s="374"/>
      <c r="M758" s="374"/>
      <c r="N758" s="375"/>
      <c r="O758" s="374"/>
      <c r="P758" s="374"/>
      <c r="Q758" s="374"/>
      <c r="R758" s="374"/>
      <c r="S758" s="375"/>
      <c r="T758" s="374"/>
      <c r="U758" s="374"/>
      <c r="V758" s="375"/>
      <c r="W758" s="375"/>
      <c r="X758" s="375"/>
      <c r="Y758" s="374"/>
      <c r="Z758" s="374"/>
      <c r="AA758" s="375"/>
      <c r="AB758" s="375"/>
      <c r="AC758" s="375"/>
      <c r="AD758" s="374"/>
      <c r="AE758" s="374"/>
      <c r="AF758" s="375"/>
      <c r="AG758" s="375"/>
      <c r="AH758" s="375"/>
      <c r="AI758" s="374"/>
      <c r="AJ758" s="374"/>
      <c r="AK758" s="375"/>
      <c r="AL758" s="375"/>
      <c r="AM758" s="375"/>
      <c r="AN758" s="375"/>
      <c r="AO758" s="374"/>
      <c r="AP758" s="375"/>
      <c r="AQ758" s="375"/>
      <c r="AR758" s="375"/>
      <c r="AS758" s="375"/>
      <c r="AT758" s="375"/>
      <c r="AU758" s="375"/>
      <c r="AV758" s="376"/>
    </row>
    <row r="759" spans="1:49" hidden="1">
      <c r="A759" s="404"/>
      <c r="B759" s="425"/>
      <c r="C759" s="548"/>
      <c r="D759" s="395"/>
      <c r="E759" s="395"/>
      <c r="F759" s="372"/>
      <c r="G759" s="372"/>
      <c r="H759" s="431"/>
      <c r="I759" s="375"/>
      <c r="J759" s="374"/>
      <c r="K759" s="374"/>
      <c r="L759" s="374"/>
      <c r="M759" s="374"/>
      <c r="N759" s="375"/>
      <c r="O759" s="374"/>
      <c r="P759" s="374"/>
      <c r="Q759" s="374"/>
      <c r="R759" s="374"/>
      <c r="S759" s="375"/>
      <c r="T759" s="374"/>
      <c r="U759" s="374"/>
      <c r="V759" s="375"/>
      <c r="W759" s="375"/>
      <c r="X759" s="375"/>
      <c r="Y759" s="374"/>
      <c r="Z759" s="374"/>
      <c r="AA759" s="375"/>
      <c r="AB759" s="375"/>
      <c r="AC759" s="375"/>
      <c r="AD759" s="374"/>
      <c r="AE759" s="374"/>
      <c r="AF759" s="375"/>
      <c r="AG759" s="375"/>
      <c r="AH759" s="375"/>
      <c r="AI759" s="374"/>
      <c r="AJ759" s="374"/>
      <c r="AK759" s="375"/>
      <c r="AL759" s="375"/>
      <c r="AM759" s="375"/>
      <c r="AN759" s="375"/>
      <c r="AO759" s="374"/>
      <c r="AP759" s="375"/>
      <c r="AQ759" s="375"/>
      <c r="AR759" s="375"/>
      <c r="AS759" s="375"/>
      <c r="AT759" s="375"/>
      <c r="AU759" s="375"/>
      <c r="AV759" s="376"/>
    </row>
    <row r="760" spans="1:49" hidden="1">
      <c r="A760" s="404"/>
      <c r="B760" s="425"/>
      <c r="C760" s="548"/>
      <c r="D760" s="395"/>
      <c r="E760" s="395"/>
      <c r="F760" s="372"/>
      <c r="G760" s="372"/>
      <c r="H760" s="431"/>
      <c r="I760" s="375"/>
      <c r="J760" s="374"/>
      <c r="K760" s="374"/>
      <c r="L760" s="374"/>
      <c r="M760" s="374"/>
      <c r="N760" s="375"/>
      <c r="O760" s="374"/>
      <c r="P760" s="374"/>
      <c r="Q760" s="374"/>
      <c r="R760" s="374"/>
      <c r="S760" s="375"/>
      <c r="T760" s="374"/>
      <c r="U760" s="374"/>
      <c r="V760" s="375"/>
      <c r="W760" s="375"/>
      <c r="X760" s="375"/>
      <c r="Y760" s="374"/>
      <c r="Z760" s="374"/>
      <c r="AA760" s="375"/>
      <c r="AB760" s="375"/>
      <c r="AC760" s="375"/>
      <c r="AD760" s="374"/>
      <c r="AE760" s="374"/>
      <c r="AF760" s="375"/>
      <c r="AG760" s="375"/>
      <c r="AH760" s="375"/>
      <c r="AI760" s="374"/>
      <c r="AJ760" s="374"/>
      <c r="AK760" s="375"/>
      <c r="AL760" s="375"/>
      <c r="AM760" s="375"/>
      <c r="AN760" s="375"/>
      <c r="AO760" s="374"/>
      <c r="AP760" s="375"/>
      <c r="AQ760" s="375"/>
      <c r="AR760" s="375"/>
      <c r="AS760" s="375"/>
      <c r="AT760" s="375"/>
      <c r="AU760" s="375"/>
      <c r="AV760" s="376"/>
    </row>
    <row r="761" spans="1:49" hidden="1">
      <c r="A761" s="404"/>
      <c r="B761" s="425"/>
      <c r="C761" s="548"/>
      <c r="D761" s="395"/>
      <c r="E761" s="395"/>
      <c r="F761" s="372"/>
      <c r="G761" s="372"/>
      <c r="H761" s="431"/>
      <c r="I761" s="375"/>
      <c r="J761" s="374"/>
      <c r="K761" s="374"/>
      <c r="L761" s="374"/>
      <c r="M761" s="374"/>
      <c r="N761" s="375"/>
      <c r="O761" s="374"/>
      <c r="P761" s="374"/>
      <c r="Q761" s="374"/>
      <c r="R761" s="374"/>
      <c r="S761" s="375"/>
      <c r="T761" s="374"/>
      <c r="U761" s="374"/>
      <c r="V761" s="375"/>
      <c r="W761" s="375"/>
      <c r="X761" s="375"/>
      <c r="Y761" s="374"/>
      <c r="Z761" s="374"/>
      <c r="AA761" s="375"/>
      <c r="AB761" s="375"/>
      <c r="AC761" s="375"/>
      <c r="AD761" s="374"/>
      <c r="AE761" s="374"/>
      <c r="AF761" s="375"/>
      <c r="AG761" s="375"/>
      <c r="AH761" s="375"/>
      <c r="AI761" s="374"/>
      <c r="AJ761" s="374"/>
      <c r="AK761" s="375"/>
      <c r="AL761" s="375"/>
      <c r="AM761" s="375"/>
      <c r="AN761" s="375"/>
      <c r="AO761" s="374"/>
      <c r="AP761" s="375"/>
      <c r="AQ761" s="375"/>
      <c r="AR761" s="375"/>
      <c r="AS761" s="375"/>
      <c r="AT761" s="375"/>
      <c r="AU761" s="375"/>
      <c r="AV761" s="376"/>
    </row>
    <row r="762" spans="1:49" hidden="1">
      <c r="A762" s="404"/>
      <c r="B762" s="425"/>
      <c r="C762" s="548"/>
      <c r="D762" s="395"/>
      <c r="E762" s="395"/>
      <c r="F762" s="372"/>
      <c r="G762" s="372"/>
      <c r="H762" s="431"/>
      <c r="I762" s="375"/>
      <c r="J762" s="374"/>
      <c r="K762" s="374"/>
      <c r="L762" s="374"/>
      <c r="M762" s="374"/>
      <c r="N762" s="375"/>
      <c r="O762" s="374"/>
      <c r="P762" s="374"/>
      <c r="Q762" s="374"/>
      <c r="R762" s="374"/>
      <c r="S762" s="375"/>
      <c r="T762" s="374"/>
      <c r="U762" s="374"/>
      <c r="V762" s="375"/>
      <c r="W762" s="375"/>
      <c r="X762" s="375"/>
      <c r="Y762" s="374"/>
      <c r="Z762" s="374"/>
      <c r="AA762" s="375"/>
      <c r="AB762" s="375"/>
      <c r="AC762" s="375"/>
      <c r="AD762" s="374"/>
      <c r="AE762" s="374"/>
      <c r="AF762" s="375"/>
      <c r="AG762" s="375"/>
      <c r="AH762" s="375"/>
      <c r="AI762" s="374"/>
      <c r="AJ762" s="374"/>
      <c r="AK762" s="375"/>
      <c r="AL762" s="375"/>
      <c r="AM762" s="375"/>
      <c r="AN762" s="375"/>
      <c r="AO762" s="374"/>
      <c r="AP762" s="375"/>
      <c r="AQ762" s="375"/>
      <c r="AR762" s="375"/>
      <c r="AS762" s="375"/>
      <c r="AT762" s="375"/>
      <c r="AU762" s="375"/>
      <c r="AV762" s="376"/>
    </row>
    <row r="763" spans="1:49" hidden="1">
      <c r="A763" s="404"/>
      <c r="B763" s="425"/>
      <c r="C763" s="548"/>
      <c r="D763" s="395"/>
      <c r="E763" s="395"/>
      <c r="F763" s="372"/>
      <c r="G763" s="372"/>
      <c r="H763" s="431"/>
      <c r="I763" s="375"/>
      <c r="J763" s="374"/>
      <c r="K763" s="374"/>
      <c r="L763" s="374"/>
      <c r="M763" s="374"/>
      <c r="N763" s="375"/>
      <c r="O763" s="374"/>
      <c r="P763" s="374"/>
      <c r="Q763" s="374"/>
      <c r="R763" s="374"/>
      <c r="S763" s="375"/>
      <c r="T763" s="374"/>
      <c r="U763" s="374"/>
      <c r="V763" s="375"/>
      <c r="W763" s="375"/>
      <c r="X763" s="375"/>
      <c r="Y763" s="374"/>
      <c r="Z763" s="374"/>
      <c r="AA763" s="375"/>
      <c r="AB763" s="375"/>
      <c r="AC763" s="375"/>
      <c r="AD763" s="374"/>
      <c r="AE763" s="374"/>
      <c r="AF763" s="375"/>
      <c r="AG763" s="375"/>
      <c r="AH763" s="375"/>
      <c r="AI763" s="374"/>
      <c r="AJ763" s="374"/>
      <c r="AK763" s="375"/>
      <c r="AL763" s="375"/>
      <c r="AM763" s="375"/>
      <c r="AN763" s="375"/>
      <c r="AO763" s="374"/>
      <c r="AP763" s="375"/>
      <c r="AQ763" s="375"/>
      <c r="AR763" s="375"/>
      <c r="AS763" s="375"/>
      <c r="AT763" s="375"/>
      <c r="AU763" s="375"/>
      <c r="AV763" s="376"/>
    </row>
    <row r="764" spans="1:49" hidden="1">
      <c r="A764" s="404"/>
      <c r="B764" s="425"/>
      <c r="C764" s="548"/>
      <c r="D764" s="395"/>
      <c r="E764" s="395"/>
      <c r="F764" s="372"/>
      <c r="G764" s="372"/>
      <c r="H764" s="431"/>
      <c r="I764" s="375"/>
      <c r="J764" s="374"/>
      <c r="K764" s="374"/>
      <c r="L764" s="374"/>
      <c r="M764" s="374"/>
      <c r="N764" s="375"/>
      <c r="O764" s="374"/>
      <c r="P764" s="374"/>
      <c r="Q764" s="374"/>
      <c r="R764" s="374"/>
      <c r="S764" s="375"/>
      <c r="T764" s="374"/>
      <c r="U764" s="374"/>
      <c r="V764" s="375"/>
      <c r="W764" s="375"/>
      <c r="X764" s="375"/>
      <c r="Y764" s="374"/>
      <c r="Z764" s="374"/>
      <c r="AA764" s="375"/>
      <c r="AB764" s="375"/>
      <c r="AC764" s="375"/>
      <c r="AD764" s="374"/>
      <c r="AE764" s="374"/>
      <c r="AF764" s="375"/>
      <c r="AG764" s="375"/>
      <c r="AH764" s="375"/>
      <c r="AI764" s="374"/>
      <c r="AJ764" s="374"/>
      <c r="AK764" s="375"/>
      <c r="AL764" s="375"/>
      <c r="AM764" s="375"/>
      <c r="AN764" s="375"/>
      <c r="AO764" s="374"/>
      <c r="AP764" s="375"/>
      <c r="AQ764" s="375"/>
      <c r="AR764" s="375"/>
      <c r="AS764" s="375"/>
      <c r="AT764" s="375"/>
      <c r="AU764" s="375"/>
      <c r="AV764" s="376"/>
    </row>
    <row r="765" spans="1:49" hidden="1">
      <c r="A765" s="404"/>
      <c r="B765" s="425"/>
      <c r="C765" s="548"/>
      <c r="D765" s="395"/>
      <c r="E765" s="395"/>
      <c r="F765" s="372"/>
      <c r="G765" s="372"/>
      <c r="H765" s="431"/>
      <c r="I765" s="375"/>
      <c r="J765" s="374"/>
      <c r="K765" s="374"/>
      <c r="L765" s="374"/>
      <c r="M765" s="374"/>
      <c r="N765" s="375"/>
      <c r="O765" s="374"/>
      <c r="P765" s="374"/>
      <c r="Q765" s="374"/>
      <c r="R765" s="374"/>
      <c r="S765" s="375"/>
      <c r="T765" s="374"/>
      <c r="U765" s="374"/>
      <c r="V765" s="375"/>
      <c r="W765" s="375"/>
      <c r="X765" s="375"/>
      <c r="Y765" s="374"/>
      <c r="Z765" s="374"/>
      <c r="AA765" s="375"/>
      <c r="AB765" s="375"/>
      <c r="AC765" s="375"/>
      <c r="AD765" s="374"/>
      <c r="AE765" s="374"/>
      <c r="AF765" s="375"/>
      <c r="AG765" s="375"/>
      <c r="AH765" s="375"/>
      <c r="AI765" s="374"/>
      <c r="AJ765" s="374"/>
      <c r="AK765" s="375"/>
      <c r="AL765" s="375"/>
      <c r="AM765" s="375"/>
      <c r="AN765" s="375"/>
      <c r="AO765" s="374"/>
      <c r="AP765" s="375"/>
      <c r="AQ765" s="375"/>
      <c r="AR765" s="375"/>
      <c r="AS765" s="375"/>
      <c r="AT765" s="375"/>
      <c r="AU765" s="375"/>
      <c r="AV765" s="376"/>
    </row>
    <row r="766" spans="1:49" hidden="1">
      <c r="A766" s="404"/>
      <c r="B766" s="425"/>
      <c r="C766" s="548"/>
      <c r="D766" s="395"/>
      <c r="E766" s="395"/>
      <c r="F766" s="372"/>
      <c r="G766" s="372"/>
      <c r="H766" s="431"/>
      <c r="I766" s="375"/>
      <c r="J766" s="374"/>
      <c r="K766" s="374"/>
      <c r="L766" s="374"/>
      <c r="M766" s="374"/>
      <c r="N766" s="375"/>
      <c r="O766" s="374"/>
      <c r="P766" s="374"/>
      <c r="Q766" s="374"/>
      <c r="R766" s="374"/>
      <c r="S766" s="375"/>
      <c r="T766" s="374"/>
      <c r="U766" s="374"/>
      <c r="V766" s="375"/>
      <c r="W766" s="375"/>
      <c r="X766" s="375"/>
      <c r="Y766" s="374"/>
      <c r="Z766" s="374"/>
      <c r="AA766" s="375"/>
      <c r="AB766" s="375"/>
      <c r="AC766" s="375"/>
      <c r="AD766" s="374"/>
      <c r="AE766" s="374"/>
      <c r="AF766" s="375"/>
      <c r="AG766" s="375"/>
      <c r="AH766" s="375"/>
      <c r="AI766" s="374"/>
      <c r="AJ766" s="374"/>
      <c r="AK766" s="375"/>
      <c r="AL766" s="375"/>
      <c r="AM766" s="375"/>
      <c r="AN766" s="375"/>
      <c r="AO766" s="374"/>
      <c r="AP766" s="375"/>
      <c r="AQ766" s="375"/>
      <c r="AR766" s="375"/>
      <c r="AS766" s="375"/>
      <c r="AT766" s="375"/>
      <c r="AU766" s="375"/>
      <c r="AV766" s="376"/>
    </row>
    <row r="767" spans="1:49" hidden="1">
      <c r="A767" s="404"/>
      <c r="B767" s="425"/>
      <c r="C767" s="548"/>
      <c r="D767" s="395"/>
      <c r="E767" s="395"/>
      <c r="F767" s="372"/>
      <c r="G767" s="372"/>
      <c r="H767" s="431"/>
      <c r="I767" s="375"/>
      <c r="J767" s="374"/>
      <c r="K767" s="374"/>
      <c r="L767" s="374"/>
      <c r="M767" s="374"/>
      <c r="N767" s="375"/>
      <c r="O767" s="374"/>
      <c r="P767" s="374"/>
      <c r="Q767" s="374"/>
      <c r="R767" s="374"/>
      <c r="S767" s="375"/>
      <c r="T767" s="374"/>
      <c r="U767" s="374"/>
      <c r="V767" s="375"/>
      <c r="W767" s="375"/>
      <c r="X767" s="375"/>
      <c r="Y767" s="374"/>
      <c r="Z767" s="374"/>
      <c r="AA767" s="375"/>
      <c r="AB767" s="375"/>
      <c r="AC767" s="375"/>
      <c r="AD767" s="374"/>
      <c r="AE767" s="374"/>
      <c r="AF767" s="375"/>
      <c r="AG767" s="375"/>
      <c r="AH767" s="375"/>
      <c r="AI767" s="374"/>
      <c r="AJ767" s="374"/>
      <c r="AK767" s="375"/>
      <c r="AL767" s="375"/>
      <c r="AM767" s="375"/>
      <c r="AN767" s="375"/>
      <c r="AO767" s="374"/>
      <c r="AP767" s="375"/>
      <c r="AQ767" s="375"/>
      <c r="AR767" s="375"/>
      <c r="AS767" s="375"/>
      <c r="AT767" s="375"/>
      <c r="AU767" s="375"/>
      <c r="AV767" s="376"/>
    </row>
    <row r="768" spans="1:49" hidden="1">
      <c r="A768" s="404"/>
      <c r="B768" s="425"/>
      <c r="C768" s="548"/>
      <c r="D768" s="395"/>
      <c r="E768" s="395"/>
      <c r="F768" s="372"/>
      <c r="G768" s="372"/>
      <c r="H768" s="431"/>
      <c r="I768" s="375"/>
      <c r="J768" s="374"/>
      <c r="K768" s="374"/>
      <c r="L768" s="374"/>
      <c r="M768" s="374"/>
      <c r="N768" s="375"/>
      <c r="O768" s="374"/>
      <c r="P768" s="374"/>
      <c r="Q768" s="374"/>
      <c r="R768" s="374"/>
      <c r="S768" s="375"/>
      <c r="T768" s="374"/>
      <c r="U768" s="374"/>
      <c r="V768" s="375"/>
      <c r="W768" s="375"/>
      <c r="X768" s="375"/>
      <c r="Y768" s="374"/>
      <c r="Z768" s="374"/>
      <c r="AA768" s="375"/>
      <c r="AB768" s="375"/>
      <c r="AC768" s="375"/>
      <c r="AD768" s="374"/>
      <c r="AE768" s="374"/>
      <c r="AF768" s="375"/>
      <c r="AG768" s="375"/>
      <c r="AH768" s="375"/>
      <c r="AI768" s="374"/>
      <c r="AJ768" s="374"/>
      <c r="AK768" s="375"/>
      <c r="AL768" s="375"/>
      <c r="AM768" s="375"/>
      <c r="AN768" s="375"/>
      <c r="AO768" s="374"/>
      <c r="AP768" s="375"/>
      <c r="AQ768" s="375"/>
      <c r="AR768" s="375"/>
      <c r="AS768" s="375"/>
      <c r="AT768" s="375"/>
      <c r="AU768" s="375"/>
      <c r="AV768" s="376"/>
    </row>
    <row r="769" spans="1:48" hidden="1">
      <c r="A769" s="404"/>
      <c r="B769" s="425"/>
      <c r="C769" s="548"/>
      <c r="D769" s="395"/>
      <c r="E769" s="395"/>
      <c r="F769" s="372"/>
      <c r="G769" s="372"/>
      <c r="H769" s="431"/>
      <c r="I769" s="375"/>
      <c r="J769" s="374"/>
      <c r="K769" s="374"/>
      <c r="L769" s="374"/>
      <c r="M769" s="374"/>
      <c r="N769" s="375"/>
      <c r="O769" s="374"/>
      <c r="P769" s="374"/>
      <c r="Q769" s="374"/>
      <c r="R769" s="374"/>
      <c r="S769" s="375"/>
      <c r="T769" s="374"/>
      <c r="U769" s="374"/>
      <c r="V769" s="375"/>
      <c r="W769" s="375"/>
      <c r="X769" s="375"/>
      <c r="Y769" s="374"/>
      <c r="Z769" s="374"/>
      <c r="AA769" s="375"/>
      <c r="AB769" s="375"/>
      <c r="AC769" s="375"/>
      <c r="AD769" s="374"/>
      <c r="AE769" s="374"/>
      <c r="AF769" s="375"/>
      <c r="AG769" s="375"/>
      <c r="AH769" s="375"/>
      <c r="AI769" s="374"/>
      <c r="AJ769" s="374"/>
      <c r="AK769" s="375"/>
      <c r="AL769" s="375"/>
      <c r="AM769" s="375"/>
      <c r="AN769" s="375"/>
      <c r="AO769" s="374"/>
      <c r="AP769" s="375"/>
      <c r="AQ769" s="375"/>
      <c r="AR769" s="375"/>
      <c r="AS769" s="375"/>
      <c r="AT769" s="375"/>
      <c r="AU769" s="375"/>
      <c r="AV769" s="376"/>
    </row>
    <row r="770" spans="1:48" hidden="1">
      <c r="A770" s="404"/>
      <c r="B770" s="425"/>
      <c r="C770" s="548"/>
      <c r="D770" s="395"/>
      <c r="E770" s="395"/>
      <c r="F770" s="372"/>
      <c r="G770" s="372"/>
      <c r="H770" s="431"/>
      <c r="I770" s="375"/>
      <c r="J770" s="374"/>
      <c r="K770" s="374"/>
      <c r="L770" s="374"/>
      <c r="M770" s="374"/>
      <c r="N770" s="375"/>
      <c r="O770" s="374"/>
      <c r="P770" s="374"/>
      <c r="Q770" s="374"/>
      <c r="R770" s="374"/>
      <c r="S770" s="375"/>
      <c r="T770" s="374"/>
      <c r="U770" s="374"/>
      <c r="V770" s="375"/>
      <c r="W770" s="375"/>
      <c r="X770" s="375"/>
      <c r="Y770" s="374"/>
      <c r="Z770" s="374"/>
      <c r="AA770" s="375"/>
      <c r="AB770" s="375"/>
      <c r="AC770" s="375"/>
      <c r="AD770" s="374"/>
      <c r="AE770" s="374"/>
      <c r="AF770" s="375"/>
      <c r="AG770" s="375"/>
      <c r="AH770" s="375"/>
      <c r="AI770" s="374"/>
      <c r="AJ770" s="374"/>
      <c r="AK770" s="375"/>
      <c r="AL770" s="375"/>
      <c r="AM770" s="375"/>
      <c r="AN770" s="375"/>
      <c r="AO770" s="374"/>
      <c r="AP770" s="375"/>
      <c r="AQ770" s="375"/>
      <c r="AR770" s="375"/>
      <c r="AS770" s="375"/>
      <c r="AT770" s="375"/>
      <c r="AU770" s="375"/>
      <c r="AV770" s="376"/>
    </row>
    <row r="771" spans="1:48" hidden="1">
      <c r="A771" s="404"/>
      <c r="B771" s="425"/>
      <c r="C771" s="548"/>
      <c r="D771" s="395"/>
      <c r="E771" s="395"/>
      <c r="F771" s="372"/>
      <c r="G771" s="372"/>
      <c r="H771" s="431"/>
      <c r="I771" s="375"/>
      <c r="J771" s="374"/>
      <c r="K771" s="374"/>
      <c r="L771" s="374"/>
      <c r="M771" s="374"/>
      <c r="N771" s="375"/>
      <c r="O771" s="374"/>
      <c r="P771" s="374"/>
      <c r="Q771" s="374"/>
      <c r="R771" s="374"/>
      <c r="S771" s="375"/>
      <c r="T771" s="374"/>
      <c r="U771" s="374"/>
      <c r="V771" s="375"/>
      <c r="W771" s="375"/>
      <c r="X771" s="375"/>
      <c r="Y771" s="374"/>
      <c r="Z771" s="374"/>
      <c r="AA771" s="375"/>
      <c r="AB771" s="375"/>
      <c r="AC771" s="375"/>
      <c r="AD771" s="374"/>
      <c r="AE771" s="374"/>
      <c r="AF771" s="375"/>
      <c r="AG771" s="375"/>
      <c r="AH771" s="375"/>
      <c r="AI771" s="374"/>
      <c r="AJ771" s="374"/>
      <c r="AK771" s="375"/>
      <c r="AL771" s="375"/>
      <c r="AM771" s="375"/>
      <c r="AN771" s="375"/>
      <c r="AO771" s="374"/>
      <c r="AP771" s="375"/>
      <c r="AQ771" s="375"/>
      <c r="AR771" s="375"/>
      <c r="AS771" s="375"/>
      <c r="AT771" s="375"/>
      <c r="AU771" s="375"/>
      <c r="AV771" s="376"/>
    </row>
    <row r="772" spans="1:48" hidden="1">
      <c r="A772" s="404"/>
      <c r="B772" s="425"/>
      <c r="C772" s="548"/>
      <c r="D772" s="395"/>
      <c r="E772" s="395"/>
      <c r="F772" s="372"/>
      <c r="G772" s="372"/>
      <c r="H772" s="431"/>
      <c r="I772" s="375"/>
      <c r="J772" s="374"/>
      <c r="K772" s="374"/>
      <c r="L772" s="374"/>
      <c r="M772" s="374"/>
      <c r="N772" s="375"/>
      <c r="O772" s="374"/>
      <c r="P772" s="374"/>
      <c r="Q772" s="374"/>
      <c r="R772" s="374"/>
      <c r="S772" s="375"/>
      <c r="T772" s="374"/>
      <c r="U772" s="374"/>
      <c r="V772" s="375"/>
      <c r="W772" s="375"/>
      <c r="X772" s="375"/>
      <c r="Y772" s="374"/>
      <c r="Z772" s="374"/>
      <c r="AA772" s="375"/>
      <c r="AB772" s="375"/>
      <c r="AC772" s="375"/>
      <c r="AD772" s="374"/>
      <c r="AE772" s="374"/>
      <c r="AF772" s="375"/>
      <c r="AG772" s="375"/>
      <c r="AH772" s="375"/>
      <c r="AI772" s="374"/>
      <c r="AJ772" s="374"/>
      <c r="AK772" s="375"/>
      <c r="AL772" s="375"/>
      <c r="AM772" s="375"/>
      <c r="AN772" s="375"/>
      <c r="AO772" s="374"/>
      <c r="AP772" s="375"/>
      <c r="AQ772" s="375"/>
      <c r="AR772" s="375"/>
      <c r="AS772" s="375"/>
      <c r="AT772" s="375"/>
      <c r="AU772" s="375"/>
      <c r="AV772" s="376"/>
    </row>
    <row r="773" spans="1:48" hidden="1">
      <c r="A773" s="404"/>
      <c r="B773" s="425"/>
      <c r="C773" s="548"/>
      <c r="D773" s="395"/>
      <c r="E773" s="395"/>
      <c r="F773" s="372"/>
      <c r="G773" s="372"/>
      <c r="H773" s="431"/>
      <c r="I773" s="375"/>
      <c r="J773" s="374"/>
      <c r="K773" s="374"/>
      <c r="L773" s="374"/>
      <c r="M773" s="374"/>
      <c r="N773" s="375"/>
      <c r="O773" s="374"/>
      <c r="P773" s="374"/>
      <c r="Q773" s="374"/>
      <c r="R773" s="374"/>
      <c r="S773" s="375"/>
      <c r="T773" s="374"/>
      <c r="U773" s="374"/>
      <c r="V773" s="375"/>
      <c r="W773" s="375"/>
      <c r="X773" s="375"/>
      <c r="Y773" s="374"/>
      <c r="Z773" s="374"/>
      <c r="AA773" s="375"/>
      <c r="AB773" s="375"/>
      <c r="AC773" s="375"/>
      <c r="AD773" s="374"/>
      <c r="AE773" s="374"/>
      <c r="AF773" s="375"/>
      <c r="AG773" s="375"/>
      <c r="AH773" s="375"/>
      <c r="AI773" s="374"/>
      <c r="AJ773" s="374"/>
      <c r="AK773" s="375"/>
      <c r="AL773" s="375"/>
      <c r="AM773" s="375"/>
      <c r="AN773" s="375"/>
      <c r="AO773" s="374"/>
      <c r="AP773" s="375"/>
      <c r="AQ773" s="375"/>
      <c r="AR773" s="375"/>
      <c r="AS773" s="375"/>
      <c r="AT773" s="375"/>
      <c r="AU773" s="375"/>
      <c r="AV773" s="376"/>
    </row>
    <row r="774" spans="1:48" hidden="1">
      <c r="A774" s="404"/>
      <c r="B774" s="425"/>
      <c r="C774" s="548"/>
      <c r="D774" s="395"/>
      <c r="E774" s="395"/>
      <c r="F774" s="372"/>
      <c r="G774" s="372"/>
      <c r="H774" s="431"/>
      <c r="I774" s="375"/>
      <c r="J774" s="374"/>
      <c r="K774" s="374"/>
      <c r="L774" s="374"/>
      <c r="M774" s="374"/>
      <c r="N774" s="375"/>
      <c r="O774" s="374"/>
      <c r="P774" s="374"/>
      <c r="Q774" s="374"/>
      <c r="R774" s="374"/>
      <c r="S774" s="375"/>
      <c r="T774" s="374"/>
      <c r="U774" s="374"/>
      <c r="V774" s="375"/>
      <c r="W774" s="375"/>
      <c r="X774" s="375"/>
      <c r="Y774" s="374"/>
      <c r="Z774" s="374"/>
      <c r="AA774" s="375"/>
      <c r="AB774" s="375"/>
      <c r="AC774" s="375"/>
      <c r="AD774" s="374"/>
      <c r="AE774" s="374"/>
      <c r="AF774" s="375"/>
      <c r="AG774" s="375"/>
      <c r="AH774" s="375"/>
      <c r="AI774" s="374"/>
      <c r="AJ774" s="374"/>
      <c r="AK774" s="375"/>
      <c r="AL774" s="375"/>
      <c r="AM774" s="375"/>
      <c r="AN774" s="375"/>
      <c r="AO774" s="374"/>
      <c r="AP774" s="375"/>
      <c r="AQ774" s="375"/>
      <c r="AR774" s="375"/>
      <c r="AS774" s="375"/>
      <c r="AT774" s="375"/>
      <c r="AU774" s="375"/>
      <c r="AV774" s="376"/>
    </row>
    <row r="775" spans="1:48" hidden="1">
      <c r="A775" s="404"/>
      <c r="B775" s="425"/>
      <c r="C775" s="548"/>
      <c r="D775" s="395"/>
      <c r="E775" s="395"/>
      <c r="F775" s="372"/>
      <c r="G775" s="372"/>
      <c r="H775" s="431"/>
      <c r="I775" s="375"/>
      <c r="J775" s="374"/>
      <c r="K775" s="374"/>
      <c r="L775" s="374"/>
      <c r="M775" s="374"/>
      <c r="N775" s="375"/>
      <c r="O775" s="374"/>
      <c r="P775" s="374"/>
      <c r="Q775" s="374"/>
      <c r="R775" s="374"/>
      <c r="S775" s="375"/>
      <c r="T775" s="374"/>
      <c r="U775" s="374"/>
      <c r="V775" s="375"/>
      <c r="W775" s="375"/>
      <c r="X775" s="375"/>
      <c r="Y775" s="374"/>
      <c r="Z775" s="374"/>
      <c r="AA775" s="375"/>
      <c r="AB775" s="375"/>
      <c r="AC775" s="375"/>
      <c r="AD775" s="374"/>
      <c r="AE775" s="374"/>
      <c r="AF775" s="375"/>
      <c r="AG775" s="375"/>
      <c r="AH775" s="375"/>
      <c r="AI775" s="374"/>
      <c r="AJ775" s="374"/>
      <c r="AK775" s="375"/>
      <c r="AL775" s="375"/>
      <c r="AM775" s="375"/>
      <c r="AN775" s="375"/>
      <c r="AO775" s="374"/>
      <c r="AP775" s="375"/>
      <c r="AQ775" s="375"/>
      <c r="AR775" s="375"/>
      <c r="AS775" s="375"/>
      <c r="AT775" s="375"/>
      <c r="AU775" s="375"/>
      <c r="AV775" s="376"/>
    </row>
    <row r="776" spans="1:48" hidden="1">
      <c r="A776" s="404"/>
      <c r="B776" s="425"/>
      <c r="C776" s="548"/>
      <c r="D776" s="395"/>
      <c r="E776" s="395"/>
      <c r="F776" s="372"/>
      <c r="G776" s="372"/>
      <c r="H776" s="431"/>
      <c r="I776" s="375"/>
      <c r="J776" s="374"/>
      <c r="K776" s="374"/>
      <c r="L776" s="374"/>
      <c r="M776" s="374"/>
      <c r="N776" s="375"/>
      <c r="O776" s="374"/>
      <c r="P776" s="374"/>
      <c r="Q776" s="374"/>
      <c r="R776" s="374"/>
      <c r="S776" s="375"/>
      <c r="T776" s="374"/>
      <c r="U776" s="374"/>
      <c r="V776" s="375"/>
      <c r="W776" s="375"/>
      <c r="X776" s="375"/>
      <c r="Y776" s="374"/>
      <c r="Z776" s="374"/>
      <c r="AA776" s="375"/>
      <c r="AB776" s="375"/>
      <c r="AC776" s="375"/>
      <c r="AD776" s="374"/>
      <c r="AE776" s="374"/>
      <c r="AF776" s="375"/>
      <c r="AG776" s="375"/>
      <c r="AH776" s="375"/>
      <c r="AI776" s="374"/>
      <c r="AJ776" s="374"/>
      <c r="AK776" s="375"/>
      <c r="AL776" s="375"/>
      <c r="AM776" s="375"/>
      <c r="AN776" s="375"/>
      <c r="AO776" s="374"/>
      <c r="AP776" s="375"/>
      <c r="AQ776" s="375"/>
      <c r="AR776" s="375"/>
      <c r="AS776" s="375"/>
      <c r="AT776" s="375"/>
      <c r="AU776" s="375"/>
      <c r="AV776" s="376"/>
    </row>
    <row r="777" spans="1:48" hidden="1">
      <c r="A777" s="404"/>
      <c r="B777" s="425"/>
      <c r="C777" s="548"/>
      <c r="D777" s="395"/>
      <c r="E777" s="395"/>
      <c r="F777" s="372"/>
      <c r="G777" s="372"/>
      <c r="H777" s="431"/>
      <c r="I777" s="375"/>
      <c r="J777" s="374"/>
      <c r="K777" s="374"/>
      <c r="L777" s="374"/>
      <c r="M777" s="374"/>
      <c r="N777" s="375"/>
      <c r="O777" s="374"/>
      <c r="P777" s="374"/>
      <c r="Q777" s="374"/>
      <c r="R777" s="374"/>
      <c r="S777" s="375"/>
      <c r="T777" s="374"/>
      <c r="U777" s="374"/>
      <c r="V777" s="375"/>
      <c r="W777" s="375"/>
      <c r="X777" s="375"/>
      <c r="Y777" s="374"/>
      <c r="Z777" s="374"/>
      <c r="AA777" s="375"/>
      <c r="AB777" s="375"/>
      <c r="AC777" s="375"/>
      <c r="AD777" s="374"/>
      <c r="AE777" s="374"/>
      <c r="AF777" s="375"/>
      <c r="AG777" s="375"/>
      <c r="AH777" s="375"/>
      <c r="AI777" s="374"/>
      <c r="AJ777" s="374"/>
      <c r="AK777" s="375"/>
      <c r="AL777" s="375"/>
      <c r="AM777" s="375"/>
      <c r="AN777" s="375"/>
      <c r="AO777" s="374"/>
      <c r="AP777" s="375"/>
      <c r="AQ777" s="375"/>
      <c r="AR777" s="375"/>
      <c r="AS777" s="375"/>
      <c r="AT777" s="375"/>
      <c r="AU777" s="375"/>
      <c r="AV777" s="376"/>
    </row>
    <row r="778" spans="1:48" hidden="1">
      <c r="A778" s="404"/>
      <c r="B778" s="425"/>
      <c r="C778" s="548"/>
      <c r="D778" s="395"/>
      <c r="E778" s="395"/>
      <c r="F778" s="372"/>
      <c r="G778" s="372"/>
      <c r="H778" s="431"/>
      <c r="I778" s="375"/>
      <c r="J778" s="374"/>
      <c r="K778" s="374"/>
      <c r="L778" s="374"/>
      <c r="M778" s="374"/>
      <c r="N778" s="375"/>
      <c r="O778" s="374"/>
      <c r="P778" s="374"/>
      <c r="Q778" s="374"/>
      <c r="R778" s="374"/>
      <c r="S778" s="375"/>
      <c r="T778" s="374"/>
      <c r="U778" s="374"/>
      <c r="V778" s="375"/>
      <c r="W778" s="375"/>
      <c r="X778" s="375"/>
      <c r="Y778" s="374"/>
      <c r="Z778" s="374"/>
      <c r="AA778" s="375"/>
      <c r="AB778" s="375"/>
      <c r="AC778" s="375"/>
      <c r="AD778" s="374"/>
      <c r="AE778" s="374"/>
      <c r="AF778" s="375"/>
      <c r="AG778" s="375"/>
      <c r="AH778" s="375"/>
      <c r="AI778" s="374"/>
      <c r="AJ778" s="374"/>
      <c r="AK778" s="375"/>
      <c r="AL778" s="375"/>
      <c r="AM778" s="375"/>
      <c r="AN778" s="375"/>
      <c r="AO778" s="374"/>
      <c r="AP778" s="375"/>
      <c r="AQ778" s="375"/>
      <c r="AR778" s="375"/>
      <c r="AS778" s="375"/>
      <c r="AT778" s="375"/>
      <c r="AU778" s="375"/>
      <c r="AV778" s="376"/>
    </row>
    <row r="779" spans="1:48" hidden="1">
      <c r="A779" s="404"/>
      <c r="B779" s="425"/>
      <c r="C779" s="548"/>
      <c r="D779" s="395"/>
      <c r="E779" s="395"/>
      <c r="F779" s="372"/>
      <c r="G779" s="372"/>
      <c r="H779" s="431"/>
      <c r="I779" s="375"/>
      <c r="J779" s="374"/>
      <c r="K779" s="374"/>
      <c r="L779" s="374"/>
      <c r="M779" s="374"/>
      <c r="N779" s="375"/>
      <c r="O779" s="374"/>
      <c r="P779" s="374"/>
      <c r="Q779" s="374"/>
      <c r="R779" s="374"/>
      <c r="S779" s="375"/>
      <c r="T779" s="374"/>
      <c r="U779" s="374"/>
      <c r="V779" s="375"/>
      <c r="W779" s="375"/>
      <c r="X779" s="375"/>
      <c r="Y779" s="374"/>
      <c r="Z779" s="374"/>
      <c r="AA779" s="375"/>
      <c r="AB779" s="375"/>
      <c r="AC779" s="375"/>
      <c r="AD779" s="374"/>
      <c r="AE779" s="374"/>
      <c r="AF779" s="375"/>
      <c r="AG779" s="375"/>
      <c r="AH779" s="375"/>
      <c r="AI779" s="374"/>
      <c r="AJ779" s="374"/>
      <c r="AK779" s="375"/>
      <c r="AL779" s="375"/>
      <c r="AM779" s="375"/>
      <c r="AN779" s="375"/>
      <c r="AO779" s="374"/>
      <c r="AP779" s="375"/>
      <c r="AQ779" s="375"/>
      <c r="AR779" s="375"/>
      <c r="AS779" s="375"/>
      <c r="AT779" s="375"/>
      <c r="AU779" s="375"/>
      <c r="AV779" s="376"/>
    </row>
    <row r="780" spans="1:48" hidden="1">
      <c r="A780" s="421"/>
      <c r="B780" s="422"/>
      <c r="C780" s="548"/>
      <c r="D780" s="423"/>
      <c r="E780" s="423"/>
      <c r="F780" s="406"/>
      <c r="G780" s="406"/>
      <c r="H780" s="435"/>
      <c r="I780" s="408"/>
      <c r="J780" s="409"/>
      <c r="K780" s="409"/>
      <c r="L780" s="409"/>
      <c r="M780" s="409"/>
      <c r="N780" s="408"/>
      <c r="O780" s="409"/>
      <c r="P780" s="409"/>
      <c r="Q780" s="409"/>
      <c r="R780" s="409"/>
      <c r="S780" s="408"/>
      <c r="T780" s="409"/>
      <c r="U780" s="409"/>
      <c r="V780" s="408"/>
      <c r="W780" s="408"/>
      <c r="X780" s="408"/>
      <c r="Y780" s="409"/>
      <c r="Z780" s="409"/>
      <c r="AA780" s="408"/>
      <c r="AB780" s="408"/>
      <c r="AC780" s="408"/>
      <c r="AD780" s="409"/>
      <c r="AE780" s="409"/>
      <c r="AF780" s="408"/>
      <c r="AG780" s="408"/>
      <c r="AH780" s="408"/>
      <c r="AI780" s="409"/>
      <c r="AJ780" s="409"/>
      <c r="AK780" s="408"/>
      <c r="AL780" s="408"/>
      <c r="AM780" s="408"/>
      <c r="AN780" s="408"/>
      <c r="AO780" s="409"/>
      <c r="AP780" s="408"/>
      <c r="AQ780" s="408"/>
      <c r="AR780" s="408"/>
      <c r="AS780" s="408"/>
      <c r="AT780" s="408"/>
      <c r="AU780" s="408"/>
      <c r="AV780" s="410"/>
    </row>
  </sheetData>
  <mergeCells count="9">
    <mergeCell ref="AH1:AL1"/>
    <mergeCell ref="AM1:AQ1"/>
    <mergeCell ref="AR1:AV1"/>
    <mergeCell ref="A1:H1"/>
    <mergeCell ref="I1:M1"/>
    <mergeCell ref="N1:R1"/>
    <mergeCell ref="S1:W1"/>
    <mergeCell ref="X1:AB1"/>
    <mergeCell ref="AC1:AG1"/>
  </mergeCells>
  <hyperlinks>
    <hyperlink ref="A636" r:id="rId1" location="!" display="https://sinta.kemdikbud.go.id/authors/profile/6724784/?view=books - !" xr:uid="{00000000-0004-0000-0700-000000000000}"/>
    <hyperlink ref="A494" r:id="rId2" display="https://scholar.google.com/scholar?oi=bibs&amp;cluster=617161536720735290&amp;btnI=1&amp;hl=en" xr:uid="{00000000-0004-0000-0700-000001000000}"/>
    <hyperlink ref="A492" r:id="rId3" display="https://scholar.google.com/scholar?oi=bibs&amp;cluster=0&amp;btnI=1&amp;hl=en" xr:uid="{00000000-0004-0000-0700-000002000000}"/>
    <hyperlink ref="A491" r:id="rId4" display="https://scholar.google.com/scholar?oi=bibs&amp;cluster=0&amp;btnI=1&amp;hl=en" xr:uid="{00000000-0004-0000-0700-000003000000}"/>
    <hyperlink ref="A510" r:id="rId5" display="https://scholar.google.com/scholar?oi=bibs&amp;cluster=14664676398032604455&amp;btnI=1&amp;hl=en" xr:uid="{00000000-0004-0000-0700-000004000000}"/>
    <hyperlink ref="A509" r:id="rId6" display="https://scholar.google.com/scholar?oi=bibs&amp;cluster=10444284999407507825&amp;btnI=1&amp;hl=en" xr:uid="{00000000-0004-0000-0700-000005000000}"/>
    <hyperlink ref="A490" r:id="rId7" display="https://www.scopus.com/record/display.uri?eid=2-s2.0-85178046330&amp;origin=resultslist" xr:uid="{00000000-0004-0000-0700-000006000000}"/>
    <hyperlink ref="A508" r:id="rId8" display="https://scholar.google.com/scholar?oi=bibs&amp;cluster=7303817139676722536&amp;btnI=1&amp;hl=en" xr:uid="{00000000-0004-0000-0700-000007000000}"/>
    <hyperlink ref="A507" r:id="rId9" display="https://scholar.google.com/scholar?oi=bibs&amp;cluster=0&amp;btnI=1&amp;hl=en" xr:uid="{00000000-0004-0000-0700-000008000000}"/>
    <hyperlink ref="A489" r:id="rId10" display="https://scholar.google.com/scholar?oi=bibs&amp;cluster=14146137180314713622&amp;btnI=1&amp;hl=en" xr:uid="{00000000-0004-0000-0700-000009000000}"/>
    <hyperlink ref="A488" r:id="rId11" display="https://www.scopus.com/record/display.uri?eid=2-s2.0-85149053697&amp;origin=resultslist" xr:uid="{00000000-0004-0000-0700-00000A000000}"/>
    <hyperlink ref="A477" r:id="rId12" display="https://www.scopus.com/record/display.uri?eid=2-s2.0-85189306999&amp;origin=resultslist" xr:uid="{00000000-0004-0000-0700-00000B000000}"/>
    <hyperlink ref="A474" r:id="rId13" display="https://scholar.google.com/scholar?oi=bibs&amp;cluster=0&amp;btnI=1&amp;hl=en" xr:uid="{00000000-0004-0000-0700-00000C000000}"/>
    <hyperlink ref="A471" r:id="rId14" display="https://www.scopus.com/record/display.uri?eid=2-s2.0-85186496673&amp;origin=resultslist" xr:uid="{00000000-0004-0000-0700-00000D000000}"/>
    <hyperlink ref="A660" r:id="rId15" display="https://scholar.google.com/scholar?oi=bibs&amp;cluster=0&amp;btnI=1&amp;hl=en" xr:uid="{00000000-0004-0000-0700-00000E000000}"/>
    <hyperlink ref="A663" r:id="rId16" display="https://scholar.google.com/scholar?oi=bibs&amp;cluster=0&amp;btnI=1&amp;hl=en" xr:uid="{00000000-0004-0000-0700-00000F000000}"/>
    <hyperlink ref="A672" r:id="rId17" display="https://www.scopus.com/record/display.uri?eid=2-s2.0-85204904759&amp;origin=resultslist" xr:uid="{00000000-0004-0000-0700-000010000000}"/>
    <hyperlink ref="A679" r:id="rId18" display="https://www.scopus.com/record/display.uri?eid=2-s2.0-85202297829&amp;origin=resultslist" xr:uid="{00000000-0004-0000-0700-000011000000}"/>
    <hyperlink ref="A681" r:id="rId19" display="https://scholar.google.com/scholar?oi=bibs&amp;cluster=0&amp;btnI=1&amp;hl=en" xr:uid="{00000000-0004-0000-0700-000012000000}"/>
    <hyperlink ref="A682" r:id="rId20" display="https://scholar.google.com/scholar?oi=bibs&amp;cluster=0&amp;btnI=1&amp;hl=en" xr:uid="{00000000-0004-0000-0700-000013000000}"/>
    <hyperlink ref="A683" r:id="rId21" display="https://scholar.google.com/scholar?oi=bibs&amp;cluster=0&amp;btnI=1&amp;hl=en" xr:uid="{00000000-0004-0000-0700-000014000000}"/>
    <hyperlink ref="A684" r:id="rId22" display="https://scholar.google.com/scholar?oi=bibs&amp;cluster=0&amp;btnI=1&amp;hl=en" xr:uid="{00000000-0004-0000-0700-000015000000}"/>
  </hyperlinks>
  <pageMargins left="0.7" right="0.7" top="0.75" bottom="0.75" header="0.3" footer="0.3"/>
  <pageSetup orientation="portrait" r:id="rId23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0.59999389629810485"/>
  </sheetPr>
  <dimension ref="A1:CM313"/>
  <sheetViews>
    <sheetView topLeftCell="A307" zoomScaleNormal="100" workbookViewId="0">
      <pane xSplit="5" topLeftCell="F1" activePane="topRight" state="frozen"/>
      <selection activeCell="J168" sqref="J168"/>
      <selection pane="topRight" activeCell="J311" sqref="J311"/>
    </sheetView>
  </sheetViews>
  <sheetFormatPr defaultColWidth="9.109375" defaultRowHeight="14.4"/>
  <cols>
    <col min="1" max="1" width="4.88671875" style="3" customWidth="1"/>
    <col min="2" max="2" width="8.6640625" style="4" customWidth="1"/>
    <col min="3" max="3" width="8.88671875" style="145" customWidth="1"/>
    <col min="4" max="4" width="27.33203125" style="108" customWidth="1"/>
    <col min="5" max="5" width="19.5546875" style="3" customWidth="1"/>
    <col min="6" max="6" width="12.5546875" style="3" customWidth="1"/>
    <col min="7" max="7" width="12.33203125" style="2" customWidth="1"/>
    <col min="8" max="8" width="10" style="3" customWidth="1"/>
    <col min="9" max="9" width="21.44140625" style="54" customWidth="1"/>
    <col min="10" max="10" width="17.5546875" style="119" customWidth="1"/>
    <col min="11" max="11" width="25.44140625" style="2" customWidth="1"/>
    <col min="12" max="12" width="15.6640625" style="3" customWidth="1"/>
    <col min="13" max="13" width="23" style="3" customWidth="1"/>
    <col min="14" max="14" width="24.44140625" style="3" customWidth="1"/>
    <col min="15" max="15" width="23" style="2" customWidth="1"/>
    <col min="16" max="16" width="17" style="3" customWidth="1"/>
    <col min="17" max="17" width="16" style="3" customWidth="1"/>
    <col min="18" max="18" width="14.33203125" style="3" customWidth="1"/>
    <col min="19" max="19" width="13.5546875" style="3" customWidth="1"/>
    <col min="20" max="20" width="16" style="120" customWidth="1"/>
    <col min="21" max="21" width="14.109375" style="3" customWidth="1"/>
    <col min="22" max="22" width="17.109375" style="3" customWidth="1"/>
    <col min="23" max="23" width="12.5546875" style="3" customWidth="1"/>
    <col min="24" max="24" width="8.88671875" style="2" customWidth="1"/>
    <col min="25" max="25" width="10" style="42" customWidth="1"/>
    <col min="26" max="26" width="11.109375" style="3" customWidth="1"/>
    <col min="27" max="27" width="17" style="294" customWidth="1"/>
    <col min="28" max="28" width="18.109375" style="3" customWidth="1"/>
    <col min="29" max="29" width="17.6640625" style="59" customWidth="1"/>
    <col min="30" max="30" width="11.44140625" style="3" customWidth="1"/>
    <col min="31" max="31" width="14.33203125" style="3" bestFit="1" customWidth="1"/>
    <col min="32" max="32" width="8.88671875" style="2" customWidth="1"/>
    <col min="33" max="33" width="7.44140625" style="3" customWidth="1"/>
    <col min="34" max="34" width="7.5546875" style="531" customWidth="1"/>
    <col min="35" max="35" width="18.109375" style="3" customWidth="1"/>
    <col min="36" max="36" width="17.6640625" style="59" customWidth="1"/>
    <col min="37" max="37" width="11" style="2" customWidth="1"/>
    <col min="38" max="38" width="12.109375" style="2" customWidth="1"/>
    <col min="39" max="39" width="9.109375" style="2" customWidth="1"/>
    <col min="40" max="40" width="16.109375" style="2" customWidth="1"/>
    <col min="41" max="41" width="17.109375" style="2" customWidth="1"/>
    <col min="42" max="42" width="18.109375" style="2" customWidth="1"/>
    <col min="43" max="43" width="17.6640625" style="121" customWidth="1"/>
    <col min="44" max="44" width="12.44140625" style="2" customWidth="1"/>
    <col min="45" max="45" width="12.109375" style="2" customWidth="1"/>
    <col min="46" max="46" width="8.5546875" style="2" customWidth="1"/>
    <col min="47" max="47" width="19.88671875" style="2" customWidth="1"/>
    <col min="48" max="48" width="17.109375" style="2" customWidth="1"/>
    <col min="49" max="49" width="18.109375" style="2" customWidth="1"/>
    <col min="50" max="50" width="17.6640625" style="121" customWidth="1"/>
    <col min="51" max="51" width="9.33203125" style="2" customWidth="1"/>
    <col min="52" max="52" width="13.33203125" style="2" customWidth="1"/>
    <col min="53" max="53" width="10.6640625" style="2" customWidth="1"/>
    <col min="54" max="54" width="19.88671875" style="2" customWidth="1"/>
    <col min="55" max="55" width="17.109375" style="2" customWidth="1"/>
    <col min="56" max="56" width="18.109375" style="2" customWidth="1"/>
    <col min="57" max="57" width="13.6640625" style="2" customWidth="1"/>
    <col min="58" max="58" width="13.33203125" style="2" customWidth="1"/>
    <col min="59" max="59" width="13.109375" style="2" customWidth="1"/>
    <col min="60" max="60" width="13.109375" style="3" customWidth="1"/>
    <col min="61" max="61" width="16.6640625" style="145" customWidth="1"/>
    <col min="62" max="62" width="13.5546875" style="145" customWidth="1"/>
    <col min="63" max="63" width="20" style="2" customWidth="1"/>
    <col min="64" max="64" width="13.5546875" style="2" hidden="1" customWidth="1"/>
    <col min="65" max="65" width="20" style="2" customWidth="1"/>
    <col min="66" max="66" width="13.5546875" style="2" hidden="1" customWidth="1"/>
    <col min="67" max="67" width="20" style="2" customWidth="1"/>
    <col min="68" max="68" width="13.5546875" style="2" hidden="1" customWidth="1"/>
    <col min="69" max="69" width="12.6640625" style="2" customWidth="1"/>
    <col min="70" max="70" width="13.5546875" style="2" hidden="1" customWidth="1"/>
    <col min="71" max="71" width="12.6640625" style="2" customWidth="1"/>
    <col min="72" max="72" width="13.5546875" style="2" customWidth="1"/>
    <col min="73" max="73" width="12.6640625" style="2" customWidth="1"/>
    <col min="74" max="74" width="13.5546875" style="2" customWidth="1"/>
    <col min="75" max="75" width="12.6640625" style="2" customWidth="1"/>
    <col min="76" max="76" width="14.44140625" style="2" customWidth="1"/>
    <col min="77" max="77" width="21.6640625" style="4" customWidth="1"/>
    <col min="78" max="78" width="18.44140625" style="2" customWidth="1"/>
    <col min="79" max="79" width="25.6640625" style="2" customWidth="1"/>
    <col min="80" max="80" width="18.109375" style="36" customWidth="1"/>
    <col min="81" max="81" width="24.33203125" style="2" customWidth="1"/>
    <col min="82" max="82" width="35.5546875" style="2" customWidth="1"/>
    <col min="83" max="16384" width="9.109375" style="2"/>
  </cols>
  <sheetData>
    <row r="1" spans="1:88" s="321" customFormat="1" ht="57.6">
      <c r="A1" s="438" t="s">
        <v>149</v>
      </c>
      <c r="B1" s="364" t="s">
        <v>3129</v>
      </c>
      <c r="C1" s="439" t="s">
        <v>3130</v>
      </c>
      <c r="D1" s="580" t="s">
        <v>3131</v>
      </c>
      <c r="E1" s="440" t="s">
        <v>210</v>
      </c>
      <c r="F1" s="440" t="s">
        <v>1</v>
      </c>
      <c r="G1" s="440" t="s">
        <v>218</v>
      </c>
      <c r="H1" s="440" t="s">
        <v>3132</v>
      </c>
      <c r="I1" s="440" t="s">
        <v>3133</v>
      </c>
      <c r="J1" s="441" t="s">
        <v>3134</v>
      </c>
      <c r="K1" s="440" t="s">
        <v>3135</v>
      </c>
      <c r="L1" s="440" t="s">
        <v>3136</v>
      </c>
      <c r="M1" s="440" t="s">
        <v>3137</v>
      </c>
      <c r="N1" s="440" t="s">
        <v>0</v>
      </c>
      <c r="O1" s="440" t="s">
        <v>3138</v>
      </c>
      <c r="P1" s="440" t="s">
        <v>4</v>
      </c>
      <c r="Q1" s="440" t="s">
        <v>3139</v>
      </c>
      <c r="R1" s="440" t="s">
        <v>3140</v>
      </c>
      <c r="S1" s="440" t="s">
        <v>3141</v>
      </c>
      <c r="T1" s="442" t="s">
        <v>3142</v>
      </c>
      <c r="U1" s="440" t="s">
        <v>3143</v>
      </c>
      <c r="V1" s="440" t="s">
        <v>3144</v>
      </c>
      <c r="W1" s="440" t="s">
        <v>3145</v>
      </c>
      <c r="X1" s="440" t="s">
        <v>3146</v>
      </c>
      <c r="Y1" s="440" t="s">
        <v>3147</v>
      </c>
      <c r="Z1" s="440" t="s">
        <v>3148</v>
      </c>
      <c r="AA1" s="440" t="s">
        <v>3149</v>
      </c>
      <c r="AB1" s="440" t="s">
        <v>3150</v>
      </c>
      <c r="AC1" s="440" t="s">
        <v>3151</v>
      </c>
      <c r="AD1" s="440" t="s">
        <v>3152</v>
      </c>
      <c r="AE1" s="443" t="s">
        <v>3153</v>
      </c>
      <c r="AF1" s="440" t="s">
        <v>3154</v>
      </c>
      <c r="AG1" s="440" t="s">
        <v>3155</v>
      </c>
      <c r="AH1" s="440" t="s">
        <v>3156</v>
      </c>
      <c r="AI1" s="440" t="s">
        <v>3157</v>
      </c>
      <c r="AJ1" s="440" t="s">
        <v>3158</v>
      </c>
      <c r="AK1" s="440" t="s">
        <v>3159</v>
      </c>
      <c r="AL1" s="529" t="s">
        <v>3160</v>
      </c>
      <c r="AM1" s="440" t="s">
        <v>3161</v>
      </c>
      <c r="AN1" s="443" t="s">
        <v>3162</v>
      </c>
      <c r="AO1" s="440" t="s">
        <v>3163</v>
      </c>
      <c r="AP1" s="440" t="s">
        <v>3164</v>
      </c>
      <c r="AQ1" s="440" t="s">
        <v>3165</v>
      </c>
      <c r="AR1" s="440" t="s">
        <v>3166</v>
      </c>
      <c r="AS1" s="440" t="s">
        <v>3167</v>
      </c>
      <c r="AT1" s="440" t="s">
        <v>3168</v>
      </c>
      <c r="AU1" s="440" t="s">
        <v>3169</v>
      </c>
      <c r="AV1" s="440" t="s">
        <v>3170</v>
      </c>
      <c r="AW1" s="443" t="s">
        <v>3171</v>
      </c>
      <c r="AX1" s="440" t="s">
        <v>3172</v>
      </c>
      <c r="AY1" s="440" t="s">
        <v>3173</v>
      </c>
      <c r="AZ1" s="440" t="s">
        <v>3174</v>
      </c>
      <c r="BA1" s="440" t="s">
        <v>3175</v>
      </c>
      <c r="BB1" s="440" t="s">
        <v>3176</v>
      </c>
      <c r="BC1" s="440" t="s">
        <v>3177</v>
      </c>
      <c r="BD1" s="440" t="s">
        <v>3178</v>
      </c>
      <c r="BE1" s="443" t="s">
        <v>3179</v>
      </c>
      <c r="BF1" s="440" t="s">
        <v>3180</v>
      </c>
      <c r="BG1" s="440" t="s">
        <v>3181</v>
      </c>
      <c r="BH1" s="440" t="s">
        <v>3182</v>
      </c>
      <c r="BI1" s="440" t="s">
        <v>3183</v>
      </c>
      <c r="BJ1" s="440" t="s">
        <v>3184</v>
      </c>
      <c r="BK1" s="440" t="s">
        <v>3185</v>
      </c>
      <c r="BL1" s="440" t="s">
        <v>3186</v>
      </c>
      <c r="BM1" s="444" t="s">
        <v>3187</v>
      </c>
      <c r="BN1" s="444" t="s">
        <v>3188</v>
      </c>
      <c r="BO1" s="443" t="s">
        <v>3189</v>
      </c>
      <c r="BP1" s="540" t="s">
        <v>211</v>
      </c>
      <c r="BQ1" s="445" t="s">
        <v>3190</v>
      </c>
      <c r="BR1" s="446" t="s">
        <v>3191</v>
      </c>
      <c r="BS1" s="447" t="s">
        <v>3192</v>
      </c>
      <c r="BT1" s="448" t="s">
        <v>3193</v>
      </c>
      <c r="BU1" s="448" t="s">
        <v>3194</v>
      </c>
      <c r="BV1" s="448" t="s">
        <v>3195</v>
      </c>
      <c r="BW1" s="448" t="s">
        <v>3196</v>
      </c>
      <c r="BX1" s="448" t="s">
        <v>3197</v>
      </c>
      <c r="BY1" s="448" t="s">
        <v>3198</v>
      </c>
      <c r="BZ1" s="448" t="s">
        <v>3199</v>
      </c>
      <c r="CA1" s="448" t="s">
        <v>3200</v>
      </c>
      <c r="CB1" s="448" t="s">
        <v>3201</v>
      </c>
      <c r="CC1" s="448" t="s">
        <v>3202</v>
      </c>
      <c r="CD1" s="448" t="s">
        <v>3203</v>
      </c>
      <c r="CE1" s="448" t="s">
        <v>3204</v>
      </c>
      <c r="CF1" s="448" t="s">
        <v>3205</v>
      </c>
      <c r="CG1" s="449" t="s">
        <v>3206</v>
      </c>
      <c r="CH1" s="450" t="s">
        <v>3207</v>
      </c>
      <c r="CI1" s="450" t="s">
        <v>3208</v>
      </c>
      <c r="CJ1" s="476" t="s">
        <v>3209</v>
      </c>
    </row>
    <row r="2" spans="1:88" s="321" customFormat="1" ht="57.6">
      <c r="A2" s="15"/>
      <c r="B2" s="349"/>
      <c r="C2" s="601" t="s">
        <v>3210</v>
      </c>
      <c r="D2" s="602" t="s">
        <v>3211</v>
      </c>
      <c r="E2" s="333" t="s">
        <v>3212</v>
      </c>
      <c r="F2" s="15" t="s">
        <v>3213</v>
      </c>
      <c r="G2" s="15" t="s">
        <v>3213</v>
      </c>
      <c r="H2" s="333"/>
      <c r="I2" s="603" t="s">
        <v>3214</v>
      </c>
      <c r="J2" s="350">
        <v>16750000</v>
      </c>
      <c r="K2" s="15" t="s">
        <v>3091</v>
      </c>
      <c r="L2" s="333"/>
      <c r="M2" s="333"/>
      <c r="N2" s="333"/>
      <c r="O2" s="15" t="s">
        <v>3215</v>
      </c>
      <c r="P2" s="15" t="s">
        <v>3216</v>
      </c>
      <c r="Q2" s="333"/>
      <c r="R2" s="333" t="s">
        <v>28</v>
      </c>
      <c r="S2" s="341"/>
      <c r="T2" s="583">
        <f>J2</f>
        <v>16750000</v>
      </c>
      <c r="U2" s="333" t="s">
        <v>166</v>
      </c>
      <c r="V2" s="333"/>
      <c r="W2" s="333"/>
      <c r="X2" s="333" t="s">
        <v>3217</v>
      </c>
      <c r="Y2" s="333"/>
      <c r="Z2" s="333"/>
      <c r="AA2" s="603"/>
      <c r="AB2" s="333"/>
      <c r="AC2" s="603"/>
      <c r="AD2" s="655" t="s">
        <v>3218</v>
      </c>
      <c r="AE2" s="583">
        <f>J2</f>
        <v>16750000</v>
      </c>
      <c r="AF2" s="333"/>
      <c r="AG2" s="333"/>
      <c r="AH2" s="333"/>
      <c r="AI2" s="333"/>
      <c r="AJ2" s="333"/>
      <c r="AK2" s="603"/>
      <c r="AL2" s="530"/>
      <c r="AM2" s="333"/>
      <c r="AN2" s="583"/>
      <c r="AO2" s="603"/>
      <c r="AP2" s="603"/>
      <c r="AQ2" s="603"/>
      <c r="AR2" s="603"/>
      <c r="AS2" s="603"/>
      <c r="AT2" s="603"/>
      <c r="AU2" s="603"/>
      <c r="AV2" s="603"/>
      <c r="AW2" s="604"/>
      <c r="AX2" s="603"/>
      <c r="AY2" s="603"/>
      <c r="AZ2" s="603"/>
      <c r="BA2" s="603"/>
      <c r="BB2" s="603"/>
      <c r="BC2" s="603"/>
      <c r="BD2" s="603"/>
      <c r="BE2" s="604"/>
      <c r="BF2" s="605"/>
      <c r="BG2" s="605"/>
      <c r="BH2" s="605"/>
      <c r="BI2" s="605"/>
      <c r="BJ2" s="605"/>
      <c r="BK2" s="605"/>
      <c r="BL2" s="605"/>
      <c r="BM2" s="605"/>
      <c r="BN2" s="605"/>
      <c r="BO2" s="604"/>
      <c r="BP2" s="604"/>
      <c r="BQ2" s="348"/>
      <c r="BR2" s="15"/>
      <c r="BS2" s="23"/>
      <c r="BT2" s="560"/>
      <c r="BU2" s="23"/>
      <c r="BV2" s="560"/>
      <c r="BW2" s="560"/>
      <c r="BX2" s="560"/>
      <c r="BY2" s="560"/>
      <c r="BZ2" s="560"/>
      <c r="CA2" s="560"/>
      <c r="CB2" s="560"/>
      <c r="CC2" s="560"/>
      <c r="CD2" s="134"/>
      <c r="CE2" s="134"/>
      <c r="CF2" s="134"/>
      <c r="CG2" s="23"/>
      <c r="CH2" s="134"/>
      <c r="CI2" s="134"/>
      <c r="CJ2" s="476"/>
    </row>
    <row r="3" spans="1:88" s="688" customFormat="1">
      <c r="A3" s="689"/>
      <c r="B3" s="707"/>
      <c r="C3" s="708"/>
      <c r="D3" s="758"/>
      <c r="E3" s="696"/>
      <c r="F3" s="689"/>
      <c r="G3" s="689"/>
      <c r="H3" s="696"/>
      <c r="I3" s="681"/>
      <c r="J3" s="693"/>
      <c r="K3" s="689"/>
      <c r="L3" s="696"/>
      <c r="M3" s="696"/>
      <c r="N3" s="696"/>
      <c r="O3" s="689"/>
      <c r="P3" s="689"/>
      <c r="Q3" s="696"/>
      <c r="R3" s="696"/>
      <c r="S3" s="699"/>
      <c r="T3" s="698"/>
      <c r="U3" s="696"/>
      <c r="V3" s="696"/>
      <c r="W3" s="696"/>
      <c r="X3" s="696"/>
      <c r="Y3" s="696"/>
      <c r="Z3" s="696"/>
      <c r="AA3" s="681"/>
      <c r="AB3" s="696"/>
      <c r="AC3" s="681"/>
      <c r="AD3" s="759"/>
      <c r="AE3" s="698"/>
      <c r="AF3" s="696"/>
      <c r="AG3" s="696"/>
      <c r="AH3" s="696"/>
      <c r="AI3" s="696"/>
      <c r="AJ3" s="696"/>
      <c r="AK3" s="681"/>
      <c r="AL3" s="682"/>
      <c r="AM3" s="696"/>
      <c r="AN3" s="698"/>
      <c r="AO3" s="681"/>
      <c r="AP3" s="681"/>
      <c r="AQ3" s="681"/>
      <c r="AR3" s="681"/>
      <c r="AS3" s="681"/>
      <c r="AT3" s="681"/>
      <c r="AU3" s="681"/>
      <c r="AV3" s="681"/>
      <c r="AW3" s="683"/>
      <c r="AX3" s="681"/>
      <c r="AY3" s="681"/>
      <c r="AZ3" s="681"/>
      <c r="BA3" s="681"/>
      <c r="BB3" s="681"/>
      <c r="BC3" s="681"/>
      <c r="BD3" s="681"/>
      <c r="BE3" s="683"/>
      <c r="BF3" s="684"/>
      <c r="BG3" s="684"/>
      <c r="BH3" s="684"/>
      <c r="BI3" s="684"/>
      <c r="BJ3" s="684"/>
      <c r="BK3" s="684"/>
      <c r="BL3" s="684"/>
      <c r="BM3" s="684"/>
      <c r="BN3" s="684"/>
      <c r="BO3" s="683"/>
      <c r="BP3" s="683"/>
      <c r="BQ3" s="708"/>
      <c r="BR3" s="689"/>
      <c r="BS3" s="690"/>
      <c r="BT3" s="685"/>
      <c r="BU3" s="690"/>
      <c r="BV3" s="685"/>
      <c r="BW3" s="685"/>
      <c r="BX3" s="685"/>
      <c r="BY3" s="685"/>
      <c r="BZ3" s="685"/>
      <c r="CA3" s="685"/>
      <c r="CB3" s="685"/>
      <c r="CC3" s="685"/>
      <c r="CD3" s="686"/>
      <c r="CE3" s="686"/>
      <c r="CF3" s="686"/>
      <c r="CG3" s="690"/>
      <c r="CH3" s="686"/>
      <c r="CI3" s="686"/>
      <c r="CJ3" s="687"/>
    </row>
    <row r="4" spans="1:88" s="321" customFormat="1" ht="48">
      <c r="A4" s="15"/>
      <c r="B4" s="349"/>
      <c r="C4" s="601" t="s">
        <v>3219</v>
      </c>
      <c r="D4" s="602" t="s">
        <v>3220</v>
      </c>
      <c r="E4" s="333" t="s">
        <v>7</v>
      </c>
      <c r="F4" s="15">
        <v>2019</v>
      </c>
      <c r="G4" s="15">
        <v>2019</v>
      </c>
      <c r="H4" s="15">
        <v>10</v>
      </c>
      <c r="I4" s="603"/>
      <c r="J4" s="350">
        <v>8880000</v>
      </c>
      <c r="K4" s="15" t="s">
        <v>3091</v>
      </c>
      <c r="L4" s="333" t="s">
        <v>3221</v>
      </c>
      <c r="M4" s="15" t="s">
        <v>3222</v>
      </c>
      <c r="N4" s="15" t="s">
        <v>3223</v>
      </c>
      <c r="O4" s="15" t="s">
        <v>3215</v>
      </c>
      <c r="P4" s="15" t="s">
        <v>3216</v>
      </c>
      <c r="Q4" s="333"/>
      <c r="R4" s="333" t="s">
        <v>27</v>
      </c>
      <c r="S4" s="341"/>
      <c r="T4" s="583">
        <f>J4</f>
        <v>8880000</v>
      </c>
      <c r="U4" s="333" t="s">
        <v>151</v>
      </c>
      <c r="V4" s="333"/>
      <c r="W4" s="333"/>
      <c r="X4" s="333" t="s">
        <v>3224</v>
      </c>
      <c r="Y4" s="333"/>
      <c r="Z4" s="333"/>
      <c r="AA4" s="603"/>
      <c r="AB4" s="333"/>
      <c r="AC4" s="603"/>
      <c r="AD4" s="655" t="s">
        <v>18</v>
      </c>
      <c r="AE4" s="583">
        <f>J4</f>
        <v>8880000</v>
      </c>
      <c r="AF4" s="333" t="s">
        <v>156</v>
      </c>
      <c r="AG4" s="15" t="s">
        <v>166</v>
      </c>
      <c r="AH4" s="15"/>
      <c r="AI4" s="333" t="s">
        <v>3217</v>
      </c>
      <c r="AJ4" s="333"/>
      <c r="AK4" s="603"/>
      <c r="AL4" s="530"/>
      <c r="AM4" s="333"/>
      <c r="AN4" s="583"/>
      <c r="AO4" s="603"/>
      <c r="AP4" s="603"/>
      <c r="AQ4" s="603"/>
      <c r="AR4" s="603"/>
      <c r="AS4" s="603"/>
      <c r="AT4" s="603"/>
      <c r="AU4" s="603"/>
      <c r="AV4" s="603"/>
      <c r="AW4" s="604"/>
      <c r="AX4" s="603"/>
      <c r="AY4" s="603"/>
      <c r="AZ4" s="603"/>
      <c r="BA4" s="603"/>
      <c r="BB4" s="603"/>
      <c r="BC4" s="603"/>
      <c r="BD4" s="603"/>
      <c r="BE4" s="604"/>
      <c r="BF4" s="605"/>
      <c r="BG4" s="605"/>
      <c r="BH4" s="605"/>
      <c r="BI4" s="605"/>
      <c r="BJ4" s="605"/>
      <c r="BK4" s="605"/>
      <c r="BL4" s="605"/>
      <c r="BM4" s="605"/>
      <c r="BN4" s="605"/>
      <c r="BO4" s="604"/>
      <c r="BP4" s="604"/>
      <c r="BQ4" s="601" t="s">
        <v>3190</v>
      </c>
      <c r="BR4" s="601" t="s">
        <v>3191</v>
      </c>
      <c r="BS4" s="23" t="s">
        <v>1795</v>
      </c>
      <c r="BT4" s="560"/>
      <c r="BU4" s="23" t="s">
        <v>3225</v>
      </c>
      <c r="BV4" s="560"/>
      <c r="BW4" s="560"/>
      <c r="BX4" s="560"/>
      <c r="BY4" s="560"/>
      <c r="BZ4" s="560"/>
      <c r="CA4" s="560"/>
      <c r="CB4" s="560"/>
      <c r="CC4" s="560"/>
      <c r="CD4" s="134"/>
      <c r="CE4" s="134"/>
      <c r="CF4" s="134"/>
      <c r="CG4" s="23"/>
      <c r="CH4" s="134"/>
      <c r="CI4" s="134"/>
      <c r="CJ4" s="476"/>
    </row>
    <row r="5" spans="1:88" s="321" customFormat="1" ht="60">
      <c r="A5" s="15"/>
      <c r="B5" s="349"/>
      <c r="C5" s="601" t="s">
        <v>3219</v>
      </c>
      <c r="D5" s="602" t="s">
        <v>3226</v>
      </c>
      <c r="E5" s="333" t="s">
        <v>7</v>
      </c>
      <c r="F5" s="15">
        <v>2019</v>
      </c>
      <c r="G5" s="15">
        <v>2019</v>
      </c>
      <c r="H5" s="15">
        <v>6</v>
      </c>
      <c r="I5" s="603"/>
      <c r="J5" s="350">
        <v>4114000</v>
      </c>
      <c r="K5" s="15" t="s">
        <v>3091</v>
      </c>
      <c r="L5" s="333" t="s">
        <v>3227</v>
      </c>
      <c r="M5" s="15" t="s">
        <v>3222</v>
      </c>
      <c r="N5" s="15" t="s">
        <v>3223</v>
      </c>
      <c r="O5" s="15" t="s">
        <v>3215</v>
      </c>
      <c r="P5" s="15" t="s">
        <v>3216</v>
      </c>
      <c r="Q5" s="333"/>
      <c r="R5" s="333" t="s">
        <v>14</v>
      </c>
      <c r="S5" s="341"/>
      <c r="T5" s="583">
        <f t="shared" ref="T5:T21" si="0">J5</f>
        <v>4114000</v>
      </c>
      <c r="U5" s="333" t="s">
        <v>151</v>
      </c>
      <c r="V5" s="333"/>
      <c r="W5" s="333"/>
      <c r="X5" s="333" t="s">
        <v>3224</v>
      </c>
      <c r="Y5" s="333"/>
      <c r="Z5" s="333"/>
      <c r="AA5" s="603"/>
      <c r="AB5" s="333"/>
      <c r="AC5" s="603"/>
      <c r="AD5" s="655" t="s">
        <v>10</v>
      </c>
      <c r="AE5" s="583">
        <f t="shared" ref="AE5:AE21" si="1">J5</f>
        <v>4114000</v>
      </c>
      <c r="AF5" s="333" t="s">
        <v>151</v>
      </c>
      <c r="AG5" s="333"/>
      <c r="AH5" s="333"/>
      <c r="AI5" s="333" t="s">
        <v>3224</v>
      </c>
      <c r="AJ5" s="333"/>
      <c r="AK5" s="603"/>
      <c r="AL5" s="530"/>
      <c r="AM5" s="333"/>
      <c r="AN5" s="583"/>
      <c r="AO5" s="603"/>
      <c r="AP5" s="603"/>
      <c r="AQ5" s="603"/>
      <c r="AR5" s="603"/>
      <c r="AS5" s="603"/>
      <c r="AT5" s="603"/>
      <c r="AU5" s="603"/>
      <c r="AV5" s="603"/>
      <c r="AW5" s="604"/>
      <c r="AX5" s="603"/>
      <c r="AY5" s="603"/>
      <c r="AZ5" s="603"/>
      <c r="BA5" s="603"/>
      <c r="BB5" s="603"/>
      <c r="BC5" s="603"/>
      <c r="BD5" s="603"/>
      <c r="BE5" s="604"/>
      <c r="BF5" s="605"/>
      <c r="BG5" s="605"/>
      <c r="BH5" s="605"/>
      <c r="BI5" s="605"/>
      <c r="BJ5" s="605"/>
      <c r="BK5" s="605"/>
      <c r="BL5" s="605"/>
      <c r="BM5" s="605"/>
      <c r="BN5" s="605"/>
      <c r="BO5" s="604"/>
      <c r="BP5" s="604"/>
      <c r="BQ5" s="601" t="s">
        <v>3190</v>
      </c>
      <c r="BR5" s="601" t="s">
        <v>3191</v>
      </c>
      <c r="BS5" s="23" t="s">
        <v>3228</v>
      </c>
      <c r="BT5" s="560"/>
      <c r="BU5" s="23" t="s">
        <v>3229</v>
      </c>
      <c r="BV5" s="560"/>
      <c r="BW5" s="560"/>
      <c r="BX5" s="560"/>
      <c r="BY5" s="560"/>
      <c r="BZ5" s="560"/>
      <c r="CA5" s="560"/>
      <c r="CB5" s="560"/>
      <c r="CC5" s="560"/>
      <c r="CD5" s="134"/>
      <c r="CE5" s="134"/>
      <c r="CF5" s="134"/>
      <c r="CG5" s="23"/>
      <c r="CH5" s="134"/>
      <c r="CI5" s="134"/>
      <c r="CJ5" s="476"/>
    </row>
    <row r="6" spans="1:88" s="321" customFormat="1" ht="48">
      <c r="A6" s="15"/>
      <c r="B6" s="349"/>
      <c r="C6" s="601" t="s">
        <v>3219</v>
      </c>
      <c r="D6" s="602" t="s">
        <v>3230</v>
      </c>
      <c r="E6" s="333" t="s">
        <v>7</v>
      </c>
      <c r="F6" s="15">
        <v>2019</v>
      </c>
      <c r="G6" s="15">
        <v>2019</v>
      </c>
      <c r="H6" s="15">
        <v>6</v>
      </c>
      <c r="I6" s="603"/>
      <c r="J6" s="350">
        <v>4752000</v>
      </c>
      <c r="K6" s="15" t="s">
        <v>3091</v>
      </c>
      <c r="L6" s="333" t="s">
        <v>3227</v>
      </c>
      <c r="M6" s="15" t="s">
        <v>3222</v>
      </c>
      <c r="N6" s="15" t="s">
        <v>3223</v>
      </c>
      <c r="O6" s="15" t="s">
        <v>3215</v>
      </c>
      <c r="P6" s="15" t="s">
        <v>3216</v>
      </c>
      <c r="Q6" s="333"/>
      <c r="R6" s="333" t="s">
        <v>14</v>
      </c>
      <c r="S6" s="341"/>
      <c r="T6" s="583">
        <f t="shared" si="0"/>
        <v>4752000</v>
      </c>
      <c r="U6" s="333" t="s">
        <v>151</v>
      </c>
      <c r="V6" s="333"/>
      <c r="W6" s="333"/>
      <c r="X6" s="333" t="s">
        <v>3224</v>
      </c>
      <c r="Y6" s="333"/>
      <c r="Z6" s="333"/>
      <c r="AA6" s="603"/>
      <c r="AB6" s="333"/>
      <c r="AC6" s="603"/>
      <c r="AD6" s="655" t="s">
        <v>3231</v>
      </c>
      <c r="AE6" s="583">
        <f t="shared" si="1"/>
        <v>4752000</v>
      </c>
      <c r="AF6" s="333" t="s">
        <v>151</v>
      </c>
      <c r="AG6" s="333"/>
      <c r="AH6" s="333"/>
      <c r="AI6" s="333" t="s">
        <v>3224</v>
      </c>
      <c r="AJ6" s="333"/>
      <c r="AK6" s="603"/>
      <c r="AL6" s="530"/>
      <c r="AM6" s="333"/>
      <c r="AN6" s="583"/>
      <c r="AO6" s="655"/>
      <c r="AP6" s="603"/>
      <c r="AQ6" s="603"/>
      <c r="AR6" s="603"/>
      <c r="AS6" s="603"/>
      <c r="AT6" s="603"/>
      <c r="AU6" s="603"/>
      <c r="AV6" s="603"/>
      <c r="AW6" s="604"/>
      <c r="AX6" s="603"/>
      <c r="AY6" s="603"/>
      <c r="AZ6" s="603"/>
      <c r="BA6" s="603"/>
      <c r="BB6" s="603"/>
      <c r="BC6" s="603"/>
      <c r="BD6" s="603"/>
      <c r="BE6" s="604"/>
      <c r="BF6" s="605"/>
      <c r="BG6" s="605"/>
      <c r="BH6" s="605"/>
      <c r="BI6" s="605"/>
      <c r="BJ6" s="605"/>
      <c r="BK6" s="605"/>
      <c r="BL6" s="605"/>
      <c r="BM6" s="605"/>
      <c r="BN6" s="605"/>
      <c r="BO6" s="604"/>
      <c r="BP6" s="604"/>
      <c r="BQ6" s="601" t="s">
        <v>3190</v>
      </c>
      <c r="BR6" s="601" t="s">
        <v>3191</v>
      </c>
      <c r="BS6" s="23" t="s">
        <v>1068</v>
      </c>
      <c r="BT6" s="560"/>
      <c r="BU6" s="23" t="s">
        <v>3232</v>
      </c>
      <c r="BV6" s="560"/>
      <c r="BW6" s="560"/>
      <c r="BX6" s="560"/>
      <c r="BY6" s="560"/>
      <c r="BZ6" s="560"/>
      <c r="CA6" s="560"/>
      <c r="CB6" s="560"/>
      <c r="CC6" s="560"/>
      <c r="CD6" s="134"/>
      <c r="CE6" s="134"/>
      <c r="CF6" s="134"/>
      <c r="CG6" s="23"/>
      <c r="CH6" s="134"/>
      <c r="CI6" s="134"/>
      <c r="CJ6" s="476"/>
    </row>
    <row r="7" spans="1:88" s="321" customFormat="1" ht="48">
      <c r="A7" s="15"/>
      <c r="B7" s="349"/>
      <c r="C7" s="601" t="s">
        <v>3219</v>
      </c>
      <c r="D7" s="602" t="s">
        <v>3233</v>
      </c>
      <c r="E7" s="333" t="s">
        <v>7</v>
      </c>
      <c r="F7" s="15">
        <v>2019</v>
      </c>
      <c r="G7" s="15">
        <v>2019</v>
      </c>
      <c r="H7" s="15">
        <v>8</v>
      </c>
      <c r="I7" s="603"/>
      <c r="J7" s="350">
        <v>9627000</v>
      </c>
      <c r="K7" s="15" t="s">
        <v>3091</v>
      </c>
      <c r="L7" s="333"/>
      <c r="M7" s="15" t="s">
        <v>3222</v>
      </c>
      <c r="N7" s="15" t="s">
        <v>3223</v>
      </c>
      <c r="O7" s="15" t="s">
        <v>3215</v>
      </c>
      <c r="P7" s="15" t="s">
        <v>3216</v>
      </c>
      <c r="Q7" s="333"/>
      <c r="R7" s="333" t="s">
        <v>17</v>
      </c>
      <c r="S7" s="341"/>
      <c r="T7" s="583">
        <f t="shared" si="0"/>
        <v>9627000</v>
      </c>
      <c r="U7" s="333" t="s">
        <v>166</v>
      </c>
      <c r="V7" s="333"/>
      <c r="W7" s="333"/>
      <c r="X7" s="333" t="s">
        <v>3217</v>
      </c>
      <c r="Y7" s="333"/>
      <c r="Z7" s="333"/>
      <c r="AA7" s="603"/>
      <c r="AB7" s="333"/>
      <c r="AC7" s="603"/>
      <c r="AD7" s="655" t="s">
        <v>28</v>
      </c>
      <c r="AE7" s="583">
        <f t="shared" si="1"/>
        <v>9627000</v>
      </c>
      <c r="AF7" s="333" t="s">
        <v>166</v>
      </c>
      <c r="AG7" s="333"/>
      <c r="AH7" s="333"/>
      <c r="AI7" s="333" t="s">
        <v>3217</v>
      </c>
      <c r="AJ7" s="333"/>
      <c r="AK7" s="603"/>
      <c r="AL7" s="530"/>
      <c r="AM7" s="333" t="s">
        <v>76</v>
      </c>
      <c r="AN7" s="583">
        <f t="shared" ref="AN7:AN21" si="2">J7</f>
        <v>9627000</v>
      </c>
      <c r="AO7" s="655" t="s">
        <v>166</v>
      </c>
      <c r="AP7" s="603"/>
      <c r="AQ7" s="603"/>
      <c r="AR7" s="603" t="s">
        <v>3217</v>
      </c>
      <c r="AS7" s="603"/>
      <c r="AT7" s="603"/>
      <c r="AU7" s="603"/>
      <c r="AV7" s="603" t="s">
        <v>6</v>
      </c>
      <c r="AW7" s="604">
        <f t="shared" ref="AW7:AW59" si="3">J7</f>
        <v>9627000</v>
      </c>
      <c r="AX7" s="603" t="s">
        <v>160</v>
      </c>
      <c r="AY7" s="603"/>
      <c r="AZ7" s="603" t="s">
        <v>3217</v>
      </c>
      <c r="BA7" s="603"/>
      <c r="BB7" s="603"/>
      <c r="BC7" s="603"/>
      <c r="BD7" s="603"/>
      <c r="BE7" s="604"/>
      <c r="BF7" s="605"/>
      <c r="BG7" s="605"/>
      <c r="BH7" s="605"/>
      <c r="BI7" s="605"/>
      <c r="BJ7" s="605"/>
      <c r="BK7" s="605"/>
      <c r="BL7" s="605"/>
      <c r="BM7" s="605"/>
      <c r="BN7" s="605"/>
      <c r="BO7" s="604"/>
      <c r="BP7" s="604"/>
      <c r="BQ7" s="601" t="s">
        <v>3190</v>
      </c>
      <c r="BR7" s="601" t="s">
        <v>3191</v>
      </c>
      <c r="BS7" s="23" t="s">
        <v>3234</v>
      </c>
      <c r="BT7" s="560"/>
      <c r="BU7" s="23"/>
      <c r="BV7" s="560"/>
      <c r="BW7" s="560"/>
      <c r="BX7" s="560"/>
      <c r="BY7" s="560"/>
      <c r="BZ7" s="560"/>
      <c r="CA7" s="560"/>
      <c r="CB7" s="560"/>
      <c r="CC7" s="560"/>
      <c r="CD7" s="134"/>
      <c r="CE7" s="134"/>
      <c r="CF7" s="134"/>
      <c r="CG7" s="23"/>
      <c r="CH7" s="134"/>
      <c r="CI7" s="134"/>
      <c r="CJ7" s="476"/>
    </row>
    <row r="8" spans="1:88" s="321" customFormat="1" ht="43.2">
      <c r="A8" s="15"/>
      <c r="B8" s="349"/>
      <c r="C8" s="601" t="s">
        <v>3219</v>
      </c>
      <c r="D8" s="602" t="s">
        <v>3235</v>
      </c>
      <c r="E8" s="333" t="s">
        <v>7</v>
      </c>
      <c r="F8" s="15">
        <v>2019</v>
      </c>
      <c r="G8" s="15">
        <v>2019</v>
      </c>
      <c r="H8" s="15">
        <v>6</v>
      </c>
      <c r="I8" s="603"/>
      <c r="J8" s="350">
        <v>11120000</v>
      </c>
      <c r="K8" s="15" t="s">
        <v>3091</v>
      </c>
      <c r="L8" s="333" t="s">
        <v>3236</v>
      </c>
      <c r="M8" s="15" t="s">
        <v>3222</v>
      </c>
      <c r="N8" s="15" t="s">
        <v>3223</v>
      </c>
      <c r="O8" s="15" t="s">
        <v>3215</v>
      </c>
      <c r="P8" s="15" t="s">
        <v>3216</v>
      </c>
      <c r="Q8" s="333"/>
      <c r="R8" s="333" t="s">
        <v>30</v>
      </c>
      <c r="S8" s="341"/>
      <c r="T8" s="583">
        <f t="shared" si="0"/>
        <v>11120000</v>
      </c>
      <c r="U8" s="333" t="s">
        <v>166</v>
      </c>
      <c r="V8" s="333"/>
      <c r="W8" s="333"/>
      <c r="X8" s="333" t="s">
        <v>3217</v>
      </c>
      <c r="Y8" s="333"/>
      <c r="Z8" s="333"/>
      <c r="AA8" s="603"/>
      <c r="AB8" s="333"/>
      <c r="AC8" s="603"/>
      <c r="AD8" s="655" t="s">
        <v>12</v>
      </c>
      <c r="AE8" s="583">
        <f t="shared" si="1"/>
        <v>11120000</v>
      </c>
      <c r="AF8" s="333" t="s">
        <v>155</v>
      </c>
      <c r="AG8" s="333"/>
      <c r="AH8" s="333"/>
      <c r="AI8" s="333" t="s">
        <v>3224</v>
      </c>
      <c r="AJ8" s="333"/>
      <c r="AK8" s="603"/>
      <c r="AL8" s="530"/>
      <c r="AM8" s="333" t="s">
        <v>89</v>
      </c>
      <c r="AN8" s="583">
        <f t="shared" si="2"/>
        <v>11120000</v>
      </c>
      <c r="AO8" s="655" t="s">
        <v>164</v>
      </c>
      <c r="AP8" s="603"/>
      <c r="AQ8" s="603"/>
      <c r="AR8" s="603" t="s">
        <v>3217</v>
      </c>
      <c r="AS8" s="603"/>
      <c r="AT8" s="603"/>
      <c r="AU8" s="603"/>
      <c r="AV8" s="603" t="s">
        <v>13</v>
      </c>
      <c r="AW8" s="604">
        <f t="shared" si="3"/>
        <v>11120000</v>
      </c>
      <c r="AX8" s="603" t="s">
        <v>160</v>
      </c>
      <c r="AY8" s="603"/>
      <c r="AZ8" s="603" t="s">
        <v>3217</v>
      </c>
      <c r="BA8" s="603"/>
      <c r="BB8" s="603"/>
      <c r="BC8" s="603"/>
      <c r="BD8" s="603" t="s">
        <v>47</v>
      </c>
      <c r="BE8" s="604">
        <f t="shared" ref="BE8" si="4">J8</f>
        <v>11120000</v>
      </c>
      <c r="BF8" s="605" t="s">
        <v>166</v>
      </c>
      <c r="BG8" s="605"/>
      <c r="BH8" s="605" t="s">
        <v>3217</v>
      </c>
      <c r="BI8" s="605"/>
      <c r="BJ8" s="605"/>
      <c r="BK8" s="605"/>
      <c r="BL8" s="605"/>
      <c r="BM8" s="605"/>
      <c r="BN8" s="605"/>
      <c r="BO8" s="604"/>
      <c r="BP8" s="604"/>
      <c r="BQ8" s="601" t="s">
        <v>3190</v>
      </c>
      <c r="BR8" s="601" t="s">
        <v>3191</v>
      </c>
      <c r="BS8" s="23" t="s">
        <v>3237</v>
      </c>
      <c r="BT8" s="560" t="s">
        <v>3238</v>
      </c>
      <c r="BU8" s="23" t="s">
        <v>1005</v>
      </c>
      <c r="BV8" s="560" t="s">
        <v>3239</v>
      </c>
      <c r="BW8" s="560"/>
      <c r="BX8" s="560"/>
      <c r="BY8" s="560"/>
      <c r="BZ8" s="560"/>
      <c r="CA8" s="560"/>
      <c r="CB8" s="560"/>
      <c r="CC8" s="560"/>
      <c r="CD8" s="134"/>
      <c r="CE8" s="134"/>
      <c r="CF8" s="134"/>
      <c r="CG8" s="23"/>
      <c r="CH8" s="134"/>
      <c r="CI8" s="134"/>
      <c r="CJ8" s="476"/>
    </row>
    <row r="9" spans="1:88" s="321" customFormat="1" ht="43.2">
      <c r="A9" s="15"/>
      <c r="B9" s="349"/>
      <c r="C9" s="601" t="s">
        <v>3219</v>
      </c>
      <c r="D9" s="602" t="s">
        <v>3240</v>
      </c>
      <c r="E9" s="333" t="s">
        <v>7</v>
      </c>
      <c r="F9" s="15">
        <v>2019</v>
      </c>
      <c r="G9" s="15">
        <v>2019</v>
      </c>
      <c r="H9" s="15">
        <v>9</v>
      </c>
      <c r="I9" s="603"/>
      <c r="J9" s="350">
        <v>11400000</v>
      </c>
      <c r="K9" s="15" t="s">
        <v>3091</v>
      </c>
      <c r="L9" s="333" t="s">
        <v>3221</v>
      </c>
      <c r="M9" s="15" t="s">
        <v>3222</v>
      </c>
      <c r="N9" s="15" t="s">
        <v>3223</v>
      </c>
      <c r="O9" s="15" t="s">
        <v>3215</v>
      </c>
      <c r="P9" s="15" t="s">
        <v>3216</v>
      </c>
      <c r="Q9" s="333"/>
      <c r="R9" s="333" t="s">
        <v>22</v>
      </c>
      <c r="S9" s="341"/>
      <c r="T9" s="583">
        <f t="shared" si="0"/>
        <v>11400000</v>
      </c>
      <c r="U9" s="333" t="s">
        <v>154</v>
      </c>
      <c r="V9" s="333" t="s">
        <v>155</v>
      </c>
      <c r="W9" s="333"/>
      <c r="X9" s="333" t="s">
        <v>3224</v>
      </c>
      <c r="Y9" s="333"/>
      <c r="Z9" s="333"/>
      <c r="AA9" s="603"/>
      <c r="AB9" s="333"/>
      <c r="AC9" s="603"/>
      <c r="AD9" s="655" t="s">
        <v>83</v>
      </c>
      <c r="AE9" s="583">
        <f t="shared" si="1"/>
        <v>11400000</v>
      </c>
      <c r="AF9" s="333" t="s">
        <v>154</v>
      </c>
      <c r="AG9" s="333"/>
      <c r="AH9" s="333"/>
      <c r="AI9" s="333" t="s">
        <v>3224</v>
      </c>
      <c r="AJ9" s="333"/>
      <c r="AK9" s="603"/>
      <c r="AL9" s="530"/>
      <c r="AM9" s="333" t="s">
        <v>153</v>
      </c>
      <c r="AN9" s="583">
        <f t="shared" si="2"/>
        <v>11400000</v>
      </c>
      <c r="AO9" s="655" t="s">
        <v>154</v>
      </c>
      <c r="AP9" s="603"/>
      <c r="AQ9" s="603"/>
      <c r="AR9" s="603" t="s">
        <v>3224</v>
      </c>
      <c r="AS9" s="603"/>
      <c r="AT9" s="603"/>
      <c r="AU9" s="603"/>
      <c r="AV9" s="603"/>
      <c r="AW9" s="604"/>
      <c r="AX9" s="603"/>
      <c r="AY9" s="603"/>
      <c r="AZ9" s="603"/>
      <c r="BA9" s="603"/>
      <c r="BB9" s="603"/>
      <c r="BC9" s="603"/>
      <c r="BD9" s="603"/>
      <c r="BE9" s="604"/>
      <c r="BF9" s="605"/>
      <c r="BG9" s="605"/>
      <c r="BH9" s="605"/>
      <c r="BI9" s="605"/>
      <c r="BJ9" s="605"/>
      <c r="BK9" s="605"/>
      <c r="BL9" s="605"/>
      <c r="BM9" s="605"/>
      <c r="BN9" s="605"/>
      <c r="BO9" s="604"/>
      <c r="BP9" s="604"/>
      <c r="BQ9" s="601" t="s">
        <v>3190</v>
      </c>
      <c r="BR9" s="601" t="s">
        <v>3191</v>
      </c>
      <c r="BS9" s="23" t="s">
        <v>3241</v>
      </c>
      <c r="BT9" s="560"/>
      <c r="BU9" s="23" t="s">
        <v>3242</v>
      </c>
      <c r="BV9" s="560"/>
      <c r="BW9" s="560" t="s">
        <v>3243</v>
      </c>
      <c r="BX9" s="560"/>
      <c r="BY9" s="560"/>
      <c r="BZ9" s="560"/>
      <c r="CA9" s="560"/>
      <c r="CB9" s="560"/>
      <c r="CC9" s="560"/>
      <c r="CD9" s="134"/>
      <c r="CE9" s="134"/>
      <c r="CF9" s="134"/>
      <c r="CG9" s="23"/>
      <c r="CH9" s="134"/>
      <c r="CI9" s="134"/>
      <c r="CJ9" s="476"/>
    </row>
    <row r="10" spans="1:88" s="321" customFormat="1" ht="48">
      <c r="A10" s="15"/>
      <c r="B10" s="349"/>
      <c r="C10" s="601" t="s">
        <v>3219</v>
      </c>
      <c r="D10" s="602" t="s">
        <v>3244</v>
      </c>
      <c r="E10" s="333" t="s">
        <v>7</v>
      </c>
      <c r="F10" s="15">
        <v>2019</v>
      </c>
      <c r="G10" s="15">
        <v>2019</v>
      </c>
      <c r="H10" s="15">
        <v>10</v>
      </c>
      <c r="I10" s="603"/>
      <c r="J10" s="350">
        <v>10125000</v>
      </c>
      <c r="K10" s="15" t="s">
        <v>3091</v>
      </c>
      <c r="L10" s="333" t="s">
        <v>3245</v>
      </c>
      <c r="M10" s="15" t="s">
        <v>3222</v>
      </c>
      <c r="N10" s="15" t="s">
        <v>3223</v>
      </c>
      <c r="O10" s="15" t="s">
        <v>3215</v>
      </c>
      <c r="P10" s="15" t="s">
        <v>3216</v>
      </c>
      <c r="Q10" s="333"/>
      <c r="R10" s="333" t="s">
        <v>23</v>
      </c>
      <c r="S10" s="341"/>
      <c r="T10" s="583">
        <f t="shared" si="0"/>
        <v>10125000</v>
      </c>
      <c r="U10" s="333" t="s">
        <v>154</v>
      </c>
      <c r="V10" s="333"/>
      <c r="W10" s="333"/>
      <c r="X10" s="333" t="s">
        <v>3224</v>
      </c>
      <c r="Y10" s="333"/>
      <c r="Z10" s="333"/>
      <c r="AA10" s="603"/>
      <c r="AB10" s="333"/>
      <c r="AC10" s="603"/>
      <c r="AD10" s="655" t="s">
        <v>16</v>
      </c>
      <c r="AE10" s="583">
        <f t="shared" si="1"/>
        <v>10125000</v>
      </c>
      <c r="AF10" s="333" t="s">
        <v>154</v>
      </c>
      <c r="AG10" s="333"/>
      <c r="AH10" s="333"/>
      <c r="AI10" s="333" t="s">
        <v>3224</v>
      </c>
      <c r="AJ10" s="333"/>
      <c r="AK10" s="603"/>
      <c r="AL10" s="530"/>
      <c r="AM10" s="333" t="s">
        <v>153</v>
      </c>
      <c r="AN10" s="583">
        <f t="shared" si="2"/>
        <v>10125000</v>
      </c>
      <c r="AO10" s="655" t="s">
        <v>154</v>
      </c>
      <c r="AP10" s="603"/>
      <c r="AQ10" s="603"/>
      <c r="AR10" s="603" t="s">
        <v>3224</v>
      </c>
      <c r="AS10" s="603"/>
      <c r="AT10" s="603"/>
      <c r="AU10" s="603"/>
      <c r="AV10" s="603"/>
      <c r="AW10" s="604"/>
      <c r="AX10" s="603"/>
      <c r="AY10" s="603"/>
      <c r="AZ10" s="603"/>
      <c r="BA10" s="603"/>
      <c r="BB10" s="603"/>
      <c r="BC10" s="603"/>
      <c r="BD10" s="603"/>
      <c r="BE10" s="604"/>
      <c r="BF10" s="605"/>
      <c r="BG10" s="605"/>
      <c r="BH10" s="605"/>
      <c r="BI10" s="605"/>
      <c r="BJ10" s="605"/>
      <c r="BK10" s="605"/>
      <c r="BL10" s="605"/>
      <c r="BM10" s="605"/>
      <c r="BN10" s="605"/>
      <c r="BO10" s="604"/>
      <c r="BP10" s="604"/>
      <c r="BQ10" s="601" t="s">
        <v>3190</v>
      </c>
      <c r="BR10" t="s">
        <v>3191</v>
      </c>
      <c r="BS10" s="23" t="s">
        <v>3246</v>
      </c>
      <c r="BT10" s="560"/>
      <c r="BU10" s="23" t="s">
        <v>3247</v>
      </c>
      <c r="BV10" s="560"/>
      <c r="BW10" s="560"/>
      <c r="BX10" s="560"/>
      <c r="BY10" s="560"/>
      <c r="BZ10" s="560"/>
      <c r="CA10" s="560"/>
      <c r="CB10" s="560"/>
      <c r="CC10" s="560"/>
      <c r="CD10" s="134"/>
      <c r="CE10" s="134"/>
      <c r="CF10" s="134"/>
      <c r="CG10" s="23"/>
      <c r="CH10" s="134"/>
      <c r="CI10" s="134"/>
      <c r="CJ10" s="476"/>
    </row>
    <row r="11" spans="1:88" s="321" customFormat="1" ht="43.2">
      <c r="A11" s="15"/>
      <c r="B11" s="349"/>
      <c r="C11" s="601" t="s">
        <v>3219</v>
      </c>
      <c r="D11" s="602" t="s">
        <v>3248</v>
      </c>
      <c r="E11" s="333" t="s">
        <v>7</v>
      </c>
      <c r="F11" s="15">
        <v>2019</v>
      </c>
      <c r="G11" s="15">
        <v>2019</v>
      </c>
      <c r="H11" s="15">
        <v>5</v>
      </c>
      <c r="I11" s="603"/>
      <c r="J11" s="350">
        <v>11875000</v>
      </c>
      <c r="K11" s="15" t="s">
        <v>3091</v>
      </c>
      <c r="L11" s="333" t="s">
        <v>3221</v>
      </c>
      <c r="M11" s="15" t="s">
        <v>3222</v>
      </c>
      <c r="N11" s="15" t="s">
        <v>3223</v>
      </c>
      <c r="O11" s="15" t="s">
        <v>3215</v>
      </c>
      <c r="P11" s="15" t="s">
        <v>3216</v>
      </c>
      <c r="Q11" s="333"/>
      <c r="R11" s="333" t="s">
        <v>21</v>
      </c>
      <c r="S11" s="341"/>
      <c r="T11" s="583">
        <f t="shared" si="0"/>
        <v>11875000</v>
      </c>
      <c r="U11" s="333" t="s">
        <v>155</v>
      </c>
      <c r="V11" s="333"/>
      <c r="W11" s="333"/>
      <c r="X11" s="333" t="s">
        <v>3224</v>
      </c>
      <c r="Y11" s="333"/>
      <c r="Z11" s="333"/>
      <c r="AA11" s="603"/>
      <c r="AB11" s="333"/>
      <c r="AC11" s="603"/>
      <c r="AD11" s="655" t="s">
        <v>85</v>
      </c>
      <c r="AE11" s="583">
        <f t="shared" si="1"/>
        <v>11875000</v>
      </c>
      <c r="AF11" s="333" t="s">
        <v>155</v>
      </c>
      <c r="AG11" s="333"/>
      <c r="AH11" s="333"/>
      <c r="AI11" s="333" t="s">
        <v>3224</v>
      </c>
      <c r="AJ11" s="333"/>
      <c r="AK11" s="603"/>
      <c r="AL11" s="530"/>
      <c r="AM11" s="333"/>
      <c r="AN11" s="583"/>
      <c r="AO11" s="655"/>
      <c r="AP11" s="603"/>
      <c r="AQ11" s="603"/>
      <c r="AR11" s="603"/>
      <c r="AS11" s="603"/>
      <c r="AT11" s="603"/>
      <c r="AU11" s="603"/>
      <c r="AV11" s="603"/>
      <c r="AW11" s="604"/>
      <c r="AX11" s="603"/>
      <c r="AY11" s="603"/>
      <c r="AZ11" s="603"/>
      <c r="BA11" s="603"/>
      <c r="BB11" s="603"/>
      <c r="BC11" s="603"/>
      <c r="BD11" s="603"/>
      <c r="BE11" s="604"/>
      <c r="BF11" s="605"/>
      <c r="BG11" s="605"/>
      <c r="BH11" s="605"/>
      <c r="BI11" s="605"/>
      <c r="BJ11" s="605"/>
      <c r="BK11" s="605"/>
      <c r="BL11" s="605"/>
      <c r="BM11" s="605"/>
      <c r="BN11" s="605"/>
      <c r="BO11" s="604"/>
      <c r="BP11" s="604"/>
      <c r="BQ11" s="601" t="s">
        <v>3190</v>
      </c>
      <c r="BR11" s="601" t="s">
        <v>3191</v>
      </c>
      <c r="BS11" s="23" t="s">
        <v>1239</v>
      </c>
      <c r="BT11" s="560"/>
      <c r="BU11" s="23" t="s">
        <v>3249</v>
      </c>
      <c r="BV11" s="560"/>
      <c r="BW11" s="560"/>
      <c r="BX11" s="560"/>
      <c r="BY11" s="560"/>
      <c r="BZ11" s="560"/>
      <c r="CA11" s="560"/>
      <c r="CB11" s="560"/>
      <c r="CC11" s="560"/>
      <c r="CD11" s="134"/>
      <c r="CE11" s="134"/>
      <c r="CF11" s="134"/>
      <c r="CG11" s="23"/>
      <c r="CH11" s="134"/>
      <c r="CI11" s="134"/>
      <c r="CJ11" s="476"/>
    </row>
    <row r="12" spans="1:88" s="321" customFormat="1" ht="72">
      <c r="A12" s="15"/>
      <c r="B12" s="349"/>
      <c r="C12" s="601" t="s">
        <v>3219</v>
      </c>
      <c r="D12" s="602" t="s">
        <v>3250</v>
      </c>
      <c r="E12" s="333" t="s">
        <v>7</v>
      </c>
      <c r="F12" s="15">
        <v>2019</v>
      </c>
      <c r="G12" s="15">
        <v>2019</v>
      </c>
      <c r="H12" s="15">
        <v>8</v>
      </c>
      <c r="I12" s="603"/>
      <c r="J12" s="350">
        <v>3748000</v>
      </c>
      <c r="K12" s="15" t="s">
        <v>3091</v>
      </c>
      <c r="L12" s="333" t="s">
        <v>3251</v>
      </c>
      <c r="M12" s="15" t="s">
        <v>3222</v>
      </c>
      <c r="N12" s="15" t="s">
        <v>3223</v>
      </c>
      <c r="O12" s="15" t="s">
        <v>3215</v>
      </c>
      <c r="P12" s="15" t="s">
        <v>3216</v>
      </c>
      <c r="Q12" s="333"/>
      <c r="R12" s="333" t="s">
        <v>9</v>
      </c>
      <c r="S12" s="341"/>
      <c r="T12" s="583">
        <f t="shared" si="0"/>
        <v>3748000</v>
      </c>
      <c r="U12" s="333" t="s">
        <v>156</v>
      </c>
      <c r="V12" s="333"/>
      <c r="W12" s="333"/>
      <c r="X12" s="333" t="s">
        <v>3217</v>
      </c>
      <c r="Y12" s="333"/>
      <c r="Z12" s="333"/>
      <c r="AA12" s="603"/>
      <c r="AB12" s="333"/>
      <c r="AC12" s="603"/>
      <c r="AD12" s="655" t="s">
        <v>49</v>
      </c>
      <c r="AE12" s="583">
        <f t="shared" si="1"/>
        <v>3748000</v>
      </c>
      <c r="AF12" s="333" t="s">
        <v>151</v>
      </c>
      <c r="AG12" s="333"/>
      <c r="AH12" s="333"/>
      <c r="AI12" s="333" t="s">
        <v>3224</v>
      </c>
      <c r="AJ12" s="333"/>
      <c r="AK12" s="603"/>
      <c r="AL12" s="530"/>
      <c r="AM12" s="333" t="s">
        <v>93</v>
      </c>
      <c r="AN12" s="583">
        <f t="shared" si="2"/>
        <v>3748000</v>
      </c>
      <c r="AO12" s="655" t="s">
        <v>156</v>
      </c>
      <c r="AP12" s="603"/>
      <c r="AQ12" s="603"/>
      <c r="AR12" s="603" t="s">
        <v>3217</v>
      </c>
      <c r="AS12" s="603"/>
      <c r="AT12" s="603"/>
      <c r="AU12" s="603"/>
      <c r="AV12" s="603"/>
      <c r="AW12" s="604"/>
      <c r="AX12" s="603"/>
      <c r="AY12" s="603"/>
      <c r="AZ12" s="603"/>
      <c r="BA12" s="603"/>
      <c r="BB12" s="603"/>
      <c r="BC12" s="603"/>
      <c r="BD12" s="603"/>
      <c r="BE12" s="604"/>
      <c r="BF12" s="605"/>
      <c r="BG12" s="605"/>
      <c r="BH12" s="605"/>
      <c r="BI12" s="605"/>
      <c r="BJ12" s="605"/>
      <c r="BK12" s="605"/>
      <c r="BL12" s="605"/>
      <c r="BM12" s="605"/>
      <c r="BN12" s="605"/>
      <c r="BO12" s="604"/>
      <c r="BP12" s="604"/>
      <c r="BQ12" s="601" t="s">
        <v>3190</v>
      </c>
      <c r="BR12" s="601" t="s">
        <v>3191</v>
      </c>
      <c r="BS12" s="23" t="s">
        <v>3252</v>
      </c>
      <c r="BT12" s="560"/>
      <c r="BU12" s="23"/>
      <c r="BV12" s="560"/>
      <c r="BW12" s="560"/>
      <c r="BX12" s="560"/>
      <c r="BY12" s="560"/>
      <c r="BZ12" s="560"/>
      <c r="CA12" s="560"/>
      <c r="CB12" s="560"/>
      <c r="CC12" s="560"/>
      <c r="CD12" s="134"/>
      <c r="CE12" s="134"/>
      <c r="CF12" s="134"/>
      <c r="CG12" s="23"/>
      <c r="CH12" s="134"/>
      <c r="CI12" s="134"/>
      <c r="CJ12" s="476"/>
    </row>
    <row r="13" spans="1:88" s="321" customFormat="1" ht="43.2">
      <c r="A13" s="15"/>
      <c r="B13" s="349"/>
      <c r="C13" s="601" t="s">
        <v>3219</v>
      </c>
      <c r="D13" s="602" t="s">
        <v>3253</v>
      </c>
      <c r="E13" s="333" t="s">
        <v>7</v>
      </c>
      <c r="F13" s="15">
        <v>2019</v>
      </c>
      <c r="G13" s="15">
        <v>2019</v>
      </c>
      <c r="H13" s="15">
        <v>10</v>
      </c>
      <c r="I13" s="603"/>
      <c r="J13" s="350">
        <v>9400000</v>
      </c>
      <c r="K13" s="15" t="s">
        <v>3091</v>
      </c>
      <c r="L13" s="333" t="s">
        <v>3254</v>
      </c>
      <c r="M13" s="15" t="s">
        <v>3222</v>
      </c>
      <c r="N13" s="15" t="s">
        <v>3223</v>
      </c>
      <c r="O13" s="15" t="s">
        <v>3215</v>
      </c>
      <c r="P13" s="15" t="s">
        <v>3216</v>
      </c>
      <c r="Q13" s="333"/>
      <c r="R13" s="333" t="s">
        <v>16</v>
      </c>
      <c r="S13" s="341"/>
      <c r="T13" s="583">
        <f t="shared" si="0"/>
        <v>9400000</v>
      </c>
      <c r="U13" s="333" t="s">
        <v>154</v>
      </c>
      <c r="V13" s="333"/>
      <c r="W13" s="333"/>
      <c r="X13" s="333" t="s">
        <v>3224</v>
      </c>
      <c r="Y13" s="333"/>
      <c r="Z13" s="333"/>
      <c r="AA13" s="603"/>
      <c r="AB13" s="333"/>
      <c r="AC13" s="603"/>
      <c r="AD13" s="655" t="s">
        <v>23</v>
      </c>
      <c r="AE13" s="583">
        <f t="shared" si="1"/>
        <v>9400000</v>
      </c>
      <c r="AF13" s="333" t="s">
        <v>154</v>
      </c>
      <c r="AG13" s="333"/>
      <c r="AH13" s="333"/>
      <c r="AI13" s="333" t="s">
        <v>3224</v>
      </c>
      <c r="AJ13" s="333"/>
      <c r="AK13" s="603"/>
      <c r="AL13" s="530"/>
      <c r="AM13" s="655" t="s">
        <v>83</v>
      </c>
      <c r="AN13" s="583">
        <f t="shared" si="2"/>
        <v>9400000</v>
      </c>
      <c r="AO13" s="655" t="s">
        <v>154</v>
      </c>
      <c r="AP13" s="603"/>
      <c r="AQ13" s="603"/>
      <c r="AR13" s="603" t="s">
        <v>3224</v>
      </c>
      <c r="AS13" s="603"/>
      <c r="AT13" s="603"/>
      <c r="AU13" s="603"/>
      <c r="AV13" s="603"/>
      <c r="AW13" s="604"/>
      <c r="AX13" s="603"/>
      <c r="AY13" s="603"/>
      <c r="AZ13" s="603"/>
      <c r="BA13" s="603"/>
      <c r="BB13" s="603"/>
      <c r="BC13" s="603"/>
      <c r="BD13" s="603"/>
      <c r="BE13" s="604"/>
      <c r="BF13" s="605"/>
      <c r="BG13" s="605"/>
      <c r="BH13" s="605"/>
      <c r="BI13" s="605"/>
      <c r="BJ13" s="605"/>
      <c r="BK13" s="605"/>
      <c r="BL13" s="605"/>
      <c r="BM13" s="605"/>
      <c r="BN13" s="605"/>
      <c r="BO13" s="604"/>
      <c r="BP13" s="604"/>
      <c r="BQ13" s="601" t="s">
        <v>3190</v>
      </c>
      <c r="BR13" s="601" t="s">
        <v>3191</v>
      </c>
      <c r="BS13" s="23" t="s">
        <v>3255</v>
      </c>
      <c r="BT13" s="560"/>
      <c r="BU13" s="23"/>
      <c r="BV13" s="560"/>
      <c r="BW13" s="560"/>
      <c r="BX13" s="560"/>
      <c r="BY13" s="560"/>
      <c r="BZ13" s="560"/>
      <c r="CA13" s="560"/>
      <c r="CB13" s="560"/>
      <c r="CC13" s="560"/>
      <c r="CD13" s="134"/>
      <c r="CE13" s="134"/>
      <c r="CF13" s="134"/>
      <c r="CG13" s="23"/>
      <c r="CH13" s="134"/>
      <c r="CI13" s="134"/>
      <c r="CJ13" s="476"/>
    </row>
    <row r="14" spans="1:88" s="321" customFormat="1" ht="43.2">
      <c r="A14" s="15"/>
      <c r="B14" s="349"/>
      <c r="C14" s="601" t="s">
        <v>3219</v>
      </c>
      <c r="D14" s="602" t="s">
        <v>3256</v>
      </c>
      <c r="E14" s="333" t="s">
        <v>7</v>
      </c>
      <c r="F14" s="15">
        <v>2019</v>
      </c>
      <c r="G14" s="15">
        <v>2019</v>
      </c>
      <c r="H14" s="15">
        <v>8</v>
      </c>
      <c r="I14" s="603"/>
      <c r="J14" s="350">
        <v>5296000</v>
      </c>
      <c r="K14" s="15" t="s">
        <v>3091</v>
      </c>
      <c r="L14" s="333" t="s">
        <v>3227</v>
      </c>
      <c r="M14" s="15" t="s">
        <v>3222</v>
      </c>
      <c r="N14" s="15" t="s">
        <v>3223</v>
      </c>
      <c r="O14" s="15" t="s">
        <v>3215</v>
      </c>
      <c r="P14" s="15" t="s">
        <v>3216</v>
      </c>
      <c r="Q14" s="333"/>
      <c r="R14" s="333" t="s">
        <v>8</v>
      </c>
      <c r="S14" s="341"/>
      <c r="T14" s="583">
        <f t="shared" si="0"/>
        <v>5296000</v>
      </c>
      <c r="U14" s="333" t="s">
        <v>160</v>
      </c>
      <c r="V14" s="333" t="s">
        <v>172</v>
      </c>
      <c r="W14" s="333"/>
      <c r="X14" s="333" t="s">
        <v>3217</v>
      </c>
      <c r="Y14" s="333"/>
      <c r="Z14" s="333"/>
      <c r="AA14" s="603"/>
      <c r="AB14" s="333"/>
      <c r="AC14" s="603"/>
      <c r="AD14" s="655" t="s">
        <v>24</v>
      </c>
      <c r="AE14" s="583">
        <f t="shared" si="1"/>
        <v>5296000</v>
      </c>
      <c r="AF14" s="333" t="s">
        <v>160</v>
      </c>
      <c r="AG14" s="333"/>
      <c r="AH14" s="333"/>
      <c r="AI14" s="333" t="s">
        <v>3217</v>
      </c>
      <c r="AJ14" s="333"/>
      <c r="AK14" s="603"/>
      <c r="AL14" s="530"/>
      <c r="AM14" s="333" t="s">
        <v>3257</v>
      </c>
      <c r="AN14" s="583">
        <f t="shared" si="2"/>
        <v>5296000</v>
      </c>
      <c r="AO14" s="655"/>
      <c r="AP14" s="603"/>
      <c r="AQ14" s="603"/>
      <c r="AR14" s="603"/>
      <c r="AS14" s="603"/>
      <c r="AT14" s="603"/>
      <c r="AU14" s="603"/>
      <c r="AV14" s="603"/>
      <c r="AW14" s="604"/>
      <c r="AX14" s="603"/>
      <c r="AY14" s="603"/>
      <c r="AZ14" s="603"/>
      <c r="BA14" s="603"/>
      <c r="BB14" s="603"/>
      <c r="BC14" s="603"/>
      <c r="BD14" s="603"/>
      <c r="BE14" s="604"/>
      <c r="BF14" s="605"/>
      <c r="BG14" s="605"/>
      <c r="BH14" s="605"/>
      <c r="BI14" s="605"/>
      <c r="BJ14" s="605"/>
      <c r="BK14" s="605"/>
      <c r="BL14" s="605"/>
      <c r="BM14" s="605"/>
      <c r="BN14" s="605"/>
      <c r="BO14" s="604"/>
      <c r="BP14" s="604"/>
      <c r="BQ14" s="601" t="s">
        <v>3190</v>
      </c>
      <c r="BR14" s="601" t="s">
        <v>3191</v>
      </c>
      <c r="BS14" s="23" t="s">
        <v>3258</v>
      </c>
      <c r="BT14" s="560"/>
      <c r="BU14" s="23"/>
      <c r="BV14" s="560"/>
      <c r="BW14" s="560"/>
      <c r="BX14" s="560"/>
      <c r="BY14" s="560"/>
      <c r="BZ14" s="560"/>
      <c r="CA14" s="560"/>
      <c r="CB14" s="560"/>
      <c r="CC14" s="560"/>
      <c r="CD14" s="134"/>
      <c r="CE14" s="134"/>
      <c r="CF14" s="134"/>
      <c r="CG14" s="23"/>
      <c r="CH14" s="134"/>
      <c r="CI14" s="134"/>
      <c r="CJ14" s="476"/>
    </row>
    <row r="15" spans="1:88" s="321" customFormat="1" ht="43.2">
      <c r="A15" s="15"/>
      <c r="B15" s="349"/>
      <c r="C15" s="601" t="s">
        <v>3219</v>
      </c>
      <c r="D15" s="602" t="s">
        <v>3259</v>
      </c>
      <c r="E15" s="333" t="s">
        <v>7</v>
      </c>
      <c r="F15" s="15">
        <v>2019</v>
      </c>
      <c r="G15" s="15">
        <v>2019</v>
      </c>
      <c r="H15" s="15">
        <v>6</v>
      </c>
      <c r="I15" s="603"/>
      <c r="J15" s="350">
        <v>10250000</v>
      </c>
      <c r="K15" s="15" t="s">
        <v>3091</v>
      </c>
      <c r="L15" s="333" t="s">
        <v>3221</v>
      </c>
      <c r="M15" s="15" t="s">
        <v>3222</v>
      </c>
      <c r="N15" s="15" t="s">
        <v>3223</v>
      </c>
      <c r="O15" s="15" t="s">
        <v>3215</v>
      </c>
      <c r="P15" s="15" t="s">
        <v>3216</v>
      </c>
      <c r="Q15" s="333"/>
      <c r="R15" s="333" t="s">
        <v>12</v>
      </c>
      <c r="S15" s="341"/>
      <c r="T15" s="583">
        <f t="shared" si="0"/>
        <v>10250000</v>
      </c>
      <c r="U15" s="333" t="s">
        <v>155</v>
      </c>
      <c r="V15" s="333"/>
      <c r="W15" s="333"/>
      <c r="X15" s="333" t="s">
        <v>3224</v>
      </c>
      <c r="Y15" s="333"/>
      <c r="Z15" s="333"/>
      <c r="AA15" s="603"/>
      <c r="AB15" s="333"/>
      <c r="AC15" s="603"/>
      <c r="AD15" s="655" t="s">
        <v>77</v>
      </c>
      <c r="AE15" s="583">
        <f t="shared" si="1"/>
        <v>10250000</v>
      </c>
      <c r="AF15" s="333" t="s">
        <v>155</v>
      </c>
      <c r="AG15" s="333"/>
      <c r="AH15" s="333"/>
      <c r="AI15" s="333" t="s">
        <v>3224</v>
      </c>
      <c r="AJ15" s="333"/>
      <c r="AK15" s="603"/>
      <c r="AL15" s="530"/>
      <c r="AM15" s="333" t="s">
        <v>21</v>
      </c>
      <c r="AN15" s="583">
        <f t="shared" si="2"/>
        <v>10250000</v>
      </c>
      <c r="AO15" s="655" t="s">
        <v>155</v>
      </c>
      <c r="AP15" s="603"/>
      <c r="AQ15" s="603"/>
      <c r="AR15" s="603" t="s">
        <v>3224</v>
      </c>
      <c r="AS15" s="603"/>
      <c r="AT15" s="603"/>
      <c r="AU15" s="603"/>
      <c r="AV15" s="603" t="s">
        <v>10</v>
      </c>
      <c r="AW15" s="604">
        <f t="shared" si="3"/>
        <v>10250000</v>
      </c>
      <c r="AX15" s="603" t="s">
        <v>151</v>
      </c>
      <c r="AY15" s="603"/>
      <c r="AZ15" s="603" t="s">
        <v>3224</v>
      </c>
      <c r="BA15" s="603"/>
      <c r="BB15" s="603"/>
      <c r="BC15" s="603"/>
      <c r="BD15" s="603"/>
      <c r="BE15" s="604"/>
      <c r="BF15" s="605"/>
      <c r="BG15" s="605"/>
      <c r="BH15" s="605"/>
      <c r="BI15" s="605"/>
      <c r="BJ15" s="605"/>
      <c r="BK15" s="605"/>
      <c r="BL15" s="605"/>
      <c r="BM15" s="605"/>
      <c r="BN15" s="605"/>
      <c r="BO15" s="604"/>
      <c r="BP15" s="604"/>
      <c r="BQ15" s="601" t="s">
        <v>3190</v>
      </c>
      <c r="BR15" s="601" t="s">
        <v>3191</v>
      </c>
      <c r="BS15" s="23" t="s">
        <v>3260</v>
      </c>
      <c r="BT15" s="560"/>
      <c r="BU15" s="23" t="s">
        <v>3261</v>
      </c>
      <c r="BV15" s="560"/>
      <c r="BW15" s="560"/>
      <c r="BX15" s="560"/>
      <c r="BY15" s="560"/>
      <c r="BZ15" s="560"/>
      <c r="CA15" s="560"/>
      <c r="CB15" s="560"/>
      <c r="CC15" s="560"/>
      <c r="CD15" s="134"/>
      <c r="CE15" s="134"/>
      <c r="CF15" s="134"/>
      <c r="CG15" s="23"/>
      <c r="CH15" s="134"/>
      <c r="CI15" s="134"/>
      <c r="CJ15" s="476"/>
    </row>
    <row r="16" spans="1:88" s="321" customFormat="1" ht="43.2">
      <c r="A16" s="15" t="s">
        <v>1069</v>
      </c>
      <c r="B16" s="349"/>
      <c r="C16" s="601" t="s">
        <v>3219</v>
      </c>
      <c r="D16" s="602" t="s">
        <v>3262</v>
      </c>
      <c r="E16" s="333" t="s">
        <v>7</v>
      </c>
      <c r="F16" s="15">
        <v>2019</v>
      </c>
      <c r="G16" s="15">
        <v>2019</v>
      </c>
      <c r="H16" s="15">
        <v>6</v>
      </c>
      <c r="I16" s="603"/>
      <c r="J16" s="350">
        <v>6800000</v>
      </c>
      <c r="K16" s="15" t="s">
        <v>3091</v>
      </c>
      <c r="L16" s="333" t="s">
        <v>3263</v>
      </c>
      <c r="M16" s="15" t="s">
        <v>3222</v>
      </c>
      <c r="N16" s="15" t="s">
        <v>3223</v>
      </c>
      <c r="O16" s="15" t="s">
        <v>3215</v>
      </c>
      <c r="P16" s="15" t="s">
        <v>3216</v>
      </c>
      <c r="Q16" s="333"/>
      <c r="R16" s="333" t="s">
        <v>29</v>
      </c>
      <c r="S16" s="341"/>
      <c r="T16" s="583">
        <f t="shared" si="0"/>
        <v>6800000</v>
      </c>
      <c r="U16" s="333" t="s">
        <v>160</v>
      </c>
      <c r="V16" s="333"/>
      <c r="W16" s="333"/>
      <c r="X16" s="333" t="s">
        <v>3217</v>
      </c>
      <c r="Y16" s="333"/>
      <c r="Z16" s="333"/>
      <c r="AA16" s="603"/>
      <c r="AB16" s="333"/>
      <c r="AC16" s="603"/>
      <c r="AD16" s="655" t="s">
        <v>3257</v>
      </c>
      <c r="AE16" s="583">
        <f t="shared" si="1"/>
        <v>6800000</v>
      </c>
      <c r="AF16" s="333"/>
      <c r="AG16" s="333"/>
      <c r="AH16" s="333"/>
      <c r="AI16" s="333"/>
      <c r="AJ16" s="333"/>
      <c r="AK16" s="603"/>
      <c r="AL16" s="530"/>
      <c r="AM16" s="333" t="s">
        <v>6</v>
      </c>
      <c r="AN16" s="583">
        <f t="shared" si="2"/>
        <v>6800000</v>
      </c>
      <c r="AO16" s="655" t="s">
        <v>160</v>
      </c>
      <c r="AP16" s="603"/>
      <c r="AQ16" s="603"/>
      <c r="AR16" s="603" t="s">
        <v>3217</v>
      </c>
      <c r="AS16" s="603"/>
      <c r="AT16" s="603"/>
      <c r="AU16" s="603"/>
      <c r="AV16" s="603"/>
      <c r="AW16" s="604"/>
      <c r="AX16" s="603"/>
      <c r="AY16" s="603"/>
      <c r="AZ16" s="603"/>
      <c r="BA16" s="603"/>
      <c r="BB16" s="603"/>
      <c r="BC16" s="603"/>
      <c r="BD16" s="603"/>
      <c r="BE16" s="604"/>
      <c r="BF16" s="605"/>
      <c r="BG16" s="605"/>
      <c r="BH16" s="605"/>
      <c r="BI16" s="605"/>
      <c r="BJ16" s="605"/>
      <c r="BK16" s="605"/>
      <c r="BL16" s="605"/>
      <c r="BM16" s="605"/>
      <c r="BN16" s="605"/>
      <c r="BO16" s="604"/>
      <c r="BP16" s="604"/>
      <c r="BQ16" s="601" t="s">
        <v>3190</v>
      </c>
      <c r="BR16" s="601" t="s">
        <v>3191</v>
      </c>
      <c r="BS16" s="23" t="s">
        <v>3264</v>
      </c>
      <c r="BT16" s="560"/>
      <c r="BU16" s="23"/>
      <c r="BV16" s="560"/>
      <c r="BW16" s="560"/>
      <c r="BX16" s="560"/>
      <c r="BY16" s="560"/>
      <c r="BZ16" s="560"/>
      <c r="CA16" s="560"/>
      <c r="CB16" s="560"/>
      <c r="CC16" s="560"/>
      <c r="CD16" s="134"/>
      <c r="CE16" s="134"/>
      <c r="CF16" s="134"/>
      <c r="CG16" s="23"/>
      <c r="CH16" s="134"/>
      <c r="CI16" s="134"/>
      <c r="CJ16" s="476"/>
    </row>
    <row r="17" spans="1:88" s="321" customFormat="1" ht="43.2">
      <c r="A17" s="15"/>
      <c r="B17" s="349"/>
      <c r="C17" s="601" t="s">
        <v>3219</v>
      </c>
      <c r="D17" s="602" t="s">
        <v>3265</v>
      </c>
      <c r="E17" s="333" t="s">
        <v>7</v>
      </c>
      <c r="F17" s="15">
        <v>2019</v>
      </c>
      <c r="G17" s="15">
        <v>2019</v>
      </c>
      <c r="H17" s="15">
        <v>10</v>
      </c>
      <c r="I17" s="603"/>
      <c r="J17" s="350">
        <v>4800000</v>
      </c>
      <c r="K17" s="15" t="s">
        <v>3091</v>
      </c>
      <c r="L17" s="333" t="s">
        <v>3227</v>
      </c>
      <c r="M17" s="15" t="s">
        <v>3222</v>
      </c>
      <c r="N17" s="15" t="s">
        <v>3223</v>
      </c>
      <c r="O17" s="15" t="s">
        <v>3215</v>
      </c>
      <c r="P17" s="15" t="s">
        <v>3216</v>
      </c>
      <c r="Q17" s="333"/>
      <c r="R17" s="333" t="s">
        <v>24</v>
      </c>
      <c r="S17" s="341"/>
      <c r="T17" s="583">
        <f t="shared" si="0"/>
        <v>4800000</v>
      </c>
      <c r="U17" s="333" t="s">
        <v>160</v>
      </c>
      <c r="V17" s="333"/>
      <c r="W17" s="333"/>
      <c r="X17" s="333" t="s">
        <v>3217</v>
      </c>
      <c r="Y17" s="333"/>
      <c r="Z17" s="333"/>
      <c r="AA17" s="603"/>
      <c r="AB17" s="333"/>
      <c r="AC17" s="603"/>
      <c r="AD17" s="655" t="s">
        <v>8</v>
      </c>
      <c r="AE17" s="583">
        <f t="shared" si="1"/>
        <v>4800000</v>
      </c>
      <c r="AF17" s="333" t="s">
        <v>160</v>
      </c>
      <c r="AG17" s="333" t="s">
        <v>172</v>
      </c>
      <c r="AH17" s="333"/>
      <c r="AI17" s="333" t="s">
        <v>3217</v>
      </c>
      <c r="AJ17" s="333"/>
      <c r="AK17" s="603"/>
      <c r="AL17" s="530"/>
      <c r="AM17" s="333" t="s">
        <v>13</v>
      </c>
      <c r="AN17" s="583">
        <f t="shared" si="2"/>
        <v>4800000</v>
      </c>
      <c r="AO17" s="655" t="s">
        <v>160</v>
      </c>
      <c r="AP17" s="603"/>
      <c r="AQ17" s="603"/>
      <c r="AR17" s="603" t="s">
        <v>3217</v>
      </c>
      <c r="AS17" s="603"/>
      <c r="AT17" s="603"/>
      <c r="AU17" s="603"/>
      <c r="AV17" s="603"/>
      <c r="AW17" s="604"/>
      <c r="AX17" s="603"/>
      <c r="AY17" s="603"/>
      <c r="AZ17" s="603"/>
      <c r="BA17" s="603"/>
      <c r="BB17" s="603"/>
      <c r="BC17" s="603"/>
      <c r="BD17" s="603"/>
      <c r="BE17" s="604"/>
      <c r="BF17" s="605"/>
      <c r="BG17" s="605"/>
      <c r="BH17" s="605"/>
      <c r="BI17" s="605"/>
      <c r="BJ17" s="605"/>
      <c r="BK17" s="605"/>
      <c r="BL17" s="605"/>
      <c r="BM17" s="605"/>
      <c r="BN17" s="605"/>
      <c r="BO17" s="604"/>
      <c r="BP17" s="604"/>
      <c r="BQ17" s="601" t="s">
        <v>3190</v>
      </c>
      <c r="BR17" s="601" t="s">
        <v>3191</v>
      </c>
      <c r="BS17" s="23" t="s">
        <v>427</v>
      </c>
      <c r="BT17" s="560"/>
      <c r="BU17" s="23"/>
      <c r="BV17" s="560"/>
      <c r="BW17" s="560"/>
      <c r="BX17" s="560"/>
      <c r="BY17" s="560"/>
      <c r="BZ17" s="560"/>
      <c r="CA17" s="560"/>
      <c r="CB17" s="560"/>
      <c r="CC17" s="560"/>
      <c r="CD17" s="134"/>
      <c r="CE17" s="134"/>
      <c r="CF17" s="134"/>
      <c r="CG17" s="23"/>
      <c r="CH17" s="134"/>
      <c r="CI17" s="134"/>
      <c r="CJ17" s="476"/>
    </row>
    <row r="18" spans="1:88" s="321" customFormat="1" ht="72">
      <c r="A18" s="15"/>
      <c r="B18" s="349"/>
      <c r="C18" s="601" t="s">
        <v>3219</v>
      </c>
      <c r="D18" s="602" t="s">
        <v>3266</v>
      </c>
      <c r="E18" s="333" t="s">
        <v>7</v>
      </c>
      <c r="F18" s="15">
        <v>2019</v>
      </c>
      <c r="G18" s="15">
        <v>2019</v>
      </c>
      <c r="H18" s="15">
        <v>10</v>
      </c>
      <c r="I18" s="603"/>
      <c r="J18" s="350">
        <v>10748000</v>
      </c>
      <c r="K18" s="15" t="s">
        <v>3091</v>
      </c>
      <c r="L18" s="333" t="s">
        <v>3267</v>
      </c>
      <c r="M18" s="15" t="s">
        <v>3222</v>
      </c>
      <c r="N18" s="15" t="s">
        <v>3223</v>
      </c>
      <c r="O18" s="15" t="s">
        <v>3215</v>
      </c>
      <c r="P18" s="15" t="s">
        <v>3216</v>
      </c>
      <c r="Q18" s="333"/>
      <c r="R18" s="333" t="s">
        <v>15</v>
      </c>
      <c r="S18" s="341"/>
      <c r="T18" s="583">
        <f t="shared" si="0"/>
        <v>10748000</v>
      </c>
      <c r="U18" s="333" t="s">
        <v>156</v>
      </c>
      <c r="V18" s="333"/>
      <c r="W18" s="333"/>
      <c r="X18" s="333" t="s">
        <v>3217</v>
      </c>
      <c r="Y18" s="333"/>
      <c r="Z18" s="333"/>
      <c r="AA18" s="603"/>
      <c r="AB18" s="333"/>
      <c r="AC18" s="603"/>
      <c r="AD18" s="655" t="s">
        <v>20</v>
      </c>
      <c r="AE18" s="583">
        <f t="shared" si="1"/>
        <v>10748000</v>
      </c>
      <c r="AF18" s="333" t="s">
        <v>156</v>
      </c>
      <c r="AG18" s="333"/>
      <c r="AH18" s="333"/>
      <c r="AI18" s="333" t="s">
        <v>3217</v>
      </c>
      <c r="AJ18" s="333"/>
      <c r="AK18" s="603"/>
      <c r="AL18" s="530"/>
      <c r="AM18" s="333" t="s">
        <v>48</v>
      </c>
      <c r="AN18" s="583">
        <f t="shared" si="2"/>
        <v>10748000</v>
      </c>
      <c r="AO18" s="655" t="s">
        <v>156</v>
      </c>
      <c r="AP18" s="603"/>
      <c r="AQ18" s="603"/>
      <c r="AR18" s="603" t="s">
        <v>3217</v>
      </c>
      <c r="AS18" s="603"/>
      <c r="AT18" s="603"/>
      <c r="AU18" s="603"/>
      <c r="AV18" s="603" t="s">
        <v>163</v>
      </c>
      <c r="AW18" s="604">
        <f t="shared" si="3"/>
        <v>10748000</v>
      </c>
      <c r="AX18" s="603" t="s">
        <v>156</v>
      </c>
      <c r="AY18" s="603"/>
      <c r="AZ18" s="603" t="s">
        <v>3217</v>
      </c>
      <c r="BA18" s="603"/>
      <c r="BB18" s="603"/>
      <c r="BC18" s="603"/>
      <c r="BD18" s="603"/>
      <c r="BE18" s="604"/>
      <c r="BF18" s="605"/>
      <c r="BG18" s="605"/>
      <c r="BH18" s="605"/>
      <c r="BI18" s="605"/>
      <c r="BJ18" s="605"/>
      <c r="BK18" s="605"/>
      <c r="BL18" s="605"/>
      <c r="BM18" s="605"/>
      <c r="BN18" s="605"/>
      <c r="BO18" s="604"/>
      <c r="BP18" s="604"/>
      <c r="BQ18" s="601" t="s">
        <v>3190</v>
      </c>
      <c r="BR18" s="601" t="s">
        <v>3191</v>
      </c>
      <c r="BS18" s="23" t="s">
        <v>1100</v>
      </c>
      <c r="BT18" s="560"/>
      <c r="BU18" s="23"/>
      <c r="BV18" s="560"/>
      <c r="BW18" s="560"/>
      <c r="BX18" s="560"/>
      <c r="BY18" s="560"/>
      <c r="BZ18" s="560"/>
      <c r="CA18" s="560"/>
      <c r="CB18" s="560"/>
      <c r="CC18" s="560"/>
      <c r="CD18" s="134"/>
      <c r="CE18" s="134"/>
      <c r="CF18" s="134"/>
      <c r="CG18" s="23"/>
      <c r="CH18" s="134"/>
      <c r="CI18" s="134"/>
      <c r="CJ18" s="476"/>
    </row>
    <row r="19" spans="1:88" s="321" customFormat="1" ht="43.2">
      <c r="A19" s="15"/>
      <c r="B19" s="349"/>
      <c r="C19" s="601" t="s">
        <v>3219</v>
      </c>
      <c r="D19" s="602" t="s">
        <v>3268</v>
      </c>
      <c r="E19" s="333" t="s">
        <v>7</v>
      </c>
      <c r="F19" s="15">
        <v>2019</v>
      </c>
      <c r="G19" s="15">
        <v>2019</v>
      </c>
      <c r="H19" s="15">
        <v>3</v>
      </c>
      <c r="I19" s="603"/>
      <c r="J19" s="350">
        <v>8681500</v>
      </c>
      <c r="K19" s="15" t="s">
        <v>3091</v>
      </c>
      <c r="L19" s="333" t="s">
        <v>3269</v>
      </c>
      <c r="M19" s="15" t="s">
        <v>3222</v>
      </c>
      <c r="N19" s="15" t="s">
        <v>3223</v>
      </c>
      <c r="O19" s="15" t="s">
        <v>3215</v>
      </c>
      <c r="P19" s="15" t="s">
        <v>3216</v>
      </c>
      <c r="Q19" s="333"/>
      <c r="R19" s="333" t="s">
        <v>10</v>
      </c>
      <c r="S19" s="341"/>
      <c r="T19" s="583">
        <f t="shared" si="0"/>
        <v>8681500</v>
      </c>
      <c r="U19" s="333" t="s">
        <v>151</v>
      </c>
      <c r="V19" s="333"/>
      <c r="W19" s="333"/>
      <c r="X19" s="333" t="s">
        <v>3224</v>
      </c>
      <c r="Y19" s="333"/>
      <c r="Z19" s="333"/>
      <c r="AA19" s="603"/>
      <c r="AB19" s="333"/>
      <c r="AC19" s="603"/>
      <c r="AD19" s="655" t="s">
        <v>3231</v>
      </c>
      <c r="AE19" s="583">
        <f t="shared" si="1"/>
        <v>8681500</v>
      </c>
      <c r="AF19" s="333" t="s">
        <v>151</v>
      </c>
      <c r="AG19" s="333"/>
      <c r="AH19" s="333"/>
      <c r="AI19" s="333" t="s">
        <v>3224</v>
      </c>
      <c r="AJ19" s="333"/>
      <c r="AK19" s="603"/>
      <c r="AL19" s="530"/>
      <c r="AM19" s="333"/>
      <c r="AN19" s="583"/>
      <c r="AO19" s="655"/>
      <c r="AP19" s="603"/>
      <c r="AQ19" s="603"/>
      <c r="AR19" s="603"/>
      <c r="AS19" s="603"/>
      <c r="AT19" s="603"/>
      <c r="AU19" s="603"/>
      <c r="AV19" s="603"/>
      <c r="AW19" s="604"/>
      <c r="AX19" s="603"/>
      <c r="AY19" s="603"/>
      <c r="AZ19" s="603"/>
      <c r="BA19" s="603"/>
      <c r="BB19" s="603"/>
      <c r="BC19" s="603"/>
      <c r="BD19" s="603"/>
      <c r="BE19" s="604"/>
      <c r="BF19" s="605"/>
      <c r="BG19" s="605"/>
      <c r="BH19" s="605"/>
      <c r="BI19" s="605"/>
      <c r="BJ19" s="605"/>
      <c r="BK19" s="605"/>
      <c r="BL19" s="605"/>
      <c r="BM19" s="605"/>
      <c r="BN19" s="605"/>
      <c r="BO19" s="604"/>
      <c r="BP19" s="604"/>
      <c r="BQ19" s="601" t="s">
        <v>3190</v>
      </c>
      <c r="BR19" s="601" t="s">
        <v>3191</v>
      </c>
      <c r="BS19" s="23" t="s">
        <v>3270</v>
      </c>
      <c r="BT19" s="560"/>
      <c r="BU19" s="23" t="s">
        <v>3271</v>
      </c>
      <c r="BV19" s="560"/>
      <c r="BW19" s="560"/>
      <c r="BX19" s="560"/>
      <c r="BY19" s="560"/>
      <c r="BZ19" s="560"/>
      <c r="CA19" s="560"/>
      <c r="CB19" s="560"/>
      <c r="CC19" s="560"/>
      <c r="CD19" s="134"/>
      <c r="CE19" s="134"/>
      <c r="CF19" s="134"/>
      <c r="CG19" s="23"/>
      <c r="CH19" s="134"/>
      <c r="CI19" s="134"/>
      <c r="CJ19" s="476"/>
    </row>
    <row r="20" spans="1:88" s="321" customFormat="1" ht="60">
      <c r="A20" s="15"/>
      <c r="B20" s="349"/>
      <c r="C20" s="601" t="s">
        <v>3219</v>
      </c>
      <c r="D20" s="602" t="s">
        <v>3272</v>
      </c>
      <c r="E20" s="333" t="s">
        <v>7</v>
      </c>
      <c r="F20" s="15">
        <v>2019</v>
      </c>
      <c r="G20" s="15">
        <v>2019</v>
      </c>
      <c r="H20" s="15">
        <v>10</v>
      </c>
      <c r="I20" s="603"/>
      <c r="J20" s="350">
        <v>10025000</v>
      </c>
      <c r="K20" s="15" t="s">
        <v>3091</v>
      </c>
      <c r="L20" s="333" t="s">
        <v>3227</v>
      </c>
      <c r="M20" s="15" t="s">
        <v>3222</v>
      </c>
      <c r="N20" s="15" t="s">
        <v>3223</v>
      </c>
      <c r="O20" s="15" t="s">
        <v>3215</v>
      </c>
      <c r="P20" s="15" t="s">
        <v>3216</v>
      </c>
      <c r="Q20" s="333"/>
      <c r="R20" s="333" t="s">
        <v>11</v>
      </c>
      <c r="S20" s="341"/>
      <c r="T20" s="583">
        <f t="shared" si="0"/>
        <v>10025000</v>
      </c>
      <c r="U20" s="333" t="s">
        <v>164</v>
      </c>
      <c r="V20" s="333"/>
      <c r="W20" s="333"/>
      <c r="X20" s="333" t="s">
        <v>3217</v>
      </c>
      <c r="Y20" s="333"/>
      <c r="Z20" s="333"/>
      <c r="AA20" s="603"/>
      <c r="AB20" s="333"/>
      <c r="AC20" s="603"/>
      <c r="AD20" s="655" t="s">
        <v>38</v>
      </c>
      <c r="AE20" s="583">
        <f t="shared" si="1"/>
        <v>10025000</v>
      </c>
      <c r="AF20" s="333" t="s">
        <v>171</v>
      </c>
      <c r="AG20" s="333"/>
      <c r="AH20" s="333"/>
      <c r="AI20" s="333" t="s">
        <v>3217</v>
      </c>
      <c r="AJ20" s="333"/>
      <c r="AK20" s="603"/>
      <c r="AL20" s="530"/>
      <c r="AM20" s="333" t="s">
        <v>20</v>
      </c>
      <c r="AN20" s="583">
        <f t="shared" si="2"/>
        <v>10025000</v>
      </c>
      <c r="AO20" s="655" t="s">
        <v>156</v>
      </c>
      <c r="AP20" s="603"/>
      <c r="AQ20" s="603"/>
      <c r="AR20" s="603" t="s">
        <v>3217</v>
      </c>
      <c r="AS20" s="603"/>
      <c r="AT20" s="603"/>
      <c r="AU20" s="603"/>
      <c r="AV20" s="603" t="s">
        <v>26</v>
      </c>
      <c r="AW20" s="604">
        <f t="shared" si="3"/>
        <v>10025000</v>
      </c>
      <c r="AX20" s="603" t="s">
        <v>164</v>
      </c>
      <c r="AY20" s="603" t="s">
        <v>166</v>
      </c>
      <c r="AZ20" s="603" t="s">
        <v>3217</v>
      </c>
      <c r="BA20" s="603"/>
      <c r="BB20" s="603"/>
      <c r="BC20" s="603"/>
      <c r="BD20" s="603"/>
      <c r="BE20" s="604"/>
      <c r="BF20" s="605"/>
      <c r="BG20" s="605"/>
      <c r="BH20" s="605"/>
      <c r="BI20" s="605"/>
      <c r="BJ20" s="605"/>
      <c r="BK20" s="605"/>
      <c r="BL20" s="605"/>
      <c r="BM20" s="605"/>
      <c r="BN20" s="605"/>
      <c r="BO20" s="604"/>
      <c r="BP20" s="604"/>
      <c r="BQ20" s="601" t="s">
        <v>3190</v>
      </c>
      <c r="BR20" s="601" t="s">
        <v>3191</v>
      </c>
      <c r="BS20" s="23"/>
      <c r="BT20" s="560"/>
      <c r="BU20" s="23"/>
      <c r="BV20" s="560"/>
      <c r="BW20" s="560"/>
      <c r="BX20" s="560"/>
      <c r="BY20" s="560"/>
      <c r="BZ20" s="560"/>
      <c r="CA20" s="560"/>
      <c r="CB20" s="560"/>
      <c r="CC20" s="560"/>
      <c r="CD20" s="134"/>
      <c r="CE20" s="134"/>
      <c r="CF20" s="134"/>
      <c r="CG20" s="23"/>
      <c r="CH20" s="134"/>
      <c r="CI20" s="134"/>
      <c r="CJ20" s="476"/>
    </row>
    <row r="21" spans="1:88" s="321" customFormat="1" ht="43.2">
      <c r="A21" s="15"/>
      <c r="B21" s="349"/>
      <c r="C21" s="601" t="s">
        <v>3219</v>
      </c>
      <c r="D21" s="602" t="s">
        <v>3273</v>
      </c>
      <c r="E21" s="333" t="s">
        <v>7</v>
      </c>
      <c r="F21" s="15">
        <v>2019</v>
      </c>
      <c r="G21" s="15">
        <v>2019</v>
      </c>
      <c r="H21" s="15">
        <v>6</v>
      </c>
      <c r="I21" s="603"/>
      <c r="J21" s="350">
        <v>6574000</v>
      </c>
      <c r="K21" s="15" t="s">
        <v>3091</v>
      </c>
      <c r="L21" s="333" t="s">
        <v>3274</v>
      </c>
      <c r="M21" s="15" t="s">
        <v>3222</v>
      </c>
      <c r="N21" s="15" t="s">
        <v>3223</v>
      </c>
      <c r="O21" s="15" t="s">
        <v>3215</v>
      </c>
      <c r="P21" s="15" t="s">
        <v>3216</v>
      </c>
      <c r="Q21" s="333"/>
      <c r="R21" s="333" t="s">
        <v>19</v>
      </c>
      <c r="S21" s="341"/>
      <c r="T21" s="583">
        <f t="shared" si="0"/>
        <v>6574000</v>
      </c>
      <c r="U21" s="333" t="s">
        <v>155</v>
      </c>
      <c r="V21" s="333"/>
      <c r="W21" s="333"/>
      <c r="X21" s="333" t="s">
        <v>3224</v>
      </c>
      <c r="Y21" s="333"/>
      <c r="Z21" s="333"/>
      <c r="AA21" s="603"/>
      <c r="AB21" s="333"/>
      <c r="AC21" s="603"/>
      <c r="AD21" s="655" t="s">
        <v>21</v>
      </c>
      <c r="AE21" s="583">
        <f t="shared" si="1"/>
        <v>6574000</v>
      </c>
      <c r="AF21" s="333" t="s">
        <v>155</v>
      </c>
      <c r="AG21" s="333"/>
      <c r="AH21" s="333"/>
      <c r="AI21" s="333" t="s">
        <v>3224</v>
      </c>
      <c r="AJ21" s="333"/>
      <c r="AK21" s="603"/>
      <c r="AL21" s="530"/>
      <c r="AM21" s="333" t="s">
        <v>12</v>
      </c>
      <c r="AN21" s="583">
        <f t="shared" si="2"/>
        <v>6574000</v>
      </c>
      <c r="AO21" s="655" t="s">
        <v>155</v>
      </c>
      <c r="AP21" s="603"/>
      <c r="AQ21" s="603"/>
      <c r="AR21" s="603" t="s">
        <v>3224</v>
      </c>
      <c r="AS21" s="603"/>
      <c r="AT21" s="603"/>
      <c r="AU21" s="603"/>
      <c r="AV21" s="603"/>
      <c r="AW21" s="604"/>
      <c r="AX21" s="603"/>
      <c r="AY21" s="603"/>
      <c r="AZ21" s="603"/>
      <c r="BA21" s="603"/>
      <c r="BB21" s="603"/>
      <c r="BC21" s="603"/>
      <c r="BD21" s="603"/>
      <c r="BE21" s="604"/>
      <c r="BF21" s="605"/>
      <c r="BG21" s="605"/>
      <c r="BH21" s="605"/>
      <c r="BI21" s="605"/>
      <c r="BJ21" s="605"/>
      <c r="BK21" s="605"/>
      <c r="BL21" s="605"/>
      <c r="BM21" s="605"/>
      <c r="BN21" s="605"/>
      <c r="BO21" s="604"/>
      <c r="BP21" s="604"/>
      <c r="BQ21" s="601" t="s">
        <v>3190</v>
      </c>
      <c r="BR21" s="601" t="s">
        <v>3191</v>
      </c>
      <c r="BS21" s="23" t="s">
        <v>3275</v>
      </c>
      <c r="BT21" s="560"/>
      <c r="BU21" s="23" t="s">
        <v>3276</v>
      </c>
      <c r="BV21" s="560"/>
      <c r="BW21" s="560"/>
      <c r="BX21" s="560"/>
      <c r="BY21" s="560"/>
      <c r="BZ21" s="560"/>
      <c r="CA21" s="560"/>
      <c r="CB21" s="560"/>
      <c r="CC21" s="560"/>
      <c r="CD21" s="134"/>
      <c r="CE21" s="134"/>
      <c r="CF21" s="134"/>
      <c r="CG21" s="23"/>
      <c r="CH21" s="134"/>
      <c r="CI21" s="134"/>
      <c r="CJ21" s="476"/>
    </row>
    <row r="22" spans="1:88" s="729" customFormat="1">
      <c r="A22" s="714"/>
      <c r="B22" s="715"/>
      <c r="C22" s="716"/>
      <c r="D22" s="717"/>
      <c r="E22" s="718"/>
      <c r="F22" s="718"/>
      <c r="G22" s="718"/>
      <c r="H22" s="714"/>
      <c r="I22" s="719"/>
      <c r="J22" s="720"/>
      <c r="K22" s="714"/>
      <c r="L22" s="718"/>
      <c r="M22" s="714"/>
      <c r="N22" s="714"/>
      <c r="O22" s="714"/>
      <c r="P22" s="714"/>
      <c r="Q22" s="718"/>
      <c r="R22" s="718"/>
      <c r="S22" s="721"/>
      <c r="T22" s="722"/>
      <c r="U22" s="718"/>
      <c r="V22" s="718"/>
      <c r="W22" s="718"/>
      <c r="X22" s="718"/>
      <c r="Y22" s="718"/>
      <c r="Z22" s="718"/>
      <c r="AA22" s="719"/>
      <c r="AB22" s="718"/>
      <c r="AC22" s="719"/>
      <c r="AD22" s="719"/>
      <c r="AE22" s="722"/>
      <c r="AF22" s="718"/>
      <c r="AG22" s="718"/>
      <c r="AH22" s="718"/>
      <c r="AI22" s="718"/>
      <c r="AJ22" s="718"/>
      <c r="AK22" s="719"/>
      <c r="AL22" s="723"/>
      <c r="AM22" s="718"/>
      <c r="AN22" s="722"/>
      <c r="AO22" s="719"/>
      <c r="AP22" s="719"/>
      <c r="AQ22" s="719"/>
      <c r="AR22" s="719"/>
      <c r="AS22" s="719"/>
      <c r="AT22" s="719"/>
      <c r="AU22" s="719"/>
      <c r="AV22" s="719"/>
      <c r="AW22" s="724"/>
      <c r="AX22" s="719"/>
      <c r="AY22" s="719"/>
      <c r="AZ22" s="719"/>
      <c r="BA22" s="719"/>
      <c r="BB22" s="719"/>
      <c r="BC22" s="719"/>
      <c r="BD22" s="719"/>
      <c r="BE22" s="724"/>
      <c r="BF22" s="725"/>
      <c r="BG22" s="725"/>
      <c r="BH22" s="725"/>
      <c r="BI22" s="725"/>
      <c r="BJ22" s="725"/>
      <c r="BK22" s="725"/>
      <c r="BL22" s="725"/>
      <c r="BM22" s="725"/>
      <c r="BN22" s="725"/>
      <c r="BO22" s="724"/>
      <c r="BP22" s="724"/>
      <c r="BQ22" s="716"/>
      <c r="BR22" s="714"/>
      <c r="BS22" s="343"/>
      <c r="BT22" s="726"/>
      <c r="BU22" s="343"/>
      <c r="BV22" s="726"/>
      <c r="BW22" s="726"/>
      <c r="BX22" s="726"/>
      <c r="BY22" s="726"/>
      <c r="BZ22" s="726"/>
      <c r="CA22" s="726"/>
      <c r="CB22" s="726"/>
      <c r="CC22" s="726"/>
      <c r="CD22" s="727"/>
      <c r="CE22" s="727"/>
      <c r="CF22" s="727"/>
      <c r="CG22" s="343"/>
      <c r="CH22" s="727"/>
      <c r="CI22" s="727"/>
      <c r="CJ22" s="728"/>
    </row>
    <row r="23" spans="1:88" s="4" customFormat="1" ht="87" customHeight="1">
      <c r="A23" s="15">
        <v>1</v>
      </c>
      <c r="B23" s="349" t="s">
        <v>3277</v>
      </c>
      <c r="C23" s="15" t="s">
        <v>3278</v>
      </c>
      <c r="D23" s="331" t="s">
        <v>3279</v>
      </c>
      <c r="E23" s="15" t="s">
        <v>7</v>
      </c>
      <c r="F23" s="15">
        <v>2020</v>
      </c>
      <c r="G23" s="15">
        <v>2020</v>
      </c>
      <c r="H23" s="15">
        <v>10</v>
      </c>
      <c r="I23" s="15" t="s">
        <v>3280</v>
      </c>
      <c r="J23" s="350">
        <v>4563200</v>
      </c>
      <c r="K23" s="15" t="s">
        <v>3091</v>
      </c>
      <c r="L23" s="15">
        <v>1</v>
      </c>
      <c r="M23" s="15"/>
      <c r="N23" s="15" t="s">
        <v>3223</v>
      </c>
      <c r="O23" s="15" t="s">
        <v>3215</v>
      </c>
      <c r="P23" s="15" t="s">
        <v>3216</v>
      </c>
      <c r="Q23" s="332">
        <v>6681051</v>
      </c>
      <c r="R23" s="15" t="s">
        <v>6</v>
      </c>
      <c r="S23" s="606" t="s">
        <v>1657</v>
      </c>
      <c r="T23" s="597">
        <f>J23</f>
        <v>4563200</v>
      </c>
      <c r="U23" s="15" t="s">
        <v>160</v>
      </c>
      <c r="V23" s="15"/>
      <c r="W23" s="15"/>
      <c r="X23" s="15" t="s">
        <v>3281</v>
      </c>
      <c r="Y23" s="15"/>
      <c r="Z23" s="15"/>
      <c r="AA23" s="333"/>
      <c r="AB23" s="15">
        <v>6680627</v>
      </c>
      <c r="AC23" s="334" t="s">
        <v>1912</v>
      </c>
      <c r="AD23" s="15" t="s">
        <v>88</v>
      </c>
      <c r="AE23" s="583">
        <f>J23</f>
        <v>4563200</v>
      </c>
      <c r="AF23" s="15" t="s">
        <v>160</v>
      </c>
      <c r="AG23" s="15"/>
      <c r="AH23" s="15"/>
      <c r="AI23" s="15" t="s">
        <v>3281</v>
      </c>
      <c r="AJ23" s="15" t="s">
        <v>3216</v>
      </c>
      <c r="AK23" s="15"/>
      <c r="AL23" s="334"/>
      <c r="AM23" s="15"/>
      <c r="AN23" s="583"/>
      <c r="AO23" s="15"/>
      <c r="AP23" s="15"/>
      <c r="AQ23" s="15"/>
      <c r="AR23" s="15"/>
      <c r="AS23" s="15"/>
      <c r="AT23" s="23"/>
      <c r="AU23" s="23"/>
      <c r="AV23" s="23"/>
      <c r="AW23" s="657"/>
      <c r="AX23" s="23"/>
      <c r="AY23" s="23"/>
      <c r="AZ23" s="23"/>
      <c r="BA23" s="23"/>
      <c r="BB23" s="23"/>
      <c r="BC23" s="23"/>
      <c r="BD23" s="23"/>
      <c r="BE23" s="657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348" t="s">
        <v>3190</v>
      </c>
      <c r="BR23" s="348" t="s">
        <v>3191</v>
      </c>
      <c r="BS23" s="23"/>
      <c r="BT23" s="14"/>
      <c r="BU23" s="23"/>
      <c r="BV23" s="23"/>
      <c r="BW23" s="23"/>
      <c r="BX23" s="14"/>
      <c r="BY23" s="23"/>
      <c r="BZ23" s="23"/>
      <c r="CA23" s="23"/>
      <c r="CB23" s="23"/>
      <c r="CC23" s="23"/>
      <c r="CD23" s="23"/>
      <c r="CE23" s="23"/>
      <c r="CF23" s="23"/>
      <c r="CG23" s="23" t="s">
        <v>3251</v>
      </c>
      <c r="CH23" s="23"/>
      <c r="CI23" s="471" t="s">
        <v>3282</v>
      </c>
      <c r="CJ23" s="23"/>
    </row>
    <row r="24" spans="1:88" s="565" customFormat="1" ht="48" customHeight="1">
      <c r="A24" s="15">
        <v>2</v>
      </c>
      <c r="B24" s="349" t="s">
        <v>3277</v>
      </c>
      <c r="C24" s="15" t="s">
        <v>3283</v>
      </c>
      <c r="D24" s="331" t="s">
        <v>3284</v>
      </c>
      <c r="E24" s="15" t="s">
        <v>7</v>
      </c>
      <c r="F24" s="15">
        <v>2020</v>
      </c>
      <c r="G24" s="15">
        <v>2020</v>
      </c>
      <c r="H24" s="15">
        <v>10</v>
      </c>
      <c r="I24" s="15" t="s">
        <v>3285</v>
      </c>
      <c r="J24" s="350">
        <v>5820000</v>
      </c>
      <c r="K24" s="15" t="s">
        <v>3091</v>
      </c>
      <c r="L24" s="15">
        <v>3</v>
      </c>
      <c r="M24" s="15"/>
      <c r="N24" s="15" t="s">
        <v>3223</v>
      </c>
      <c r="O24" s="15" t="s">
        <v>3215</v>
      </c>
      <c r="P24" s="15" t="s">
        <v>3216</v>
      </c>
      <c r="Q24" s="332">
        <v>6682237</v>
      </c>
      <c r="R24" s="15" t="s">
        <v>13</v>
      </c>
      <c r="S24" s="606" t="s">
        <v>1736</v>
      </c>
      <c r="T24" s="597">
        <f t="shared" ref="T24:T59" si="5">J24</f>
        <v>5820000</v>
      </c>
      <c r="U24" s="15" t="s">
        <v>3093</v>
      </c>
      <c r="V24" s="15"/>
      <c r="W24" s="15"/>
      <c r="X24" s="15" t="s">
        <v>3286</v>
      </c>
      <c r="Y24" s="15"/>
      <c r="Z24" s="15"/>
      <c r="AA24" s="333"/>
      <c r="AB24" s="15">
        <v>6680626</v>
      </c>
      <c r="AC24" s="334" t="s">
        <v>1008</v>
      </c>
      <c r="AD24" s="15" t="s">
        <v>38</v>
      </c>
      <c r="AE24" s="583">
        <f t="shared" ref="AE24:AE54" si="6">J24</f>
        <v>5820000</v>
      </c>
      <c r="AF24" s="15" t="s">
        <v>171</v>
      </c>
      <c r="AG24" s="15"/>
      <c r="AH24" s="15"/>
      <c r="AI24" s="15" t="s">
        <v>3286</v>
      </c>
      <c r="AJ24" s="15" t="s">
        <v>3216</v>
      </c>
      <c r="AK24" s="15">
        <v>6680628</v>
      </c>
      <c r="AL24" s="334" t="s">
        <v>1007</v>
      </c>
      <c r="AM24" s="15" t="s">
        <v>89</v>
      </c>
      <c r="AN24" s="583">
        <f>J24</f>
        <v>5820000</v>
      </c>
      <c r="AO24" s="15" t="s">
        <v>164</v>
      </c>
      <c r="AP24" s="15"/>
      <c r="AQ24" s="15"/>
      <c r="AR24" s="15" t="s">
        <v>3286</v>
      </c>
      <c r="AS24" s="15" t="s">
        <v>3216</v>
      </c>
      <c r="AT24" s="23"/>
      <c r="AU24" s="23"/>
      <c r="AV24" s="23"/>
      <c r="AW24" s="657"/>
      <c r="AX24" s="23"/>
      <c r="AY24" s="23"/>
      <c r="AZ24" s="23"/>
      <c r="BA24" s="23"/>
      <c r="BB24" s="23"/>
      <c r="BC24" s="23"/>
      <c r="BD24" s="23"/>
      <c r="BE24" s="657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348" t="s">
        <v>3190</v>
      </c>
      <c r="BR24" s="348" t="s">
        <v>3191</v>
      </c>
      <c r="BS24" s="23"/>
      <c r="BT24" s="14"/>
      <c r="BU24" s="23"/>
      <c r="BV24" s="23"/>
      <c r="BW24" s="23"/>
      <c r="BX24" s="14"/>
      <c r="BY24" s="23"/>
      <c r="BZ24" s="23"/>
      <c r="CA24" s="23"/>
      <c r="CB24" s="23"/>
      <c r="CC24" s="23"/>
      <c r="CD24" s="23"/>
      <c r="CE24" s="23"/>
      <c r="CF24" s="23"/>
      <c r="CG24" s="23" t="s">
        <v>3287</v>
      </c>
      <c r="CH24" s="23"/>
      <c r="CI24" s="471"/>
      <c r="CJ24" s="23"/>
    </row>
    <row r="25" spans="1:88" s="565" customFormat="1" ht="48" customHeight="1">
      <c r="A25" s="15">
        <v>3</v>
      </c>
      <c r="B25" s="349" t="s">
        <v>3277</v>
      </c>
      <c r="C25" s="601" t="s">
        <v>3288</v>
      </c>
      <c r="D25" s="331" t="s">
        <v>3289</v>
      </c>
      <c r="E25" s="15" t="s">
        <v>7</v>
      </c>
      <c r="F25" s="15">
        <v>2020</v>
      </c>
      <c r="G25" s="15">
        <v>2020</v>
      </c>
      <c r="H25" s="15">
        <v>10</v>
      </c>
      <c r="I25" s="15" t="s">
        <v>3290</v>
      </c>
      <c r="J25" s="350">
        <v>13337500</v>
      </c>
      <c r="K25" s="15" t="s">
        <v>3091</v>
      </c>
      <c r="L25" s="15">
        <v>3</v>
      </c>
      <c r="M25" s="15" t="s">
        <v>3222</v>
      </c>
      <c r="N25" s="15" t="s">
        <v>3223</v>
      </c>
      <c r="O25" s="15" t="s">
        <v>3215</v>
      </c>
      <c r="P25" s="15" t="s">
        <v>3216</v>
      </c>
      <c r="Q25" s="332">
        <v>6680622</v>
      </c>
      <c r="R25" s="15" t="s">
        <v>11</v>
      </c>
      <c r="S25" s="606" t="s">
        <v>983</v>
      </c>
      <c r="T25" s="597">
        <f t="shared" si="5"/>
        <v>13337500</v>
      </c>
      <c r="U25" s="15" t="s">
        <v>164</v>
      </c>
      <c r="V25" s="15"/>
      <c r="W25" s="15"/>
      <c r="X25" s="15" t="s">
        <v>3286</v>
      </c>
      <c r="Y25" s="15" t="s">
        <v>3216</v>
      </c>
      <c r="Z25" s="15">
        <v>8140</v>
      </c>
      <c r="AA25" s="333" t="s">
        <v>3291</v>
      </c>
      <c r="AB25" s="15">
        <v>6680626</v>
      </c>
      <c r="AC25" s="334" t="s">
        <v>1008</v>
      </c>
      <c r="AD25" s="15" t="s">
        <v>38</v>
      </c>
      <c r="AE25" s="583">
        <f t="shared" si="6"/>
        <v>13337500</v>
      </c>
      <c r="AF25" s="15" t="s">
        <v>171</v>
      </c>
      <c r="AG25" s="15"/>
      <c r="AH25" s="15"/>
      <c r="AI25" s="15" t="s">
        <v>3286</v>
      </c>
      <c r="AJ25" s="15" t="s">
        <v>3216</v>
      </c>
      <c r="AK25" s="15"/>
      <c r="AL25" s="334"/>
      <c r="AM25" s="15"/>
      <c r="AN25" s="583"/>
      <c r="AO25" s="15"/>
      <c r="AP25" s="15"/>
      <c r="AQ25" s="15"/>
      <c r="AR25" s="15"/>
      <c r="AS25" s="15"/>
      <c r="AT25" s="23"/>
      <c r="AU25" s="23"/>
      <c r="AV25" s="23"/>
      <c r="AW25" s="657"/>
      <c r="AX25" s="23"/>
      <c r="AY25" s="23"/>
      <c r="AZ25" s="23"/>
      <c r="BA25" s="23"/>
      <c r="BB25" s="23"/>
      <c r="BC25" s="23"/>
      <c r="BD25" s="23"/>
      <c r="BE25" s="657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348" t="s">
        <v>3190</v>
      </c>
      <c r="BR25" s="348" t="s">
        <v>3191</v>
      </c>
      <c r="BS25" s="23"/>
      <c r="BT25" s="14"/>
      <c r="BU25" s="23"/>
      <c r="BV25" s="23"/>
      <c r="BW25" s="23"/>
      <c r="BX25" s="14"/>
      <c r="BY25" s="23"/>
      <c r="BZ25" s="23"/>
      <c r="CA25" s="23"/>
      <c r="CB25" s="23"/>
      <c r="CC25" s="23"/>
      <c r="CD25" s="23"/>
      <c r="CE25" s="23"/>
      <c r="CF25" s="23"/>
      <c r="CG25" s="23" t="s">
        <v>3251</v>
      </c>
      <c r="CH25" s="23"/>
      <c r="CI25" s="471" t="s">
        <v>3282</v>
      </c>
      <c r="CJ25" s="23"/>
    </row>
    <row r="26" spans="1:88" s="4" customFormat="1" ht="48" customHeight="1">
      <c r="A26" s="15">
        <v>4</v>
      </c>
      <c r="B26" s="349" t="s">
        <v>3277</v>
      </c>
      <c r="C26" s="15" t="s">
        <v>3292</v>
      </c>
      <c r="D26" s="331" t="s">
        <v>3293</v>
      </c>
      <c r="E26" s="15" t="s">
        <v>7</v>
      </c>
      <c r="F26" s="15">
        <v>2020</v>
      </c>
      <c r="G26" s="15">
        <v>2020</v>
      </c>
      <c r="H26" s="15">
        <v>10</v>
      </c>
      <c r="I26" s="15" t="s">
        <v>3294</v>
      </c>
      <c r="J26" s="350">
        <v>15883750</v>
      </c>
      <c r="K26" s="15" t="s">
        <v>3091</v>
      </c>
      <c r="L26" s="15">
        <v>4</v>
      </c>
      <c r="M26" s="15"/>
      <c r="N26" s="15" t="s">
        <v>3223</v>
      </c>
      <c r="O26" s="15" t="s">
        <v>3215</v>
      </c>
      <c r="P26" s="15" t="s">
        <v>3216</v>
      </c>
      <c r="Q26" s="332">
        <v>6680651</v>
      </c>
      <c r="R26" s="15" t="s">
        <v>12</v>
      </c>
      <c r="S26" s="606" t="s">
        <v>1016</v>
      </c>
      <c r="T26" s="597">
        <f t="shared" si="5"/>
        <v>15883750</v>
      </c>
      <c r="U26" s="15" t="s">
        <v>155</v>
      </c>
      <c r="V26" s="15"/>
      <c r="W26" s="15"/>
      <c r="X26" s="15" t="s">
        <v>3281</v>
      </c>
      <c r="Y26" s="15"/>
      <c r="Z26" s="15"/>
      <c r="AA26" s="333"/>
      <c r="AB26" s="15">
        <v>6680631</v>
      </c>
      <c r="AC26" s="334" t="s">
        <v>1770</v>
      </c>
      <c r="AD26" s="15" t="s">
        <v>77</v>
      </c>
      <c r="AE26" s="583">
        <f t="shared" si="6"/>
        <v>15883750</v>
      </c>
      <c r="AF26" s="15" t="s">
        <v>155</v>
      </c>
      <c r="AG26" s="15"/>
      <c r="AH26" s="15"/>
      <c r="AI26" s="15" t="s">
        <v>3281</v>
      </c>
      <c r="AJ26" s="15" t="s">
        <v>3216</v>
      </c>
      <c r="AK26" s="15">
        <v>6680685</v>
      </c>
      <c r="AL26" s="334" t="s">
        <v>944</v>
      </c>
      <c r="AM26" s="15" t="s">
        <v>21</v>
      </c>
      <c r="AN26" s="583">
        <f t="shared" ref="AN26:AN30" si="7">J26</f>
        <v>15883750</v>
      </c>
      <c r="AO26" s="15" t="s">
        <v>155</v>
      </c>
      <c r="AP26" s="15"/>
      <c r="AQ26" s="15"/>
      <c r="AR26" s="15" t="s">
        <v>3281</v>
      </c>
      <c r="AS26" s="15" t="s">
        <v>3216</v>
      </c>
      <c r="AT26" s="23"/>
      <c r="AU26" s="23"/>
      <c r="AV26" s="23"/>
      <c r="AW26" s="657"/>
      <c r="AX26" s="23"/>
      <c r="AY26" s="23"/>
      <c r="AZ26" s="23"/>
      <c r="BA26" s="23"/>
      <c r="BB26" s="23"/>
      <c r="BC26" s="23"/>
      <c r="BD26" s="23"/>
      <c r="BE26" s="657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348" t="s">
        <v>3190</v>
      </c>
      <c r="BR26" s="15" t="s">
        <v>3191</v>
      </c>
      <c r="BS26" s="23"/>
      <c r="BT26" s="14"/>
      <c r="BU26" s="23"/>
      <c r="BV26" s="23"/>
      <c r="BW26" s="23"/>
      <c r="BX26" s="14"/>
      <c r="BY26" s="23"/>
      <c r="BZ26" s="23"/>
      <c r="CA26" s="23"/>
      <c r="CB26" s="23"/>
      <c r="CC26" s="23"/>
      <c r="CD26" s="23"/>
      <c r="CE26" s="23"/>
      <c r="CF26" s="23"/>
      <c r="CG26" s="23" t="s">
        <v>3295</v>
      </c>
      <c r="CH26" s="23"/>
      <c r="CI26" s="471" t="s">
        <v>3296</v>
      </c>
      <c r="CJ26" s="23"/>
    </row>
    <row r="27" spans="1:88" s="4" customFormat="1" ht="48" customHeight="1">
      <c r="A27" s="15">
        <v>5</v>
      </c>
      <c r="B27" s="349" t="s">
        <v>3277</v>
      </c>
      <c r="C27" s="15" t="s">
        <v>3297</v>
      </c>
      <c r="D27" s="331" t="s">
        <v>3298</v>
      </c>
      <c r="E27" s="15" t="s">
        <v>7</v>
      </c>
      <c r="F27" s="15">
        <v>2020</v>
      </c>
      <c r="G27" s="15">
        <v>2020</v>
      </c>
      <c r="H27" s="15">
        <v>10</v>
      </c>
      <c r="I27" s="15" t="s">
        <v>3299</v>
      </c>
      <c r="J27" s="350">
        <v>5796000</v>
      </c>
      <c r="K27" s="15" t="s">
        <v>3091</v>
      </c>
      <c r="L27" s="15">
        <v>3</v>
      </c>
      <c r="M27" s="15"/>
      <c r="N27" s="15" t="s">
        <v>3223</v>
      </c>
      <c r="O27" s="15" t="s">
        <v>3215</v>
      </c>
      <c r="P27" s="15" t="s">
        <v>3216</v>
      </c>
      <c r="Q27" s="332">
        <v>6680618</v>
      </c>
      <c r="R27" s="15" t="s">
        <v>24</v>
      </c>
      <c r="S27" s="606" t="s">
        <v>1737</v>
      </c>
      <c r="T27" s="597">
        <f t="shared" si="5"/>
        <v>5796000</v>
      </c>
      <c r="U27" s="15" t="s">
        <v>160</v>
      </c>
      <c r="V27" s="15"/>
      <c r="W27" s="15"/>
      <c r="X27" s="15" t="s">
        <v>3281</v>
      </c>
      <c r="Y27" s="15"/>
      <c r="Z27" s="15"/>
      <c r="AA27" s="333"/>
      <c r="AB27" s="15">
        <v>6680643</v>
      </c>
      <c r="AC27" s="334" t="s">
        <v>1017</v>
      </c>
      <c r="AD27" s="15" t="s">
        <v>8</v>
      </c>
      <c r="AE27" s="583">
        <f t="shared" si="6"/>
        <v>5796000</v>
      </c>
      <c r="AF27" s="15" t="s">
        <v>172</v>
      </c>
      <c r="AG27" s="15" t="s">
        <v>160</v>
      </c>
      <c r="AH27" s="15"/>
      <c r="AI27" s="15" t="s">
        <v>3281</v>
      </c>
      <c r="AJ27" s="15" t="s">
        <v>3216</v>
      </c>
      <c r="AK27" s="15">
        <v>6682237</v>
      </c>
      <c r="AL27" s="334">
        <v>722069004</v>
      </c>
      <c r="AM27" s="15" t="s">
        <v>3300</v>
      </c>
      <c r="AN27" s="583">
        <f t="shared" si="7"/>
        <v>5796000</v>
      </c>
      <c r="AO27" s="15" t="s">
        <v>3093</v>
      </c>
      <c r="AP27" s="15"/>
      <c r="AQ27" s="15"/>
      <c r="AR27" s="15" t="s">
        <v>3286</v>
      </c>
      <c r="AS27" s="15" t="s">
        <v>3216</v>
      </c>
      <c r="AT27" s="23"/>
      <c r="AU27" s="23"/>
      <c r="AV27" s="23"/>
      <c r="AW27" s="657"/>
      <c r="AX27" s="23"/>
      <c r="AY27" s="23"/>
      <c r="AZ27" s="23"/>
      <c r="BA27" s="23"/>
      <c r="BB27" s="23"/>
      <c r="BC27" s="23"/>
      <c r="BD27" s="23"/>
      <c r="BE27" s="657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348" t="s">
        <v>3190</v>
      </c>
      <c r="BR27" s="15" t="s">
        <v>3191</v>
      </c>
      <c r="BS27" s="23"/>
      <c r="BT27" s="14"/>
      <c r="BU27" s="23"/>
      <c r="BV27" s="23"/>
      <c r="BW27" s="23"/>
      <c r="BX27" s="14"/>
      <c r="BY27" s="23"/>
      <c r="BZ27" s="23"/>
      <c r="CA27" s="23"/>
      <c r="CB27" s="23"/>
      <c r="CC27" s="23"/>
      <c r="CD27" s="23"/>
      <c r="CE27" s="23"/>
      <c r="CF27" s="23"/>
      <c r="CG27" s="23" t="s">
        <v>3251</v>
      </c>
      <c r="CH27" s="23"/>
      <c r="CI27" s="471" t="s">
        <v>3282</v>
      </c>
      <c r="CJ27" s="23"/>
    </row>
    <row r="28" spans="1:88" s="565" customFormat="1" ht="48" customHeight="1">
      <c r="A28" s="15">
        <v>6</v>
      </c>
      <c r="B28" s="349" t="s">
        <v>3277</v>
      </c>
      <c r="C28" s="15" t="s">
        <v>3301</v>
      </c>
      <c r="D28" s="331" t="s">
        <v>3302</v>
      </c>
      <c r="E28" s="15" t="s">
        <v>7</v>
      </c>
      <c r="F28" s="15">
        <v>2020</v>
      </c>
      <c r="G28" s="15">
        <v>2020</v>
      </c>
      <c r="H28" s="15">
        <v>10</v>
      </c>
      <c r="I28" s="15" t="s">
        <v>3214</v>
      </c>
      <c r="J28" s="350">
        <v>15035000</v>
      </c>
      <c r="K28" s="15" t="s">
        <v>3091</v>
      </c>
      <c r="L28" s="15">
        <v>2</v>
      </c>
      <c r="M28" s="15"/>
      <c r="N28" s="15" t="s">
        <v>3223</v>
      </c>
      <c r="O28" s="15" t="s">
        <v>3215</v>
      </c>
      <c r="P28" s="15" t="s">
        <v>3216</v>
      </c>
      <c r="Q28" s="15">
        <v>6680612</v>
      </c>
      <c r="R28" s="15" t="s">
        <v>19</v>
      </c>
      <c r="S28" s="334" t="s">
        <v>3303</v>
      </c>
      <c r="T28" s="597">
        <f t="shared" si="5"/>
        <v>15035000</v>
      </c>
      <c r="U28" s="15" t="s">
        <v>155</v>
      </c>
      <c r="V28" s="15"/>
      <c r="W28" s="15"/>
      <c r="X28" s="15" t="s">
        <v>3281</v>
      </c>
      <c r="Y28" s="15"/>
      <c r="Z28" s="15"/>
      <c r="AA28" s="333"/>
      <c r="AB28" s="15">
        <v>6680683</v>
      </c>
      <c r="AC28" s="334" t="s">
        <v>2454</v>
      </c>
      <c r="AD28" s="15" t="s">
        <v>10</v>
      </c>
      <c r="AE28" s="583">
        <f t="shared" si="6"/>
        <v>15035000</v>
      </c>
      <c r="AF28" s="15" t="s">
        <v>164</v>
      </c>
      <c r="AG28" s="15"/>
      <c r="AH28" s="15"/>
      <c r="AI28" s="15" t="s">
        <v>3286</v>
      </c>
      <c r="AJ28" s="15" t="s">
        <v>3216</v>
      </c>
      <c r="AK28" s="15">
        <v>6680741</v>
      </c>
      <c r="AL28" s="334">
        <v>727059002</v>
      </c>
      <c r="AM28" s="15" t="s">
        <v>16</v>
      </c>
      <c r="AN28" s="583">
        <f t="shared" si="7"/>
        <v>15035000</v>
      </c>
      <c r="AO28" s="15" t="s">
        <v>154</v>
      </c>
      <c r="AP28" s="15"/>
      <c r="AQ28" s="15"/>
      <c r="AR28" s="15" t="s">
        <v>3281</v>
      </c>
      <c r="AS28" s="15" t="s">
        <v>3216</v>
      </c>
      <c r="AT28" s="23"/>
      <c r="AU28" s="23"/>
      <c r="AV28" s="23"/>
      <c r="AW28" s="657"/>
      <c r="AX28" s="23"/>
      <c r="AY28" s="23"/>
      <c r="AZ28" s="23"/>
      <c r="BA28" s="23"/>
      <c r="BB28" s="23"/>
      <c r="BC28" s="23"/>
      <c r="BD28" s="23"/>
      <c r="BE28" s="657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348" t="s">
        <v>3190</v>
      </c>
      <c r="BR28" s="348" t="s">
        <v>3191</v>
      </c>
      <c r="BS28" s="23"/>
      <c r="BT28" s="14"/>
      <c r="BU28" s="23"/>
      <c r="BV28" s="23"/>
      <c r="BW28" s="23"/>
      <c r="BX28" s="14"/>
      <c r="BY28" s="23"/>
      <c r="BZ28" s="23"/>
      <c r="CA28" s="23"/>
      <c r="CB28" s="23"/>
      <c r="CC28" s="23"/>
      <c r="CD28" s="23"/>
      <c r="CE28" s="23"/>
      <c r="CF28" s="23"/>
      <c r="CG28" s="23" t="s">
        <v>3295</v>
      </c>
      <c r="CH28" s="23"/>
      <c r="CI28" s="471" t="s">
        <v>3304</v>
      </c>
      <c r="CJ28" s="23"/>
    </row>
    <row r="29" spans="1:88" s="4" customFormat="1" ht="48" customHeight="1">
      <c r="A29" s="15">
        <v>7</v>
      </c>
      <c r="B29" s="349" t="s">
        <v>3277</v>
      </c>
      <c r="C29" s="15" t="s">
        <v>3305</v>
      </c>
      <c r="D29" s="331" t="s">
        <v>3306</v>
      </c>
      <c r="E29" s="15" t="s">
        <v>7</v>
      </c>
      <c r="F29" s="15">
        <v>2020</v>
      </c>
      <c r="G29" s="15">
        <v>2020</v>
      </c>
      <c r="H29" s="15">
        <v>10</v>
      </c>
      <c r="I29" s="15" t="s">
        <v>3307</v>
      </c>
      <c r="J29" s="350">
        <v>12530400</v>
      </c>
      <c r="K29" s="15" t="s">
        <v>3091</v>
      </c>
      <c r="L29" s="15">
        <v>2</v>
      </c>
      <c r="M29" s="15"/>
      <c r="N29" s="15" t="s">
        <v>3223</v>
      </c>
      <c r="O29" s="15" t="s">
        <v>3215</v>
      </c>
      <c r="P29" s="15" t="s">
        <v>3216</v>
      </c>
      <c r="Q29" s="15">
        <v>6682174</v>
      </c>
      <c r="R29" s="15" t="s">
        <v>20</v>
      </c>
      <c r="S29" s="334" t="s">
        <v>3308</v>
      </c>
      <c r="T29" s="597">
        <f t="shared" si="5"/>
        <v>12530400</v>
      </c>
      <c r="U29" s="15" t="s">
        <v>156</v>
      </c>
      <c r="V29" s="15"/>
      <c r="W29" s="15"/>
      <c r="X29" s="15" t="s">
        <v>3286</v>
      </c>
      <c r="Y29" s="15"/>
      <c r="Z29" s="15"/>
      <c r="AA29" s="333"/>
      <c r="AB29" s="15">
        <v>6680664</v>
      </c>
      <c r="AC29" s="334" t="s">
        <v>2288</v>
      </c>
      <c r="AD29" s="15" t="s">
        <v>15</v>
      </c>
      <c r="AE29" s="583">
        <f t="shared" si="6"/>
        <v>12530400</v>
      </c>
      <c r="AF29" s="15" t="s">
        <v>156</v>
      </c>
      <c r="AG29" s="15"/>
      <c r="AH29" s="15"/>
      <c r="AI29" s="15" t="s">
        <v>3286</v>
      </c>
      <c r="AJ29" s="15" t="s">
        <v>3216</v>
      </c>
      <c r="AK29" s="15">
        <v>6680680</v>
      </c>
      <c r="AL29" s="334">
        <v>704039202</v>
      </c>
      <c r="AM29" s="15" t="s">
        <v>9</v>
      </c>
      <c r="AN29" s="583">
        <f t="shared" si="7"/>
        <v>12530400</v>
      </c>
      <c r="AO29" s="15" t="s">
        <v>156</v>
      </c>
      <c r="AP29" s="15"/>
      <c r="AQ29" s="15"/>
      <c r="AR29" s="15" t="s">
        <v>3286</v>
      </c>
      <c r="AS29" s="15" t="s">
        <v>3216</v>
      </c>
      <c r="AT29" s="23"/>
      <c r="AU29" s="23"/>
      <c r="AV29" s="23"/>
      <c r="AW29" s="657"/>
      <c r="AX29" s="23"/>
      <c r="AY29" s="23"/>
      <c r="AZ29" s="23"/>
      <c r="BA29" s="23"/>
      <c r="BB29" s="23"/>
      <c r="BC29" s="23"/>
      <c r="BD29" s="23"/>
      <c r="BE29" s="657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348" t="s">
        <v>3190</v>
      </c>
      <c r="BR29" s="348" t="s">
        <v>3191</v>
      </c>
      <c r="BS29" s="23"/>
      <c r="BT29" s="14"/>
      <c r="BU29" s="23"/>
      <c r="BV29" s="23"/>
      <c r="BW29" s="23"/>
      <c r="BX29" s="14"/>
      <c r="BY29" s="23"/>
      <c r="BZ29" s="23"/>
      <c r="CA29" s="23"/>
      <c r="CB29" s="23"/>
      <c r="CC29" s="23"/>
      <c r="CD29" s="23"/>
      <c r="CE29" s="23"/>
      <c r="CF29" s="23"/>
      <c r="CG29" s="23" t="s">
        <v>3251</v>
      </c>
      <c r="CH29" s="23"/>
      <c r="CI29" s="471" t="s">
        <v>3309</v>
      </c>
      <c r="CJ29" s="23"/>
    </row>
    <row r="30" spans="1:88" s="565" customFormat="1" ht="60" customHeight="1">
      <c r="A30" s="15">
        <v>8</v>
      </c>
      <c r="B30" s="349" t="s">
        <v>3277</v>
      </c>
      <c r="C30" s="15" t="s">
        <v>3310</v>
      </c>
      <c r="D30" s="331" t="s">
        <v>3311</v>
      </c>
      <c r="E30" s="15" t="s">
        <v>7</v>
      </c>
      <c r="F30" s="15">
        <v>2020</v>
      </c>
      <c r="G30" s="15">
        <v>2020</v>
      </c>
      <c r="H30" s="15">
        <v>10</v>
      </c>
      <c r="I30" s="15" t="s">
        <v>3214</v>
      </c>
      <c r="J30" s="350">
        <v>6661475</v>
      </c>
      <c r="K30" s="15" t="s">
        <v>3091</v>
      </c>
      <c r="L30" s="15">
        <v>3</v>
      </c>
      <c r="M30" s="15"/>
      <c r="N30" s="15" t="s">
        <v>3223</v>
      </c>
      <c r="O30" s="15" t="s">
        <v>3215</v>
      </c>
      <c r="P30" s="15" t="s">
        <v>3216</v>
      </c>
      <c r="Q30" s="15">
        <v>259781</v>
      </c>
      <c r="R30" s="15" t="s">
        <v>26</v>
      </c>
      <c r="S30" s="334" t="s">
        <v>3312</v>
      </c>
      <c r="T30" s="597">
        <f t="shared" si="5"/>
        <v>6661475</v>
      </c>
      <c r="U30" s="15" t="s">
        <v>3093</v>
      </c>
      <c r="V30" s="15" t="s">
        <v>166</v>
      </c>
      <c r="W30" s="15"/>
      <c r="X30" s="15" t="s">
        <v>3286</v>
      </c>
      <c r="Y30" s="15"/>
      <c r="Z30" s="15"/>
      <c r="AA30" s="333"/>
      <c r="AB30" s="607" t="s">
        <v>3313</v>
      </c>
      <c r="AC30" s="334" t="s">
        <v>1002</v>
      </c>
      <c r="AD30" s="15" t="s">
        <v>165</v>
      </c>
      <c r="AE30" s="583">
        <f t="shared" si="6"/>
        <v>6661475</v>
      </c>
      <c r="AF30" s="15" t="s">
        <v>164</v>
      </c>
      <c r="AG30" s="15"/>
      <c r="AH30" s="15"/>
      <c r="AI30" s="15" t="s">
        <v>3286</v>
      </c>
      <c r="AJ30" s="15" t="s">
        <v>3216</v>
      </c>
      <c r="AK30" s="15">
        <v>6744406</v>
      </c>
      <c r="AL30" s="334" t="s">
        <v>985</v>
      </c>
      <c r="AM30" s="15" t="s">
        <v>57</v>
      </c>
      <c r="AN30" s="583">
        <f t="shared" si="7"/>
        <v>6661475</v>
      </c>
      <c r="AO30" s="15" t="s">
        <v>166</v>
      </c>
      <c r="AP30" s="15"/>
      <c r="AQ30" s="15"/>
      <c r="AR30" s="15" t="s">
        <v>3286</v>
      </c>
      <c r="AS30" s="15" t="s">
        <v>3216</v>
      </c>
      <c r="AT30" s="23"/>
      <c r="AU30" s="23"/>
      <c r="AV30" s="23"/>
      <c r="AW30" s="657"/>
      <c r="AX30" s="23"/>
      <c r="AY30" s="23"/>
      <c r="AZ30" s="23"/>
      <c r="BA30" s="23"/>
      <c r="BB30" s="23"/>
      <c r="BC30" s="23"/>
      <c r="BD30" s="23"/>
      <c r="BE30" s="657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348" t="s">
        <v>3190</v>
      </c>
      <c r="BR30" s="348" t="s">
        <v>3191</v>
      </c>
      <c r="BS30" s="23"/>
      <c r="BT30" s="14"/>
      <c r="BU30" s="23"/>
      <c r="BV30" s="23"/>
      <c r="BW30" s="23"/>
      <c r="BX30" s="14"/>
      <c r="BY30" s="23"/>
      <c r="BZ30" s="23"/>
      <c r="CA30" s="23"/>
      <c r="CB30" s="23"/>
      <c r="CC30" s="23"/>
      <c r="CD30" s="23"/>
      <c r="CE30" s="23"/>
      <c r="CF30" s="23"/>
      <c r="CG30" s="23" t="s">
        <v>3251</v>
      </c>
      <c r="CH30" s="23"/>
      <c r="CI30" s="471" t="s">
        <v>3314</v>
      </c>
      <c r="CJ30" s="23"/>
    </row>
    <row r="31" spans="1:88" s="4" customFormat="1" ht="48" customHeight="1">
      <c r="A31" s="15">
        <v>9</v>
      </c>
      <c r="B31" s="349" t="s">
        <v>3277</v>
      </c>
      <c r="C31" s="15" t="s">
        <v>3315</v>
      </c>
      <c r="D31" s="331" t="s">
        <v>3316</v>
      </c>
      <c r="E31" s="15" t="s">
        <v>7</v>
      </c>
      <c r="F31" s="15">
        <v>2020</v>
      </c>
      <c r="G31" s="15">
        <v>2020</v>
      </c>
      <c r="H31" s="15">
        <v>6</v>
      </c>
      <c r="I31" s="15" t="s">
        <v>3317</v>
      </c>
      <c r="J31" s="350">
        <v>4600000</v>
      </c>
      <c r="K31" s="15" t="s">
        <v>3091</v>
      </c>
      <c r="L31" s="15">
        <v>3</v>
      </c>
      <c r="M31" s="15"/>
      <c r="N31" s="15" t="s">
        <v>3223</v>
      </c>
      <c r="O31" s="15" t="s">
        <v>3215</v>
      </c>
      <c r="P31" s="15" t="s">
        <v>3216</v>
      </c>
      <c r="Q31" s="15">
        <v>6764236</v>
      </c>
      <c r="R31" s="15" t="s">
        <v>25</v>
      </c>
      <c r="S31" s="334" t="s">
        <v>3318</v>
      </c>
      <c r="T31" s="597">
        <f t="shared" si="5"/>
        <v>4600000</v>
      </c>
      <c r="U31" s="15" t="s">
        <v>166</v>
      </c>
      <c r="V31" s="15"/>
      <c r="W31" s="15"/>
      <c r="X31" s="15" t="s">
        <v>3286</v>
      </c>
      <c r="Y31" s="15"/>
      <c r="Z31" s="15"/>
      <c r="AA31" s="333"/>
      <c r="AB31" s="15">
        <v>6665306</v>
      </c>
      <c r="AC31" s="334" t="s">
        <v>1727</v>
      </c>
      <c r="AD31" s="15" t="s">
        <v>28</v>
      </c>
      <c r="AE31" s="583">
        <f t="shared" si="6"/>
        <v>4600000</v>
      </c>
      <c r="AF31" s="15" t="s">
        <v>166</v>
      </c>
      <c r="AG31" s="15"/>
      <c r="AH31" s="15"/>
      <c r="AI31" s="15" t="s">
        <v>3286</v>
      </c>
      <c r="AJ31" s="15" t="s">
        <v>3216</v>
      </c>
      <c r="AK31" s="15"/>
      <c r="AL31" s="334"/>
      <c r="AM31" s="15"/>
      <c r="AN31" s="583"/>
      <c r="AO31" s="15"/>
      <c r="AP31" s="15"/>
      <c r="AQ31" s="15"/>
      <c r="AR31" s="15"/>
      <c r="AS31" s="15"/>
      <c r="AT31" s="23"/>
      <c r="AU31" s="23"/>
      <c r="AV31" s="23"/>
      <c r="AW31" s="657"/>
      <c r="AX31" s="23"/>
      <c r="AY31" s="23"/>
      <c r="AZ31" s="23"/>
      <c r="BA31" s="23"/>
      <c r="BB31" s="23"/>
      <c r="BC31" s="23"/>
      <c r="BD31" s="23"/>
      <c r="BE31" s="657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348" t="s">
        <v>3190</v>
      </c>
      <c r="BR31" s="348" t="s">
        <v>3191</v>
      </c>
      <c r="BS31" s="23"/>
      <c r="BT31" s="14"/>
      <c r="BU31" s="23"/>
      <c r="BV31" s="23"/>
      <c r="BW31" s="23"/>
      <c r="BX31" s="14"/>
      <c r="BY31" s="23"/>
      <c r="BZ31" s="23"/>
      <c r="CA31" s="23"/>
      <c r="CB31" s="23"/>
      <c r="CC31" s="23"/>
      <c r="CD31" s="23"/>
      <c r="CE31" s="23"/>
      <c r="CF31" s="23"/>
      <c r="CG31" s="23" t="s">
        <v>3319</v>
      </c>
      <c r="CH31" s="23"/>
      <c r="CI31" s="471" t="s">
        <v>3282</v>
      </c>
      <c r="CJ31" s="23"/>
    </row>
    <row r="32" spans="1:88" s="4" customFormat="1" ht="48" customHeight="1">
      <c r="A32" s="15">
        <v>10</v>
      </c>
      <c r="B32" s="349" t="s">
        <v>3277</v>
      </c>
      <c r="C32" s="15" t="s">
        <v>3320</v>
      </c>
      <c r="D32" s="331" t="s">
        <v>3321</v>
      </c>
      <c r="E32" s="15" t="s">
        <v>7</v>
      </c>
      <c r="F32" s="15">
        <v>2020</v>
      </c>
      <c r="G32" s="15">
        <v>2020</v>
      </c>
      <c r="H32" s="15">
        <v>7</v>
      </c>
      <c r="I32" s="15" t="s">
        <v>3307</v>
      </c>
      <c r="J32" s="350">
        <v>11932940</v>
      </c>
      <c r="K32" s="15" t="s">
        <v>3091</v>
      </c>
      <c r="L32" s="15">
        <v>4</v>
      </c>
      <c r="M32" s="15"/>
      <c r="N32" s="15" t="s">
        <v>3223</v>
      </c>
      <c r="O32" s="15" t="s">
        <v>3215</v>
      </c>
      <c r="P32" s="15" t="s">
        <v>3216</v>
      </c>
      <c r="Q32" s="15">
        <v>6680633</v>
      </c>
      <c r="R32" s="15" t="s">
        <v>18</v>
      </c>
      <c r="S32" s="334" t="s">
        <v>3322</v>
      </c>
      <c r="T32" s="597">
        <f t="shared" si="5"/>
        <v>11932940</v>
      </c>
      <c r="U32" s="15" t="s">
        <v>156</v>
      </c>
      <c r="V32" s="15" t="s">
        <v>166</v>
      </c>
      <c r="W32" s="15"/>
      <c r="X32" s="15" t="s">
        <v>3286</v>
      </c>
      <c r="Y32" s="15"/>
      <c r="Z32" s="15"/>
      <c r="AA32" s="333"/>
      <c r="AB32" s="15">
        <v>6680629</v>
      </c>
      <c r="AC32" s="334" t="s">
        <v>2424</v>
      </c>
      <c r="AD32" s="15" t="s">
        <v>27</v>
      </c>
      <c r="AE32" s="583">
        <f t="shared" si="6"/>
        <v>11932940</v>
      </c>
      <c r="AF32" s="15" t="s">
        <v>151</v>
      </c>
      <c r="AG32" s="15"/>
      <c r="AH32" s="15"/>
      <c r="AI32" s="15" t="s">
        <v>3281</v>
      </c>
      <c r="AJ32" s="15" t="s">
        <v>3216</v>
      </c>
      <c r="AK32" s="15"/>
      <c r="AL32" s="334"/>
      <c r="AM32" s="15"/>
      <c r="AN32" s="583"/>
      <c r="AO32" s="15"/>
      <c r="AP32" s="15"/>
      <c r="AQ32" s="15"/>
      <c r="AR32" s="15"/>
      <c r="AS32" s="15"/>
      <c r="AT32" s="23"/>
      <c r="AU32" s="23"/>
      <c r="AV32" s="23"/>
      <c r="AW32" s="657"/>
      <c r="AX32" s="23"/>
      <c r="AY32" s="23"/>
      <c r="AZ32" s="23"/>
      <c r="BA32" s="23"/>
      <c r="BB32" s="23"/>
      <c r="BC32" s="23"/>
      <c r="BD32" s="23"/>
      <c r="BE32" s="657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348" t="s">
        <v>3190</v>
      </c>
      <c r="BR32" s="348" t="s">
        <v>3191</v>
      </c>
      <c r="BS32" s="23"/>
      <c r="BT32" s="14"/>
      <c r="BU32" s="23"/>
      <c r="BV32" s="23"/>
      <c r="BW32" s="23"/>
      <c r="BX32" s="14"/>
      <c r="BY32" s="23"/>
      <c r="BZ32" s="23"/>
      <c r="CA32" s="23"/>
      <c r="CB32" s="23"/>
      <c r="CC32" s="23"/>
      <c r="CD32" s="23"/>
      <c r="CE32" s="23"/>
      <c r="CF32" s="23"/>
      <c r="CG32" s="23" t="s">
        <v>3070</v>
      </c>
      <c r="CH32" s="23"/>
      <c r="CI32" s="471"/>
      <c r="CJ32" s="23"/>
    </row>
    <row r="33" spans="1:88" s="4" customFormat="1" ht="48" customHeight="1">
      <c r="A33" s="15">
        <v>11</v>
      </c>
      <c r="B33" s="349" t="s">
        <v>3277</v>
      </c>
      <c r="C33" s="15" t="s">
        <v>3323</v>
      </c>
      <c r="D33" s="331" t="s">
        <v>3324</v>
      </c>
      <c r="E33" s="15" t="s">
        <v>7</v>
      </c>
      <c r="F33" s="15">
        <v>2020</v>
      </c>
      <c r="G33" s="15">
        <v>2020</v>
      </c>
      <c r="H33" s="15">
        <v>10</v>
      </c>
      <c r="I33" s="15" t="s">
        <v>3214</v>
      </c>
      <c r="J33" s="350">
        <v>11270000</v>
      </c>
      <c r="K33" s="15" t="s">
        <v>3091</v>
      </c>
      <c r="L33" s="15">
        <v>4</v>
      </c>
      <c r="M33" s="15"/>
      <c r="N33" s="15" t="s">
        <v>3223</v>
      </c>
      <c r="O33" s="15" t="s">
        <v>3215</v>
      </c>
      <c r="P33" s="15" t="s">
        <v>3216</v>
      </c>
      <c r="Q33" s="15">
        <v>6680615</v>
      </c>
      <c r="R33" s="15" t="s">
        <v>22</v>
      </c>
      <c r="S33" s="334" t="s">
        <v>3325</v>
      </c>
      <c r="T33" s="597">
        <f t="shared" si="5"/>
        <v>11270000</v>
      </c>
      <c r="U33" s="15" t="s">
        <v>154</v>
      </c>
      <c r="V33" s="15" t="s">
        <v>155</v>
      </c>
      <c r="W33" s="15"/>
      <c r="X33" s="15" t="s">
        <v>3281</v>
      </c>
      <c r="Y33" s="15"/>
      <c r="Z33" s="15"/>
      <c r="AA33" s="333"/>
      <c r="AB33" s="15">
        <v>6680645</v>
      </c>
      <c r="AC33" s="334" t="s">
        <v>2849</v>
      </c>
      <c r="AD33" s="15" t="s">
        <v>83</v>
      </c>
      <c r="AE33" s="583">
        <f t="shared" si="6"/>
        <v>11270000</v>
      </c>
      <c r="AF33" s="15" t="s">
        <v>154</v>
      </c>
      <c r="AG33" s="15"/>
      <c r="AH33" s="15"/>
      <c r="AI33" s="15" t="s">
        <v>3281</v>
      </c>
      <c r="AJ33" s="15" t="s">
        <v>3216</v>
      </c>
      <c r="AK33" s="15"/>
      <c r="AL33" s="334"/>
      <c r="AM33" s="15"/>
      <c r="AN33" s="583"/>
      <c r="AO33" s="15"/>
      <c r="AP33" s="15"/>
      <c r="AQ33" s="15"/>
      <c r="AR33" s="15"/>
      <c r="AS33" s="15"/>
      <c r="AT33" s="23"/>
      <c r="AU33" s="23"/>
      <c r="AV33" s="23"/>
      <c r="AW33" s="657"/>
      <c r="AX33" s="23"/>
      <c r="AY33" s="23"/>
      <c r="AZ33" s="23"/>
      <c r="BA33" s="23"/>
      <c r="BB33" s="23"/>
      <c r="BC33" s="23"/>
      <c r="BD33" s="23"/>
      <c r="BE33" s="657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348" t="s">
        <v>3190</v>
      </c>
      <c r="BR33" s="348" t="s">
        <v>3191</v>
      </c>
      <c r="BS33" s="23"/>
      <c r="BT33" s="14"/>
      <c r="BU33" s="23"/>
      <c r="BV33" s="23"/>
      <c r="BW33" s="23"/>
      <c r="BX33" s="14"/>
      <c r="BY33" s="23"/>
      <c r="BZ33" s="23"/>
      <c r="CA33" s="23"/>
      <c r="CB33" s="23"/>
      <c r="CC33" s="23"/>
      <c r="CD33" s="23"/>
      <c r="CE33" s="23"/>
      <c r="CF33" s="23"/>
      <c r="CG33" s="23" t="s">
        <v>3070</v>
      </c>
      <c r="CH33" s="23"/>
      <c r="CI33" s="471"/>
      <c r="CJ33" s="23"/>
    </row>
    <row r="34" spans="1:88" s="4" customFormat="1" ht="48" customHeight="1">
      <c r="A34" s="15">
        <v>12</v>
      </c>
      <c r="B34" s="349" t="s">
        <v>3277</v>
      </c>
      <c r="C34" s="15" t="s">
        <v>3326</v>
      </c>
      <c r="D34" s="331" t="s">
        <v>3327</v>
      </c>
      <c r="E34" s="15" t="s">
        <v>7</v>
      </c>
      <c r="F34" s="15">
        <v>2020</v>
      </c>
      <c r="G34" s="15">
        <v>2020</v>
      </c>
      <c r="H34" s="15">
        <v>10</v>
      </c>
      <c r="I34" s="15" t="s">
        <v>3307</v>
      </c>
      <c r="J34" s="350">
        <v>13337500</v>
      </c>
      <c r="K34" s="15" t="s">
        <v>3091</v>
      </c>
      <c r="L34" s="15">
        <v>4</v>
      </c>
      <c r="M34" s="15"/>
      <c r="N34" s="15" t="s">
        <v>3223</v>
      </c>
      <c r="O34" s="15" t="s">
        <v>3215</v>
      </c>
      <c r="P34" s="15" t="s">
        <v>3216</v>
      </c>
      <c r="Q34" s="15">
        <v>6680685</v>
      </c>
      <c r="R34" s="15" t="s">
        <v>21</v>
      </c>
      <c r="S34" s="334" t="s">
        <v>3328</v>
      </c>
      <c r="T34" s="597">
        <f t="shared" si="5"/>
        <v>13337500</v>
      </c>
      <c r="U34" s="15" t="s">
        <v>155</v>
      </c>
      <c r="V34" s="15"/>
      <c r="W34" s="15"/>
      <c r="X34" s="15" t="s">
        <v>3281</v>
      </c>
      <c r="Y34" s="15"/>
      <c r="Z34" s="15"/>
      <c r="AA34" s="333"/>
      <c r="AB34" s="15">
        <v>6680708</v>
      </c>
      <c r="AC34" s="334" t="s">
        <v>2436</v>
      </c>
      <c r="AD34" s="15" t="s">
        <v>85</v>
      </c>
      <c r="AE34" s="583">
        <f t="shared" si="6"/>
        <v>13337500</v>
      </c>
      <c r="AF34" s="15" t="s">
        <v>155</v>
      </c>
      <c r="AG34" s="15"/>
      <c r="AH34" s="15"/>
      <c r="AI34" s="15" t="s">
        <v>3281</v>
      </c>
      <c r="AJ34" s="15" t="s">
        <v>3216</v>
      </c>
      <c r="AK34" s="15"/>
      <c r="AL34" s="334"/>
      <c r="AM34" s="15"/>
      <c r="AN34" s="583"/>
      <c r="AO34" s="15"/>
      <c r="AP34" s="15"/>
      <c r="AQ34" s="15"/>
      <c r="AR34" s="15"/>
      <c r="AS34" s="15"/>
      <c r="AT34" s="23"/>
      <c r="AU34" s="23"/>
      <c r="AV34" s="23"/>
      <c r="AW34" s="657"/>
      <c r="AX34" s="23"/>
      <c r="AY34" s="23"/>
      <c r="AZ34" s="23"/>
      <c r="BA34" s="23"/>
      <c r="BB34" s="23"/>
      <c r="BC34" s="23"/>
      <c r="BD34" s="23"/>
      <c r="BE34" s="657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348" t="s">
        <v>3190</v>
      </c>
      <c r="BR34" s="348" t="s">
        <v>3191</v>
      </c>
      <c r="BS34" s="23"/>
      <c r="BT34" s="14"/>
      <c r="BU34" s="23"/>
      <c r="BV34" s="23"/>
      <c r="BW34" s="23"/>
      <c r="BX34" s="14"/>
      <c r="BY34" s="23"/>
      <c r="BZ34" s="23"/>
      <c r="CA34" s="23"/>
      <c r="CB34" s="23"/>
      <c r="CC34" s="23"/>
      <c r="CD34" s="23"/>
      <c r="CE34" s="23"/>
      <c r="CF34" s="23"/>
      <c r="CG34" s="23" t="s">
        <v>3295</v>
      </c>
      <c r="CH34" s="23"/>
      <c r="CI34" s="471" t="s">
        <v>3296</v>
      </c>
      <c r="CJ34" s="23"/>
    </row>
    <row r="35" spans="1:88" s="4" customFormat="1" ht="48" customHeight="1">
      <c r="A35" s="15">
        <v>13</v>
      </c>
      <c r="B35" s="349" t="s">
        <v>3277</v>
      </c>
      <c r="C35" s="15" t="s">
        <v>3329</v>
      </c>
      <c r="D35" s="331" t="s">
        <v>3330</v>
      </c>
      <c r="E35" s="15" t="s">
        <v>7</v>
      </c>
      <c r="F35" s="15">
        <v>2020</v>
      </c>
      <c r="G35" s="15">
        <v>2020</v>
      </c>
      <c r="H35" s="15">
        <v>10</v>
      </c>
      <c r="I35" s="15" t="s">
        <v>3331</v>
      </c>
      <c r="J35" s="350">
        <v>13579200</v>
      </c>
      <c r="K35" s="15" t="s">
        <v>3091</v>
      </c>
      <c r="L35" s="15">
        <v>2</v>
      </c>
      <c r="M35" s="15"/>
      <c r="N35" s="15" t="s">
        <v>3223</v>
      </c>
      <c r="O35" s="15" t="s">
        <v>3215</v>
      </c>
      <c r="P35" s="15" t="s">
        <v>3216</v>
      </c>
      <c r="Q35" s="15">
        <v>6680664</v>
      </c>
      <c r="R35" s="15" t="s">
        <v>15</v>
      </c>
      <c r="S35" s="334" t="s">
        <v>3332</v>
      </c>
      <c r="T35" s="597">
        <f t="shared" si="5"/>
        <v>13579200</v>
      </c>
      <c r="U35" s="15" t="s">
        <v>156</v>
      </c>
      <c r="V35" s="15"/>
      <c r="W35" s="15"/>
      <c r="X35" s="15" t="s">
        <v>3286</v>
      </c>
      <c r="Y35" s="15"/>
      <c r="Z35" s="15"/>
      <c r="AA35" s="333"/>
      <c r="AB35" s="15">
        <v>6682174</v>
      </c>
      <c r="AC35" s="334" t="s">
        <v>2285</v>
      </c>
      <c r="AD35" s="15" t="s">
        <v>20</v>
      </c>
      <c r="AE35" s="583">
        <f t="shared" si="6"/>
        <v>13579200</v>
      </c>
      <c r="AF35" s="15" t="s">
        <v>156</v>
      </c>
      <c r="AG35" s="15"/>
      <c r="AH35" s="15"/>
      <c r="AI35" s="15" t="s">
        <v>3286</v>
      </c>
      <c r="AJ35" s="15" t="s">
        <v>3216</v>
      </c>
      <c r="AK35" s="15">
        <v>6679083</v>
      </c>
      <c r="AL35" s="334" t="s">
        <v>2292</v>
      </c>
      <c r="AM35" s="15" t="s">
        <v>163</v>
      </c>
      <c r="AN35" s="583">
        <f>J35</f>
        <v>13579200</v>
      </c>
      <c r="AO35" s="15" t="s">
        <v>156</v>
      </c>
      <c r="AP35" s="15"/>
      <c r="AQ35" s="15"/>
      <c r="AR35" s="15" t="s">
        <v>3286</v>
      </c>
      <c r="AS35" s="15" t="s">
        <v>3216</v>
      </c>
      <c r="AT35" s="23"/>
      <c r="AU35" s="23"/>
      <c r="AV35" s="23"/>
      <c r="AW35" s="657"/>
      <c r="AX35" s="23"/>
      <c r="AY35" s="23"/>
      <c r="AZ35" s="23"/>
      <c r="BA35" s="23"/>
      <c r="BB35" s="23"/>
      <c r="BC35" s="23"/>
      <c r="BD35" s="23"/>
      <c r="BE35" s="657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348" t="s">
        <v>3190</v>
      </c>
      <c r="BR35" s="348" t="s">
        <v>3191</v>
      </c>
      <c r="BS35" s="23"/>
      <c r="BT35" s="14"/>
      <c r="BU35" s="23"/>
      <c r="BV35" s="23"/>
      <c r="BW35" s="23"/>
      <c r="BX35" s="14"/>
      <c r="BY35" s="23"/>
      <c r="BZ35" s="23"/>
      <c r="CA35" s="23"/>
      <c r="CB35" s="23"/>
      <c r="CC35" s="23"/>
      <c r="CD35" s="23"/>
      <c r="CE35" s="23"/>
      <c r="CF35" s="23"/>
      <c r="CG35" s="23" t="s">
        <v>3251</v>
      </c>
      <c r="CH35" s="23"/>
      <c r="CI35" s="471" t="s">
        <v>3309</v>
      </c>
      <c r="CJ35" s="23"/>
    </row>
    <row r="36" spans="1:88" s="4" customFormat="1" ht="48" customHeight="1">
      <c r="A36" s="15">
        <v>14</v>
      </c>
      <c r="B36" s="349" t="s">
        <v>3277</v>
      </c>
      <c r="C36" s="15" t="s">
        <v>3333</v>
      </c>
      <c r="D36" s="331" t="s">
        <v>3334</v>
      </c>
      <c r="E36" s="15" t="s">
        <v>7</v>
      </c>
      <c r="F36" s="15">
        <v>2020</v>
      </c>
      <c r="G36" s="15">
        <v>2020</v>
      </c>
      <c r="H36" s="15">
        <v>10</v>
      </c>
      <c r="I36" s="15" t="s">
        <v>3335</v>
      </c>
      <c r="J36" s="350">
        <v>8320250</v>
      </c>
      <c r="K36" s="15" t="s">
        <v>3091</v>
      </c>
      <c r="L36" s="15">
        <v>2</v>
      </c>
      <c r="M36" s="15"/>
      <c r="N36" s="15" t="s">
        <v>3223</v>
      </c>
      <c r="O36" s="15" t="s">
        <v>3215</v>
      </c>
      <c r="P36" s="15" t="s">
        <v>3216</v>
      </c>
      <c r="Q36" s="15">
        <v>6665306</v>
      </c>
      <c r="R36" s="15" t="s">
        <v>28</v>
      </c>
      <c r="S36" s="334" t="s">
        <v>3336</v>
      </c>
      <c r="T36" s="597">
        <f t="shared" si="5"/>
        <v>8320250</v>
      </c>
      <c r="U36" s="15" t="s">
        <v>166</v>
      </c>
      <c r="V36" s="15"/>
      <c r="W36" s="15"/>
      <c r="X36" s="15" t="s">
        <v>3286</v>
      </c>
      <c r="Y36" s="15"/>
      <c r="Z36" s="15"/>
      <c r="AA36" s="333"/>
      <c r="AB36" s="15">
        <v>6680623</v>
      </c>
      <c r="AC36" s="334" t="s">
        <v>1841</v>
      </c>
      <c r="AD36" s="15" t="s">
        <v>30</v>
      </c>
      <c r="AE36" s="583">
        <f t="shared" si="6"/>
        <v>8320250</v>
      </c>
      <c r="AF36" s="15" t="s">
        <v>166</v>
      </c>
      <c r="AG36" s="15"/>
      <c r="AH36" s="15"/>
      <c r="AI36" s="15" t="s">
        <v>3286</v>
      </c>
      <c r="AJ36" s="15" t="s">
        <v>3216</v>
      </c>
      <c r="AK36" s="15">
        <v>6680627</v>
      </c>
      <c r="AL36" s="334" t="s">
        <v>1912</v>
      </c>
      <c r="AM36" s="15" t="s">
        <v>88</v>
      </c>
      <c r="AN36" s="583">
        <f>J36</f>
        <v>8320250</v>
      </c>
      <c r="AO36" s="15" t="s">
        <v>160</v>
      </c>
      <c r="AP36" s="15"/>
      <c r="AQ36" s="15"/>
      <c r="AR36" s="15" t="s">
        <v>3281</v>
      </c>
      <c r="AS36" s="15" t="s">
        <v>3216</v>
      </c>
      <c r="AT36" s="23"/>
      <c r="AU36" s="23"/>
      <c r="AV36" s="23"/>
      <c r="AW36" s="657"/>
      <c r="AX36" s="23"/>
      <c r="AY36" s="23"/>
      <c r="AZ36" s="23"/>
      <c r="BA36" s="23"/>
      <c r="BB36" s="23"/>
      <c r="BC36" s="23"/>
      <c r="BD36" s="23"/>
      <c r="BE36" s="657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348" t="s">
        <v>3190</v>
      </c>
      <c r="BR36" s="348" t="s">
        <v>3191</v>
      </c>
      <c r="BS36" s="23"/>
      <c r="BT36" s="14"/>
      <c r="BU36" s="23"/>
      <c r="BV36" s="23"/>
      <c r="BW36" s="23"/>
      <c r="BX36" s="14"/>
      <c r="BY36" s="23"/>
      <c r="BZ36" s="23"/>
      <c r="CA36" s="23"/>
      <c r="CB36" s="23"/>
      <c r="CC36" s="23"/>
      <c r="CD36" s="23"/>
      <c r="CE36" s="23"/>
      <c r="CF36" s="23"/>
      <c r="CG36" s="23" t="s">
        <v>3287</v>
      </c>
      <c r="CH36" s="23"/>
      <c r="CI36" s="471" t="s">
        <v>3090</v>
      </c>
      <c r="CJ36" s="23"/>
    </row>
    <row r="37" spans="1:88" s="4" customFormat="1" ht="48" customHeight="1">
      <c r="A37" s="15">
        <v>15</v>
      </c>
      <c r="B37" s="349" t="s">
        <v>3337</v>
      </c>
      <c r="C37" s="15" t="s">
        <v>3338</v>
      </c>
      <c r="D37" s="331" t="s">
        <v>3339</v>
      </c>
      <c r="E37" s="15" t="s">
        <v>3340</v>
      </c>
      <c r="F37" s="15">
        <v>2020</v>
      </c>
      <c r="G37" s="15">
        <v>2020</v>
      </c>
      <c r="H37" s="15">
        <v>10</v>
      </c>
      <c r="I37" s="15" t="s">
        <v>3294</v>
      </c>
      <c r="J37" s="350">
        <v>19765000</v>
      </c>
      <c r="K37" s="15" t="s">
        <v>3091</v>
      </c>
      <c r="L37" s="15">
        <v>2</v>
      </c>
      <c r="M37" s="15" t="s">
        <v>3341</v>
      </c>
      <c r="N37" s="15" t="s">
        <v>3342</v>
      </c>
      <c r="O37" s="15" t="s">
        <v>3215</v>
      </c>
      <c r="P37" s="15"/>
      <c r="Q37" s="15">
        <v>6680629</v>
      </c>
      <c r="R37" s="15" t="s">
        <v>27</v>
      </c>
      <c r="S37" s="334" t="s">
        <v>2424</v>
      </c>
      <c r="T37" s="597">
        <f t="shared" si="5"/>
        <v>19765000</v>
      </c>
      <c r="U37" s="15" t="s">
        <v>151</v>
      </c>
      <c r="V37" s="15"/>
      <c r="W37" s="15"/>
      <c r="X37" s="15" t="s">
        <v>3281</v>
      </c>
      <c r="Y37" s="15"/>
      <c r="Z37" s="15"/>
      <c r="AA37" s="333"/>
      <c r="AB37" s="15">
        <v>6680633</v>
      </c>
      <c r="AC37" s="334" t="s">
        <v>3322</v>
      </c>
      <c r="AD37" s="15" t="s">
        <v>18</v>
      </c>
      <c r="AE37" s="583">
        <f t="shared" si="6"/>
        <v>19765000</v>
      </c>
      <c r="AF37" s="15" t="s">
        <v>156</v>
      </c>
      <c r="AG37" s="15" t="s">
        <v>166</v>
      </c>
      <c r="AH37" s="15"/>
      <c r="AI37" s="15" t="s">
        <v>3286</v>
      </c>
      <c r="AJ37" s="15" t="s">
        <v>3216</v>
      </c>
      <c r="AK37" s="15"/>
      <c r="AL37" s="334"/>
      <c r="AM37" s="15"/>
      <c r="AN37" s="583"/>
      <c r="AO37" s="15"/>
      <c r="AP37" s="15"/>
      <c r="AQ37" s="15"/>
      <c r="AR37" s="15"/>
      <c r="AS37" s="15"/>
      <c r="AT37" s="23"/>
      <c r="AU37" s="23"/>
      <c r="AV37" s="23"/>
      <c r="AW37" s="657"/>
      <c r="AX37" s="23"/>
      <c r="AY37" s="23"/>
      <c r="AZ37" s="23"/>
      <c r="BA37" s="23"/>
      <c r="BB37" s="23"/>
      <c r="BC37" s="23"/>
      <c r="BD37" s="23"/>
      <c r="BE37" s="657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348" t="s">
        <v>3190</v>
      </c>
      <c r="BR37" s="348" t="s">
        <v>3190</v>
      </c>
      <c r="BS37" s="23"/>
      <c r="BT37" s="14"/>
      <c r="BU37" s="23"/>
      <c r="BV37" s="23"/>
      <c r="BW37" s="23"/>
      <c r="BX37" s="14"/>
      <c r="BY37" s="23"/>
      <c r="BZ37" s="23"/>
      <c r="CA37" s="23"/>
      <c r="CB37" s="23"/>
      <c r="CC37" s="23"/>
      <c r="CD37" s="23"/>
      <c r="CE37" s="23"/>
      <c r="CF37" s="23"/>
      <c r="CG37" s="23" t="s">
        <v>3295</v>
      </c>
      <c r="CH37" s="23"/>
      <c r="CI37" s="471" t="s">
        <v>3296</v>
      </c>
      <c r="CJ37" s="23"/>
    </row>
    <row r="38" spans="1:88" s="4" customFormat="1" ht="48" customHeight="1">
      <c r="A38" s="15">
        <v>16</v>
      </c>
      <c r="B38" s="349" t="s">
        <v>3337</v>
      </c>
      <c r="C38" s="15" t="s">
        <v>3343</v>
      </c>
      <c r="D38" s="331" t="s">
        <v>3344</v>
      </c>
      <c r="E38" s="15" t="s">
        <v>3340</v>
      </c>
      <c r="F38" s="15">
        <v>2020</v>
      </c>
      <c r="G38" s="15">
        <v>2020</v>
      </c>
      <c r="H38" s="15">
        <v>12</v>
      </c>
      <c r="I38" s="15"/>
      <c r="J38" s="350">
        <v>19355000</v>
      </c>
      <c r="K38" s="15" t="s">
        <v>3091</v>
      </c>
      <c r="L38" s="15">
        <v>2</v>
      </c>
      <c r="M38" s="15"/>
      <c r="N38" s="15" t="s">
        <v>3342</v>
      </c>
      <c r="O38" s="15" t="s">
        <v>3215</v>
      </c>
      <c r="P38" s="15"/>
      <c r="Q38" s="15">
        <v>6681051</v>
      </c>
      <c r="R38" s="15" t="s">
        <v>6</v>
      </c>
      <c r="S38" s="334" t="s">
        <v>3345</v>
      </c>
      <c r="T38" s="597">
        <f t="shared" si="5"/>
        <v>19355000</v>
      </c>
      <c r="U38" s="15" t="s">
        <v>160</v>
      </c>
      <c r="V38" s="15"/>
      <c r="W38" s="15"/>
      <c r="X38" s="15" t="s">
        <v>3281</v>
      </c>
      <c r="Y38" s="15"/>
      <c r="Z38" s="15"/>
      <c r="AA38" s="333"/>
      <c r="AB38" s="15">
        <v>6680687</v>
      </c>
      <c r="AC38" s="334" t="s">
        <v>1693</v>
      </c>
      <c r="AD38" s="15" t="s">
        <v>29</v>
      </c>
      <c r="AE38" s="583">
        <f t="shared" si="6"/>
        <v>19355000</v>
      </c>
      <c r="AF38" s="15" t="s">
        <v>160</v>
      </c>
      <c r="AG38" s="15"/>
      <c r="AH38" s="15"/>
      <c r="AI38" s="15" t="s">
        <v>3281</v>
      </c>
      <c r="AJ38" s="15" t="s">
        <v>3216</v>
      </c>
      <c r="AK38" s="15"/>
      <c r="AL38" s="334"/>
      <c r="AM38" s="15"/>
      <c r="AN38" s="583"/>
      <c r="AO38" s="15"/>
      <c r="AP38" s="15"/>
      <c r="AQ38" s="15"/>
      <c r="AR38" s="15"/>
      <c r="AS38" s="15"/>
      <c r="AT38" s="23"/>
      <c r="AU38" s="23"/>
      <c r="AV38" s="23"/>
      <c r="AW38" s="657"/>
      <c r="AX38" s="23"/>
      <c r="AY38" s="23"/>
      <c r="AZ38" s="23"/>
      <c r="BA38" s="23"/>
      <c r="BB38" s="23"/>
      <c r="BC38" s="23"/>
      <c r="BD38" s="23"/>
      <c r="BE38" s="657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348" t="s">
        <v>3190</v>
      </c>
      <c r="BR38" s="15" t="s">
        <v>3191</v>
      </c>
      <c r="BS38" s="23"/>
      <c r="BT38" s="14"/>
      <c r="BU38" s="23"/>
      <c r="BV38" s="23"/>
      <c r="BW38" s="23"/>
      <c r="BX38" s="14"/>
      <c r="BY38" s="23"/>
      <c r="BZ38" s="23"/>
      <c r="CA38" s="23"/>
      <c r="CB38" s="23"/>
      <c r="CC38" s="23"/>
      <c r="CD38" s="23"/>
      <c r="CE38" s="23"/>
      <c r="CF38" s="23"/>
      <c r="CG38" s="23" t="s">
        <v>3251</v>
      </c>
      <c r="CH38" s="23"/>
      <c r="CI38" s="471" t="s">
        <v>3346</v>
      </c>
      <c r="CJ38" s="23"/>
    </row>
    <row r="39" spans="1:88" s="565" customFormat="1" ht="60" customHeight="1">
      <c r="A39" s="15">
        <v>17</v>
      </c>
      <c r="B39" s="349" t="s">
        <v>3337</v>
      </c>
      <c r="C39" s="15" t="s">
        <v>3347</v>
      </c>
      <c r="D39" s="331" t="s">
        <v>3348</v>
      </c>
      <c r="E39" s="15" t="s">
        <v>3340</v>
      </c>
      <c r="F39" s="15">
        <v>2020</v>
      </c>
      <c r="G39" s="15">
        <v>2020</v>
      </c>
      <c r="H39" s="15">
        <v>12</v>
      </c>
      <c r="I39" s="15"/>
      <c r="J39" s="350">
        <v>18860000</v>
      </c>
      <c r="K39" s="15" t="s">
        <v>3091</v>
      </c>
      <c r="L39" s="15">
        <v>2</v>
      </c>
      <c r="M39" s="15"/>
      <c r="N39" s="15" t="s">
        <v>3342</v>
      </c>
      <c r="O39" s="15" t="s">
        <v>3215</v>
      </c>
      <c r="P39" s="15"/>
      <c r="Q39" s="15">
        <v>6680634</v>
      </c>
      <c r="R39" s="15" t="s">
        <v>47</v>
      </c>
      <c r="S39" s="334" t="s">
        <v>3349</v>
      </c>
      <c r="T39" s="597">
        <f t="shared" si="5"/>
        <v>18860000</v>
      </c>
      <c r="U39" s="15" t="s">
        <v>166</v>
      </c>
      <c r="V39" s="15"/>
      <c r="W39" s="15"/>
      <c r="X39" s="15" t="s">
        <v>3286</v>
      </c>
      <c r="Y39" s="15"/>
      <c r="Z39" s="15"/>
      <c r="AA39" s="333"/>
      <c r="AB39" s="15">
        <v>6680622</v>
      </c>
      <c r="AC39" s="334" t="s">
        <v>983</v>
      </c>
      <c r="AD39" s="15" t="s">
        <v>11</v>
      </c>
      <c r="AE39" s="583">
        <f t="shared" si="6"/>
        <v>18860000</v>
      </c>
      <c r="AF39" s="15" t="s">
        <v>164</v>
      </c>
      <c r="AG39" s="15"/>
      <c r="AH39" s="15"/>
      <c r="AI39" s="15" t="s">
        <v>3286</v>
      </c>
      <c r="AJ39" s="15" t="s">
        <v>3216</v>
      </c>
      <c r="AK39" s="15"/>
      <c r="AL39" s="334"/>
      <c r="AM39" s="15"/>
      <c r="AN39" s="583"/>
      <c r="AO39" s="15"/>
      <c r="AP39" s="15"/>
      <c r="AQ39" s="15"/>
      <c r="AR39" s="15"/>
      <c r="AS39" s="15"/>
      <c r="AT39" s="23"/>
      <c r="AU39" s="23"/>
      <c r="AV39" s="23"/>
      <c r="AW39" s="657"/>
      <c r="AX39" s="23"/>
      <c r="AY39" s="23"/>
      <c r="AZ39" s="23"/>
      <c r="BA39" s="23"/>
      <c r="BB39" s="23"/>
      <c r="BC39" s="23"/>
      <c r="BD39" s="23"/>
      <c r="BE39" s="657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15" t="s">
        <v>3190</v>
      </c>
      <c r="BR39" s="15" t="s">
        <v>3191</v>
      </c>
      <c r="BS39" s="23"/>
      <c r="BT39" s="14"/>
      <c r="BU39" s="23"/>
      <c r="BV39" s="23"/>
      <c r="BW39" s="23"/>
      <c r="BX39" s="14"/>
      <c r="BY39" s="23"/>
      <c r="BZ39" s="23"/>
      <c r="CA39" s="23"/>
      <c r="CB39" s="23"/>
      <c r="CC39" s="23"/>
      <c r="CD39" s="23"/>
      <c r="CE39" s="23"/>
      <c r="CF39" s="23"/>
      <c r="CG39" s="23" t="s">
        <v>3251</v>
      </c>
      <c r="CH39" s="23"/>
      <c r="CI39" s="471"/>
      <c r="CJ39" s="23"/>
    </row>
    <row r="40" spans="1:88" s="4" customFormat="1" ht="48" customHeight="1">
      <c r="A40" s="15">
        <v>18</v>
      </c>
      <c r="B40" s="349" t="s">
        <v>3337</v>
      </c>
      <c r="C40" s="15" t="s">
        <v>3350</v>
      </c>
      <c r="D40" s="331" t="s">
        <v>3351</v>
      </c>
      <c r="E40" s="15" t="s">
        <v>3340</v>
      </c>
      <c r="F40" s="15">
        <v>2020</v>
      </c>
      <c r="G40" s="15">
        <v>2020</v>
      </c>
      <c r="H40" s="15">
        <v>12</v>
      </c>
      <c r="I40" s="15"/>
      <c r="J40" s="350">
        <v>19721000</v>
      </c>
      <c r="K40" s="15" t="s">
        <v>3091</v>
      </c>
      <c r="L40" s="15">
        <v>2</v>
      </c>
      <c r="M40" s="15"/>
      <c r="N40" s="15" t="s">
        <v>3342</v>
      </c>
      <c r="O40" s="15" t="s">
        <v>3215</v>
      </c>
      <c r="P40" s="15"/>
      <c r="Q40" s="15">
        <v>259781</v>
      </c>
      <c r="R40" s="15" t="s">
        <v>26</v>
      </c>
      <c r="S40" s="334" t="s">
        <v>3312</v>
      </c>
      <c r="T40" s="597">
        <f t="shared" si="5"/>
        <v>19721000</v>
      </c>
      <c r="U40" s="15" t="s">
        <v>3093</v>
      </c>
      <c r="V40" s="15" t="s">
        <v>166</v>
      </c>
      <c r="W40" s="15"/>
      <c r="X40" s="15" t="s">
        <v>3286</v>
      </c>
      <c r="Y40" s="15"/>
      <c r="Z40" s="15"/>
      <c r="AA40" s="333"/>
      <c r="AB40" s="15">
        <v>6680645</v>
      </c>
      <c r="AC40" s="334" t="s">
        <v>2849</v>
      </c>
      <c r="AD40" s="15" t="s">
        <v>83</v>
      </c>
      <c r="AE40" s="583">
        <f t="shared" si="6"/>
        <v>19721000</v>
      </c>
      <c r="AF40" s="15" t="s">
        <v>154</v>
      </c>
      <c r="AG40" s="15"/>
      <c r="AH40" s="15"/>
      <c r="AI40" s="15" t="s">
        <v>3281</v>
      </c>
      <c r="AJ40" s="15" t="s">
        <v>3216</v>
      </c>
      <c r="AK40" s="15"/>
      <c r="AL40" s="334"/>
      <c r="AM40" s="15"/>
      <c r="AN40" s="583"/>
      <c r="AO40" s="15"/>
      <c r="AP40" s="15"/>
      <c r="AQ40" s="15"/>
      <c r="AR40" s="15"/>
      <c r="AS40" s="15"/>
      <c r="AT40" s="23"/>
      <c r="AU40" s="23"/>
      <c r="AV40" s="23"/>
      <c r="AW40" s="657"/>
      <c r="AX40" s="23"/>
      <c r="AY40" s="23"/>
      <c r="AZ40" s="23"/>
      <c r="BA40" s="23"/>
      <c r="BB40" s="23"/>
      <c r="BC40" s="23"/>
      <c r="BD40" s="23"/>
      <c r="BE40" s="657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15" t="s">
        <v>3190</v>
      </c>
      <c r="BR40" s="15" t="s">
        <v>3191</v>
      </c>
      <c r="BS40" s="23"/>
      <c r="BT40" s="14"/>
      <c r="BU40" s="23"/>
      <c r="BV40" s="23"/>
      <c r="BW40" s="23"/>
      <c r="BX40" s="14"/>
      <c r="BY40" s="23"/>
      <c r="BZ40" s="23"/>
      <c r="CA40" s="23"/>
      <c r="CB40" s="23"/>
      <c r="CC40" s="23"/>
      <c r="CD40" s="23"/>
      <c r="CE40" s="23"/>
      <c r="CF40" s="23"/>
      <c r="CG40" s="23" t="s">
        <v>3251</v>
      </c>
      <c r="CH40" s="23"/>
      <c r="CI40" s="471" t="s">
        <v>3352</v>
      </c>
      <c r="CJ40" s="23"/>
    </row>
    <row r="41" spans="1:88" s="565" customFormat="1" ht="66.75" customHeight="1">
      <c r="A41" s="15">
        <v>19</v>
      </c>
      <c r="B41" s="349" t="s">
        <v>3337</v>
      </c>
      <c r="C41" s="15" t="s">
        <v>3353</v>
      </c>
      <c r="D41" s="331" t="s">
        <v>3354</v>
      </c>
      <c r="E41" s="15" t="s">
        <v>3340</v>
      </c>
      <c r="F41" s="15">
        <v>2020</v>
      </c>
      <c r="G41" s="15">
        <v>2020</v>
      </c>
      <c r="H41" s="15">
        <v>12</v>
      </c>
      <c r="I41" s="15" t="s">
        <v>3355</v>
      </c>
      <c r="J41" s="350">
        <v>16000000</v>
      </c>
      <c r="K41" s="15" t="s">
        <v>3091</v>
      </c>
      <c r="L41" s="15"/>
      <c r="M41" s="15"/>
      <c r="N41" s="15" t="s">
        <v>3342</v>
      </c>
      <c r="O41" s="15" t="s">
        <v>3215</v>
      </c>
      <c r="P41" s="15"/>
      <c r="Q41" s="15">
        <v>6680628</v>
      </c>
      <c r="R41" s="15" t="s">
        <v>89</v>
      </c>
      <c r="S41" s="334" t="s">
        <v>3356</v>
      </c>
      <c r="T41" s="597">
        <f t="shared" si="5"/>
        <v>16000000</v>
      </c>
      <c r="U41" s="15" t="s">
        <v>164</v>
      </c>
      <c r="V41" s="15"/>
      <c r="W41" s="15"/>
      <c r="X41" s="15" t="s">
        <v>3286</v>
      </c>
      <c r="Y41" s="15" t="s">
        <v>3216</v>
      </c>
      <c r="Z41" s="15">
        <v>8140</v>
      </c>
      <c r="AA41" s="333" t="s">
        <v>3291</v>
      </c>
      <c r="AB41" s="15">
        <v>6680626</v>
      </c>
      <c r="AC41" s="334" t="s">
        <v>1008</v>
      </c>
      <c r="AD41" s="15" t="s">
        <v>38</v>
      </c>
      <c r="AE41" s="583">
        <f t="shared" si="6"/>
        <v>16000000</v>
      </c>
      <c r="AF41" s="15" t="s">
        <v>171</v>
      </c>
      <c r="AG41" s="15"/>
      <c r="AH41" s="15"/>
      <c r="AI41" s="15" t="s">
        <v>3286</v>
      </c>
      <c r="AJ41" s="15" t="s">
        <v>3216</v>
      </c>
      <c r="AK41" s="15">
        <v>6680698</v>
      </c>
      <c r="AL41" s="334" t="s">
        <v>1002</v>
      </c>
      <c r="AM41" s="15" t="s">
        <v>165</v>
      </c>
      <c r="AN41" s="583">
        <f>J41</f>
        <v>16000000</v>
      </c>
      <c r="AO41" s="15" t="s">
        <v>164</v>
      </c>
      <c r="AP41" s="15"/>
      <c r="AQ41" s="15"/>
      <c r="AR41" s="15" t="s">
        <v>3286</v>
      </c>
      <c r="AS41" s="15" t="s">
        <v>3216</v>
      </c>
      <c r="AT41" s="23"/>
      <c r="AU41" s="23"/>
      <c r="AV41" s="23"/>
      <c r="AW41" s="657"/>
      <c r="AX41" s="23"/>
      <c r="AY41" s="23"/>
      <c r="AZ41" s="23"/>
      <c r="BA41" s="23"/>
      <c r="BB41" s="23"/>
      <c r="BC41" s="23"/>
      <c r="BD41" s="23"/>
      <c r="BE41" s="657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15" t="s">
        <v>3190</v>
      </c>
      <c r="BR41" s="15" t="s">
        <v>3191</v>
      </c>
      <c r="BS41" s="23"/>
      <c r="BT41" s="14"/>
      <c r="BU41" s="23"/>
      <c r="BV41" s="23"/>
      <c r="BW41" s="23"/>
      <c r="BX41" s="14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471"/>
      <c r="CJ41" s="23"/>
    </row>
    <row r="42" spans="1:88" s="4" customFormat="1" ht="48" customHeight="1">
      <c r="A42" s="15">
        <v>20</v>
      </c>
      <c r="B42" s="349" t="s">
        <v>3337</v>
      </c>
      <c r="C42" s="15" t="s">
        <v>3357</v>
      </c>
      <c r="D42" s="331" t="s">
        <v>3358</v>
      </c>
      <c r="E42" s="15" t="s">
        <v>3340</v>
      </c>
      <c r="F42" s="15">
        <v>2020</v>
      </c>
      <c r="G42" s="15">
        <v>2020</v>
      </c>
      <c r="H42" s="15"/>
      <c r="I42" s="15"/>
      <c r="J42" s="350">
        <v>19770000</v>
      </c>
      <c r="K42" s="15" t="s">
        <v>3091</v>
      </c>
      <c r="L42" s="15"/>
      <c r="M42" s="15"/>
      <c r="N42" s="15" t="s">
        <v>3342</v>
      </c>
      <c r="O42" s="15" t="s">
        <v>3215</v>
      </c>
      <c r="P42" s="15"/>
      <c r="Q42" s="15">
        <v>6681205</v>
      </c>
      <c r="R42" s="15" t="s">
        <v>48</v>
      </c>
      <c r="S42" s="334" t="s">
        <v>3359</v>
      </c>
      <c r="T42" s="597">
        <f t="shared" si="5"/>
        <v>19770000</v>
      </c>
      <c r="U42" s="15" t="s">
        <v>156</v>
      </c>
      <c r="V42" s="15"/>
      <c r="W42" s="15"/>
      <c r="X42" s="15" t="s">
        <v>3286</v>
      </c>
      <c r="Y42" s="15"/>
      <c r="Z42" s="15"/>
      <c r="AA42" s="333"/>
      <c r="AB42" s="15">
        <v>6682174</v>
      </c>
      <c r="AC42" s="334" t="s">
        <v>2285</v>
      </c>
      <c r="AD42" s="15" t="s">
        <v>20</v>
      </c>
      <c r="AE42" s="583">
        <f t="shared" si="6"/>
        <v>19770000</v>
      </c>
      <c r="AF42" s="15" t="s">
        <v>156</v>
      </c>
      <c r="AG42" s="15"/>
      <c r="AH42" s="15"/>
      <c r="AI42" s="15" t="s">
        <v>3286</v>
      </c>
      <c r="AJ42" s="15" t="s">
        <v>3216</v>
      </c>
      <c r="AK42" s="15"/>
      <c r="AL42" s="334"/>
      <c r="AM42" s="15"/>
      <c r="AN42" s="583"/>
      <c r="AO42" s="15"/>
      <c r="AP42" s="15"/>
      <c r="AQ42" s="15"/>
      <c r="AR42" s="15"/>
      <c r="AS42" s="15"/>
      <c r="AT42" s="23"/>
      <c r="AU42" s="23"/>
      <c r="AV42" s="23"/>
      <c r="AW42" s="657"/>
      <c r="AX42" s="23"/>
      <c r="AY42" s="23"/>
      <c r="AZ42" s="23"/>
      <c r="BA42" s="23"/>
      <c r="BB42" s="23"/>
      <c r="BC42" s="23"/>
      <c r="BD42" s="23"/>
      <c r="BE42" s="657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15" t="s">
        <v>3190</v>
      </c>
      <c r="BR42" s="15" t="s">
        <v>3191</v>
      </c>
      <c r="BS42" s="23"/>
      <c r="BT42" s="14"/>
      <c r="BU42" s="23"/>
      <c r="BV42" s="23"/>
      <c r="BW42" s="23"/>
      <c r="BX42" s="14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471"/>
      <c r="CJ42" s="23"/>
    </row>
    <row r="43" spans="1:88" s="565" customFormat="1" ht="48" customHeight="1">
      <c r="A43" s="15">
        <v>21</v>
      </c>
      <c r="B43" s="349" t="s">
        <v>3337</v>
      </c>
      <c r="C43" s="15" t="s">
        <v>3360</v>
      </c>
      <c r="D43" s="331" t="s">
        <v>3361</v>
      </c>
      <c r="E43" s="15" t="s">
        <v>3340</v>
      </c>
      <c r="F43" s="15">
        <v>2020</v>
      </c>
      <c r="G43" s="15">
        <v>2020</v>
      </c>
      <c r="H43" s="15">
        <v>12</v>
      </c>
      <c r="I43" s="15" t="s">
        <v>3214</v>
      </c>
      <c r="J43" s="350">
        <v>16097000</v>
      </c>
      <c r="K43" s="15" t="s">
        <v>3091</v>
      </c>
      <c r="L43" s="15">
        <v>2</v>
      </c>
      <c r="M43" s="15"/>
      <c r="N43" s="15" t="s">
        <v>3342</v>
      </c>
      <c r="O43" s="15" t="s">
        <v>3215</v>
      </c>
      <c r="P43" s="15"/>
      <c r="Q43" s="15">
        <v>6680683</v>
      </c>
      <c r="R43" s="15" t="s">
        <v>10</v>
      </c>
      <c r="S43" s="334" t="s">
        <v>3362</v>
      </c>
      <c r="T43" s="597">
        <f t="shared" si="5"/>
        <v>16097000</v>
      </c>
      <c r="U43" s="15" t="s">
        <v>164</v>
      </c>
      <c r="V43" s="15"/>
      <c r="W43" s="15"/>
      <c r="X43" s="15" t="s">
        <v>3286</v>
      </c>
      <c r="Y43" s="15" t="s">
        <v>3216</v>
      </c>
      <c r="Z43" s="15">
        <v>8140</v>
      </c>
      <c r="AA43" s="333" t="s">
        <v>3291</v>
      </c>
      <c r="AB43" s="15">
        <v>6680741</v>
      </c>
      <c r="AC43" s="334" t="s">
        <v>3363</v>
      </c>
      <c r="AD43" s="15" t="s">
        <v>16</v>
      </c>
      <c r="AE43" s="583">
        <f t="shared" si="6"/>
        <v>16097000</v>
      </c>
      <c r="AF43" s="15" t="s">
        <v>154</v>
      </c>
      <c r="AG43" s="15"/>
      <c r="AH43" s="15"/>
      <c r="AI43" s="15" t="s">
        <v>3281</v>
      </c>
      <c r="AJ43" s="15" t="s">
        <v>3216</v>
      </c>
      <c r="AK43" s="15"/>
      <c r="AL43" s="334"/>
      <c r="AM43" s="15"/>
      <c r="AN43" s="583"/>
      <c r="AO43" s="15"/>
      <c r="AP43" s="15"/>
      <c r="AQ43" s="15"/>
      <c r="AR43" s="15"/>
      <c r="AS43" s="15"/>
      <c r="AT43" s="23"/>
      <c r="AU43" s="23"/>
      <c r="AV43" s="23"/>
      <c r="AW43" s="657"/>
      <c r="AX43" s="23"/>
      <c r="AY43" s="23"/>
      <c r="AZ43" s="23"/>
      <c r="BA43" s="23"/>
      <c r="BB43" s="23"/>
      <c r="BC43" s="23"/>
      <c r="BD43" s="23"/>
      <c r="BE43" s="657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15" t="s">
        <v>3190</v>
      </c>
      <c r="BR43" s="15" t="s">
        <v>3191</v>
      </c>
      <c r="BS43" s="23"/>
      <c r="BT43" s="14"/>
      <c r="BU43" s="23"/>
      <c r="BV43" s="23"/>
      <c r="BW43" s="23"/>
      <c r="BX43" s="14"/>
      <c r="BY43" s="23"/>
      <c r="BZ43" s="23"/>
      <c r="CA43" s="23"/>
      <c r="CB43" s="23"/>
      <c r="CC43" s="23"/>
      <c r="CD43" s="23"/>
      <c r="CE43" s="23"/>
      <c r="CF43" s="23"/>
      <c r="CG43" s="23" t="s">
        <v>3251</v>
      </c>
      <c r="CH43" s="23"/>
      <c r="CI43" s="471"/>
      <c r="CJ43" s="23"/>
    </row>
    <row r="44" spans="1:88" s="4" customFormat="1" ht="48" customHeight="1">
      <c r="A44" s="15">
        <v>22</v>
      </c>
      <c r="B44" s="349" t="s">
        <v>3337</v>
      </c>
      <c r="C44" s="15" t="s">
        <v>3364</v>
      </c>
      <c r="D44" s="331" t="s">
        <v>3365</v>
      </c>
      <c r="E44" s="15" t="s">
        <v>3340</v>
      </c>
      <c r="F44" s="15">
        <v>2020</v>
      </c>
      <c r="G44" s="15">
        <v>2020</v>
      </c>
      <c r="H44" s="15">
        <v>12</v>
      </c>
      <c r="I44" s="15" t="s">
        <v>3294</v>
      </c>
      <c r="J44" s="350">
        <v>19431000</v>
      </c>
      <c r="K44" s="15" t="s">
        <v>3091</v>
      </c>
      <c r="L44" s="15">
        <v>3</v>
      </c>
      <c r="M44" s="15"/>
      <c r="N44" s="15" t="s">
        <v>3342</v>
      </c>
      <c r="O44" s="15" t="s">
        <v>3215</v>
      </c>
      <c r="P44" s="15"/>
      <c r="Q44" s="15">
        <v>6680627</v>
      </c>
      <c r="R44" s="15" t="s">
        <v>88</v>
      </c>
      <c r="S44" s="334" t="s">
        <v>3366</v>
      </c>
      <c r="T44" s="597">
        <f t="shared" si="5"/>
        <v>19431000</v>
      </c>
      <c r="U44" s="15" t="s">
        <v>160</v>
      </c>
      <c r="V44" s="15"/>
      <c r="W44" s="15"/>
      <c r="X44" s="15" t="s">
        <v>3281</v>
      </c>
      <c r="Y44" s="15"/>
      <c r="Z44" s="15"/>
      <c r="AA44" s="333"/>
      <c r="AB44" s="15">
        <v>6665306</v>
      </c>
      <c r="AC44" s="334" t="s">
        <v>3336</v>
      </c>
      <c r="AD44" s="15" t="s">
        <v>28</v>
      </c>
      <c r="AE44" s="583">
        <f t="shared" si="6"/>
        <v>19431000</v>
      </c>
      <c r="AF44" s="15" t="s">
        <v>166</v>
      </c>
      <c r="AG44" s="15"/>
      <c r="AH44" s="15"/>
      <c r="AI44" s="15" t="s">
        <v>3286</v>
      </c>
      <c r="AJ44" s="15" t="s">
        <v>3216</v>
      </c>
      <c r="AK44" s="15">
        <v>6680648</v>
      </c>
      <c r="AL44" s="334">
        <v>724089201</v>
      </c>
      <c r="AM44" s="15" t="s">
        <v>17</v>
      </c>
      <c r="AN44" s="583">
        <f>J44</f>
        <v>19431000</v>
      </c>
      <c r="AO44" s="15" t="s">
        <v>166</v>
      </c>
      <c r="AP44" s="15"/>
      <c r="AQ44" s="15"/>
      <c r="AR44" s="15" t="s">
        <v>3286</v>
      </c>
      <c r="AS44" s="15" t="s">
        <v>3216</v>
      </c>
      <c r="AT44" s="23"/>
      <c r="AU44" s="23"/>
      <c r="AV44" s="23"/>
      <c r="AW44" s="657"/>
      <c r="AX44" s="23"/>
      <c r="AY44" s="23"/>
      <c r="AZ44" s="23"/>
      <c r="BA44" s="23"/>
      <c r="BB44" s="23"/>
      <c r="BC44" s="23"/>
      <c r="BD44" s="23"/>
      <c r="BE44" s="657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15" t="s">
        <v>3190</v>
      </c>
      <c r="BR44" s="15" t="s">
        <v>3191</v>
      </c>
      <c r="BS44" s="23"/>
      <c r="BT44" s="14"/>
      <c r="BU44" s="23"/>
      <c r="BV44" s="23"/>
      <c r="BW44" s="23"/>
      <c r="BX44" s="14"/>
      <c r="BY44" s="23"/>
      <c r="BZ44" s="23"/>
      <c r="CA44" s="23"/>
      <c r="CB44" s="23"/>
      <c r="CC44" s="23"/>
      <c r="CD44" s="23"/>
      <c r="CE44" s="23"/>
      <c r="CF44" s="23"/>
      <c r="CG44" s="23" t="s">
        <v>3251</v>
      </c>
      <c r="CH44" s="23"/>
      <c r="CI44" s="471" t="s">
        <v>3367</v>
      </c>
      <c r="CJ44" s="23"/>
    </row>
    <row r="45" spans="1:88" s="4" customFormat="1" ht="48" customHeight="1">
      <c r="A45" s="15">
        <v>23</v>
      </c>
      <c r="B45" s="349" t="s">
        <v>3337</v>
      </c>
      <c r="C45" s="15" t="s">
        <v>3368</v>
      </c>
      <c r="D45" s="331" t="s">
        <v>3369</v>
      </c>
      <c r="E45" s="15" t="s">
        <v>3340</v>
      </c>
      <c r="F45" s="15">
        <v>2020</v>
      </c>
      <c r="G45" s="15">
        <v>2020</v>
      </c>
      <c r="H45" s="15">
        <v>12</v>
      </c>
      <c r="I45" s="15" t="s">
        <v>3307</v>
      </c>
      <c r="J45" s="350">
        <v>19990000</v>
      </c>
      <c r="K45" s="15" t="s">
        <v>3091</v>
      </c>
      <c r="L45" s="15">
        <v>2</v>
      </c>
      <c r="M45" s="15"/>
      <c r="N45" s="15" t="s">
        <v>3342</v>
      </c>
      <c r="O45" s="15" t="s">
        <v>3215</v>
      </c>
      <c r="P45" s="15"/>
      <c r="Q45" s="15">
        <v>6680726</v>
      </c>
      <c r="R45" s="15" t="s">
        <v>93</v>
      </c>
      <c r="S45" s="334" t="s">
        <v>3370</v>
      </c>
      <c r="T45" s="597">
        <f t="shared" si="5"/>
        <v>19990000</v>
      </c>
      <c r="U45" s="15" t="s">
        <v>156</v>
      </c>
      <c r="V45" s="15"/>
      <c r="W45" s="15"/>
      <c r="X45" s="15" t="s">
        <v>3286</v>
      </c>
      <c r="Y45" s="15"/>
      <c r="Z45" s="15"/>
      <c r="AA45" s="333"/>
      <c r="AB45" s="15">
        <v>6680680</v>
      </c>
      <c r="AC45" s="334" t="s">
        <v>3371</v>
      </c>
      <c r="AD45" s="15" t="s">
        <v>958</v>
      </c>
      <c r="AE45" s="583">
        <f t="shared" si="6"/>
        <v>19990000</v>
      </c>
      <c r="AF45" s="15" t="s">
        <v>156</v>
      </c>
      <c r="AG45" s="15"/>
      <c r="AH45" s="15"/>
      <c r="AI45" s="15" t="s">
        <v>3286</v>
      </c>
      <c r="AJ45" s="15" t="s">
        <v>3216</v>
      </c>
      <c r="AK45" s="15">
        <v>6680623</v>
      </c>
      <c r="AL45" s="334">
        <v>721088602</v>
      </c>
      <c r="AM45" s="15" t="s">
        <v>30</v>
      </c>
      <c r="AN45" s="583">
        <f t="shared" ref="AN45:AN49" si="8">J45</f>
        <v>19990000</v>
      </c>
      <c r="AO45" s="15" t="s">
        <v>166</v>
      </c>
      <c r="AP45" s="15"/>
      <c r="AQ45" s="15"/>
      <c r="AR45" s="15" t="s">
        <v>3286</v>
      </c>
      <c r="AS45" s="15" t="s">
        <v>3216</v>
      </c>
      <c r="AT45" s="23"/>
      <c r="AU45" s="23"/>
      <c r="AV45" s="23"/>
      <c r="AW45" s="657"/>
      <c r="AX45" s="23"/>
      <c r="AY45" s="23"/>
      <c r="AZ45" s="23"/>
      <c r="BA45" s="23"/>
      <c r="BB45" s="23"/>
      <c r="BC45" s="23"/>
      <c r="BD45" s="23"/>
      <c r="BE45" s="657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15" t="s">
        <v>3190</v>
      </c>
      <c r="BR45" s="15" t="s">
        <v>3191</v>
      </c>
      <c r="BS45" s="23"/>
      <c r="BT45" s="14"/>
      <c r="BU45" s="23"/>
      <c r="BV45" s="23"/>
      <c r="BW45" s="23"/>
      <c r="BX45" s="14"/>
      <c r="BY45" s="23"/>
      <c r="BZ45" s="23"/>
      <c r="CA45" s="23"/>
      <c r="CB45" s="23"/>
      <c r="CC45" s="23"/>
      <c r="CD45" s="23"/>
      <c r="CE45" s="23"/>
      <c r="CF45" s="23"/>
      <c r="CG45" s="23" t="s">
        <v>3251</v>
      </c>
      <c r="CH45" s="23"/>
      <c r="CI45" s="471"/>
      <c r="CJ45" s="23"/>
    </row>
    <row r="46" spans="1:88" s="4" customFormat="1" ht="48" customHeight="1">
      <c r="A46" s="15">
        <v>24</v>
      </c>
      <c r="B46" s="349" t="s">
        <v>3337</v>
      </c>
      <c r="C46" s="15" t="s">
        <v>3372</v>
      </c>
      <c r="D46" s="331" t="s">
        <v>3373</v>
      </c>
      <c r="E46" s="15" t="s">
        <v>3340</v>
      </c>
      <c r="F46" s="15">
        <v>2020</v>
      </c>
      <c r="G46" s="15">
        <v>2020</v>
      </c>
      <c r="H46" s="15">
        <v>12</v>
      </c>
      <c r="I46" s="15"/>
      <c r="J46" s="350">
        <v>19800000</v>
      </c>
      <c r="K46" s="15" t="s">
        <v>3091</v>
      </c>
      <c r="L46" s="15">
        <v>3</v>
      </c>
      <c r="M46" s="15"/>
      <c r="N46" s="15" t="s">
        <v>3342</v>
      </c>
      <c r="O46" s="15" t="s">
        <v>3215</v>
      </c>
      <c r="P46" s="15"/>
      <c r="Q46" s="15">
        <v>6680641</v>
      </c>
      <c r="R46" s="15" t="s">
        <v>92</v>
      </c>
      <c r="S46" s="334" t="s">
        <v>3374</v>
      </c>
      <c r="T46" s="597">
        <f t="shared" si="5"/>
        <v>19800000</v>
      </c>
      <c r="U46" s="15" t="s">
        <v>151</v>
      </c>
      <c r="V46" s="15"/>
      <c r="W46" s="15"/>
      <c r="X46" s="15" t="s">
        <v>3281</v>
      </c>
      <c r="Y46" s="15"/>
      <c r="Z46" s="15"/>
      <c r="AA46" s="333"/>
      <c r="AB46" s="15">
        <v>6680685</v>
      </c>
      <c r="AC46" s="334" t="s">
        <v>3328</v>
      </c>
      <c r="AD46" s="15" t="s">
        <v>3375</v>
      </c>
      <c r="AE46" s="583">
        <f t="shared" si="6"/>
        <v>19800000</v>
      </c>
      <c r="AF46" s="15" t="s">
        <v>155</v>
      </c>
      <c r="AG46" s="15"/>
      <c r="AH46" s="15"/>
      <c r="AI46" s="15" t="s">
        <v>3281</v>
      </c>
      <c r="AJ46" s="15" t="s">
        <v>3216</v>
      </c>
      <c r="AK46" s="15"/>
      <c r="AL46" s="334"/>
      <c r="AM46" s="15"/>
      <c r="AN46" s="583"/>
      <c r="AO46" s="15"/>
      <c r="AP46" s="15"/>
      <c r="AQ46" s="15"/>
      <c r="AR46" s="15"/>
      <c r="AS46" s="15"/>
      <c r="AT46" s="23"/>
      <c r="AU46" s="23"/>
      <c r="AV46" s="23"/>
      <c r="AW46" s="657"/>
      <c r="AX46" s="23"/>
      <c r="AY46" s="23"/>
      <c r="AZ46" s="23"/>
      <c r="BA46" s="23"/>
      <c r="BB46" s="23"/>
      <c r="BC46" s="23"/>
      <c r="BD46" s="23"/>
      <c r="BE46" s="657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15" t="s">
        <v>3190</v>
      </c>
      <c r="BR46" s="15" t="s">
        <v>3191</v>
      </c>
      <c r="BS46" s="23"/>
      <c r="BT46" s="14"/>
      <c r="BU46" s="23"/>
      <c r="BV46" s="23"/>
      <c r="BW46" s="23"/>
      <c r="BX46" s="14"/>
      <c r="BY46" s="23"/>
      <c r="BZ46" s="23"/>
      <c r="CA46" s="23"/>
      <c r="CB46" s="23"/>
      <c r="CC46" s="23"/>
      <c r="CD46" s="23"/>
      <c r="CE46" s="23"/>
      <c r="CF46" s="23"/>
      <c r="CG46" s="23" t="s">
        <v>3251</v>
      </c>
      <c r="CH46" s="23"/>
      <c r="CI46" s="471" t="s">
        <v>3376</v>
      </c>
      <c r="CJ46" s="23"/>
    </row>
    <row r="47" spans="1:88" s="567" customFormat="1" ht="69.75" customHeight="1">
      <c r="A47" s="609">
        <v>25</v>
      </c>
      <c r="B47" s="354" t="s">
        <v>3377</v>
      </c>
      <c r="C47" s="610" t="s">
        <v>3378</v>
      </c>
      <c r="D47" s="611" t="s">
        <v>3379</v>
      </c>
      <c r="E47" s="609" t="s">
        <v>86</v>
      </c>
      <c r="F47" s="609">
        <v>2020</v>
      </c>
      <c r="G47" s="609">
        <v>2020</v>
      </c>
      <c r="H47" s="609">
        <v>12</v>
      </c>
      <c r="I47" s="609"/>
      <c r="J47" s="612">
        <v>85000000</v>
      </c>
      <c r="K47" s="609" t="s">
        <v>3091</v>
      </c>
      <c r="L47" s="609"/>
      <c r="M47" s="609"/>
      <c r="N47" s="609" t="s">
        <v>3223</v>
      </c>
      <c r="O47" s="609" t="s">
        <v>3215</v>
      </c>
      <c r="P47" s="609"/>
      <c r="Q47" s="609">
        <v>6680628</v>
      </c>
      <c r="R47" s="609" t="s">
        <v>89</v>
      </c>
      <c r="S47" s="613" t="s">
        <v>3356</v>
      </c>
      <c r="T47" s="597">
        <f t="shared" si="5"/>
        <v>85000000</v>
      </c>
      <c r="U47" s="609" t="s">
        <v>164</v>
      </c>
      <c r="V47" s="609"/>
      <c r="W47" s="609"/>
      <c r="X47" s="609" t="s">
        <v>3286</v>
      </c>
      <c r="Y47" s="609" t="s">
        <v>3216</v>
      </c>
      <c r="Z47" s="609">
        <v>8140</v>
      </c>
      <c r="AA47" s="614" t="s">
        <v>3291</v>
      </c>
      <c r="AB47" s="609">
        <v>6680685</v>
      </c>
      <c r="AC47" s="613" t="s">
        <v>3328</v>
      </c>
      <c r="AD47" s="609" t="s">
        <v>3375</v>
      </c>
      <c r="AE47" s="583">
        <f t="shared" si="6"/>
        <v>85000000</v>
      </c>
      <c r="AF47" s="609" t="s">
        <v>155</v>
      </c>
      <c r="AG47" s="609"/>
      <c r="AH47" s="609"/>
      <c r="AI47" s="609" t="s">
        <v>3281</v>
      </c>
      <c r="AJ47" s="609" t="s">
        <v>3216</v>
      </c>
      <c r="AK47" s="609">
        <v>6680648</v>
      </c>
      <c r="AL47" s="613">
        <v>724089201</v>
      </c>
      <c r="AM47" s="609" t="s">
        <v>17</v>
      </c>
      <c r="AN47" s="583">
        <f t="shared" si="8"/>
        <v>85000000</v>
      </c>
      <c r="AO47" s="609" t="s">
        <v>166</v>
      </c>
      <c r="AP47" s="609"/>
      <c r="AQ47" s="609"/>
      <c r="AR47" s="609" t="s">
        <v>3286</v>
      </c>
      <c r="AS47" s="609" t="s">
        <v>3216</v>
      </c>
      <c r="AT47" s="365">
        <v>6680678</v>
      </c>
      <c r="AU47" s="615" t="s">
        <v>1725</v>
      </c>
      <c r="AV47" s="365" t="s">
        <v>14</v>
      </c>
      <c r="AW47" s="657">
        <f t="shared" si="3"/>
        <v>85000000</v>
      </c>
      <c r="AX47" s="609" t="s">
        <v>151</v>
      </c>
      <c r="AY47" s="609"/>
      <c r="AZ47" s="609" t="s">
        <v>3281</v>
      </c>
      <c r="BA47" s="609" t="s">
        <v>3216</v>
      </c>
      <c r="BB47" s="365"/>
      <c r="BC47" s="365"/>
      <c r="BD47" s="365"/>
      <c r="BE47" s="657"/>
      <c r="BF47" s="365"/>
      <c r="BG47" s="365"/>
      <c r="BH47" s="365"/>
      <c r="BI47" s="365"/>
      <c r="BJ47" s="365"/>
      <c r="BK47" s="365"/>
      <c r="BL47" s="365"/>
      <c r="BM47" s="365"/>
      <c r="BN47" s="365"/>
      <c r="BO47" s="365"/>
      <c r="BP47" s="365"/>
      <c r="BQ47" s="609" t="s">
        <v>3190</v>
      </c>
      <c r="BR47" s="609" t="s">
        <v>3191</v>
      </c>
      <c r="BS47" s="365"/>
      <c r="BT47" s="611"/>
      <c r="BU47" s="365"/>
      <c r="BV47" s="365"/>
      <c r="BW47" s="365"/>
      <c r="BX47" s="611"/>
      <c r="BY47" s="365"/>
      <c r="BZ47" s="365"/>
      <c r="CA47" s="365"/>
      <c r="CB47" s="365"/>
      <c r="CC47" s="365"/>
      <c r="CD47" s="365"/>
      <c r="CE47" s="365"/>
      <c r="CF47" s="365"/>
      <c r="CG47" s="365"/>
      <c r="CH47" s="365"/>
      <c r="CI47" s="616"/>
      <c r="CJ47" s="365"/>
    </row>
    <row r="48" spans="1:88" s="4" customFormat="1" ht="72" customHeight="1">
      <c r="A48" s="15">
        <v>26</v>
      </c>
      <c r="B48" s="349" t="s">
        <v>3377</v>
      </c>
      <c r="C48" s="348" t="s">
        <v>3380</v>
      </c>
      <c r="D48" s="331" t="s">
        <v>3381</v>
      </c>
      <c r="E48" s="15" t="s">
        <v>86</v>
      </c>
      <c r="F48" s="15">
        <v>2020</v>
      </c>
      <c r="G48" s="15">
        <v>2020</v>
      </c>
      <c r="H48" s="15">
        <v>5</v>
      </c>
      <c r="I48" s="15"/>
      <c r="J48" s="350">
        <v>50000000</v>
      </c>
      <c r="K48" s="15" t="s">
        <v>3091</v>
      </c>
      <c r="L48" s="15">
        <v>3</v>
      </c>
      <c r="M48" s="15"/>
      <c r="N48" s="15" t="s">
        <v>3223</v>
      </c>
      <c r="O48" s="15" t="s">
        <v>3215</v>
      </c>
      <c r="P48" s="15"/>
      <c r="Q48" s="15">
        <v>6680678</v>
      </c>
      <c r="R48" s="15" t="s">
        <v>14</v>
      </c>
      <c r="S48" s="334" t="s">
        <v>3382</v>
      </c>
      <c r="T48" s="597">
        <f t="shared" si="5"/>
        <v>50000000</v>
      </c>
      <c r="U48" s="15" t="s">
        <v>151</v>
      </c>
      <c r="V48" s="15"/>
      <c r="W48" s="15"/>
      <c r="X48" s="15" t="s">
        <v>3281</v>
      </c>
      <c r="Y48" s="15"/>
      <c r="Z48" s="15"/>
      <c r="AA48" s="333"/>
      <c r="AB48" s="15">
        <v>6680741</v>
      </c>
      <c r="AC48" s="334">
        <v>727059002</v>
      </c>
      <c r="AD48" s="15" t="s">
        <v>16</v>
      </c>
      <c r="AE48" s="583">
        <f t="shared" si="6"/>
        <v>50000000</v>
      </c>
      <c r="AF48" s="15" t="s">
        <v>154</v>
      </c>
      <c r="AG48" s="15"/>
      <c r="AH48" s="15"/>
      <c r="AI48" s="15" t="s">
        <v>3281</v>
      </c>
      <c r="AJ48" s="15" t="s">
        <v>3216</v>
      </c>
      <c r="AK48" s="15">
        <v>6682794</v>
      </c>
      <c r="AL48" s="334">
        <v>721058310</v>
      </c>
      <c r="AM48" s="15" t="s">
        <v>49</v>
      </c>
      <c r="AN48" s="583">
        <f t="shared" si="8"/>
        <v>50000000</v>
      </c>
      <c r="AO48" s="15" t="s">
        <v>151</v>
      </c>
      <c r="AP48" s="15"/>
      <c r="AQ48" s="15"/>
      <c r="AR48" s="15" t="s">
        <v>3281</v>
      </c>
      <c r="AS48" s="15" t="s">
        <v>3216</v>
      </c>
      <c r="AT48" s="23">
        <v>6764236</v>
      </c>
      <c r="AU48" s="617" t="s">
        <v>1684</v>
      </c>
      <c r="AV48" s="23" t="s">
        <v>25</v>
      </c>
      <c r="AW48" s="657">
        <f t="shared" si="3"/>
        <v>50000000</v>
      </c>
      <c r="AX48" s="15" t="s">
        <v>166</v>
      </c>
      <c r="AY48" s="15"/>
      <c r="AZ48" s="15" t="s">
        <v>3286</v>
      </c>
      <c r="BA48" s="15" t="s">
        <v>3216</v>
      </c>
      <c r="BB48" s="23"/>
      <c r="BC48" s="23"/>
      <c r="BD48" s="23"/>
      <c r="BE48" s="657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348" t="s">
        <v>3190</v>
      </c>
      <c r="BR48" s="15" t="s">
        <v>3191</v>
      </c>
      <c r="BS48" s="23"/>
      <c r="BT48" s="14"/>
      <c r="BU48" s="23"/>
      <c r="BV48" s="23"/>
      <c r="BW48" s="23"/>
      <c r="BX48" s="14"/>
      <c r="BY48" s="23"/>
      <c r="BZ48" s="23"/>
      <c r="CA48" s="23"/>
      <c r="CB48" s="23"/>
      <c r="CC48" s="23"/>
      <c r="CD48" s="23"/>
      <c r="CE48" s="23"/>
      <c r="CF48" s="23"/>
      <c r="CG48" s="23" t="s">
        <v>3383</v>
      </c>
      <c r="CH48" s="23"/>
      <c r="CI48" s="471"/>
      <c r="CJ48" s="23"/>
    </row>
    <row r="49" spans="1:88" s="565" customFormat="1" ht="48" customHeight="1">
      <c r="A49" s="15">
        <v>27</v>
      </c>
      <c r="B49" s="349" t="s">
        <v>3377</v>
      </c>
      <c r="C49" s="348" t="s">
        <v>3384</v>
      </c>
      <c r="D49" s="331" t="s">
        <v>3385</v>
      </c>
      <c r="E49" s="15" t="s">
        <v>86</v>
      </c>
      <c r="F49" s="15">
        <v>2020</v>
      </c>
      <c r="G49" s="15">
        <v>2020</v>
      </c>
      <c r="H49" s="15">
        <v>10</v>
      </c>
      <c r="I49" s="15" t="s">
        <v>3214</v>
      </c>
      <c r="J49" s="350">
        <v>7500000</v>
      </c>
      <c r="K49" s="15" t="s">
        <v>3091</v>
      </c>
      <c r="L49" s="15">
        <v>2</v>
      </c>
      <c r="M49" s="15"/>
      <c r="N49" s="15" t="s">
        <v>3223</v>
      </c>
      <c r="O49" s="15" t="s">
        <v>3215</v>
      </c>
      <c r="P49" s="15"/>
      <c r="Q49" s="15">
        <v>6680683</v>
      </c>
      <c r="R49" s="15" t="s">
        <v>10</v>
      </c>
      <c r="S49" s="334" t="s">
        <v>3362</v>
      </c>
      <c r="T49" s="597">
        <f t="shared" si="5"/>
        <v>7500000</v>
      </c>
      <c r="U49" s="15" t="s">
        <v>164</v>
      </c>
      <c r="V49" s="15"/>
      <c r="W49" s="15"/>
      <c r="X49" s="15" t="s">
        <v>3286</v>
      </c>
      <c r="Y49" s="15" t="s">
        <v>3216</v>
      </c>
      <c r="Z49" s="15">
        <v>8140</v>
      </c>
      <c r="AA49" s="333" t="s">
        <v>3291</v>
      </c>
      <c r="AB49" s="15">
        <v>6680612</v>
      </c>
      <c r="AC49" s="334" t="s">
        <v>3386</v>
      </c>
      <c r="AD49" s="15" t="s">
        <v>19</v>
      </c>
      <c r="AE49" s="583">
        <f t="shared" si="6"/>
        <v>7500000</v>
      </c>
      <c r="AF49" s="15" t="s">
        <v>155</v>
      </c>
      <c r="AG49" s="15"/>
      <c r="AH49" s="15"/>
      <c r="AI49" s="15" t="s">
        <v>3281</v>
      </c>
      <c r="AJ49" s="15" t="s">
        <v>3216</v>
      </c>
      <c r="AK49" s="15">
        <v>6680633</v>
      </c>
      <c r="AL49" s="334" t="s">
        <v>3322</v>
      </c>
      <c r="AM49" s="15" t="s">
        <v>18</v>
      </c>
      <c r="AN49" s="583">
        <f t="shared" si="8"/>
        <v>7500000</v>
      </c>
      <c r="AO49" s="15" t="s">
        <v>156</v>
      </c>
      <c r="AP49" s="15" t="s">
        <v>166</v>
      </c>
      <c r="AQ49" s="15"/>
      <c r="AR49" s="15" t="s">
        <v>3286</v>
      </c>
      <c r="AS49" s="15" t="s">
        <v>3216</v>
      </c>
      <c r="AT49" s="23"/>
      <c r="AU49" s="23"/>
      <c r="AV49" s="23"/>
      <c r="AW49" s="657"/>
      <c r="AX49" s="23"/>
      <c r="AY49" s="23"/>
      <c r="AZ49" s="23"/>
      <c r="BA49" s="23"/>
      <c r="BB49" s="23"/>
      <c r="BC49" s="23"/>
      <c r="BD49" s="23"/>
      <c r="BE49" s="657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348" t="s">
        <v>3190</v>
      </c>
      <c r="BR49" s="15" t="s">
        <v>3191</v>
      </c>
      <c r="BS49" s="23"/>
      <c r="BT49" s="14"/>
      <c r="BU49" s="23"/>
      <c r="BV49" s="23"/>
      <c r="BW49" s="23"/>
      <c r="BX49" s="14"/>
      <c r="BY49" s="23"/>
      <c r="BZ49" s="23"/>
      <c r="CA49" s="23"/>
      <c r="CB49" s="23"/>
      <c r="CC49" s="23"/>
      <c r="CD49" s="23"/>
      <c r="CE49" s="23"/>
      <c r="CF49" s="23"/>
      <c r="CG49" s="23" t="s">
        <v>3295</v>
      </c>
      <c r="CH49" s="23"/>
      <c r="CI49" s="471"/>
      <c r="CJ49" s="23"/>
    </row>
    <row r="50" spans="1:88" s="565" customFormat="1" ht="48" customHeight="1">
      <c r="A50" s="221">
        <v>28</v>
      </c>
      <c r="B50" s="349" t="s">
        <v>3377</v>
      </c>
      <c r="C50" s="348" t="s">
        <v>3387</v>
      </c>
      <c r="D50" s="336" t="s">
        <v>3388</v>
      </c>
      <c r="E50" s="221" t="s">
        <v>86</v>
      </c>
      <c r="F50" s="221">
        <v>2020</v>
      </c>
      <c r="G50" s="221">
        <v>2020</v>
      </c>
      <c r="H50" s="221">
        <v>3</v>
      </c>
      <c r="I50" s="221"/>
      <c r="J50" s="566">
        <v>45000000</v>
      </c>
      <c r="K50" s="221" t="s">
        <v>3091</v>
      </c>
      <c r="L50" s="221">
        <v>2</v>
      </c>
      <c r="M50" s="221"/>
      <c r="N50" s="221" t="s">
        <v>3223</v>
      </c>
      <c r="O50" s="221" t="s">
        <v>3215</v>
      </c>
      <c r="P50" s="221"/>
      <c r="Q50" s="221">
        <v>6680633</v>
      </c>
      <c r="R50" s="221" t="s">
        <v>18</v>
      </c>
      <c r="S50" s="337" t="s">
        <v>3322</v>
      </c>
      <c r="T50" s="597">
        <f t="shared" si="5"/>
        <v>45000000</v>
      </c>
      <c r="U50" s="221" t="s">
        <v>156</v>
      </c>
      <c r="V50" s="221" t="s">
        <v>166</v>
      </c>
      <c r="W50" s="221"/>
      <c r="X50" s="221" t="s">
        <v>3286</v>
      </c>
      <c r="Y50" s="221"/>
      <c r="Z50" s="221"/>
      <c r="AA50" s="338"/>
      <c r="AB50" s="221">
        <v>6680685</v>
      </c>
      <c r="AC50" s="337" t="s">
        <v>3328</v>
      </c>
      <c r="AD50" s="221" t="s">
        <v>3375</v>
      </c>
      <c r="AE50" s="583">
        <f t="shared" si="6"/>
        <v>45000000</v>
      </c>
      <c r="AF50" s="221" t="s">
        <v>155</v>
      </c>
      <c r="AG50" s="221"/>
      <c r="AH50" s="221"/>
      <c r="AI50" s="221" t="s">
        <v>3281</v>
      </c>
      <c r="AJ50" s="221" t="s">
        <v>3216</v>
      </c>
      <c r="AK50" s="221">
        <v>6680683</v>
      </c>
      <c r="AL50" s="337">
        <v>729088704</v>
      </c>
      <c r="AM50" s="221" t="s">
        <v>10</v>
      </c>
      <c r="AN50" s="583">
        <f>J50</f>
        <v>45000000</v>
      </c>
      <c r="AO50" s="221" t="s">
        <v>164</v>
      </c>
      <c r="AP50" s="221"/>
      <c r="AQ50" s="221"/>
      <c r="AR50" s="221" t="s">
        <v>3286</v>
      </c>
      <c r="AS50" s="221" t="s">
        <v>3216</v>
      </c>
      <c r="AT50" s="127"/>
      <c r="AU50" s="127"/>
      <c r="AV50" s="127"/>
      <c r="AW50" s="657"/>
      <c r="AX50" s="127"/>
      <c r="AY50" s="127"/>
      <c r="AZ50" s="127"/>
      <c r="BA50" s="127"/>
      <c r="BB50" s="127"/>
      <c r="BC50" s="127"/>
      <c r="BD50" s="127"/>
      <c r="BE50" s="657"/>
      <c r="BF50" s="127"/>
      <c r="BG50" s="127"/>
      <c r="BH50" s="127"/>
      <c r="BI50" s="127"/>
      <c r="BJ50" s="127"/>
      <c r="BK50" s="127"/>
      <c r="BL50" s="127"/>
      <c r="BM50" s="127"/>
      <c r="BN50" s="127"/>
      <c r="BO50" s="127"/>
      <c r="BP50" s="127"/>
      <c r="BQ50" s="348" t="s">
        <v>3190</v>
      </c>
      <c r="BR50" s="15" t="s">
        <v>3191</v>
      </c>
      <c r="BS50" s="127"/>
      <c r="BT50" s="336"/>
      <c r="BU50" s="127"/>
      <c r="BV50" s="127"/>
      <c r="BW50" s="127"/>
      <c r="BX50" s="336"/>
      <c r="BY50" s="127"/>
      <c r="BZ50" s="127"/>
      <c r="CA50" s="127"/>
      <c r="CB50" s="127"/>
      <c r="CC50" s="127"/>
      <c r="CD50" s="127"/>
      <c r="CE50" s="127"/>
      <c r="CF50" s="127"/>
      <c r="CG50" s="127" t="s">
        <v>3254</v>
      </c>
      <c r="CH50" s="127"/>
      <c r="CI50" s="472" t="s">
        <v>3295</v>
      </c>
      <c r="CJ50" s="23"/>
    </row>
    <row r="51" spans="1:88" s="4" customFormat="1" ht="48" customHeight="1">
      <c r="A51" s="221">
        <v>29</v>
      </c>
      <c r="B51" s="349" t="s">
        <v>3377</v>
      </c>
      <c r="C51" s="348" t="s">
        <v>3389</v>
      </c>
      <c r="D51" s="336" t="s">
        <v>3390</v>
      </c>
      <c r="E51" s="221" t="s">
        <v>86</v>
      </c>
      <c r="F51" s="221">
        <v>2020</v>
      </c>
      <c r="G51" s="221">
        <v>2020</v>
      </c>
      <c r="H51" s="221">
        <v>12</v>
      </c>
      <c r="I51" s="221" t="s">
        <v>3391</v>
      </c>
      <c r="J51" s="566">
        <v>40000000</v>
      </c>
      <c r="K51" s="221" t="s">
        <v>3091</v>
      </c>
      <c r="L51" s="221"/>
      <c r="M51" s="221"/>
      <c r="N51" s="221" t="s">
        <v>3223</v>
      </c>
      <c r="O51" s="221" t="s">
        <v>3215</v>
      </c>
      <c r="P51" s="221"/>
      <c r="Q51" s="221">
        <v>6680741</v>
      </c>
      <c r="R51" s="221" t="s">
        <v>16</v>
      </c>
      <c r="S51" s="337" t="s">
        <v>3363</v>
      </c>
      <c r="T51" s="597">
        <f t="shared" si="5"/>
        <v>40000000</v>
      </c>
      <c r="U51" s="221" t="s">
        <v>154</v>
      </c>
      <c r="V51" s="221"/>
      <c r="W51" s="221"/>
      <c r="X51" s="221" t="s">
        <v>3281</v>
      </c>
      <c r="Y51" s="221"/>
      <c r="Z51" s="221"/>
      <c r="AA51" s="338"/>
      <c r="AB51" s="221">
        <v>6680627</v>
      </c>
      <c r="AC51" s="337" t="s">
        <v>3366</v>
      </c>
      <c r="AD51" s="221" t="s">
        <v>88</v>
      </c>
      <c r="AE51" s="583">
        <f t="shared" si="6"/>
        <v>40000000</v>
      </c>
      <c r="AF51" s="221" t="s">
        <v>160</v>
      </c>
      <c r="AG51" s="221"/>
      <c r="AH51" s="221"/>
      <c r="AI51" s="221" t="s">
        <v>3281</v>
      </c>
      <c r="AJ51" s="221" t="s">
        <v>3216</v>
      </c>
      <c r="AK51" s="221"/>
      <c r="AL51" s="337"/>
      <c r="AM51" s="221"/>
      <c r="AN51" s="583"/>
      <c r="AO51" s="221"/>
      <c r="AP51" s="221"/>
      <c r="AQ51" s="221"/>
      <c r="AR51" s="221"/>
      <c r="AS51" s="221"/>
      <c r="AT51" s="127"/>
      <c r="AU51" s="127"/>
      <c r="AV51" s="127"/>
      <c r="AW51" s="657"/>
      <c r="AX51" s="127"/>
      <c r="AY51" s="127"/>
      <c r="AZ51" s="127"/>
      <c r="BA51" s="127"/>
      <c r="BB51" s="127"/>
      <c r="BC51" s="127"/>
      <c r="BD51" s="127"/>
      <c r="BE51" s="657"/>
      <c r="BF51" s="127"/>
      <c r="BG51" s="127"/>
      <c r="BH51" s="127"/>
      <c r="BI51" s="127"/>
      <c r="BJ51" s="127"/>
      <c r="BK51" s="127"/>
      <c r="BL51" s="127"/>
      <c r="BM51" s="127"/>
      <c r="BN51" s="127"/>
      <c r="BO51" s="127"/>
      <c r="BP51" s="127"/>
      <c r="BQ51" s="348" t="s">
        <v>3190</v>
      </c>
      <c r="BR51" s="348" t="s">
        <v>3191</v>
      </c>
      <c r="BS51" s="127"/>
      <c r="BT51" s="336"/>
      <c r="BU51" s="127"/>
      <c r="BV51" s="127"/>
      <c r="BW51" s="127"/>
      <c r="BX51" s="336"/>
      <c r="BY51" s="127"/>
      <c r="BZ51" s="127"/>
      <c r="CA51" s="127"/>
      <c r="CB51" s="127"/>
      <c r="CC51" s="127"/>
      <c r="CD51" s="127"/>
      <c r="CE51" s="127"/>
      <c r="CF51" s="127"/>
      <c r="CG51" s="127" t="s">
        <v>3392</v>
      </c>
      <c r="CH51" s="127"/>
      <c r="CI51" s="472"/>
      <c r="CJ51" s="23"/>
    </row>
    <row r="52" spans="1:88" s="565" customFormat="1" ht="66.75" customHeight="1">
      <c r="A52" s="15">
        <v>30</v>
      </c>
      <c r="B52" s="349" t="s">
        <v>3377</v>
      </c>
      <c r="C52" s="348" t="s">
        <v>3393</v>
      </c>
      <c r="D52" s="331" t="s">
        <v>3394</v>
      </c>
      <c r="E52" s="15" t="s">
        <v>86</v>
      </c>
      <c r="F52" s="15">
        <v>2020</v>
      </c>
      <c r="G52" s="15">
        <v>2020</v>
      </c>
      <c r="H52" s="15">
        <v>5</v>
      </c>
      <c r="I52" s="15" t="s">
        <v>3395</v>
      </c>
      <c r="J52" s="350">
        <v>23317000</v>
      </c>
      <c r="K52" s="15" t="s">
        <v>3091</v>
      </c>
      <c r="L52" s="15">
        <v>4</v>
      </c>
      <c r="M52" s="15"/>
      <c r="N52" s="15" t="s">
        <v>3223</v>
      </c>
      <c r="O52" s="15" t="s">
        <v>3215</v>
      </c>
      <c r="P52" s="15"/>
      <c r="Q52" s="15">
        <v>6680651</v>
      </c>
      <c r="R52" s="15" t="s">
        <v>12</v>
      </c>
      <c r="S52" s="334" t="s">
        <v>3396</v>
      </c>
      <c r="T52" s="597">
        <f t="shared" si="5"/>
        <v>23317000</v>
      </c>
      <c r="U52" s="15" t="s">
        <v>155</v>
      </c>
      <c r="V52" s="15"/>
      <c r="W52" s="15"/>
      <c r="X52" s="15" t="s">
        <v>3281</v>
      </c>
      <c r="Y52" s="15"/>
      <c r="Z52" s="15"/>
      <c r="AA52" s="333"/>
      <c r="AB52" s="15">
        <v>6680633</v>
      </c>
      <c r="AC52" s="334" t="s">
        <v>3322</v>
      </c>
      <c r="AD52" s="15" t="s">
        <v>18</v>
      </c>
      <c r="AE52" s="583">
        <f t="shared" si="6"/>
        <v>23317000</v>
      </c>
      <c r="AF52" s="15" t="s">
        <v>156</v>
      </c>
      <c r="AG52" s="15" t="s">
        <v>166</v>
      </c>
      <c r="AH52" s="15"/>
      <c r="AI52" s="15" t="s">
        <v>3286</v>
      </c>
      <c r="AJ52" s="15" t="s">
        <v>3216</v>
      </c>
      <c r="AK52" s="15">
        <v>6680683</v>
      </c>
      <c r="AL52" s="334">
        <v>729088704</v>
      </c>
      <c r="AM52" s="15" t="s">
        <v>10</v>
      </c>
      <c r="AN52" s="583">
        <f>J52</f>
        <v>23317000</v>
      </c>
      <c r="AO52" s="15" t="s">
        <v>164</v>
      </c>
      <c r="AP52" s="15"/>
      <c r="AQ52" s="15"/>
      <c r="AR52" s="15" t="s">
        <v>3286</v>
      </c>
      <c r="AS52" s="15"/>
      <c r="AT52" s="15">
        <v>6680627</v>
      </c>
      <c r="AU52" s="334" t="s">
        <v>3366</v>
      </c>
      <c r="AV52" s="23" t="s">
        <v>88</v>
      </c>
      <c r="AW52" s="657">
        <f t="shared" si="3"/>
        <v>23317000</v>
      </c>
      <c r="AX52" s="15" t="s">
        <v>160</v>
      </c>
      <c r="AY52" s="15"/>
      <c r="AZ52" s="15" t="s">
        <v>3281</v>
      </c>
      <c r="BA52" s="15" t="s">
        <v>3216</v>
      </c>
      <c r="BB52" s="23">
        <v>6680612</v>
      </c>
      <c r="BC52" s="617" t="s">
        <v>960</v>
      </c>
      <c r="BD52" s="23" t="s">
        <v>19</v>
      </c>
      <c r="BE52" s="657">
        <f t="shared" ref="BE52" si="9">J52</f>
        <v>23317000</v>
      </c>
      <c r="BF52" s="15" t="s">
        <v>160</v>
      </c>
      <c r="BG52" s="15"/>
      <c r="BH52" s="15" t="s">
        <v>3281</v>
      </c>
      <c r="BI52" s="15" t="s">
        <v>3216</v>
      </c>
      <c r="BJ52" s="23"/>
      <c r="BK52" s="23"/>
      <c r="BL52" s="23"/>
      <c r="BM52" s="23"/>
      <c r="BN52" s="23"/>
      <c r="BO52" s="23"/>
      <c r="BP52" s="23"/>
      <c r="BQ52" s="348" t="s">
        <v>3190</v>
      </c>
      <c r="BR52" s="348" t="s">
        <v>3191</v>
      </c>
      <c r="BS52" s="23"/>
      <c r="BT52" s="14"/>
      <c r="BU52" s="23"/>
      <c r="BV52" s="23"/>
      <c r="BW52" s="23"/>
      <c r="BX52" s="14"/>
      <c r="BY52" s="23"/>
      <c r="BZ52" s="23"/>
      <c r="CA52" s="23"/>
      <c r="CB52" s="23"/>
      <c r="CC52" s="23"/>
      <c r="CD52" s="23"/>
      <c r="CE52" s="23"/>
      <c r="CF52" s="23"/>
      <c r="CG52" s="23" t="s">
        <v>3397</v>
      </c>
      <c r="CH52" s="23"/>
      <c r="CI52" s="471"/>
      <c r="CJ52" s="23"/>
    </row>
    <row r="53" spans="1:88" s="4" customFormat="1" ht="48" customHeight="1">
      <c r="A53" s="15">
        <v>31</v>
      </c>
      <c r="B53" s="349" t="s">
        <v>3377</v>
      </c>
      <c r="C53" s="348" t="s">
        <v>3398</v>
      </c>
      <c r="D53" s="331" t="s">
        <v>3399</v>
      </c>
      <c r="E53" s="15" t="s">
        <v>86</v>
      </c>
      <c r="F53" s="15">
        <v>2020</v>
      </c>
      <c r="G53" s="15">
        <v>2020</v>
      </c>
      <c r="H53" s="15">
        <v>2</v>
      </c>
      <c r="I53" s="15"/>
      <c r="J53" s="350">
        <v>2067000</v>
      </c>
      <c r="K53" s="15" t="s">
        <v>3091</v>
      </c>
      <c r="L53" s="15">
        <v>6</v>
      </c>
      <c r="M53" s="15"/>
      <c r="N53" s="15" t="s">
        <v>3223</v>
      </c>
      <c r="O53" s="15" t="s">
        <v>3215</v>
      </c>
      <c r="P53" s="15"/>
      <c r="Q53" s="15">
        <v>6680627</v>
      </c>
      <c r="R53" s="15" t="s">
        <v>88</v>
      </c>
      <c r="S53" s="334" t="s">
        <v>3366</v>
      </c>
      <c r="T53" s="597">
        <f t="shared" si="5"/>
        <v>2067000</v>
      </c>
      <c r="U53" s="15" t="s">
        <v>160</v>
      </c>
      <c r="V53" s="15"/>
      <c r="W53" s="15"/>
      <c r="X53" s="15" t="s">
        <v>3281</v>
      </c>
      <c r="Y53" s="15"/>
      <c r="Z53" s="15"/>
      <c r="AA53" s="333"/>
      <c r="AB53" s="332">
        <v>6682237</v>
      </c>
      <c r="AC53" s="606" t="s">
        <v>1736</v>
      </c>
      <c r="AD53" s="15" t="s">
        <v>13</v>
      </c>
      <c r="AE53" s="583">
        <f t="shared" si="6"/>
        <v>2067000</v>
      </c>
      <c r="AF53" s="15" t="s">
        <v>3093</v>
      </c>
      <c r="AG53" s="15"/>
      <c r="AH53" s="15"/>
      <c r="AI53" s="15" t="s">
        <v>3286</v>
      </c>
      <c r="AJ53" s="15" t="s">
        <v>3216</v>
      </c>
      <c r="AK53" s="15">
        <v>6681051</v>
      </c>
      <c r="AL53" s="334">
        <v>711069301</v>
      </c>
      <c r="AM53" s="15" t="s">
        <v>6</v>
      </c>
      <c r="AN53" s="583">
        <f t="shared" ref="AN53" si="10">J53</f>
        <v>2067000</v>
      </c>
      <c r="AO53" s="15" t="s">
        <v>160</v>
      </c>
      <c r="AP53" s="15"/>
      <c r="AQ53" s="15"/>
      <c r="AR53" s="15" t="s">
        <v>3281</v>
      </c>
      <c r="AS53" s="15"/>
      <c r="AT53" s="15">
        <v>6665306</v>
      </c>
      <c r="AU53" s="334" t="s">
        <v>3336</v>
      </c>
      <c r="AV53" s="23" t="s">
        <v>28</v>
      </c>
      <c r="AW53" s="657">
        <f t="shared" si="3"/>
        <v>2067000</v>
      </c>
      <c r="AX53" s="15" t="s">
        <v>166</v>
      </c>
      <c r="AY53" s="15"/>
      <c r="AZ53" s="15" t="s">
        <v>3286</v>
      </c>
      <c r="BA53" s="15" t="s">
        <v>3216</v>
      </c>
      <c r="BB53" s="23"/>
      <c r="BC53" s="23"/>
      <c r="BD53" s="23"/>
      <c r="BE53" s="657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348" t="s">
        <v>3190</v>
      </c>
      <c r="BR53" s="15" t="s">
        <v>3191</v>
      </c>
      <c r="BS53" s="23"/>
      <c r="BT53" s="14"/>
      <c r="BU53" s="23"/>
      <c r="BV53" s="23"/>
      <c r="BW53" s="23"/>
      <c r="BX53" s="14"/>
      <c r="BY53" s="23"/>
      <c r="BZ53" s="23"/>
      <c r="CA53" s="23"/>
      <c r="CB53" s="23"/>
      <c r="CC53" s="23"/>
      <c r="CD53" s="23"/>
      <c r="CE53" s="23"/>
      <c r="CF53" s="23"/>
      <c r="CG53" s="23" t="s">
        <v>3090</v>
      </c>
      <c r="CH53" s="23"/>
      <c r="CI53" s="471" t="s">
        <v>3400</v>
      </c>
      <c r="CJ53" s="23"/>
    </row>
    <row r="54" spans="1:88" s="4" customFormat="1" ht="48" customHeight="1">
      <c r="A54" s="15">
        <v>32</v>
      </c>
      <c r="B54" s="349" t="s">
        <v>3401</v>
      </c>
      <c r="C54" s="15"/>
      <c r="D54" s="331" t="s">
        <v>3402</v>
      </c>
      <c r="E54" s="15" t="s">
        <v>3403</v>
      </c>
      <c r="F54" s="15">
        <v>2020</v>
      </c>
      <c r="G54" s="15">
        <v>2020</v>
      </c>
      <c r="H54" s="15"/>
      <c r="I54" s="15"/>
      <c r="J54" s="350">
        <v>100000000</v>
      </c>
      <c r="K54" s="15" t="s">
        <v>3091</v>
      </c>
      <c r="L54" s="15"/>
      <c r="M54" s="15"/>
      <c r="N54" s="15" t="s">
        <v>3342</v>
      </c>
      <c r="O54" s="15" t="s">
        <v>3215</v>
      </c>
      <c r="P54" s="15"/>
      <c r="Q54" s="15">
        <v>6680651</v>
      </c>
      <c r="R54" s="15" t="s">
        <v>12</v>
      </c>
      <c r="S54" s="334" t="s">
        <v>3396</v>
      </c>
      <c r="T54" s="597">
        <f t="shared" si="5"/>
        <v>100000000</v>
      </c>
      <c r="U54" s="15" t="s">
        <v>155</v>
      </c>
      <c r="V54" s="15"/>
      <c r="W54" s="15"/>
      <c r="X54" s="15" t="s">
        <v>3281</v>
      </c>
      <c r="Y54" s="15"/>
      <c r="Z54" s="15"/>
      <c r="AA54" s="333"/>
      <c r="AB54" s="15">
        <v>6805206</v>
      </c>
      <c r="AC54" s="334">
        <v>8920230021</v>
      </c>
      <c r="AD54" s="15" t="s">
        <v>73</v>
      </c>
      <c r="AE54" s="583">
        <f t="shared" si="6"/>
        <v>100000000</v>
      </c>
      <c r="AF54" s="15" t="s">
        <v>166</v>
      </c>
      <c r="AG54" s="15"/>
      <c r="AH54" s="15"/>
      <c r="AI54" s="15" t="s">
        <v>3286</v>
      </c>
      <c r="AJ54" s="15" t="s">
        <v>3216</v>
      </c>
      <c r="AK54" s="15"/>
      <c r="AL54" s="334"/>
      <c r="AM54" s="15"/>
      <c r="AN54" s="583"/>
      <c r="AO54" s="15"/>
      <c r="AP54" s="15"/>
      <c r="AQ54" s="15"/>
      <c r="AR54" s="15"/>
      <c r="AS54" s="15"/>
      <c r="AT54" s="23">
        <v>6859016</v>
      </c>
      <c r="AU54" s="204" t="s">
        <v>2497</v>
      </c>
      <c r="AV54" s="23" t="s">
        <v>52</v>
      </c>
      <c r="AW54" s="657">
        <f t="shared" si="3"/>
        <v>100000000</v>
      </c>
      <c r="AX54" s="15" t="s">
        <v>155</v>
      </c>
      <c r="AY54" s="15"/>
      <c r="AZ54" s="15" t="s">
        <v>3281</v>
      </c>
      <c r="BA54" s="15" t="s">
        <v>3216</v>
      </c>
      <c r="BB54" s="23"/>
      <c r="BC54" s="23"/>
      <c r="BD54" s="23"/>
      <c r="BE54" s="657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15" t="s">
        <v>3190</v>
      </c>
      <c r="BR54" s="15" t="s">
        <v>3191</v>
      </c>
      <c r="BS54" s="23"/>
      <c r="BT54" s="14"/>
      <c r="BU54" s="23"/>
      <c r="BV54" s="23"/>
      <c r="BW54" s="23"/>
      <c r="BX54" s="14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471"/>
      <c r="CJ54" s="339"/>
    </row>
    <row r="55" spans="1:88" s="125" customFormat="1" ht="48" customHeight="1">
      <c r="A55" s="221">
        <v>33</v>
      </c>
      <c r="B55" s="349" t="s">
        <v>3404</v>
      </c>
      <c r="C55" s="348" t="s">
        <v>3405</v>
      </c>
      <c r="D55" s="336" t="s">
        <v>3406</v>
      </c>
      <c r="E55" s="221" t="s">
        <v>86</v>
      </c>
      <c r="F55" s="221">
        <v>2020</v>
      </c>
      <c r="G55" s="221">
        <v>2020</v>
      </c>
      <c r="H55" s="221">
        <v>3</v>
      </c>
      <c r="I55" s="221"/>
      <c r="J55" s="566">
        <v>10055000</v>
      </c>
      <c r="K55" s="221" t="s">
        <v>3091</v>
      </c>
      <c r="L55" s="221"/>
      <c r="M55" s="221"/>
      <c r="N55" s="221" t="s">
        <v>3223</v>
      </c>
      <c r="O55" s="221" t="s">
        <v>3215</v>
      </c>
      <c r="P55" s="221"/>
      <c r="Q55" s="221">
        <v>6682174</v>
      </c>
      <c r="R55" s="221" t="s">
        <v>20</v>
      </c>
      <c r="S55" s="337" t="s">
        <v>3308</v>
      </c>
      <c r="T55" s="597">
        <f t="shared" si="5"/>
        <v>10055000</v>
      </c>
      <c r="U55" s="221" t="s">
        <v>156</v>
      </c>
      <c r="V55" s="221"/>
      <c r="W55" s="221"/>
      <c r="X55" s="221" t="s">
        <v>3286</v>
      </c>
      <c r="Y55" s="221"/>
      <c r="Z55" s="221"/>
      <c r="AA55" s="338"/>
      <c r="AB55" s="221"/>
      <c r="AC55" s="337"/>
      <c r="AD55" s="221"/>
      <c r="AE55" s="618"/>
      <c r="AF55" s="221"/>
      <c r="AG55" s="221"/>
      <c r="AH55" s="221"/>
      <c r="AI55" s="221"/>
      <c r="AJ55" s="221"/>
      <c r="AK55" s="221"/>
      <c r="AL55" s="337"/>
      <c r="AM55" s="221"/>
      <c r="AN55" s="583"/>
      <c r="AO55" s="221"/>
      <c r="AP55" s="221"/>
      <c r="AQ55" s="221"/>
      <c r="AR55" s="221"/>
      <c r="AS55" s="221"/>
      <c r="AT55" s="127"/>
      <c r="AU55" s="127"/>
      <c r="AV55" s="127"/>
      <c r="AW55" s="657"/>
      <c r="AX55" s="127"/>
      <c r="AY55" s="127"/>
      <c r="AZ55" s="127"/>
      <c r="BA55" s="127"/>
      <c r="BB55" s="127"/>
      <c r="BC55" s="127"/>
      <c r="BD55" s="127"/>
      <c r="BE55" s="657"/>
      <c r="BF55" s="127"/>
      <c r="BG55" s="127"/>
      <c r="BH55" s="127"/>
      <c r="BI55" s="127"/>
      <c r="BJ55" s="127"/>
      <c r="BK55" s="127"/>
      <c r="BL55" s="127"/>
      <c r="BM55" s="127"/>
      <c r="BN55" s="127"/>
      <c r="BO55" s="127"/>
      <c r="BP55" s="127"/>
      <c r="BQ55" s="348" t="s">
        <v>3190</v>
      </c>
      <c r="BR55" s="348" t="s">
        <v>3191</v>
      </c>
      <c r="BS55" s="127"/>
      <c r="BT55" s="336"/>
      <c r="BU55" s="127"/>
      <c r="BV55" s="127"/>
      <c r="BW55" s="127"/>
      <c r="BX55" s="336"/>
      <c r="BY55" s="127"/>
      <c r="BZ55" s="127"/>
      <c r="CA55" s="127"/>
      <c r="CB55" s="127"/>
      <c r="CC55" s="127"/>
      <c r="CD55" s="127"/>
      <c r="CE55" s="127"/>
      <c r="CF55" s="127"/>
      <c r="CG55" s="127" t="s">
        <v>3397</v>
      </c>
      <c r="CH55" s="127"/>
      <c r="CI55" s="472" t="s">
        <v>3254</v>
      </c>
      <c r="CJ55" s="127"/>
    </row>
    <row r="56" spans="1:88" s="125" customFormat="1" ht="48" customHeight="1">
      <c r="A56" s="221">
        <v>34</v>
      </c>
      <c r="B56" s="349" t="s">
        <v>3404</v>
      </c>
      <c r="C56" s="348" t="s">
        <v>3407</v>
      </c>
      <c r="D56" s="336" t="s">
        <v>3408</v>
      </c>
      <c r="E56" s="221" t="s">
        <v>86</v>
      </c>
      <c r="F56" s="221">
        <v>2020</v>
      </c>
      <c r="G56" s="221">
        <v>2020</v>
      </c>
      <c r="H56" s="221">
        <v>3</v>
      </c>
      <c r="I56" s="221"/>
      <c r="J56" s="566">
        <v>9145000</v>
      </c>
      <c r="K56" s="221" t="s">
        <v>3091</v>
      </c>
      <c r="L56" s="221"/>
      <c r="M56" s="221"/>
      <c r="N56" s="221" t="s">
        <v>3223</v>
      </c>
      <c r="O56" s="221" t="s">
        <v>3215</v>
      </c>
      <c r="P56" s="221"/>
      <c r="Q56" s="221">
        <v>6680633</v>
      </c>
      <c r="R56" s="221" t="s">
        <v>18</v>
      </c>
      <c r="S56" s="337" t="s">
        <v>3322</v>
      </c>
      <c r="T56" s="597">
        <f t="shared" si="5"/>
        <v>9145000</v>
      </c>
      <c r="U56" s="221" t="s">
        <v>156</v>
      </c>
      <c r="V56" s="221" t="s">
        <v>166</v>
      </c>
      <c r="W56" s="221"/>
      <c r="X56" s="221" t="s">
        <v>3286</v>
      </c>
      <c r="Y56" s="221"/>
      <c r="Z56" s="221"/>
      <c r="AA56" s="338"/>
      <c r="AB56" s="221"/>
      <c r="AC56" s="337"/>
      <c r="AD56" s="221"/>
      <c r="AE56" s="618"/>
      <c r="AF56" s="221"/>
      <c r="AG56" s="221"/>
      <c r="AH56" s="221"/>
      <c r="AI56" s="221"/>
      <c r="AJ56" s="221"/>
      <c r="AK56" s="221"/>
      <c r="AL56" s="337"/>
      <c r="AM56" s="221"/>
      <c r="AN56" s="583"/>
      <c r="AO56" s="221"/>
      <c r="AP56" s="221"/>
      <c r="AQ56" s="221"/>
      <c r="AR56" s="221"/>
      <c r="AS56" s="221"/>
      <c r="AT56" s="127"/>
      <c r="AU56" s="127"/>
      <c r="AV56" s="127"/>
      <c r="AW56" s="657"/>
      <c r="AX56" s="127"/>
      <c r="AY56" s="127"/>
      <c r="AZ56" s="127"/>
      <c r="BA56" s="127"/>
      <c r="BB56" s="127"/>
      <c r="BC56" s="127"/>
      <c r="BD56" s="127"/>
      <c r="BE56" s="657"/>
      <c r="BF56" s="127"/>
      <c r="BG56" s="127"/>
      <c r="BH56" s="127"/>
      <c r="BI56" s="127"/>
      <c r="BJ56" s="127"/>
      <c r="BK56" s="127"/>
      <c r="BL56" s="127"/>
      <c r="BM56" s="127"/>
      <c r="BN56" s="127"/>
      <c r="BO56" s="127"/>
      <c r="BP56" s="127"/>
      <c r="BQ56" s="348" t="s">
        <v>3190</v>
      </c>
      <c r="BR56" s="348" t="s">
        <v>3191</v>
      </c>
      <c r="BS56" s="127"/>
      <c r="BT56" s="336"/>
      <c r="BU56" s="127"/>
      <c r="BV56" s="127"/>
      <c r="BW56" s="127"/>
      <c r="BX56" s="336"/>
      <c r="BY56" s="127"/>
      <c r="BZ56" s="127"/>
      <c r="CA56" s="127"/>
      <c r="CB56" s="127"/>
      <c r="CC56" s="127"/>
      <c r="CD56" s="127"/>
      <c r="CE56" s="127"/>
      <c r="CF56" s="127"/>
      <c r="CG56" s="127" t="s">
        <v>3397</v>
      </c>
      <c r="CH56" s="127"/>
      <c r="CI56" s="472"/>
      <c r="CJ56" s="127"/>
    </row>
    <row r="57" spans="1:88" s="125" customFormat="1" ht="48" customHeight="1">
      <c r="A57" s="221">
        <v>35</v>
      </c>
      <c r="B57" s="349" t="s">
        <v>3404</v>
      </c>
      <c r="C57" s="348" t="s">
        <v>3409</v>
      </c>
      <c r="D57" s="336" t="s">
        <v>3410</v>
      </c>
      <c r="E57" s="221" t="s">
        <v>86</v>
      </c>
      <c r="F57" s="221">
        <v>2020</v>
      </c>
      <c r="G57" s="221">
        <v>2020</v>
      </c>
      <c r="H57" s="221">
        <v>3</v>
      </c>
      <c r="I57" s="221"/>
      <c r="J57" s="566">
        <v>8555000</v>
      </c>
      <c r="K57" s="221" t="s">
        <v>3091</v>
      </c>
      <c r="L57" s="221"/>
      <c r="M57" s="221"/>
      <c r="N57" s="221" t="s">
        <v>3223</v>
      </c>
      <c r="O57" s="221" t="s">
        <v>3215</v>
      </c>
      <c r="P57" s="221"/>
      <c r="Q57" s="221">
        <v>6680680</v>
      </c>
      <c r="R57" s="221" t="s">
        <v>9</v>
      </c>
      <c r="S57" s="337" t="s">
        <v>3371</v>
      </c>
      <c r="T57" s="597">
        <f t="shared" si="5"/>
        <v>8555000</v>
      </c>
      <c r="U57" s="221" t="s">
        <v>156</v>
      </c>
      <c r="V57" s="221"/>
      <c r="W57" s="221"/>
      <c r="X57" s="221" t="s">
        <v>3286</v>
      </c>
      <c r="Y57" s="221"/>
      <c r="Z57" s="221"/>
      <c r="AA57" s="338"/>
      <c r="AB57" s="221"/>
      <c r="AC57" s="337"/>
      <c r="AD57" s="221"/>
      <c r="AE57" s="618"/>
      <c r="AF57" s="221"/>
      <c r="AG57" s="221"/>
      <c r="AH57" s="221"/>
      <c r="AI57" s="221"/>
      <c r="AJ57" s="221"/>
      <c r="AK57" s="221"/>
      <c r="AL57" s="337"/>
      <c r="AM57" s="221"/>
      <c r="AN57" s="583"/>
      <c r="AO57" s="221"/>
      <c r="AP57" s="221"/>
      <c r="AQ57" s="221"/>
      <c r="AR57" s="221"/>
      <c r="AS57" s="221"/>
      <c r="AT57" s="127"/>
      <c r="AU57" s="127"/>
      <c r="AV57" s="127"/>
      <c r="AW57" s="657"/>
      <c r="AX57" s="127"/>
      <c r="AY57" s="127"/>
      <c r="AZ57" s="127"/>
      <c r="BA57" s="127"/>
      <c r="BB57" s="127"/>
      <c r="BC57" s="127"/>
      <c r="BD57" s="127"/>
      <c r="BE57" s="657"/>
      <c r="BF57" s="127"/>
      <c r="BG57" s="127"/>
      <c r="BH57" s="127"/>
      <c r="BI57" s="127"/>
      <c r="BJ57" s="127"/>
      <c r="BK57" s="127"/>
      <c r="BL57" s="127"/>
      <c r="BM57" s="127"/>
      <c r="BN57" s="127"/>
      <c r="BO57" s="127"/>
      <c r="BP57" s="127"/>
      <c r="BQ57" s="348" t="s">
        <v>3190</v>
      </c>
      <c r="BR57" s="348" t="s">
        <v>3191</v>
      </c>
      <c r="BS57" s="127"/>
      <c r="BT57" s="336"/>
      <c r="BU57" s="127"/>
      <c r="BV57" s="127"/>
      <c r="BW57" s="127"/>
      <c r="BX57" s="336"/>
      <c r="BY57" s="127"/>
      <c r="BZ57" s="127"/>
      <c r="CA57" s="127"/>
      <c r="CB57" s="127"/>
      <c r="CC57" s="127"/>
      <c r="CD57" s="127"/>
      <c r="CE57" s="127"/>
      <c r="CF57" s="127"/>
      <c r="CG57" s="127" t="s">
        <v>3397</v>
      </c>
      <c r="CH57" s="127"/>
      <c r="CI57" s="472"/>
      <c r="CJ57" s="127"/>
    </row>
    <row r="58" spans="1:88" s="4" customFormat="1" ht="48" customHeight="1">
      <c r="A58" s="15">
        <v>36</v>
      </c>
      <c r="B58" s="349" t="s">
        <v>3411</v>
      </c>
      <c r="C58" s="15"/>
      <c r="D58" s="331" t="s">
        <v>3412</v>
      </c>
      <c r="E58" s="15" t="s">
        <v>3403</v>
      </c>
      <c r="F58" s="15">
        <v>2020</v>
      </c>
      <c r="G58" s="15">
        <v>2020</v>
      </c>
      <c r="H58" s="15"/>
      <c r="I58" s="15"/>
      <c r="J58" s="350">
        <v>86400000</v>
      </c>
      <c r="K58" s="15" t="s">
        <v>3091</v>
      </c>
      <c r="L58" s="15"/>
      <c r="M58" s="15"/>
      <c r="N58" s="15" t="s">
        <v>3342</v>
      </c>
      <c r="O58" s="15" t="s">
        <v>3215</v>
      </c>
      <c r="P58" s="15"/>
      <c r="Q58" s="15">
        <v>6665306</v>
      </c>
      <c r="R58" s="15" t="s">
        <v>28</v>
      </c>
      <c r="S58" s="334" t="s">
        <v>3336</v>
      </c>
      <c r="T58" s="597">
        <f t="shared" si="5"/>
        <v>86400000</v>
      </c>
      <c r="U58" s="15" t="s">
        <v>166</v>
      </c>
      <c r="V58" s="15"/>
      <c r="W58" s="15"/>
      <c r="X58" s="15" t="s">
        <v>3286</v>
      </c>
      <c r="Y58" s="15"/>
      <c r="Z58" s="15"/>
      <c r="AA58" s="333"/>
      <c r="AB58" s="15"/>
      <c r="AC58" s="334"/>
      <c r="AD58" s="15"/>
      <c r="AE58" s="583"/>
      <c r="AF58" s="15"/>
      <c r="AG58" s="15"/>
      <c r="AH58" s="15"/>
      <c r="AI58" s="15"/>
      <c r="AJ58" s="15"/>
      <c r="AK58" s="15">
        <v>6859016</v>
      </c>
      <c r="AL58" s="334" t="s">
        <v>2497</v>
      </c>
      <c r="AM58" s="15" t="s">
        <v>52</v>
      </c>
      <c r="AN58" s="583">
        <f>J58</f>
        <v>86400000</v>
      </c>
      <c r="AO58" s="15" t="s">
        <v>155</v>
      </c>
      <c r="AP58" s="15"/>
      <c r="AQ58" s="15"/>
      <c r="AR58" s="15" t="s">
        <v>3281</v>
      </c>
      <c r="AS58" s="15" t="s">
        <v>3216</v>
      </c>
      <c r="AT58" s="23"/>
      <c r="AU58" s="23"/>
      <c r="AV58" s="23"/>
      <c r="AW58" s="657"/>
      <c r="AX58" s="23"/>
      <c r="AY58" s="23"/>
      <c r="AZ58" s="23"/>
      <c r="BA58" s="23"/>
      <c r="BB58" s="23"/>
      <c r="BC58" s="23"/>
      <c r="BD58" s="23"/>
      <c r="BE58" s="657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15" t="s">
        <v>3190</v>
      </c>
      <c r="BR58" s="15" t="s">
        <v>3191</v>
      </c>
      <c r="BS58" s="23"/>
      <c r="BT58" s="14"/>
      <c r="BU58" s="23"/>
      <c r="BV58" s="23"/>
      <c r="BW58" s="23"/>
      <c r="BX58" s="14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471"/>
      <c r="CJ58" s="339"/>
    </row>
    <row r="59" spans="1:88" s="4" customFormat="1" ht="48" customHeight="1">
      <c r="A59" s="15">
        <v>37</v>
      </c>
      <c r="B59" s="349" t="s">
        <v>3413</v>
      </c>
      <c r="C59" s="15"/>
      <c r="D59" s="331" t="s">
        <v>3414</v>
      </c>
      <c r="E59" s="15" t="s">
        <v>3403</v>
      </c>
      <c r="F59" s="15">
        <v>2020</v>
      </c>
      <c r="G59" s="15">
        <v>2020</v>
      </c>
      <c r="H59" s="15"/>
      <c r="I59" s="15"/>
      <c r="J59" s="350">
        <v>200000000</v>
      </c>
      <c r="K59" s="15" t="s">
        <v>3091</v>
      </c>
      <c r="L59" s="15"/>
      <c r="M59" s="15"/>
      <c r="N59" s="15" t="s">
        <v>3342</v>
      </c>
      <c r="O59" s="15" t="s">
        <v>3215</v>
      </c>
      <c r="P59" s="15"/>
      <c r="Q59" s="15">
        <v>6680633</v>
      </c>
      <c r="R59" s="15" t="s">
        <v>18</v>
      </c>
      <c r="S59" s="334" t="s">
        <v>3322</v>
      </c>
      <c r="T59" s="597">
        <f t="shared" si="5"/>
        <v>200000000</v>
      </c>
      <c r="U59" s="15" t="s">
        <v>156</v>
      </c>
      <c r="V59" s="15" t="s">
        <v>166</v>
      </c>
      <c r="W59" s="15"/>
      <c r="X59" s="15" t="s">
        <v>3286</v>
      </c>
      <c r="Y59" s="15"/>
      <c r="Z59" s="15"/>
      <c r="AA59" s="333"/>
      <c r="AB59" s="15">
        <v>6665306</v>
      </c>
      <c r="AC59" s="334" t="s">
        <v>3336</v>
      </c>
      <c r="AD59" s="15" t="s">
        <v>28</v>
      </c>
      <c r="AE59" s="583">
        <f>T59</f>
        <v>200000000</v>
      </c>
      <c r="AF59" s="15" t="s">
        <v>166</v>
      </c>
      <c r="AG59" s="15"/>
      <c r="AH59" s="15"/>
      <c r="AI59" s="15" t="s">
        <v>3286</v>
      </c>
      <c r="AJ59" s="15" t="s">
        <v>3216</v>
      </c>
      <c r="AK59" s="15"/>
      <c r="AL59" s="334"/>
      <c r="AM59" s="15"/>
      <c r="AN59" s="583"/>
      <c r="AO59" s="15"/>
      <c r="AP59" s="15"/>
      <c r="AQ59" s="15"/>
      <c r="AR59" s="15"/>
      <c r="AS59" s="15"/>
      <c r="AT59" s="15">
        <v>6665306</v>
      </c>
      <c r="AU59" s="334" t="s">
        <v>3336</v>
      </c>
      <c r="AV59" s="23" t="s">
        <v>28</v>
      </c>
      <c r="AW59" s="657">
        <f t="shared" si="3"/>
        <v>200000000</v>
      </c>
      <c r="AX59" s="15" t="s">
        <v>166</v>
      </c>
      <c r="AY59" s="15"/>
      <c r="AZ59" s="15" t="s">
        <v>3286</v>
      </c>
      <c r="BA59" s="15" t="s">
        <v>3216</v>
      </c>
      <c r="BB59" s="23"/>
      <c r="BC59" s="23"/>
      <c r="BD59" s="23"/>
      <c r="BE59" s="657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15" t="s">
        <v>3190</v>
      </c>
      <c r="BR59" s="15" t="s">
        <v>3191</v>
      </c>
      <c r="BS59" s="23"/>
      <c r="BT59" s="14"/>
      <c r="BU59" s="23"/>
      <c r="BV59" s="23"/>
      <c r="BW59" s="23"/>
      <c r="BX59" s="14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471"/>
      <c r="CJ59" s="339"/>
    </row>
    <row r="60" spans="1:88" s="158" customFormat="1" ht="12" customHeight="1">
      <c r="A60" s="714"/>
      <c r="B60" s="715"/>
      <c r="C60" s="716"/>
      <c r="D60" s="735"/>
      <c r="E60" s="714"/>
      <c r="F60" s="714"/>
      <c r="G60" s="714"/>
      <c r="H60" s="714"/>
      <c r="I60" s="714"/>
      <c r="J60" s="720"/>
      <c r="K60" s="714"/>
      <c r="L60" s="714"/>
      <c r="M60" s="714"/>
      <c r="N60" s="714"/>
      <c r="O60" s="714"/>
      <c r="P60" s="714"/>
      <c r="Q60" s="714"/>
      <c r="R60" s="714"/>
      <c r="S60" s="731"/>
      <c r="T60" s="760"/>
      <c r="U60" s="714"/>
      <c r="V60" s="714"/>
      <c r="W60" s="714"/>
      <c r="X60" s="714"/>
      <c r="Y60" s="714"/>
      <c r="Z60" s="714"/>
      <c r="AA60" s="718"/>
      <c r="AB60" s="714"/>
      <c r="AC60" s="731"/>
      <c r="AD60" s="714"/>
      <c r="AE60" s="722"/>
      <c r="AF60" s="714"/>
      <c r="AG60" s="714"/>
      <c r="AH60" s="714"/>
      <c r="AI60" s="714"/>
      <c r="AJ60" s="714"/>
      <c r="AK60" s="714"/>
      <c r="AL60" s="731"/>
      <c r="AM60" s="714"/>
      <c r="AN60" s="722"/>
      <c r="AO60" s="714"/>
      <c r="AP60" s="714"/>
      <c r="AQ60" s="714"/>
      <c r="AR60" s="714"/>
      <c r="AS60" s="714"/>
      <c r="AT60" s="714"/>
      <c r="AU60" s="731"/>
      <c r="AV60" s="343"/>
      <c r="AW60" s="734"/>
      <c r="AX60" s="714"/>
      <c r="AY60" s="714"/>
      <c r="AZ60" s="714"/>
      <c r="BA60" s="714"/>
      <c r="BB60" s="343"/>
      <c r="BC60" s="343"/>
      <c r="BD60" s="343"/>
      <c r="BE60" s="734"/>
      <c r="BF60" s="343"/>
      <c r="BG60" s="343"/>
      <c r="BH60" s="343"/>
      <c r="BI60" s="343"/>
      <c r="BJ60" s="343"/>
      <c r="BK60" s="343"/>
      <c r="BL60" s="343"/>
      <c r="BM60" s="343"/>
      <c r="BN60" s="343"/>
      <c r="BO60" s="343"/>
      <c r="BP60" s="343"/>
      <c r="BQ60" s="716"/>
      <c r="BR60" s="714"/>
      <c r="BS60" s="343"/>
      <c r="BT60" s="735"/>
      <c r="BU60" s="343"/>
      <c r="BV60" s="343"/>
      <c r="BW60" s="343"/>
      <c r="BX60" s="735"/>
      <c r="BY60" s="343"/>
      <c r="BZ60" s="343"/>
      <c r="CA60" s="343"/>
      <c r="CB60" s="343"/>
      <c r="CC60" s="343"/>
      <c r="CD60" s="343"/>
      <c r="CE60" s="343"/>
      <c r="CF60" s="343"/>
      <c r="CG60" s="343"/>
      <c r="CH60" s="343"/>
      <c r="CI60" s="736"/>
      <c r="CJ60" s="343"/>
    </row>
    <row r="61" spans="1:88" s="554" customFormat="1" ht="48" customHeight="1">
      <c r="A61" s="15">
        <v>1</v>
      </c>
      <c r="B61" s="349" t="s">
        <v>3415</v>
      </c>
      <c r="C61" s="348" t="s">
        <v>3416</v>
      </c>
      <c r="D61" s="331" t="s">
        <v>3417</v>
      </c>
      <c r="E61" s="15" t="s">
        <v>5</v>
      </c>
      <c r="F61" s="15">
        <v>2021</v>
      </c>
      <c r="G61" s="15">
        <v>2021</v>
      </c>
      <c r="H61" s="15">
        <v>12</v>
      </c>
      <c r="I61" s="15" t="s">
        <v>3214</v>
      </c>
      <c r="J61" s="350">
        <v>6750000</v>
      </c>
      <c r="K61" s="15" t="s">
        <v>3091</v>
      </c>
      <c r="L61" s="15">
        <v>1</v>
      </c>
      <c r="M61" s="15" t="s">
        <v>3222</v>
      </c>
      <c r="N61" s="15" t="s">
        <v>3223</v>
      </c>
      <c r="O61" s="15" t="s">
        <v>3215</v>
      </c>
      <c r="P61" s="15" t="s">
        <v>3216</v>
      </c>
      <c r="Q61" s="15">
        <v>6681051</v>
      </c>
      <c r="R61" s="15" t="s">
        <v>6</v>
      </c>
      <c r="S61" s="334" t="s">
        <v>1657</v>
      </c>
      <c r="T61" s="608">
        <f>J61</f>
        <v>6750000</v>
      </c>
      <c r="U61" s="15" t="s">
        <v>160</v>
      </c>
      <c r="V61" s="15"/>
      <c r="W61" s="15"/>
      <c r="X61" s="15" t="s">
        <v>3217</v>
      </c>
      <c r="Y61" s="15" t="s">
        <v>3216</v>
      </c>
      <c r="Z61" s="15">
        <v>8140</v>
      </c>
      <c r="AA61" s="333" t="s">
        <v>3291</v>
      </c>
      <c r="AB61" s="15">
        <v>6680648</v>
      </c>
      <c r="AC61" s="334" t="s">
        <v>1036</v>
      </c>
      <c r="AD61" s="15" t="s">
        <v>17</v>
      </c>
      <c r="AE61" s="583">
        <f t="shared" ref="AE61:AE79" si="11">T61</f>
        <v>6750000</v>
      </c>
      <c r="AF61" s="15" t="s">
        <v>166</v>
      </c>
      <c r="AG61" s="15"/>
      <c r="AH61" s="15"/>
      <c r="AI61" s="15" t="s">
        <v>3217</v>
      </c>
      <c r="AJ61" s="15" t="s">
        <v>3216</v>
      </c>
      <c r="AK61" s="15"/>
      <c r="AL61" s="341"/>
      <c r="AM61" s="15"/>
      <c r="AN61" s="583"/>
      <c r="AO61" s="15"/>
      <c r="AP61" s="15"/>
      <c r="AQ61" s="15"/>
      <c r="AR61" s="15"/>
      <c r="AS61" s="15"/>
      <c r="AT61" s="23"/>
      <c r="AU61" s="23"/>
      <c r="AV61" s="23"/>
      <c r="AW61" s="534"/>
      <c r="AX61" s="23"/>
      <c r="AY61" s="23"/>
      <c r="AZ61" s="23"/>
      <c r="BA61" s="23"/>
      <c r="BB61" s="23"/>
      <c r="BC61" s="23"/>
      <c r="BD61" s="23"/>
      <c r="BE61" s="534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348" t="s">
        <v>3190</v>
      </c>
      <c r="BR61" s="348" t="s">
        <v>3191</v>
      </c>
      <c r="BS61" s="23" t="s">
        <v>3418</v>
      </c>
      <c r="BT61" s="14"/>
      <c r="BU61" s="23"/>
      <c r="BV61" s="23"/>
      <c r="BW61" s="23"/>
      <c r="BX61" s="14"/>
      <c r="BY61" s="23"/>
      <c r="BZ61" s="23"/>
      <c r="CA61" s="23"/>
      <c r="CB61" s="23"/>
      <c r="CC61" s="23"/>
      <c r="CD61" s="23"/>
      <c r="CE61" s="23"/>
      <c r="CF61" s="23"/>
      <c r="CG61" s="23" t="s">
        <v>3251</v>
      </c>
      <c r="CH61" s="23" t="s">
        <v>3419</v>
      </c>
      <c r="CI61" s="471" t="s">
        <v>3282</v>
      </c>
      <c r="CJ61" s="23" t="s">
        <v>3420</v>
      </c>
    </row>
    <row r="62" spans="1:88" s="554" customFormat="1" ht="48" customHeight="1">
      <c r="A62" s="15">
        <v>2</v>
      </c>
      <c r="B62" s="349" t="s">
        <v>3415</v>
      </c>
      <c r="C62" s="348" t="s">
        <v>3421</v>
      </c>
      <c r="D62" s="331" t="s">
        <v>3422</v>
      </c>
      <c r="E62" s="15" t="s">
        <v>31</v>
      </c>
      <c r="F62" s="15">
        <v>2021</v>
      </c>
      <c r="G62" s="15">
        <v>2021</v>
      </c>
      <c r="H62" s="15">
        <v>10</v>
      </c>
      <c r="I62" s="15" t="s">
        <v>3214</v>
      </c>
      <c r="J62" s="350">
        <v>3750000</v>
      </c>
      <c r="K62" s="15" t="s">
        <v>3091</v>
      </c>
      <c r="L62" s="15">
        <v>3</v>
      </c>
      <c r="M62" s="15" t="s">
        <v>3222</v>
      </c>
      <c r="N62" s="15" t="s">
        <v>3223</v>
      </c>
      <c r="O62" s="15" t="s">
        <v>3215</v>
      </c>
      <c r="P62" s="15" t="s">
        <v>3216</v>
      </c>
      <c r="Q62" s="15">
        <v>6764236</v>
      </c>
      <c r="R62" s="15" t="s">
        <v>25</v>
      </c>
      <c r="S62" s="334" t="s">
        <v>1684</v>
      </c>
      <c r="T62" s="608">
        <f t="shared" ref="T62:T124" si="12">J62</f>
        <v>3750000</v>
      </c>
      <c r="U62" s="15" t="s">
        <v>166</v>
      </c>
      <c r="V62" s="15"/>
      <c r="W62" s="15"/>
      <c r="X62" s="15" t="s">
        <v>3217</v>
      </c>
      <c r="Y62" s="15" t="s">
        <v>3216</v>
      </c>
      <c r="Z62" s="15">
        <v>8140</v>
      </c>
      <c r="AA62" s="333" t="s">
        <v>3291</v>
      </c>
      <c r="AB62" s="15">
        <v>6744406</v>
      </c>
      <c r="AC62" s="334" t="s">
        <v>985</v>
      </c>
      <c r="AD62" s="15" t="s">
        <v>352</v>
      </c>
      <c r="AE62" s="583">
        <f t="shared" si="11"/>
        <v>3750000</v>
      </c>
      <c r="AF62" s="15" t="s">
        <v>166</v>
      </c>
      <c r="AG62" s="15"/>
      <c r="AH62" s="15"/>
      <c r="AI62" s="15" t="s">
        <v>3217</v>
      </c>
      <c r="AJ62" s="15" t="s">
        <v>3216</v>
      </c>
      <c r="AK62" s="15">
        <v>6681032</v>
      </c>
      <c r="AL62" s="334" t="s">
        <v>3423</v>
      </c>
      <c r="AM62" s="15" t="s">
        <v>76</v>
      </c>
      <c r="AN62" s="583">
        <f>T62</f>
        <v>3750000</v>
      </c>
      <c r="AO62" s="15" t="s">
        <v>166</v>
      </c>
      <c r="AP62" s="15"/>
      <c r="AQ62" s="15"/>
      <c r="AR62" s="15" t="s">
        <v>3217</v>
      </c>
      <c r="AS62" s="15" t="s">
        <v>3216</v>
      </c>
      <c r="AT62" s="23"/>
      <c r="AU62" s="23"/>
      <c r="AV62" s="23"/>
      <c r="AW62" s="534"/>
      <c r="AX62" s="23"/>
      <c r="AY62" s="23"/>
      <c r="AZ62" s="23"/>
      <c r="BA62" s="23"/>
      <c r="BB62" s="23"/>
      <c r="BC62" s="23"/>
      <c r="BD62" s="23"/>
      <c r="BE62" s="534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348" t="s">
        <v>3190</v>
      </c>
      <c r="BR62" s="348" t="s">
        <v>3191</v>
      </c>
      <c r="BS62" s="23" t="s">
        <v>3424</v>
      </c>
      <c r="BT62" s="14"/>
      <c r="BU62" s="23" t="s">
        <v>3425</v>
      </c>
      <c r="BV62" s="23"/>
      <c r="BW62" s="23" t="s">
        <v>3426</v>
      </c>
      <c r="BX62" s="14"/>
      <c r="BY62" s="23"/>
      <c r="BZ62" s="23"/>
      <c r="CA62" s="23"/>
      <c r="CB62" s="23"/>
      <c r="CC62" s="23"/>
      <c r="CD62" s="23"/>
      <c r="CE62" s="23"/>
      <c r="CF62" s="23"/>
      <c r="CG62" s="23" t="s">
        <v>3251</v>
      </c>
      <c r="CH62" s="23" t="s">
        <v>942</v>
      </c>
      <c r="CI62" s="471" t="s">
        <v>3309</v>
      </c>
      <c r="CJ62" s="23"/>
    </row>
    <row r="63" spans="1:88" s="554" customFormat="1" ht="60" customHeight="1">
      <c r="A63" s="15">
        <v>3</v>
      </c>
      <c r="B63" s="349" t="s">
        <v>3415</v>
      </c>
      <c r="C63" s="348" t="s">
        <v>3427</v>
      </c>
      <c r="D63" s="331" t="s">
        <v>3428</v>
      </c>
      <c r="E63" s="15" t="s">
        <v>31</v>
      </c>
      <c r="F63" s="15">
        <v>2021</v>
      </c>
      <c r="G63" s="15">
        <v>2021</v>
      </c>
      <c r="H63" s="15">
        <v>10</v>
      </c>
      <c r="I63" s="15" t="s">
        <v>3294</v>
      </c>
      <c r="J63" s="350">
        <v>7000000</v>
      </c>
      <c r="K63" s="15" t="s">
        <v>3091</v>
      </c>
      <c r="L63" s="15">
        <v>1</v>
      </c>
      <c r="M63" s="15" t="s">
        <v>3222</v>
      </c>
      <c r="N63" s="15" t="s">
        <v>3223</v>
      </c>
      <c r="O63" s="15" t="s">
        <v>3215</v>
      </c>
      <c r="P63" s="15" t="s">
        <v>3216</v>
      </c>
      <c r="Q63" s="15">
        <v>6680648</v>
      </c>
      <c r="R63" s="15" t="s">
        <v>17</v>
      </c>
      <c r="S63" s="334" t="s">
        <v>1036</v>
      </c>
      <c r="T63" s="608">
        <f t="shared" si="12"/>
        <v>7000000</v>
      </c>
      <c r="U63" s="15" t="s">
        <v>166</v>
      </c>
      <c r="V63" s="15"/>
      <c r="W63" s="15"/>
      <c r="X63" s="15" t="s">
        <v>3217</v>
      </c>
      <c r="Y63" s="15" t="s">
        <v>3216</v>
      </c>
      <c r="Z63" s="15">
        <v>8140</v>
      </c>
      <c r="AA63" s="333" t="s">
        <v>3291</v>
      </c>
      <c r="AB63" s="15">
        <v>6681051</v>
      </c>
      <c r="AC63" s="334" t="s">
        <v>1657</v>
      </c>
      <c r="AD63" s="15" t="s">
        <v>6</v>
      </c>
      <c r="AE63" s="583">
        <f t="shared" si="11"/>
        <v>7000000</v>
      </c>
      <c r="AF63" s="15" t="s">
        <v>160</v>
      </c>
      <c r="AG63" s="15"/>
      <c r="AH63" s="15"/>
      <c r="AI63" s="15" t="s">
        <v>3217</v>
      </c>
      <c r="AJ63" s="15" t="s">
        <v>3216</v>
      </c>
      <c r="AK63" s="15">
        <v>6680627</v>
      </c>
      <c r="AL63" s="334" t="s">
        <v>1912</v>
      </c>
      <c r="AM63" s="15" t="s">
        <v>88</v>
      </c>
      <c r="AN63" s="583">
        <f>T63</f>
        <v>7000000</v>
      </c>
      <c r="AO63" s="15" t="s">
        <v>160</v>
      </c>
      <c r="AP63" s="15"/>
      <c r="AQ63" s="15"/>
      <c r="AR63" s="15" t="s">
        <v>3217</v>
      </c>
      <c r="AS63" s="15" t="s">
        <v>3216</v>
      </c>
      <c r="AT63" s="23"/>
      <c r="AU63" s="23"/>
      <c r="AV63" s="23"/>
      <c r="AW63" s="534"/>
      <c r="AX63" s="23"/>
      <c r="AY63" s="23"/>
      <c r="AZ63" s="23"/>
      <c r="BA63" s="23"/>
      <c r="BB63" s="23"/>
      <c r="BC63" s="23"/>
      <c r="BD63" s="23"/>
      <c r="BE63" s="534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348" t="s">
        <v>3190</v>
      </c>
      <c r="BR63" s="348" t="s">
        <v>3191</v>
      </c>
      <c r="BS63" s="23" t="s">
        <v>3429</v>
      </c>
      <c r="BT63" s="14"/>
      <c r="BU63" s="23" t="s">
        <v>3430</v>
      </c>
      <c r="BV63" s="23"/>
      <c r="BW63" s="23" t="s">
        <v>3431</v>
      </c>
      <c r="BX63" s="14"/>
      <c r="BY63" s="23"/>
      <c r="BZ63" s="23"/>
      <c r="CA63" s="23"/>
      <c r="CB63" s="23"/>
      <c r="CC63" s="23"/>
      <c r="CD63" s="23"/>
      <c r="CE63" s="23"/>
      <c r="CF63" s="23"/>
      <c r="CG63" s="23" t="s">
        <v>942</v>
      </c>
      <c r="CH63" s="23" t="s">
        <v>942</v>
      </c>
      <c r="CI63" s="471" t="s">
        <v>942</v>
      </c>
      <c r="CJ63" s="23"/>
    </row>
    <row r="64" spans="1:88" s="4" customFormat="1" ht="48" customHeight="1">
      <c r="A64" s="15">
        <v>4</v>
      </c>
      <c r="B64" s="349" t="s">
        <v>3415</v>
      </c>
      <c r="C64" s="348" t="s">
        <v>3432</v>
      </c>
      <c r="D64" s="331" t="s">
        <v>3433</v>
      </c>
      <c r="E64" s="15" t="s">
        <v>31</v>
      </c>
      <c r="F64" s="15">
        <v>2021</v>
      </c>
      <c r="G64" s="15">
        <v>2021</v>
      </c>
      <c r="H64" s="15">
        <v>10</v>
      </c>
      <c r="I64" s="15" t="s">
        <v>3434</v>
      </c>
      <c r="J64" s="350">
        <v>6995000</v>
      </c>
      <c r="K64" s="15" t="s">
        <v>3091</v>
      </c>
      <c r="L64" s="15">
        <v>3</v>
      </c>
      <c r="M64" s="15" t="s">
        <v>3222</v>
      </c>
      <c r="N64" s="15" t="s">
        <v>3223</v>
      </c>
      <c r="O64" s="15" t="s">
        <v>3215</v>
      </c>
      <c r="P64" s="15" t="s">
        <v>3216</v>
      </c>
      <c r="Q64" s="15">
        <v>6680680</v>
      </c>
      <c r="R64" s="15" t="s">
        <v>9</v>
      </c>
      <c r="S64" s="334" t="s">
        <v>959</v>
      </c>
      <c r="T64" s="608">
        <f t="shared" si="12"/>
        <v>6995000</v>
      </c>
      <c r="U64" s="15" t="s">
        <v>156</v>
      </c>
      <c r="V64" s="15"/>
      <c r="W64" s="15"/>
      <c r="X64" s="15" t="s">
        <v>3217</v>
      </c>
      <c r="Y64" s="15" t="s">
        <v>3216</v>
      </c>
      <c r="Z64" s="15">
        <v>8140</v>
      </c>
      <c r="AA64" s="333" t="s">
        <v>3291</v>
      </c>
      <c r="AB64" s="15">
        <v>6681205</v>
      </c>
      <c r="AC64" s="334" t="s">
        <v>1705</v>
      </c>
      <c r="AD64" s="15" t="s">
        <v>48</v>
      </c>
      <c r="AE64" s="583">
        <f t="shared" si="11"/>
        <v>6995000</v>
      </c>
      <c r="AF64" s="15" t="s">
        <v>156</v>
      </c>
      <c r="AG64" s="15"/>
      <c r="AH64" s="15"/>
      <c r="AI64" s="15" t="s">
        <v>3217</v>
      </c>
      <c r="AJ64" s="15" t="s">
        <v>3216</v>
      </c>
      <c r="AK64" s="15">
        <v>6680664</v>
      </c>
      <c r="AL64" s="334" t="s">
        <v>2288</v>
      </c>
      <c r="AM64" s="15" t="s">
        <v>15</v>
      </c>
      <c r="AN64" s="583">
        <f>T64</f>
        <v>6995000</v>
      </c>
      <c r="AO64" s="15" t="s">
        <v>156</v>
      </c>
      <c r="AP64" s="15"/>
      <c r="AQ64" s="15"/>
      <c r="AR64" s="15" t="s">
        <v>3217</v>
      </c>
      <c r="AS64" s="15" t="s">
        <v>3216</v>
      </c>
      <c r="AT64" s="23"/>
      <c r="AU64" s="23"/>
      <c r="AV64" s="23"/>
      <c r="AW64" s="534"/>
      <c r="AX64" s="23"/>
      <c r="AY64" s="23"/>
      <c r="AZ64" s="23"/>
      <c r="BA64" s="23"/>
      <c r="BB64" s="23"/>
      <c r="BC64" s="23"/>
      <c r="BD64" s="23"/>
      <c r="BE64" s="534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348" t="s">
        <v>3190</v>
      </c>
      <c r="BR64" s="348" t="s">
        <v>3191</v>
      </c>
      <c r="BS64" s="23" t="s">
        <v>3125</v>
      </c>
      <c r="BT64" s="14"/>
      <c r="BU64" s="23" t="s">
        <v>3435</v>
      </c>
      <c r="BV64" s="23"/>
      <c r="BW64" s="23"/>
      <c r="BX64" s="14"/>
      <c r="BY64" s="23"/>
      <c r="BZ64" s="23"/>
      <c r="CA64" s="23"/>
      <c r="CB64" s="23"/>
      <c r="CC64" s="23"/>
      <c r="CD64" s="23"/>
      <c r="CE64" s="23"/>
      <c r="CF64" s="23"/>
      <c r="CG64" s="23" t="s">
        <v>3063</v>
      </c>
      <c r="CH64" s="23" t="s">
        <v>942</v>
      </c>
      <c r="CI64" s="471"/>
      <c r="CJ64" s="23"/>
    </row>
    <row r="65" spans="1:88" s="554" customFormat="1" ht="48" customHeight="1">
      <c r="A65" s="15">
        <v>5</v>
      </c>
      <c r="B65" s="349" t="s">
        <v>3415</v>
      </c>
      <c r="C65" s="348" t="s">
        <v>3436</v>
      </c>
      <c r="D65" s="331" t="s">
        <v>3437</v>
      </c>
      <c r="E65" s="15" t="s">
        <v>31</v>
      </c>
      <c r="F65" s="15">
        <v>2021</v>
      </c>
      <c r="G65" s="15">
        <v>2021</v>
      </c>
      <c r="H65" s="15">
        <v>10</v>
      </c>
      <c r="I65" s="15" t="s">
        <v>3214</v>
      </c>
      <c r="J65" s="350">
        <v>6316000</v>
      </c>
      <c r="K65" s="15" t="s">
        <v>3091</v>
      </c>
      <c r="L65" s="15">
        <v>3</v>
      </c>
      <c r="M65" s="15" t="s">
        <v>3222</v>
      </c>
      <c r="N65" s="15" t="s">
        <v>3223</v>
      </c>
      <c r="O65" s="15" t="s">
        <v>3215</v>
      </c>
      <c r="P65" s="15" t="s">
        <v>3216</v>
      </c>
      <c r="Q65" s="15">
        <v>6744406</v>
      </c>
      <c r="R65" s="15" t="s">
        <v>352</v>
      </c>
      <c r="S65" s="334" t="s">
        <v>985</v>
      </c>
      <c r="T65" s="608">
        <f t="shared" si="12"/>
        <v>6316000</v>
      </c>
      <c r="U65" s="15" t="s">
        <v>166</v>
      </c>
      <c r="V65" s="15"/>
      <c r="W65" s="15"/>
      <c r="X65" s="15" t="s">
        <v>3217</v>
      </c>
      <c r="Y65" s="15" t="s">
        <v>3216</v>
      </c>
      <c r="Z65" s="15">
        <v>8140</v>
      </c>
      <c r="AA65" s="333" t="s">
        <v>3291</v>
      </c>
      <c r="AB65" s="15">
        <v>6764236</v>
      </c>
      <c r="AC65" s="334" t="s">
        <v>1684</v>
      </c>
      <c r="AD65" s="15" t="s">
        <v>25</v>
      </c>
      <c r="AE65" s="583">
        <f t="shared" si="11"/>
        <v>6316000</v>
      </c>
      <c r="AF65" s="15" t="s">
        <v>166</v>
      </c>
      <c r="AG65" s="15"/>
      <c r="AH65" s="15"/>
      <c r="AI65" s="15" t="s">
        <v>3217</v>
      </c>
      <c r="AJ65" s="15" t="s">
        <v>3216</v>
      </c>
      <c r="AK65" s="15">
        <v>6680634</v>
      </c>
      <c r="AL65" s="334" t="s">
        <v>989</v>
      </c>
      <c r="AM65" s="15" t="s">
        <v>3438</v>
      </c>
      <c r="AN65" s="583">
        <f>T65</f>
        <v>6316000</v>
      </c>
      <c r="AO65" s="15" t="s">
        <v>166</v>
      </c>
      <c r="AP65" s="15"/>
      <c r="AQ65" s="15"/>
      <c r="AR65" s="15" t="s">
        <v>3217</v>
      </c>
      <c r="AS65" s="15" t="s">
        <v>3216</v>
      </c>
      <c r="AT65" s="23"/>
      <c r="AU65" s="23"/>
      <c r="AV65" s="23"/>
      <c r="AW65" s="534"/>
      <c r="AX65" s="23"/>
      <c r="AY65" s="23"/>
      <c r="AZ65" s="23"/>
      <c r="BA65" s="23"/>
      <c r="BB65" s="23"/>
      <c r="BC65" s="23"/>
      <c r="BD65" s="23"/>
      <c r="BE65" s="534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348" t="s">
        <v>3190</v>
      </c>
      <c r="BR65" s="348" t="s">
        <v>3191</v>
      </c>
      <c r="BS65" s="23" t="s">
        <v>3439</v>
      </c>
      <c r="BT65" s="14"/>
      <c r="BU65" s="23" t="s">
        <v>3440</v>
      </c>
      <c r="BV65" s="23"/>
      <c r="BW65" s="23" t="s">
        <v>3441</v>
      </c>
      <c r="BX65" s="14"/>
      <c r="BY65" s="23"/>
      <c r="BZ65" s="23"/>
      <c r="CA65" s="23"/>
      <c r="CB65" s="23"/>
      <c r="CC65" s="23"/>
      <c r="CD65" s="23"/>
      <c r="CE65" s="23"/>
      <c r="CF65" s="23"/>
      <c r="CG65" s="23" t="s">
        <v>3251</v>
      </c>
      <c r="CH65" s="23" t="s">
        <v>3442</v>
      </c>
      <c r="CI65" s="471" t="s">
        <v>3282</v>
      </c>
      <c r="CJ65" s="23" t="s">
        <v>3443</v>
      </c>
    </row>
    <row r="66" spans="1:88" s="4" customFormat="1" ht="48" customHeight="1">
      <c r="A66" s="15">
        <v>6</v>
      </c>
      <c r="B66" s="349" t="s">
        <v>3415</v>
      </c>
      <c r="C66" s="348" t="s">
        <v>3444</v>
      </c>
      <c r="D66" s="331" t="s">
        <v>3445</v>
      </c>
      <c r="E66" s="15" t="s">
        <v>31</v>
      </c>
      <c r="F66" s="15">
        <v>2021</v>
      </c>
      <c r="G66" s="15">
        <v>2021</v>
      </c>
      <c r="H66" s="15">
        <v>10</v>
      </c>
      <c r="I66" s="15" t="s">
        <v>3214</v>
      </c>
      <c r="J66" s="350">
        <v>6750000</v>
      </c>
      <c r="K66" s="15" t="s">
        <v>3091</v>
      </c>
      <c r="L66" s="15">
        <v>3</v>
      </c>
      <c r="M66" s="15" t="s">
        <v>3222</v>
      </c>
      <c r="N66" s="15" t="s">
        <v>3223</v>
      </c>
      <c r="O66" s="15" t="s">
        <v>3215</v>
      </c>
      <c r="P66" s="15" t="s">
        <v>3216</v>
      </c>
      <c r="Q66" s="15">
        <v>6680687</v>
      </c>
      <c r="R66" s="15" t="s">
        <v>29</v>
      </c>
      <c r="S66" s="334" t="s">
        <v>1693</v>
      </c>
      <c r="T66" s="608">
        <f t="shared" si="12"/>
        <v>6750000</v>
      </c>
      <c r="U66" s="15" t="s">
        <v>160</v>
      </c>
      <c r="V66" s="15"/>
      <c r="W66" s="15"/>
      <c r="X66" s="15" t="s">
        <v>3224</v>
      </c>
      <c r="Y66" s="15" t="s">
        <v>3216</v>
      </c>
      <c r="Z66" s="15">
        <v>8140</v>
      </c>
      <c r="AA66" s="333" t="s">
        <v>3291</v>
      </c>
      <c r="AB66" s="15">
        <v>6778837</v>
      </c>
      <c r="AC66" s="204" t="s">
        <v>979</v>
      </c>
      <c r="AD66" s="15" t="s">
        <v>71</v>
      </c>
      <c r="AE66" s="583">
        <f t="shared" si="11"/>
        <v>6750000</v>
      </c>
      <c r="AF66" s="15" t="s">
        <v>171</v>
      </c>
      <c r="AG66" s="15"/>
      <c r="AH66" s="15"/>
      <c r="AI66" s="15" t="s">
        <v>3217</v>
      </c>
      <c r="AJ66" s="15" t="s">
        <v>3216</v>
      </c>
      <c r="AK66" s="15"/>
      <c r="AL66" s="341"/>
      <c r="AM66" s="15"/>
      <c r="AN66" s="583"/>
      <c r="AO66" s="15"/>
      <c r="AP66" s="15"/>
      <c r="AQ66" s="15"/>
      <c r="AR66" s="15"/>
      <c r="AS66" s="15"/>
      <c r="AT66" s="23"/>
      <c r="AU66" s="23"/>
      <c r="AV66" s="23"/>
      <c r="AW66" s="534"/>
      <c r="AX66" s="23"/>
      <c r="AY66" s="23"/>
      <c r="AZ66" s="23"/>
      <c r="BA66" s="23"/>
      <c r="BB66" s="23"/>
      <c r="BC66" s="23"/>
      <c r="BD66" s="23"/>
      <c r="BE66" s="534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348" t="s">
        <v>3190</v>
      </c>
      <c r="BR66" s="348" t="s">
        <v>3191</v>
      </c>
      <c r="BS66" s="23" t="s">
        <v>3446</v>
      </c>
      <c r="BT66" s="14"/>
      <c r="BU66" s="23" t="s">
        <v>3447</v>
      </c>
      <c r="BV66" s="23"/>
      <c r="BW66" s="23"/>
      <c r="BX66" s="14"/>
      <c r="BY66" s="23"/>
      <c r="BZ66" s="23"/>
      <c r="CA66" s="23"/>
      <c r="CB66" s="23"/>
      <c r="CC66" s="23"/>
      <c r="CD66" s="23"/>
      <c r="CE66" s="23"/>
      <c r="CF66" s="23"/>
      <c r="CG66" s="23" t="s">
        <v>3448</v>
      </c>
      <c r="CH66" s="23" t="s">
        <v>942</v>
      </c>
      <c r="CI66" s="471" t="s">
        <v>942</v>
      </c>
      <c r="CJ66" s="23"/>
    </row>
    <row r="67" spans="1:88" s="4" customFormat="1" ht="72.75" customHeight="1">
      <c r="A67" s="15">
        <v>7</v>
      </c>
      <c r="B67" s="349" t="s">
        <v>3415</v>
      </c>
      <c r="C67" s="348" t="s">
        <v>3449</v>
      </c>
      <c r="D67" s="331" t="s">
        <v>3450</v>
      </c>
      <c r="E67" s="15" t="s">
        <v>31</v>
      </c>
      <c r="F67" s="15">
        <v>2021</v>
      </c>
      <c r="G67" s="15">
        <v>2021</v>
      </c>
      <c r="H67" s="15">
        <v>12</v>
      </c>
      <c r="I67" s="15" t="s">
        <v>3451</v>
      </c>
      <c r="J67" s="350">
        <v>6800000</v>
      </c>
      <c r="K67" s="15" t="s">
        <v>3091</v>
      </c>
      <c r="L67" s="15">
        <v>3</v>
      </c>
      <c r="M67" s="15" t="s">
        <v>3222</v>
      </c>
      <c r="N67" s="15" t="s">
        <v>3223</v>
      </c>
      <c r="O67" s="15" t="s">
        <v>3215</v>
      </c>
      <c r="P67" s="15" t="s">
        <v>3216</v>
      </c>
      <c r="Q67" s="15">
        <v>6680626</v>
      </c>
      <c r="R67" s="15" t="s">
        <v>38</v>
      </c>
      <c r="S67" s="334" t="s">
        <v>1008</v>
      </c>
      <c r="T67" s="608">
        <f t="shared" si="12"/>
        <v>6800000</v>
      </c>
      <c r="U67" s="15" t="s">
        <v>164</v>
      </c>
      <c r="V67" s="15"/>
      <c r="W67" s="15"/>
      <c r="X67" s="15" t="s">
        <v>3217</v>
      </c>
      <c r="Y67" s="15" t="s">
        <v>3216</v>
      </c>
      <c r="Z67" s="15">
        <v>8140</v>
      </c>
      <c r="AA67" s="333" t="s">
        <v>3291</v>
      </c>
      <c r="AB67" s="15">
        <v>6680628</v>
      </c>
      <c r="AC67" s="334" t="s">
        <v>1007</v>
      </c>
      <c r="AD67" s="15" t="s">
        <v>89</v>
      </c>
      <c r="AE67" s="583">
        <f t="shared" si="11"/>
        <v>6800000</v>
      </c>
      <c r="AF67" s="15" t="s">
        <v>164</v>
      </c>
      <c r="AG67" s="15"/>
      <c r="AH67" s="15"/>
      <c r="AI67" s="15" t="s">
        <v>3217</v>
      </c>
      <c r="AJ67" s="15" t="s">
        <v>3216</v>
      </c>
      <c r="AK67" s="15">
        <v>6767777</v>
      </c>
      <c r="AL67" s="334" t="s">
        <v>2673</v>
      </c>
      <c r="AM67" s="15" t="s">
        <v>3452</v>
      </c>
      <c r="AN67" s="583">
        <f>T67</f>
        <v>6800000</v>
      </c>
      <c r="AO67" s="15" t="s">
        <v>171</v>
      </c>
      <c r="AP67" s="15"/>
      <c r="AQ67" s="15"/>
      <c r="AR67" s="15" t="s">
        <v>3217</v>
      </c>
      <c r="AS67" s="15" t="s">
        <v>3216</v>
      </c>
      <c r="AT67" s="23"/>
      <c r="AU67" s="23"/>
      <c r="AV67" s="23"/>
      <c r="AW67" s="534"/>
      <c r="AX67" s="23"/>
      <c r="AY67" s="23"/>
      <c r="AZ67" s="23"/>
      <c r="BA67" s="23"/>
      <c r="BB67" s="23"/>
      <c r="BC67" s="23"/>
      <c r="BD67" s="23"/>
      <c r="BE67" s="534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348" t="s">
        <v>3190</v>
      </c>
      <c r="BR67" s="348" t="s">
        <v>3191</v>
      </c>
      <c r="BS67" s="23" t="s">
        <v>3453</v>
      </c>
      <c r="BT67" s="14"/>
      <c r="BU67" s="23" t="s">
        <v>3454</v>
      </c>
      <c r="BV67" s="23"/>
      <c r="BW67" s="23" t="s">
        <v>3455</v>
      </c>
      <c r="BX67" s="14"/>
      <c r="BY67" s="23"/>
      <c r="BZ67" s="23"/>
      <c r="CA67" s="23"/>
      <c r="CB67" s="23"/>
      <c r="CC67" s="23"/>
      <c r="CD67" s="23"/>
      <c r="CE67" s="23"/>
      <c r="CF67" s="23"/>
      <c r="CG67" s="23" t="s">
        <v>3063</v>
      </c>
      <c r="CH67" s="23" t="s">
        <v>942</v>
      </c>
      <c r="CI67" s="471" t="s">
        <v>942</v>
      </c>
      <c r="CJ67" s="23"/>
    </row>
    <row r="68" spans="1:88" s="4" customFormat="1" ht="51.75" customHeight="1">
      <c r="A68" s="15">
        <v>8</v>
      </c>
      <c r="B68" s="349" t="s">
        <v>3415</v>
      </c>
      <c r="C68" s="348" t="s">
        <v>3456</v>
      </c>
      <c r="D68" s="331" t="s">
        <v>3457</v>
      </c>
      <c r="E68" s="15" t="s">
        <v>31</v>
      </c>
      <c r="F68" s="15">
        <v>2021</v>
      </c>
      <c r="G68" s="15">
        <v>2021</v>
      </c>
      <c r="H68" s="15">
        <v>12</v>
      </c>
      <c r="I68" s="15" t="s">
        <v>3214</v>
      </c>
      <c r="J68" s="350">
        <v>6750000</v>
      </c>
      <c r="K68" s="15" t="s">
        <v>3091</v>
      </c>
      <c r="L68" s="15">
        <v>3</v>
      </c>
      <c r="M68" s="15" t="s">
        <v>3222</v>
      </c>
      <c r="N68" s="15" t="s">
        <v>3223</v>
      </c>
      <c r="O68" s="15" t="s">
        <v>3215</v>
      </c>
      <c r="P68" s="15" t="s">
        <v>3216</v>
      </c>
      <c r="Q68" s="15">
        <v>6658545</v>
      </c>
      <c r="R68" s="15" t="s">
        <v>40</v>
      </c>
      <c r="S68" s="334" t="s">
        <v>984</v>
      </c>
      <c r="T68" s="608">
        <f t="shared" si="12"/>
        <v>6750000</v>
      </c>
      <c r="U68" s="15" t="s">
        <v>160</v>
      </c>
      <c r="V68" s="15"/>
      <c r="W68" s="15"/>
      <c r="X68" s="15" t="s">
        <v>3217</v>
      </c>
      <c r="Y68" s="15" t="s">
        <v>3216</v>
      </c>
      <c r="Z68" s="15">
        <v>8140</v>
      </c>
      <c r="AA68" s="333" t="s">
        <v>3291</v>
      </c>
      <c r="AB68" s="15">
        <v>6658545</v>
      </c>
      <c r="AC68" s="334" t="s">
        <v>984</v>
      </c>
      <c r="AD68" s="15" t="s">
        <v>40</v>
      </c>
      <c r="AE68" s="583">
        <f t="shared" si="11"/>
        <v>6750000</v>
      </c>
      <c r="AF68" s="15" t="s">
        <v>160</v>
      </c>
      <c r="AG68" s="15"/>
      <c r="AH68" s="15"/>
      <c r="AI68" s="15" t="s">
        <v>3217</v>
      </c>
      <c r="AJ68" s="15" t="s">
        <v>3216</v>
      </c>
      <c r="AK68" s="15">
        <v>6682237</v>
      </c>
      <c r="AL68" s="334" t="s">
        <v>1736</v>
      </c>
      <c r="AM68" s="15" t="s">
        <v>13</v>
      </c>
      <c r="AN68" s="583">
        <f>T68</f>
        <v>6750000</v>
      </c>
      <c r="AO68" s="15" t="s">
        <v>3093</v>
      </c>
      <c r="AP68" s="15"/>
      <c r="AQ68" s="15"/>
      <c r="AR68" s="15" t="s">
        <v>3217</v>
      </c>
      <c r="AS68" s="15" t="s">
        <v>3216</v>
      </c>
      <c r="AT68" s="23"/>
      <c r="AU68" s="23"/>
      <c r="AV68" s="23"/>
      <c r="AW68" s="534"/>
      <c r="AX68" s="23"/>
      <c r="AY68" s="23"/>
      <c r="AZ68" s="23"/>
      <c r="BA68" s="23"/>
      <c r="BB68" s="23"/>
      <c r="BC68" s="23"/>
      <c r="BD68" s="23"/>
      <c r="BE68" s="534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348" t="s">
        <v>3190</v>
      </c>
      <c r="BR68" s="348" t="s">
        <v>3191</v>
      </c>
      <c r="BS68" s="23" t="s">
        <v>3458</v>
      </c>
      <c r="BT68" s="14"/>
      <c r="BU68" s="23" t="s">
        <v>3459</v>
      </c>
      <c r="BV68" s="23"/>
      <c r="BW68" s="23" t="s">
        <v>3460</v>
      </c>
      <c r="BX68" s="14"/>
      <c r="BY68" s="23"/>
      <c r="BZ68" s="23"/>
      <c r="CA68" s="23"/>
      <c r="CB68" s="23"/>
      <c r="CC68" s="23"/>
      <c r="CD68" s="23"/>
      <c r="CE68" s="23"/>
      <c r="CF68" s="23"/>
      <c r="CG68" s="23" t="s">
        <v>3251</v>
      </c>
      <c r="CH68" s="23" t="s">
        <v>3442</v>
      </c>
      <c r="CI68" s="471" t="s">
        <v>3282</v>
      </c>
      <c r="CJ68" s="23"/>
    </row>
    <row r="69" spans="1:88" s="4" customFormat="1" ht="48" customHeight="1">
      <c r="A69" s="15">
        <v>9</v>
      </c>
      <c r="B69" s="349" t="s">
        <v>3415</v>
      </c>
      <c r="C69" s="348" t="s">
        <v>3461</v>
      </c>
      <c r="D69" s="331" t="s">
        <v>3462</v>
      </c>
      <c r="E69" s="15" t="s">
        <v>31</v>
      </c>
      <c r="F69" s="15">
        <v>2021</v>
      </c>
      <c r="G69" s="15">
        <v>2021</v>
      </c>
      <c r="H69" s="15">
        <v>8</v>
      </c>
      <c r="I69" s="15" t="s">
        <v>3214</v>
      </c>
      <c r="J69" s="350">
        <v>6750000</v>
      </c>
      <c r="K69" s="15" t="s">
        <v>3091</v>
      </c>
      <c r="L69" s="15">
        <v>2</v>
      </c>
      <c r="M69" s="15" t="s">
        <v>3222</v>
      </c>
      <c r="N69" s="15" t="s">
        <v>3223</v>
      </c>
      <c r="O69" s="15" t="s">
        <v>3215</v>
      </c>
      <c r="P69" s="15" t="s">
        <v>3216</v>
      </c>
      <c r="Q69" s="15">
        <v>6681205</v>
      </c>
      <c r="R69" s="15" t="s">
        <v>48</v>
      </c>
      <c r="S69" s="334" t="s">
        <v>1705</v>
      </c>
      <c r="T69" s="608">
        <f t="shared" si="12"/>
        <v>6750000</v>
      </c>
      <c r="U69" s="15" t="s">
        <v>156</v>
      </c>
      <c r="V69" s="15"/>
      <c r="W69" s="15"/>
      <c r="X69" s="15" t="s">
        <v>3217</v>
      </c>
      <c r="Y69" s="15" t="s">
        <v>3216</v>
      </c>
      <c r="Z69" s="15">
        <v>8140</v>
      </c>
      <c r="AA69" s="333" t="s">
        <v>3291</v>
      </c>
      <c r="AB69" s="15">
        <v>6680664</v>
      </c>
      <c r="AC69" s="340" t="s">
        <v>2288</v>
      </c>
      <c r="AD69" s="15" t="s">
        <v>15</v>
      </c>
      <c r="AE69" s="583">
        <f t="shared" si="11"/>
        <v>6750000</v>
      </c>
      <c r="AF69" s="15" t="s">
        <v>156</v>
      </c>
      <c r="AG69" s="15"/>
      <c r="AH69" s="15"/>
      <c r="AI69" s="15" t="s">
        <v>3217</v>
      </c>
      <c r="AJ69" s="15" t="s">
        <v>3216</v>
      </c>
      <c r="AK69" s="15">
        <v>6680680</v>
      </c>
      <c r="AL69" s="334" t="s">
        <v>959</v>
      </c>
      <c r="AM69" s="15" t="s">
        <v>9</v>
      </c>
      <c r="AN69" s="583">
        <f>T69</f>
        <v>6750000</v>
      </c>
      <c r="AO69" s="15" t="s">
        <v>156</v>
      </c>
      <c r="AP69" s="15"/>
      <c r="AQ69" s="15"/>
      <c r="AR69" s="15" t="s">
        <v>3217</v>
      </c>
      <c r="AS69" s="15" t="s">
        <v>3216</v>
      </c>
      <c r="AT69" s="23"/>
      <c r="AU69" s="23"/>
      <c r="AV69" s="23"/>
      <c r="AW69" s="534"/>
      <c r="AX69" s="23"/>
      <c r="AY69" s="23"/>
      <c r="AZ69" s="23"/>
      <c r="BA69" s="23"/>
      <c r="BB69" s="23"/>
      <c r="BC69" s="23"/>
      <c r="BD69" s="23"/>
      <c r="BE69" s="534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348" t="s">
        <v>3190</v>
      </c>
      <c r="BR69" s="348" t="s">
        <v>3191</v>
      </c>
      <c r="BS69" s="23" t="s">
        <v>3463</v>
      </c>
      <c r="BT69" s="14"/>
      <c r="BU69" s="23" t="s">
        <v>3464</v>
      </c>
      <c r="BV69" s="23"/>
      <c r="BW69" s="23"/>
      <c r="BX69" s="14"/>
      <c r="BY69" s="23"/>
      <c r="BZ69" s="23"/>
      <c r="CA69" s="23"/>
      <c r="CB69" s="23"/>
      <c r="CC69" s="23"/>
      <c r="CD69" s="23"/>
      <c r="CE69" s="23"/>
      <c r="CF69" s="23"/>
      <c r="CG69" s="23" t="s">
        <v>3448</v>
      </c>
      <c r="CH69" s="23" t="s">
        <v>942</v>
      </c>
      <c r="CI69" s="471" t="s">
        <v>3309</v>
      </c>
      <c r="CJ69" s="23"/>
    </row>
    <row r="70" spans="1:88" s="554" customFormat="1" ht="48" customHeight="1">
      <c r="A70" s="15">
        <v>10</v>
      </c>
      <c r="B70" s="349" t="s">
        <v>3415</v>
      </c>
      <c r="C70" s="348" t="s">
        <v>3465</v>
      </c>
      <c r="D70" s="331" t="s">
        <v>3466</v>
      </c>
      <c r="E70" s="15" t="s">
        <v>31</v>
      </c>
      <c r="F70" s="15">
        <v>2021</v>
      </c>
      <c r="G70" s="15">
        <v>2021</v>
      </c>
      <c r="H70" s="15">
        <v>10</v>
      </c>
      <c r="I70" s="15" t="s">
        <v>3214</v>
      </c>
      <c r="J70" s="350">
        <v>6500000</v>
      </c>
      <c r="K70" s="15" t="s">
        <v>3091</v>
      </c>
      <c r="L70" s="15">
        <v>1</v>
      </c>
      <c r="M70" s="15" t="s">
        <v>3222</v>
      </c>
      <c r="N70" s="15" t="s">
        <v>3223</v>
      </c>
      <c r="O70" s="15" t="s">
        <v>3215</v>
      </c>
      <c r="P70" s="15" t="s">
        <v>3216</v>
      </c>
      <c r="Q70" s="15">
        <v>6680623</v>
      </c>
      <c r="R70" s="15" t="s">
        <v>30</v>
      </c>
      <c r="S70" s="334" t="s">
        <v>1841</v>
      </c>
      <c r="T70" s="608">
        <f t="shared" si="12"/>
        <v>6500000</v>
      </c>
      <c r="U70" s="15" t="s">
        <v>166</v>
      </c>
      <c r="V70" s="15"/>
      <c r="W70" s="15"/>
      <c r="X70" s="15" t="s">
        <v>3217</v>
      </c>
      <c r="Y70" s="15" t="s">
        <v>3216</v>
      </c>
      <c r="Z70" s="15">
        <v>8140</v>
      </c>
      <c r="AA70" s="333" t="s">
        <v>3291</v>
      </c>
      <c r="AB70" s="15">
        <v>6680626</v>
      </c>
      <c r="AC70" s="334" t="s">
        <v>1008</v>
      </c>
      <c r="AD70" s="15" t="s">
        <v>38</v>
      </c>
      <c r="AE70" s="583">
        <f t="shared" si="11"/>
        <v>6500000</v>
      </c>
      <c r="AF70" s="15" t="s">
        <v>164</v>
      </c>
      <c r="AG70" s="15"/>
      <c r="AH70" s="15"/>
      <c r="AI70" s="15" t="s">
        <v>3217</v>
      </c>
      <c r="AJ70" s="15" t="s">
        <v>3216</v>
      </c>
      <c r="AK70" s="15">
        <v>6787821</v>
      </c>
      <c r="AL70" s="334" t="s">
        <v>1756</v>
      </c>
      <c r="AM70" s="15" t="s">
        <v>3467</v>
      </c>
      <c r="AN70" s="583">
        <f>T70</f>
        <v>6500000</v>
      </c>
      <c r="AO70" s="15" t="s">
        <v>172</v>
      </c>
      <c r="AP70" s="15"/>
      <c r="AQ70" s="15"/>
      <c r="AR70" s="15" t="s">
        <v>3224</v>
      </c>
      <c r="AS70" s="15" t="s">
        <v>3216</v>
      </c>
      <c r="AT70" s="23"/>
      <c r="AU70" s="23"/>
      <c r="AV70" s="23"/>
      <c r="AW70" s="534"/>
      <c r="AX70" s="23"/>
      <c r="AY70" s="23"/>
      <c r="AZ70" s="23"/>
      <c r="BA70" s="23"/>
      <c r="BB70" s="23"/>
      <c r="BC70" s="23"/>
      <c r="BD70" s="23"/>
      <c r="BE70" s="534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348" t="s">
        <v>3190</v>
      </c>
      <c r="BR70" s="348" t="s">
        <v>3191</v>
      </c>
      <c r="BS70" s="23" t="s">
        <v>3468</v>
      </c>
      <c r="BT70" s="14"/>
      <c r="BU70" s="23" t="s">
        <v>3469</v>
      </c>
      <c r="BV70" s="23"/>
      <c r="BW70" s="23" t="s">
        <v>3470</v>
      </c>
      <c r="BX70" s="14"/>
      <c r="BY70" s="23"/>
      <c r="BZ70" s="23"/>
      <c r="CA70" s="23"/>
      <c r="CB70" s="23"/>
      <c r="CC70" s="23"/>
      <c r="CD70" s="23"/>
      <c r="CE70" s="23"/>
      <c r="CF70" s="23"/>
      <c r="CG70" s="23" t="s">
        <v>3062</v>
      </c>
      <c r="CH70" s="23" t="s">
        <v>942</v>
      </c>
      <c r="CI70" s="471" t="s">
        <v>942</v>
      </c>
      <c r="CJ70" s="23"/>
    </row>
    <row r="71" spans="1:88" s="4" customFormat="1" ht="48" customHeight="1">
      <c r="A71" s="15">
        <v>11</v>
      </c>
      <c r="B71" s="349" t="s">
        <v>3415</v>
      </c>
      <c r="C71" s="348" t="s">
        <v>3471</v>
      </c>
      <c r="D71" s="331" t="s">
        <v>3472</v>
      </c>
      <c r="E71" s="15" t="s">
        <v>31</v>
      </c>
      <c r="F71" s="15">
        <v>2021</v>
      </c>
      <c r="G71" s="15">
        <v>2021</v>
      </c>
      <c r="H71" s="15">
        <v>10</v>
      </c>
      <c r="I71" s="15" t="s">
        <v>3451</v>
      </c>
      <c r="J71" s="350">
        <v>6750000</v>
      </c>
      <c r="K71" s="15" t="s">
        <v>3091</v>
      </c>
      <c r="L71" s="15">
        <v>2</v>
      </c>
      <c r="M71" s="15" t="s">
        <v>3222</v>
      </c>
      <c r="N71" s="15" t="s">
        <v>3223</v>
      </c>
      <c r="O71" s="15" t="s">
        <v>3215</v>
      </c>
      <c r="P71" s="15" t="s">
        <v>3216</v>
      </c>
      <c r="Q71" s="15">
        <v>6682794</v>
      </c>
      <c r="R71" s="15" t="s">
        <v>49</v>
      </c>
      <c r="S71" s="334" t="s">
        <v>1744</v>
      </c>
      <c r="T71" s="608">
        <f t="shared" si="12"/>
        <v>6750000</v>
      </c>
      <c r="U71" s="15" t="s">
        <v>164</v>
      </c>
      <c r="V71" s="15"/>
      <c r="W71" s="15"/>
      <c r="X71" s="15" t="s">
        <v>3217</v>
      </c>
      <c r="Y71" s="15" t="s">
        <v>3216</v>
      </c>
      <c r="Z71" s="15">
        <v>8140</v>
      </c>
      <c r="AA71" s="333" t="s">
        <v>3291</v>
      </c>
      <c r="AB71" s="15">
        <v>6778837</v>
      </c>
      <c r="AC71" s="204" t="s">
        <v>979</v>
      </c>
      <c r="AD71" s="15" t="s">
        <v>71</v>
      </c>
      <c r="AE71" s="583">
        <f t="shared" si="11"/>
        <v>6750000</v>
      </c>
      <c r="AF71" s="15" t="s">
        <v>171</v>
      </c>
      <c r="AG71" s="15"/>
      <c r="AH71" s="15"/>
      <c r="AI71" s="15" t="s">
        <v>3217</v>
      </c>
      <c r="AJ71" s="15" t="s">
        <v>3216</v>
      </c>
      <c r="AK71" s="15"/>
      <c r="AL71" s="341"/>
      <c r="AM71" s="15"/>
      <c r="AN71" s="583"/>
      <c r="AO71" s="15"/>
      <c r="AP71" s="15"/>
      <c r="AQ71" s="15"/>
      <c r="AR71" s="15"/>
      <c r="AS71" s="15"/>
      <c r="AT71" s="23"/>
      <c r="AU71" s="23"/>
      <c r="AV71" s="23"/>
      <c r="AW71" s="534"/>
      <c r="AX71" s="23"/>
      <c r="AY71" s="23"/>
      <c r="AZ71" s="23"/>
      <c r="BA71" s="23"/>
      <c r="BB71" s="23"/>
      <c r="BC71" s="23"/>
      <c r="BD71" s="23"/>
      <c r="BE71" s="534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348" t="s">
        <v>3190</v>
      </c>
      <c r="BR71" s="348" t="s">
        <v>3191</v>
      </c>
      <c r="BS71" s="23" t="s">
        <v>3473</v>
      </c>
      <c r="BT71" s="14"/>
      <c r="BU71" s="23"/>
      <c r="BV71" s="23"/>
      <c r="BW71" s="23"/>
      <c r="BX71" s="14"/>
      <c r="BY71" s="23"/>
      <c r="BZ71" s="23"/>
      <c r="CA71" s="23"/>
      <c r="CB71" s="23"/>
      <c r="CC71" s="23"/>
      <c r="CD71" s="23"/>
      <c r="CE71" s="23"/>
      <c r="CF71" s="23"/>
      <c r="CG71" s="23" t="s">
        <v>3251</v>
      </c>
      <c r="CH71" s="23" t="s">
        <v>942</v>
      </c>
      <c r="CI71" s="471" t="s">
        <v>942</v>
      </c>
      <c r="CJ71" s="23"/>
    </row>
    <row r="72" spans="1:88" s="4" customFormat="1" ht="48" customHeight="1">
      <c r="A72" s="15">
        <v>12</v>
      </c>
      <c r="B72" s="349" t="s">
        <v>3415</v>
      </c>
      <c r="C72" s="348" t="s">
        <v>3474</v>
      </c>
      <c r="D72" s="331" t="s">
        <v>3475</v>
      </c>
      <c r="E72" s="15" t="s">
        <v>91</v>
      </c>
      <c r="F72" s="15">
        <v>2021</v>
      </c>
      <c r="G72" s="15">
        <v>2021</v>
      </c>
      <c r="H72" s="15">
        <v>6</v>
      </c>
      <c r="I72" s="15" t="s">
        <v>3476</v>
      </c>
      <c r="J72" s="350">
        <v>12137500</v>
      </c>
      <c r="K72" s="15" t="s">
        <v>3091</v>
      </c>
      <c r="L72" s="15">
        <v>3</v>
      </c>
      <c r="M72" s="15" t="s">
        <v>3222</v>
      </c>
      <c r="N72" s="15" t="s">
        <v>3223</v>
      </c>
      <c r="O72" s="15" t="s">
        <v>3215</v>
      </c>
      <c r="P72" s="15" t="s">
        <v>3216</v>
      </c>
      <c r="Q72" s="15">
        <v>6680612</v>
      </c>
      <c r="R72" s="15" t="s">
        <v>19</v>
      </c>
      <c r="S72" s="334" t="s">
        <v>960</v>
      </c>
      <c r="T72" s="608">
        <f t="shared" si="12"/>
        <v>12137500</v>
      </c>
      <c r="U72" s="15" t="s">
        <v>155</v>
      </c>
      <c r="V72" s="15"/>
      <c r="W72" s="15"/>
      <c r="X72" s="15" t="s">
        <v>3224</v>
      </c>
      <c r="Y72" s="15" t="s">
        <v>3216</v>
      </c>
      <c r="Z72" s="15">
        <v>8140</v>
      </c>
      <c r="AA72" s="333" t="s">
        <v>3291</v>
      </c>
      <c r="AB72" s="15">
        <v>6680683</v>
      </c>
      <c r="AC72" s="340" t="s">
        <v>2454</v>
      </c>
      <c r="AD72" s="15" t="s">
        <v>10</v>
      </c>
      <c r="AE72" s="583">
        <f t="shared" si="11"/>
        <v>12137500</v>
      </c>
      <c r="AF72" s="15" t="s">
        <v>3477</v>
      </c>
      <c r="AG72" s="15"/>
      <c r="AH72" s="15"/>
      <c r="AI72" s="15" t="s">
        <v>3224</v>
      </c>
      <c r="AJ72" s="15" t="s">
        <v>3216</v>
      </c>
      <c r="AK72" s="15">
        <v>6859016</v>
      </c>
      <c r="AL72" s="334" t="s">
        <v>2497</v>
      </c>
      <c r="AM72" s="15" t="s">
        <v>52</v>
      </c>
      <c r="AN72" s="583">
        <f>T72</f>
        <v>12137500</v>
      </c>
      <c r="AO72" s="15" t="s">
        <v>155</v>
      </c>
      <c r="AP72" s="15"/>
      <c r="AQ72" s="15"/>
      <c r="AR72" s="15" t="s">
        <v>3224</v>
      </c>
      <c r="AS72" s="15" t="s">
        <v>3216</v>
      </c>
      <c r="AT72" s="23"/>
      <c r="AU72" s="23"/>
      <c r="AV72" s="23"/>
      <c r="AW72" s="534"/>
      <c r="AX72" s="23"/>
      <c r="AY72" s="23"/>
      <c r="AZ72" s="23"/>
      <c r="BA72" s="23"/>
      <c r="BB72" s="23"/>
      <c r="BC72" s="23"/>
      <c r="BD72" s="23"/>
      <c r="BE72" s="534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15" t="s">
        <v>3190</v>
      </c>
      <c r="BR72" s="348" t="s">
        <v>3191</v>
      </c>
      <c r="BS72" s="23" t="s">
        <v>3478</v>
      </c>
      <c r="BT72" s="14"/>
      <c r="BU72" s="23" t="s">
        <v>3479</v>
      </c>
      <c r="BV72" s="23" t="s">
        <v>3480</v>
      </c>
      <c r="BW72" s="23" t="s">
        <v>3481</v>
      </c>
      <c r="BX72" s="14" t="s">
        <v>3482</v>
      </c>
      <c r="BY72" s="23"/>
      <c r="BZ72" s="23"/>
      <c r="CA72" s="23"/>
      <c r="CB72" s="23"/>
      <c r="CC72" s="23"/>
      <c r="CD72" s="23"/>
      <c r="CE72" s="23"/>
      <c r="CF72" s="23"/>
      <c r="CG72" s="23" t="s">
        <v>3483</v>
      </c>
      <c r="CH72" s="23" t="s">
        <v>3442</v>
      </c>
      <c r="CI72" s="471" t="s">
        <v>942</v>
      </c>
      <c r="CJ72" s="23"/>
    </row>
    <row r="73" spans="1:88" s="4" customFormat="1" ht="48" customHeight="1">
      <c r="A73" s="15">
        <v>13</v>
      </c>
      <c r="B73" s="349" t="s">
        <v>3415</v>
      </c>
      <c r="C73" s="348" t="s">
        <v>3484</v>
      </c>
      <c r="D73" s="331" t="s">
        <v>3485</v>
      </c>
      <c r="E73" s="15" t="s">
        <v>91</v>
      </c>
      <c r="F73" s="15">
        <v>2021</v>
      </c>
      <c r="G73" s="15">
        <v>2021</v>
      </c>
      <c r="H73" s="15">
        <v>12</v>
      </c>
      <c r="I73" s="15" t="s">
        <v>3451</v>
      </c>
      <c r="J73" s="350">
        <v>16750000</v>
      </c>
      <c r="K73" s="15" t="s">
        <v>3091</v>
      </c>
      <c r="L73" s="15">
        <v>5</v>
      </c>
      <c r="M73" s="15" t="s">
        <v>3222</v>
      </c>
      <c r="N73" s="15" t="s">
        <v>3223</v>
      </c>
      <c r="O73" s="15" t="s">
        <v>3215</v>
      </c>
      <c r="P73" s="15" t="s">
        <v>3216</v>
      </c>
      <c r="Q73" s="15">
        <v>6680651</v>
      </c>
      <c r="R73" s="15" t="s">
        <v>12</v>
      </c>
      <c r="S73" s="334" t="s">
        <v>1016</v>
      </c>
      <c r="T73" s="608">
        <f t="shared" si="12"/>
        <v>16750000</v>
      </c>
      <c r="U73" s="15" t="s">
        <v>155</v>
      </c>
      <c r="V73" s="15"/>
      <c r="W73" s="15"/>
      <c r="X73" s="15" t="s">
        <v>3224</v>
      </c>
      <c r="Y73" s="15" t="s">
        <v>3216</v>
      </c>
      <c r="Z73" s="15">
        <v>8140</v>
      </c>
      <c r="AA73" s="333" t="s">
        <v>3291</v>
      </c>
      <c r="AB73" s="15">
        <v>6682794</v>
      </c>
      <c r="AC73" s="340" t="s">
        <v>1744</v>
      </c>
      <c r="AD73" s="15" t="s">
        <v>49</v>
      </c>
      <c r="AE73" s="583">
        <f t="shared" si="11"/>
        <v>16750000</v>
      </c>
      <c r="AF73" s="15" t="s">
        <v>3486</v>
      </c>
      <c r="AG73" s="15"/>
      <c r="AH73" s="15"/>
      <c r="AI73" s="15" t="s">
        <v>3217</v>
      </c>
      <c r="AJ73" s="15" t="s">
        <v>3216</v>
      </c>
      <c r="AK73" s="15"/>
      <c r="AL73" s="341"/>
      <c r="AM73" s="15"/>
      <c r="AN73" s="583"/>
      <c r="AO73" s="15"/>
      <c r="AP73" s="15"/>
      <c r="AQ73" s="15"/>
      <c r="AR73" s="15"/>
      <c r="AS73" s="15"/>
      <c r="AT73" s="23"/>
      <c r="AU73" s="23"/>
      <c r="AV73" s="23"/>
      <c r="AW73" s="534"/>
      <c r="AX73" s="23"/>
      <c r="AY73" s="23"/>
      <c r="AZ73" s="23"/>
      <c r="BA73" s="23"/>
      <c r="BB73" s="23"/>
      <c r="BC73" s="23"/>
      <c r="BD73" s="23"/>
      <c r="BE73" s="534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348" t="s">
        <v>3190</v>
      </c>
      <c r="BR73" s="348" t="s">
        <v>3191</v>
      </c>
      <c r="BS73" s="31" t="s">
        <v>1745</v>
      </c>
      <c r="BT73" s="14" t="s">
        <v>3487</v>
      </c>
      <c r="BU73" s="23" t="s">
        <v>3488</v>
      </c>
      <c r="BV73" s="23" t="s">
        <v>3480</v>
      </c>
      <c r="BW73" s="23" t="s">
        <v>3489</v>
      </c>
      <c r="BX73" s="23" t="s">
        <v>3480</v>
      </c>
      <c r="BY73" s="23"/>
      <c r="BZ73" s="23"/>
      <c r="CA73" s="23"/>
      <c r="CB73" s="23"/>
      <c r="CC73" s="23"/>
      <c r="CD73" s="23"/>
      <c r="CE73" s="23"/>
      <c r="CF73" s="23"/>
      <c r="CG73" s="23" t="s">
        <v>3483</v>
      </c>
      <c r="CH73" s="23" t="s">
        <v>3442</v>
      </c>
      <c r="CI73" s="471" t="s">
        <v>3490</v>
      </c>
      <c r="CJ73" s="23" t="s">
        <v>3442</v>
      </c>
    </row>
    <row r="74" spans="1:88" s="4" customFormat="1" ht="48" customHeight="1">
      <c r="A74" s="15">
        <v>14</v>
      </c>
      <c r="B74" s="349" t="s">
        <v>3415</v>
      </c>
      <c r="C74" s="348" t="s">
        <v>3491</v>
      </c>
      <c r="D74" s="331" t="s">
        <v>3492</v>
      </c>
      <c r="E74" s="15" t="s">
        <v>91</v>
      </c>
      <c r="F74" s="15">
        <v>2021</v>
      </c>
      <c r="G74" s="15">
        <v>2021</v>
      </c>
      <c r="H74" s="15">
        <v>12</v>
      </c>
      <c r="I74" s="15" t="s">
        <v>3451</v>
      </c>
      <c r="J74" s="350">
        <v>17000000</v>
      </c>
      <c r="K74" s="15" t="s">
        <v>3091</v>
      </c>
      <c r="L74" s="15">
        <v>3</v>
      </c>
      <c r="M74" s="15" t="s">
        <v>3222</v>
      </c>
      <c r="N74" s="15" t="s">
        <v>3223</v>
      </c>
      <c r="O74" s="15" t="s">
        <v>3215</v>
      </c>
      <c r="P74" s="15" t="s">
        <v>3216</v>
      </c>
      <c r="Q74" s="15">
        <v>6680708</v>
      </c>
      <c r="R74" s="15" t="s">
        <v>85</v>
      </c>
      <c r="S74" s="334" t="s">
        <v>2436</v>
      </c>
      <c r="T74" s="608">
        <f t="shared" si="12"/>
        <v>17000000</v>
      </c>
      <c r="U74" s="15" t="s">
        <v>155</v>
      </c>
      <c r="V74" s="15"/>
      <c r="W74" s="15"/>
      <c r="X74" s="15" t="s">
        <v>3224</v>
      </c>
      <c r="Y74" s="15" t="s">
        <v>3216</v>
      </c>
      <c r="Z74" s="15">
        <v>8140</v>
      </c>
      <c r="AA74" s="333" t="s">
        <v>3291</v>
      </c>
      <c r="AB74" s="15">
        <v>6680685</v>
      </c>
      <c r="AC74" s="340" t="s">
        <v>944</v>
      </c>
      <c r="AD74" s="15" t="s">
        <v>21</v>
      </c>
      <c r="AE74" s="583">
        <f t="shared" si="11"/>
        <v>17000000</v>
      </c>
      <c r="AF74" s="15" t="s">
        <v>155</v>
      </c>
      <c r="AG74" s="15"/>
      <c r="AH74" s="15"/>
      <c r="AI74" s="15" t="s">
        <v>3224</v>
      </c>
      <c r="AJ74" s="15" t="s">
        <v>3216</v>
      </c>
      <c r="AK74" s="15">
        <v>6680627</v>
      </c>
      <c r="AL74" s="334" t="s">
        <v>1912</v>
      </c>
      <c r="AM74" s="15" t="s">
        <v>88</v>
      </c>
      <c r="AN74" s="583">
        <f>T74</f>
        <v>17000000</v>
      </c>
      <c r="AO74" s="15" t="s">
        <v>3493</v>
      </c>
      <c r="AP74" s="15"/>
      <c r="AQ74" s="15"/>
      <c r="AR74" s="15" t="s">
        <v>3224</v>
      </c>
      <c r="AS74" s="15" t="s">
        <v>3216</v>
      </c>
      <c r="AT74" s="23"/>
      <c r="AU74" s="23"/>
      <c r="AV74" s="23"/>
      <c r="AW74" s="534"/>
      <c r="AX74" s="23"/>
      <c r="AY74" s="23"/>
      <c r="AZ74" s="23"/>
      <c r="BA74" s="23"/>
      <c r="BB74" s="23"/>
      <c r="BC74" s="23"/>
      <c r="BD74" s="23"/>
      <c r="BE74" s="534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348" t="s">
        <v>3190</v>
      </c>
      <c r="BR74" s="348" t="s">
        <v>3191</v>
      </c>
      <c r="BS74" s="23" t="s">
        <v>3494</v>
      </c>
      <c r="BT74" s="14" t="s">
        <v>3487</v>
      </c>
      <c r="BU74" s="23" t="s">
        <v>3495</v>
      </c>
      <c r="BV74" s="14" t="s">
        <v>3487</v>
      </c>
      <c r="BW74" s="23" t="s">
        <v>3064</v>
      </c>
      <c r="BX74" s="14" t="s">
        <v>3487</v>
      </c>
      <c r="BY74" s="23"/>
      <c r="BZ74" s="23"/>
      <c r="CA74" s="23"/>
      <c r="CB74" s="23"/>
      <c r="CC74" s="23"/>
      <c r="CD74" s="23"/>
      <c r="CE74" s="23"/>
      <c r="CF74" s="23"/>
      <c r="CG74" s="23" t="s">
        <v>3496</v>
      </c>
      <c r="CH74" s="23" t="s">
        <v>3497</v>
      </c>
      <c r="CI74" s="471" t="s">
        <v>3060</v>
      </c>
      <c r="CJ74" s="23" t="s">
        <v>3419</v>
      </c>
    </row>
    <row r="75" spans="1:88" s="4" customFormat="1" ht="48" customHeight="1">
      <c r="A75" s="15">
        <v>15</v>
      </c>
      <c r="B75" s="349" t="s">
        <v>3415</v>
      </c>
      <c r="C75" s="348" t="s">
        <v>3498</v>
      </c>
      <c r="D75" s="331" t="s">
        <v>3499</v>
      </c>
      <c r="E75" s="15" t="s">
        <v>91</v>
      </c>
      <c r="F75" s="15">
        <v>2021</v>
      </c>
      <c r="G75" s="15">
        <v>2021</v>
      </c>
      <c r="H75" s="15">
        <v>12</v>
      </c>
      <c r="I75" s="15" t="s">
        <v>3451</v>
      </c>
      <c r="J75" s="350">
        <v>17000000</v>
      </c>
      <c r="K75" s="15" t="s">
        <v>3091</v>
      </c>
      <c r="L75" s="15">
        <v>6</v>
      </c>
      <c r="M75" s="15" t="s">
        <v>3222</v>
      </c>
      <c r="N75" s="15" t="s">
        <v>3223</v>
      </c>
      <c r="O75" s="15" t="s">
        <v>3215</v>
      </c>
      <c r="P75" s="15" t="s">
        <v>3216</v>
      </c>
      <c r="Q75" s="15">
        <v>6680645</v>
      </c>
      <c r="R75" s="15" t="s">
        <v>83</v>
      </c>
      <c r="S75" s="334" t="s">
        <v>2849</v>
      </c>
      <c r="T75" s="608">
        <f t="shared" si="12"/>
        <v>17000000</v>
      </c>
      <c r="U75" s="15" t="s">
        <v>154</v>
      </c>
      <c r="V75" s="15"/>
      <c r="W75" s="15"/>
      <c r="X75" s="15" t="s">
        <v>3224</v>
      </c>
      <c r="Y75" s="15" t="s">
        <v>3216</v>
      </c>
      <c r="Z75" s="15">
        <v>8140</v>
      </c>
      <c r="AA75" s="333" t="s">
        <v>3291</v>
      </c>
      <c r="AB75" s="15">
        <v>6724784</v>
      </c>
      <c r="AC75" s="340" t="s">
        <v>1781</v>
      </c>
      <c r="AD75" s="15" t="s">
        <v>108</v>
      </c>
      <c r="AE75" s="583">
        <f t="shared" si="11"/>
        <v>17000000</v>
      </c>
      <c r="AF75" s="15" t="s">
        <v>154</v>
      </c>
      <c r="AG75" s="15"/>
      <c r="AH75" s="15"/>
      <c r="AI75" s="15" t="s">
        <v>3224</v>
      </c>
      <c r="AJ75" s="15" t="s">
        <v>3216</v>
      </c>
      <c r="AK75" s="15">
        <v>6680741</v>
      </c>
      <c r="AL75" s="334" t="s">
        <v>1838</v>
      </c>
      <c r="AM75" s="15" t="s">
        <v>16</v>
      </c>
      <c r="AN75" s="583">
        <f>T75</f>
        <v>17000000</v>
      </c>
      <c r="AO75" s="15" t="s">
        <v>154</v>
      </c>
      <c r="AP75" s="15"/>
      <c r="AQ75" s="15"/>
      <c r="AR75" s="15" t="s">
        <v>3224</v>
      </c>
      <c r="AS75" s="15" t="s">
        <v>3216</v>
      </c>
      <c r="AT75" s="23"/>
      <c r="AU75" s="23"/>
      <c r="AV75" s="23"/>
      <c r="AW75" s="534"/>
      <c r="AX75" s="23"/>
      <c r="AY75" s="23"/>
      <c r="AZ75" s="23"/>
      <c r="BA75" s="23"/>
      <c r="BB75" s="23"/>
      <c r="BC75" s="23"/>
      <c r="BD75" s="23"/>
      <c r="BE75" s="534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348" t="s">
        <v>3190</v>
      </c>
      <c r="BR75" s="348" t="s">
        <v>3191</v>
      </c>
      <c r="BS75" s="23"/>
      <c r="BT75" s="14"/>
      <c r="BU75" s="23"/>
      <c r="BV75" s="23"/>
      <c r="BW75" s="23"/>
      <c r="BX75" s="14"/>
      <c r="BY75" s="23"/>
      <c r="BZ75" s="23"/>
      <c r="CA75" s="23"/>
      <c r="CB75" s="23"/>
      <c r="CC75" s="23"/>
      <c r="CD75" s="23"/>
      <c r="CE75" s="23"/>
      <c r="CF75" s="23"/>
      <c r="CG75" s="23" t="s">
        <v>3500</v>
      </c>
      <c r="CH75" s="23" t="s">
        <v>3442</v>
      </c>
      <c r="CI75" s="471" t="s">
        <v>942</v>
      </c>
      <c r="CJ75" s="23"/>
    </row>
    <row r="76" spans="1:88" s="4" customFormat="1" ht="48" customHeight="1">
      <c r="A76" s="15">
        <v>16</v>
      </c>
      <c r="B76" s="349" t="s">
        <v>3415</v>
      </c>
      <c r="C76" s="348" t="s">
        <v>3501</v>
      </c>
      <c r="D76" s="331" t="s">
        <v>3502</v>
      </c>
      <c r="E76" s="15" t="s">
        <v>91</v>
      </c>
      <c r="F76" s="15">
        <v>2021</v>
      </c>
      <c r="G76" s="15">
        <v>2021</v>
      </c>
      <c r="H76" s="15">
        <v>12</v>
      </c>
      <c r="I76" s="15" t="s">
        <v>3503</v>
      </c>
      <c r="J76" s="350">
        <v>16976100</v>
      </c>
      <c r="K76" s="15" t="s">
        <v>3091</v>
      </c>
      <c r="L76" s="15">
        <v>4</v>
      </c>
      <c r="M76" s="15" t="s">
        <v>3222</v>
      </c>
      <c r="N76" s="15" t="s">
        <v>3223</v>
      </c>
      <c r="O76" s="15" t="s">
        <v>3215</v>
      </c>
      <c r="P76" s="15" t="s">
        <v>3216</v>
      </c>
      <c r="Q76" s="15">
        <v>258471</v>
      </c>
      <c r="R76" s="15" t="s">
        <v>60</v>
      </c>
      <c r="S76" s="334" t="s">
        <v>3504</v>
      </c>
      <c r="T76" s="608">
        <f t="shared" si="12"/>
        <v>16976100</v>
      </c>
      <c r="U76" s="15" t="s">
        <v>155</v>
      </c>
      <c r="V76" s="15"/>
      <c r="W76" s="15"/>
      <c r="X76" s="15" t="s">
        <v>3224</v>
      </c>
      <c r="Y76" s="15" t="s">
        <v>3216</v>
      </c>
      <c r="Z76" s="15">
        <v>8140</v>
      </c>
      <c r="AA76" s="333" t="s">
        <v>3291</v>
      </c>
      <c r="AB76" s="15">
        <v>6680641</v>
      </c>
      <c r="AC76" s="340" t="s">
        <v>1794</v>
      </c>
      <c r="AD76" s="15" t="s">
        <v>3231</v>
      </c>
      <c r="AE76" s="583">
        <f t="shared" si="11"/>
        <v>16976100</v>
      </c>
      <c r="AF76" s="15" t="s">
        <v>3477</v>
      </c>
      <c r="AG76" s="15"/>
      <c r="AH76" s="15"/>
      <c r="AI76" s="15" t="s">
        <v>3224</v>
      </c>
      <c r="AJ76" s="15" t="s">
        <v>3216</v>
      </c>
      <c r="AK76" s="15"/>
      <c r="AL76" s="341"/>
      <c r="AM76" s="15"/>
      <c r="AN76" s="583"/>
      <c r="AO76" s="15"/>
      <c r="AP76" s="15"/>
      <c r="AQ76" s="15"/>
      <c r="AR76" s="15"/>
      <c r="AS76" s="15"/>
      <c r="AT76" s="23"/>
      <c r="AU76" s="23"/>
      <c r="AV76" s="23"/>
      <c r="AW76" s="534"/>
      <c r="AX76" s="23"/>
      <c r="AY76" s="23"/>
      <c r="AZ76" s="23"/>
      <c r="BA76" s="23"/>
      <c r="BB76" s="23"/>
      <c r="BC76" s="23"/>
      <c r="BD76" s="23"/>
      <c r="BE76" s="534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348" t="s">
        <v>3190</v>
      </c>
      <c r="BR76" s="348" t="s">
        <v>3191</v>
      </c>
      <c r="BS76" s="23" t="s">
        <v>3505</v>
      </c>
      <c r="BT76" s="14" t="s">
        <v>3487</v>
      </c>
      <c r="BU76" s="23" t="s">
        <v>3066</v>
      </c>
      <c r="BV76" s="14" t="s">
        <v>3487</v>
      </c>
      <c r="BW76" s="23" t="s">
        <v>3108</v>
      </c>
      <c r="BX76" s="14"/>
      <c r="BY76" s="23"/>
      <c r="BZ76" s="23"/>
      <c r="CA76" s="23"/>
      <c r="CB76" s="23"/>
      <c r="CC76" s="23"/>
      <c r="CD76" s="23"/>
      <c r="CE76" s="23"/>
      <c r="CF76" s="23"/>
      <c r="CG76" s="23" t="s">
        <v>3506</v>
      </c>
      <c r="CH76" s="23" t="s">
        <v>942</v>
      </c>
      <c r="CI76" s="471" t="s">
        <v>3507</v>
      </c>
      <c r="CJ76" s="23"/>
    </row>
    <row r="77" spans="1:88" s="4" customFormat="1" ht="48" customHeight="1">
      <c r="A77" s="15">
        <v>17</v>
      </c>
      <c r="B77" s="349" t="s">
        <v>3415</v>
      </c>
      <c r="C77" s="348" t="s">
        <v>3508</v>
      </c>
      <c r="D77" s="331" t="s">
        <v>3509</v>
      </c>
      <c r="E77" s="15" t="s">
        <v>91</v>
      </c>
      <c r="F77" s="15">
        <v>2021</v>
      </c>
      <c r="G77" s="15">
        <v>2021</v>
      </c>
      <c r="H77" s="15">
        <v>12</v>
      </c>
      <c r="I77" s="15" t="s">
        <v>3451</v>
      </c>
      <c r="J77" s="350">
        <v>14500000</v>
      </c>
      <c r="K77" s="15" t="s">
        <v>3091</v>
      </c>
      <c r="L77" s="15">
        <v>4</v>
      </c>
      <c r="M77" s="15" t="s">
        <v>3222</v>
      </c>
      <c r="N77" s="15" t="s">
        <v>3223</v>
      </c>
      <c r="O77" s="15" t="s">
        <v>3215</v>
      </c>
      <c r="P77" s="15" t="s">
        <v>3216</v>
      </c>
      <c r="Q77" s="15">
        <v>6680618</v>
      </c>
      <c r="R77" s="15" t="s">
        <v>24</v>
      </c>
      <c r="S77" s="334" t="s">
        <v>1737</v>
      </c>
      <c r="T77" s="608">
        <f t="shared" si="12"/>
        <v>14500000</v>
      </c>
      <c r="U77" s="15" t="s">
        <v>160</v>
      </c>
      <c r="V77" s="15"/>
      <c r="W77" s="15"/>
      <c r="X77" s="15" t="s">
        <v>3217</v>
      </c>
      <c r="Y77" s="15" t="s">
        <v>3216</v>
      </c>
      <c r="Z77" s="15">
        <v>8140</v>
      </c>
      <c r="AA77" s="333" t="s">
        <v>3291</v>
      </c>
      <c r="AB77" s="15">
        <v>6680651</v>
      </c>
      <c r="AC77" s="340" t="s">
        <v>1016</v>
      </c>
      <c r="AD77" s="15" t="s">
        <v>12</v>
      </c>
      <c r="AE77" s="583">
        <f t="shared" si="11"/>
        <v>14500000</v>
      </c>
      <c r="AF77" s="15" t="s">
        <v>155</v>
      </c>
      <c r="AG77" s="15"/>
      <c r="AH77" s="15"/>
      <c r="AI77" s="15" t="s">
        <v>3224</v>
      </c>
      <c r="AJ77" s="15" t="s">
        <v>3216</v>
      </c>
      <c r="AK77" s="15">
        <v>6658545</v>
      </c>
      <c r="AL77" s="334" t="s">
        <v>984</v>
      </c>
      <c r="AM77" s="15" t="s">
        <v>40</v>
      </c>
      <c r="AN77" s="583">
        <f>T77</f>
        <v>14500000</v>
      </c>
      <c r="AO77" s="15" t="s">
        <v>160</v>
      </c>
      <c r="AP77" s="15"/>
      <c r="AQ77" s="15"/>
      <c r="AR77" s="15" t="s">
        <v>3224</v>
      </c>
      <c r="AS77" s="15" t="s">
        <v>3216</v>
      </c>
      <c r="AT77" s="23"/>
      <c r="AU77" s="23"/>
      <c r="AV77" s="23"/>
      <c r="AW77" s="534"/>
      <c r="AX77" s="23"/>
      <c r="AY77" s="23"/>
      <c r="AZ77" s="23"/>
      <c r="BA77" s="23"/>
      <c r="BB77" s="23"/>
      <c r="BC77" s="23"/>
      <c r="BD77" s="23"/>
      <c r="BE77" s="534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348" t="s">
        <v>3190</v>
      </c>
      <c r="BR77" s="348" t="s">
        <v>3191</v>
      </c>
      <c r="BS77" s="23" t="s">
        <v>3510</v>
      </c>
      <c r="BT77" s="23"/>
      <c r="BU77" s="23" t="s">
        <v>3511</v>
      </c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 t="s">
        <v>3512</v>
      </c>
      <c r="CH77" s="23" t="s">
        <v>942</v>
      </c>
      <c r="CI77" s="471" t="s">
        <v>3513</v>
      </c>
      <c r="CJ77" s="23"/>
    </row>
    <row r="78" spans="1:88" s="4" customFormat="1" ht="48" customHeight="1">
      <c r="A78" s="15">
        <v>18</v>
      </c>
      <c r="B78" s="349" t="s">
        <v>3415</v>
      </c>
      <c r="C78" s="348" t="s">
        <v>3514</v>
      </c>
      <c r="D78" s="331" t="s">
        <v>3515</v>
      </c>
      <c r="E78" s="15" t="s">
        <v>91</v>
      </c>
      <c r="F78" s="15">
        <v>2021</v>
      </c>
      <c r="G78" s="15">
        <v>2021</v>
      </c>
      <c r="H78" s="15">
        <v>12</v>
      </c>
      <c r="I78" s="15" t="s">
        <v>3516</v>
      </c>
      <c r="J78" s="350">
        <v>16750000</v>
      </c>
      <c r="K78" s="15" t="s">
        <v>3091</v>
      </c>
      <c r="L78" s="15">
        <v>3</v>
      </c>
      <c r="M78" s="15" t="s">
        <v>3222</v>
      </c>
      <c r="N78" s="15" t="s">
        <v>3223</v>
      </c>
      <c r="O78" s="15" t="s">
        <v>3215</v>
      </c>
      <c r="P78" s="15" t="s">
        <v>3216</v>
      </c>
      <c r="Q78" s="15">
        <v>6680726</v>
      </c>
      <c r="R78" s="15" t="s">
        <v>93</v>
      </c>
      <c r="S78" s="334" t="s">
        <v>943</v>
      </c>
      <c r="T78" s="608">
        <f t="shared" si="12"/>
        <v>16750000</v>
      </c>
      <c r="U78" s="15" t="s">
        <v>156</v>
      </c>
      <c r="V78" s="15"/>
      <c r="W78" s="15"/>
      <c r="X78" s="15" t="s">
        <v>3224</v>
      </c>
      <c r="Y78" s="15" t="s">
        <v>3216</v>
      </c>
      <c r="Z78" s="15">
        <v>8140</v>
      </c>
      <c r="AA78" s="333" t="s">
        <v>3291</v>
      </c>
      <c r="AB78" s="15">
        <v>6681051</v>
      </c>
      <c r="AC78" s="334" t="s">
        <v>1657</v>
      </c>
      <c r="AD78" s="15" t="s">
        <v>6</v>
      </c>
      <c r="AE78" s="583">
        <f t="shared" si="11"/>
        <v>16750000</v>
      </c>
      <c r="AF78" s="15" t="s">
        <v>160</v>
      </c>
      <c r="AG78" s="15"/>
      <c r="AH78" s="15"/>
      <c r="AI78" s="15" t="s">
        <v>3224</v>
      </c>
      <c r="AJ78" s="15" t="s">
        <v>3216</v>
      </c>
      <c r="AK78" s="15"/>
      <c r="AL78" s="341"/>
      <c r="AM78" s="15" t="s">
        <v>3098</v>
      </c>
      <c r="AN78" s="583"/>
      <c r="AO78" s="15"/>
      <c r="AP78" s="15"/>
      <c r="AQ78" s="15"/>
      <c r="AR78" s="15"/>
      <c r="AS78" s="15"/>
      <c r="AT78" s="23"/>
      <c r="AU78" s="23"/>
      <c r="AV78" s="23"/>
      <c r="AW78" s="534"/>
      <c r="AX78" s="23"/>
      <c r="AY78" s="23"/>
      <c r="AZ78" s="23"/>
      <c r="BA78" s="23"/>
      <c r="BB78" s="23"/>
      <c r="BC78" s="23"/>
      <c r="BD78" s="23"/>
      <c r="BE78" s="534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348" t="s">
        <v>3190</v>
      </c>
      <c r="BR78" s="348" t="s">
        <v>3191</v>
      </c>
      <c r="BS78" s="23" t="s">
        <v>3517</v>
      </c>
      <c r="BT78" s="23"/>
      <c r="BU78" s="23" t="s">
        <v>3518</v>
      </c>
      <c r="BV78" s="23"/>
      <c r="BW78" s="23" t="s">
        <v>3519</v>
      </c>
      <c r="BX78" s="23"/>
      <c r="BY78" s="23"/>
      <c r="BZ78" s="23"/>
      <c r="CA78" s="23"/>
      <c r="CB78" s="23"/>
      <c r="CC78" s="23"/>
      <c r="CD78" s="23"/>
      <c r="CE78" s="23"/>
      <c r="CF78" s="23"/>
      <c r="CG78" s="23" t="s">
        <v>3520</v>
      </c>
      <c r="CH78" s="23" t="s">
        <v>942</v>
      </c>
      <c r="CI78" s="621" t="s">
        <v>3309</v>
      </c>
      <c r="CJ78" s="23"/>
    </row>
    <row r="79" spans="1:88" s="4" customFormat="1" ht="48" customHeight="1">
      <c r="A79" s="15">
        <v>19</v>
      </c>
      <c r="B79" s="349" t="s">
        <v>3415</v>
      </c>
      <c r="C79" s="348" t="s">
        <v>3521</v>
      </c>
      <c r="D79" s="331" t="s">
        <v>3522</v>
      </c>
      <c r="E79" s="15" t="s">
        <v>91</v>
      </c>
      <c r="F79" s="15">
        <v>2021</v>
      </c>
      <c r="G79" s="15">
        <v>2021</v>
      </c>
      <c r="H79" s="15">
        <v>12</v>
      </c>
      <c r="I79" s="15" t="s">
        <v>3451</v>
      </c>
      <c r="J79" s="350">
        <v>13980000</v>
      </c>
      <c r="K79" s="15" t="s">
        <v>3091</v>
      </c>
      <c r="L79" s="15">
        <v>3</v>
      </c>
      <c r="M79" s="15" t="s">
        <v>3222</v>
      </c>
      <c r="N79" s="15" t="s">
        <v>3223</v>
      </c>
      <c r="O79" s="15" t="s">
        <v>3215</v>
      </c>
      <c r="P79" s="15" t="s">
        <v>3216</v>
      </c>
      <c r="Q79" s="15">
        <v>6680627</v>
      </c>
      <c r="R79" s="15" t="s">
        <v>95</v>
      </c>
      <c r="S79" s="334" t="s">
        <v>1912</v>
      </c>
      <c r="T79" s="608">
        <f t="shared" si="12"/>
        <v>13980000</v>
      </c>
      <c r="U79" s="15" t="s">
        <v>160</v>
      </c>
      <c r="V79" s="15"/>
      <c r="W79" s="15"/>
      <c r="X79" s="15" t="s">
        <v>3217</v>
      </c>
      <c r="Y79" s="15" t="s">
        <v>3216</v>
      </c>
      <c r="Z79" s="15">
        <v>8140</v>
      </c>
      <c r="AA79" s="333" t="s">
        <v>3291</v>
      </c>
      <c r="AB79" s="15">
        <v>6682237</v>
      </c>
      <c r="AC79" s="340" t="s">
        <v>1736</v>
      </c>
      <c r="AD79" s="15" t="s">
        <v>13</v>
      </c>
      <c r="AE79" s="583">
        <f t="shared" si="11"/>
        <v>13980000</v>
      </c>
      <c r="AF79" s="15" t="s">
        <v>3093</v>
      </c>
      <c r="AG79" s="15"/>
      <c r="AH79" s="15"/>
      <c r="AI79" s="15" t="s">
        <v>3217</v>
      </c>
      <c r="AJ79" s="15" t="s">
        <v>3216</v>
      </c>
      <c r="AK79" s="15"/>
      <c r="AL79" s="341"/>
      <c r="AM79" s="15"/>
      <c r="AN79" s="583"/>
      <c r="AO79" s="15"/>
      <c r="AP79" s="15"/>
      <c r="AQ79" s="15"/>
      <c r="AR79" s="15"/>
      <c r="AS79" s="15"/>
      <c r="AT79" s="23"/>
      <c r="AU79" s="23"/>
      <c r="AV79" s="23"/>
      <c r="AW79" s="534"/>
      <c r="AX79" s="23"/>
      <c r="AY79" s="23"/>
      <c r="AZ79" s="23"/>
      <c r="BA79" s="23"/>
      <c r="BB79" s="23"/>
      <c r="BC79" s="23"/>
      <c r="BD79" s="23"/>
      <c r="BE79" s="534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348" t="s">
        <v>3190</v>
      </c>
      <c r="BR79" s="348" t="s">
        <v>3191</v>
      </c>
      <c r="BS79" s="23" t="s">
        <v>3523</v>
      </c>
      <c r="BT79" s="23"/>
      <c r="BU79" s="23" t="s">
        <v>3524</v>
      </c>
      <c r="BV79" s="23"/>
      <c r="BW79" s="23" t="s">
        <v>3525</v>
      </c>
      <c r="BX79" s="23"/>
      <c r="BY79" s="23" t="s">
        <v>3526</v>
      </c>
      <c r="BZ79" s="23"/>
      <c r="CA79" s="23"/>
      <c r="CB79" s="23"/>
      <c r="CC79" s="23"/>
      <c r="CD79" s="23"/>
      <c r="CE79" s="23"/>
      <c r="CF79" s="23"/>
      <c r="CG79" s="23" t="s">
        <v>3527</v>
      </c>
      <c r="CH79" s="23" t="s">
        <v>3528</v>
      </c>
      <c r="CI79" s="471" t="s">
        <v>3529</v>
      </c>
      <c r="CJ79" s="23"/>
    </row>
    <row r="80" spans="1:88" s="4" customFormat="1" ht="60.75" customHeight="1">
      <c r="A80" s="15">
        <v>20</v>
      </c>
      <c r="B80" s="349" t="s">
        <v>3415</v>
      </c>
      <c r="C80" s="348" t="s">
        <v>3530</v>
      </c>
      <c r="D80" s="331" t="s">
        <v>3531</v>
      </c>
      <c r="E80" s="15" t="s">
        <v>91</v>
      </c>
      <c r="F80" s="15">
        <v>2021</v>
      </c>
      <c r="G80" s="15">
        <v>2021</v>
      </c>
      <c r="H80" s="15">
        <v>24</v>
      </c>
      <c r="I80" s="15" t="s">
        <v>3532</v>
      </c>
      <c r="J80" s="350">
        <v>17000000</v>
      </c>
      <c r="K80" s="15" t="s">
        <v>3091</v>
      </c>
      <c r="L80" s="15">
        <v>3</v>
      </c>
      <c r="M80" s="15" t="s">
        <v>3222</v>
      </c>
      <c r="N80" s="15" t="s">
        <v>3223</v>
      </c>
      <c r="O80" s="15" t="s">
        <v>3215</v>
      </c>
      <c r="P80" s="15" t="s">
        <v>3216</v>
      </c>
      <c r="Q80" s="15">
        <v>6680633</v>
      </c>
      <c r="R80" s="15" t="s">
        <v>18</v>
      </c>
      <c r="S80" s="334" t="s">
        <v>3322</v>
      </c>
      <c r="T80" s="608">
        <f t="shared" si="12"/>
        <v>17000000</v>
      </c>
      <c r="U80" s="15" t="s">
        <v>156</v>
      </c>
      <c r="V80" s="15" t="s">
        <v>166</v>
      </c>
      <c r="W80" s="15"/>
      <c r="X80" s="15" t="s">
        <v>3217</v>
      </c>
      <c r="Y80" s="15" t="s">
        <v>3216</v>
      </c>
      <c r="Z80" s="15">
        <v>8140</v>
      </c>
      <c r="AA80" s="333" t="s">
        <v>3291</v>
      </c>
      <c r="AB80" s="15"/>
      <c r="AC80" s="340"/>
      <c r="AD80" s="15"/>
      <c r="AE80" s="583"/>
      <c r="AF80" s="15"/>
      <c r="AG80" s="15"/>
      <c r="AH80" s="15"/>
      <c r="AI80" s="15"/>
      <c r="AJ80" s="15"/>
      <c r="AK80" s="15"/>
      <c r="AL80" s="341"/>
      <c r="AM80" s="15"/>
      <c r="AN80" s="583"/>
      <c r="AO80" s="15"/>
      <c r="AP80" s="15"/>
      <c r="AQ80" s="15"/>
      <c r="AR80" s="15"/>
      <c r="AS80" s="15"/>
      <c r="AT80" s="23"/>
      <c r="AU80" s="23"/>
      <c r="AV80" s="23"/>
      <c r="AW80" s="534"/>
      <c r="AX80" s="23"/>
      <c r="AY80" s="23"/>
      <c r="AZ80" s="23"/>
      <c r="BA80" s="23"/>
      <c r="BB80" s="23"/>
      <c r="BC80" s="23"/>
      <c r="BD80" s="23"/>
      <c r="BE80" s="534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348" t="s">
        <v>3190</v>
      </c>
      <c r="BR80" s="15" t="s">
        <v>3191</v>
      </c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 t="s">
        <v>3397</v>
      </c>
      <c r="CH80" s="23" t="s">
        <v>942</v>
      </c>
      <c r="CI80" s="471" t="s">
        <v>3070</v>
      </c>
      <c r="CJ80" s="23" t="s">
        <v>3442</v>
      </c>
    </row>
    <row r="81" spans="1:88" s="554" customFormat="1" ht="64.5" customHeight="1">
      <c r="A81" s="15">
        <v>21</v>
      </c>
      <c r="B81" s="349" t="s">
        <v>3415</v>
      </c>
      <c r="C81" s="348" t="s">
        <v>3533</v>
      </c>
      <c r="D81" s="331" t="s">
        <v>3534</v>
      </c>
      <c r="E81" s="15" t="s">
        <v>91</v>
      </c>
      <c r="F81" s="15">
        <v>2021</v>
      </c>
      <c r="G81" s="15">
        <v>2021</v>
      </c>
      <c r="H81" s="15">
        <v>12</v>
      </c>
      <c r="I81" s="15" t="s">
        <v>3516</v>
      </c>
      <c r="J81" s="350">
        <v>14500000</v>
      </c>
      <c r="K81" s="15" t="s">
        <v>3091</v>
      </c>
      <c r="L81" s="15">
        <v>6</v>
      </c>
      <c r="M81" s="15" t="s">
        <v>3222</v>
      </c>
      <c r="N81" s="15" t="s">
        <v>3223</v>
      </c>
      <c r="O81" s="15" t="s">
        <v>3215</v>
      </c>
      <c r="P81" s="15" t="s">
        <v>3216</v>
      </c>
      <c r="Q81" s="15">
        <v>6680628</v>
      </c>
      <c r="R81" s="15" t="s">
        <v>89</v>
      </c>
      <c r="S81" s="334" t="s">
        <v>1007</v>
      </c>
      <c r="T81" s="608">
        <f t="shared" si="12"/>
        <v>14500000</v>
      </c>
      <c r="U81" s="15" t="s">
        <v>164</v>
      </c>
      <c r="V81" s="15"/>
      <c r="W81" s="15"/>
      <c r="X81" s="15" t="s">
        <v>3217</v>
      </c>
      <c r="Y81" s="15" t="s">
        <v>3216</v>
      </c>
      <c r="Z81" s="15">
        <v>8140</v>
      </c>
      <c r="AA81" s="333" t="s">
        <v>3291</v>
      </c>
      <c r="AB81" s="15">
        <v>6682174</v>
      </c>
      <c r="AC81" s="15" t="s">
        <v>2285</v>
      </c>
      <c r="AD81" s="15" t="s">
        <v>20</v>
      </c>
      <c r="AE81" s="583">
        <f>T81</f>
        <v>14500000</v>
      </c>
      <c r="AF81" s="15" t="s">
        <v>156</v>
      </c>
      <c r="AG81" s="15"/>
      <c r="AH81" s="15"/>
      <c r="AI81" s="15" t="s">
        <v>3217</v>
      </c>
      <c r="AJ81" s="15" t="s">
        <v>3216</v>
      </c>
      <c r="AK81" s="15">
        <v>6764236</v>
      </c>
      <c r="AL81" s="341" t="s">
        <v>1684</v>
      </c>
      <c r="AM81" s="15" t="s">
        <v>25</v>
      </c>
      <c r="AN81" s="583">
        <f>T81</f>
        <v>14500000</v>
      </c>
      <c r="AO81" s="15" t="s">
        <v>166</v>
      </c>
      <c r="AP81" s="15"/>
      <c r="AQ81" s="15"/>
      <c r="AR81" s="15" t="s">
        <v>3217</v>
      </c>
      <c r="AS81" s="15" t="s">
        <v>3216</v>
      </c>
      <c r="AT81" s="23"/>
      <c r="AU81" s="23"/>
      <c r="AV81" s="23"/>
      <c r="AW81" s="534"/>
      <c r="AX81" s="23"/>
      <c r="AY81" s="23"/>
      <c r="AZ81" s="23"/>
      <c r="BA81" s="23"/>
      <c r="BB81" s="23"/>
      <c r="BC81" s="23"/>
      <c r="BD81" s="23"/>
      <c r="BE81" s="534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348" t="s">
        <v>3190</v>
      </c>
      <c r="BR81" s="348" t="s">
        <v>3191</v>
      </c>
      <c r="BS81" s="23" t="s">
        <v>3535</v>
      </c>
      <c r="BT81" s="23"/>
      <c r="BU81" s="23" t="s">
        <v>3536</v>
      </c>
      <c r="BV81" s="23"/>
      <c r="BW81" s="23" t="s">
        <v>3537</v>
      </c>
      <c r="BX81" s="23"/>
      <c r="BY81" s="23"/>
      <c r="BZ81" s="23"/>
      <c r="CA81" s="23"/>
      <c r="CB81" s="23"/>
      <c r="CC81" s="23"/>
      <c r="CD81" s="23"/>
      <c r="CE81" s="23"/>
      <c r="CF81" s="23"/>
      <c r="CG81" s="23" t="s">
        <v>3538</v>
      </c>
      <c r="CH81" s="23" t="s">
        <v>942</v>
      </c>
      <c r="CI81" s="471" t="s">
        <v>3282</v>
      </c>
      <c r="CJ81" s="23"/>
    </row>
    <row r="82" spans="1:88" s="4" customFormat="1" ht="48" customHeight="1">
      <c r="A82" s="15">
        <v>22</v>
      </c>
      <c r="B82" s="349" t="s">
        <v>3415</v>
      </c>
      <c r="C82" s="348" t="s">
        <v>3539</v>
      </c>
      <c r="D82" s="331" t="s">
        <v>3540</v>
      </c>
      <c r="E82" s="15" t="s">
        <v>84</v>
      </c>
      <c r="F82" s="15">
        <v>2021</v>
      </c>
      <c r="G82" s="15">
        <v>2021</v>
      </c>
      <c r="H82" s="15">
        <v>6</v>
      </c>
      <c r="I82" s="15" t="s">
        <v>3532</v>
      </c>
      <c r="J82" s="350">
        <v>23600000</v>
      </c>
      <c r="K82" s="15" t="s">
        <v>3091</v>
      </c>
      <c r="L82" s="15">
        <v>6</v>
      </c>
      <c r="M82" s="15" t="s">
        <v>3222</v>
      </c>
      <c r="N82" s="15" t="s">
        <v>3223</v>
      </c>
      <c r="O82" s="15" t="s">
        <v>3215</v>
      </c>
      <c r="P82" s="15" t="s">
        <v>3216</v>
      </c>
      <c r="Q82" s="15">
        <v>6680683</v>
      </c>
      <c r="R82" s="15" t="s">
        <v>10</v>
      </c>
      <c r="S82" s="334" t="s">
        <v>2454</v>
      </c>
      <c r="T82" s="608">
        <f t="shared" si="12"/>
        <v>23600000</v>
      </c>
      <c r="U82" s="15" t="s">
        <v>151</v>
      </c>
      <c r="V82" s="15"/>
      <c r="W82" s="15"/>
      <c r="X82" s="15" t="s">
        <v>3224</v>
      </c>
      <c r="Y82" s="15" t="s">
        <v>3216</v>
      </c>
      <c r="Z82" s="15">
        <v>8140</v>
      </c>
      <c r="AA82" s="333" t="s">
        <v>3291</v>
      </c>
      <c r="AB82" s="15">
        <v>6680651</v>
      </c>
      <c r="AC82" s="333" t="s">
        <v>1016</v>
      </c>
      <c r="AD82" s="15" t="s">
        <v>12</v>
      </c>
      <c r="AE82" s="583">
        <f>T82</f>
        <v>23600000</v>
      </c>
      <c r="AF82" s="15" t="s">
        <v>155</v>
      </c>
      <c r="AG82" s="15"/>
      <c r="AH82" s="15"/>
      <c r="AI82" s="15" t="s">
        <v>3224</v>
      </c>
      <c r="AJ82" s="15" t="s">
        <v>3216</v>
      </c>
      <c r="AK82" s="15">
        <v>6859016</v>
      </c>
      <c r="AL82" s="334" t="s">
        <v>2497</v>
      </c>
      <c r="AM82" s="15" t="s">
        <v>52</v>
      </c>
      <c r="AN82" s="583">
        <f>T82</f>
        <v>23600000</v>
      </c>
      <c r="AO82" s="15" t="s">
        <v>155</v>
      </c>
      <c r="AP82" s="15"/>
      <c r="AQ82" s="15"/>
      <c r="AR82" s="15" t="s">
        <v>3224</v>
      </c>
      <c r="AS82" s="15" t="s">
        <v>3216</v>
      </c>
      <c r="AT82" s="15">
        <v>6680612</v>
      </c>
      <c r="AU82" s="15">
        <v>728059203</v>
      </c>
      <c r="AV82" s="15" t="s">
        <v>19</v>
      </c>
      <c r="AW82" s="583">
        <f>T82</f>
        <v>23600000</v>
      </c>
      <c r="AX82" s="15" t="s">
        <v>155</v>
      </c>
      <c r="AY82" s="15"/>
      <c r="AZ82" s="15" t="s">
        <v>3281</v>
      </c>
      <c r="BA82" s="15" t="s">
        <v>3216</v>
      </c>
      <c r="BB82" s="23"/>
      <c r="BC82" s="23"/>
      <c r="BD82" s="23"/>
      <c r="BE82" s="534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348" t="s">
        <v>3190</v>
      </c>
      <c r="BR82" s="348" t="s">
        <v>3191</v>
      </c>
      <c r="BS82" s="23" t="s">
        <v>3541</v>
      </c>
      <c r="BT82" s="23"/>
      <c r="BU82" s="23" t="s">
        <v>3542</v>
      </c>
      <c r="BV82" s="23"/>
      <c r="BW82" s="23" t="s">
        <v>3078</v>
      </c>
      <c r="BX82" s="23"/>
      <c r="BY82" s="23"/>
      <c r="BZ82" s="23"/>
      <c r="CA82" s="23"/>
      <c r="CB82" s="23"/>
      <c r="CC82" s="23"/>
      <c r="CD82" s="23"/>
      <c r="CE82" s="23"/>
      <c r="CF82" s="23"/>
      <c r="CG82" s="23" t="s">
        <v>3543</v>
      </c>
      <c r="CH82" s="23" t="s">
        <v>942</v>
      </c>
      <c r="CI82" s="471" t="s">
        <v>942</v>
      </c>
      <c r="CJ82" s="23"/>
    </row>
    <row r="83" spans="1:88" s="4" customFormat="1" ht="48" customHeight="1">
      <c r="A83" s="15">
        <v>23</v>
      </c>
      <c r="B83" s="349" t="s">
        <v>3544</v>
      </c>
      <c r="C83" s="348" t="s">
        <v>3545</v>
      </c>
      <c r="D83" s="331" t="s">
        <v>3546</v>
      </c>
      <c r="E83" s="15" t="s">
        <v>59</v>
      </c>
      <c r="F83" s="15">
        <v>2021</v>
      </c>
      <c r="G83" s="15">
        <v>2021</v>
      </c>
      <c r="H83" s="15">
        <v>8</v>
      </c>
      <c r="I83" s="15" t="s">
        <v>3547</v>
      </c>
      <c r="J83" s="350">
        <v>40000000</v>
      </c>
      <c r="K83" s="15" t="s">
        <v>3091</v>
      </c>
      <c r="L83" s="15">
        <v>4</v>
      </c>
      <c r="M83" s="15" t="s">
        <v>3548</v>
      </c>
      <c r="N83" s="15" t="s">
        <v>3223</v>
      </c>
      <c r="O83" s="15" t="s">
        <v>3215</v>
      </c>
      <c r="P83" s="15" t="s">
        <v>3216</v>
      </c>
      <c r="Q83" s="15">
        <v>258471</v>
      </c>
      <c r="R83" s="15" t="s">
        <v>60</v>
      </c>
      <c r="S83" s="334" t="s">
        <v>3504</v>
      </c>
      <c r="T83" s="608">
        <f t="shared" si="12"/>
        <v>40000000</v>
      </c>
      <c r="U83" s="15" t="s">
        <v>155</v>
      </c>
      <c r="V83" s="15"/>
      <c r="W83" s="15"/>
      <c r="X83" s="15" t="s">
        <v>3224</v>
      </c>
      <c r="Y83" s="15" t="s">
        <v>3216</v>
      </c>
      <c r="Z83" s="15">
        <v>8140</v>
      </c>
      <c r="AA83" s="333" t="s">
        <v>3291</v>
      </c>
      <c r="AB83" s="15"/>
      <c r="AC83" s="340"/>
      <c r="AD83" s="15"/>
      <c r="AE83" s="583"/>
      <c r="AF83" s="15"/>
      <c r="AG83" s="15"/>
      <c r="AH83" s="15"/>
      <c r="AI83" s="15"/>
      <c r="AJ83" s="15"/>
      <c r="AK83" s="15"/>
      <c r="AL83" s="341"/>
      <c r="AM83" s="15"/>
      <c r="AN83" s="583"/>
      <c r="AO83" s="15"/>
      <c r="AP83" s="15"/>
      <c r="AQ83" s="15"/>
      <c r="AR83" s="15"/>
      <c r="AS83" s="15"/>
      <c r="AT83" s="23"/>
      <c r="AU83" s="23"/>
      <c r="AV83" s="23"/>
      <c r="AW83" s="534"/>
      <c r="AX83" s="23"/>
      <c r="AY83" s="23"/>
      <c r="AZ83" s="23"/>
      <c r="BA83" s="23"/>
      <c r="BB83" s="23"/>
      <c r="BC83" s="23"/>
      <c r="BD83" s="23"/>
      <c r="BE83" s="534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348" t="s">
        <v>3190</v>
      </c>
      <c r="BR83" s="348" t="s">
        <v>3191</v>
      </c>
      <c r="BS83" s="23" t="s">
        <v>3549</v>
      </c>
      <c r="BT83" s="23" t="s">
        <v>3487</v>
      </c>
      <c r="BU83" s="23" t="s">
        <v>323</v>
      </c>
      <c r="BV83" s="23" t="s">
        <v>3487</v>
      </c>
      <c r="BW83" s="23" t="s">
        <v>1083</v>
      </c>
      <c r="BX83" s="23" t="s">
        <v>3487</v>
      </c>
      <c r="BY83" s="23" t="s">
        <v>1160</v>
      </c>
      <c r="BZ83" s="23" t="s">
        <v>3487</v>
      </c>
      <c r="CA83" s="23" t="s">
        <v>3550</v>
      </c>
      <c r="CB83" s="23" t="s">
        <v>3487</v>
      </c>
      <c r="CC83" s="23" t="s">
        <v>1082</v>
      </c>
      <c r="CD83" s="23" t="s">
        <v>3487</v>
      </c>
      <c r="CE83" s="23"/>
      <c r="CF83" s="23"/>
      <c r="CG83" s="23" t="s">
        <v>3551</v>
      </c>
      <c r="CH83" s="23" t="s">
        <v>3442</v>
      </c>
      <c r="CI83" s="471" t="s">
        <v>3552</v>
      </c>
      <c r="CJ83" s="23" t="s">
        <v>3553</v>
      </c>
    </row>
    <row r="84" spans="1:88" s="4" customFormat="1" ht="72" customHeight="1">
      <c r="A84" s="15">
        <v>24</v>
      </c>
      <c r="B84" s="349" t="s">
        <v>3544</v>
      </c>
      <c r="C84" s="15" t="s">
        <v>942</v>
      </c>
      <c r="D84" s="331" t="s">
        <v>3554</v>
      </c>
      <c r="E84" s="15" t="s">
        <v>59</v>
      </c>
      <c r="F84" s="15">
        <v>2021</v>
      </c>
      <c r="G84" s="15">
        <v>2021</v>
      </c>
      <c r="H84" s="15">
        <v>12</v>
      </c>
      <c r="I84" s="15" t="s">
        <v>3547</v>
      </c>
      <c r="J84" s="350">
        <v>40000000</v>
      </c>
      <c r="K84" s="15" t="s">
        <v>3091</v>
      </c>
      <c r="L84" s="15">
        <v>4</v>
      </c>
      <c r="M84" s="15" t="s">
        <v>3548</v>
      </c>
      <c r="N84" s="15" t="s">
        <v>3223</v>
      </c>
      <c r="O84" s="15" t="s">
        <v>3215</v>
      </c>
      <c r="P84" s="15" t="s">
        <v>3216</v>
      </c>
      <c r="Q84" s="15">
        <v>6680683</v>
      </c>
      <c r="R84" s="15" t="s">
        <v>10</v>
      </c>
      <c r="S84" s="334" t="s">
        <v>2454</v>
      </c>
      <c r="T84" s="608">
        <f t="shared" si="12"/>
        <v>40000000</v>
      </c>
      <c r="U84" s="15" t="s">
        <v>151</v>
      </c>
      <c r="V84" s="15"/>
      <c r="W84" s="15"/>
      <c r="X84" s="15" t="s">
        <v>3224</v>
      </c>
      <c r="Y84" s="15" t="s">
        <v>3216</v>
      </c>
      <c r="Z84" s="15">
        <v>8140</v>
      </c>
      <c r="AA84" s="333" t="s">
        <v>3291</v>
      </c>
      <c r="AB84" s="15">
        <v>6778837</v>
      </c>
      <c r="AC84" s="15" t="s">
        <v>979</v>
      </c>
      <c r="AD84" s="15" t="s">
        <v>71</v>
      </c>
      <c r="AE84" s="583">
        <f>T84</f>
        <v>40000000</v>
      </c>
      <c r="AF84" s="15" t="s">
        <v>171</v>
      </c>
      <c r="AG84" s="15"/>
      <c r="AH84" s="15"/>
      <c r="AI84" s="15" t="s">
        <v>3217</v>
      </c>
      <c r="AJ84" s="15" t="s">
        <v>3216</v>
      </c>
      <c r="AK84" s="15">
        <v>6767777</v>
      </c>
      <c r="AL84" s="341" t="s">
        <v>2673</v>
      </c>
      <c r="AM84" s="15" t="s">
        <v>3555</v>
      </c>
      <c r="AN84" s="583">
        <f>T84</f>
        <v>40000000</v>
      </c>
      <c r="AO84" s="15" t="s">
        <v>171</v>
      </c>
      <c r="AP84" s="15"/>
      <c r="AQ84" s="15"/>
      <c r="AR84" s="15" t="s">
        <v>3217</v>
      </c>
      <c r="AS84" s="15" t="s">
        <v>3216</v>
      </c>
      <c r="AT84" s="23"/>
      <c r="AU84" s="23"/>
      <c r="AV84" s="23"/>
      <c r="AW84" s="534"/>
      <c r="AX84" s="23"/>
      <c r="AY84" s="23"/>
      <c r="AZ84" s="23"/>
      <c r="BA84" s="23"/>
      <c r="BB84" s="23"/>
      <c r="BC84" s="23"/>
      <c r="BD84" s="23"/>
      <c r="BE84" s="534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348" t="s">
        <v>3190</v>
      </c>
      <c r="BR84" s="348" t="s">
        <v>3191</v>
      </c>
      <c r="BS84" s="23" t="s">
        <v>2104</v>
      </c>
      <c r="BT84" s="23" t="s">
        <v>3487</v>
      </c>
      <c r="BU84" s="23" t="s">
        <v>3275</v>
      </c>
      <c r="BV84" s="23" t="s">
        <v>3487</v>
      </c>
      <c r="BW84" s="23" t="s">
        <v>1163</v>
      </c>
      <c r="BX84" s="23" t="s">
        <v>3487</v>
      </c>
      <c r="BY84" s="23" t="s">
        <v>3556</v>
      </c>
      <c r="BZ84" s="23" t="s">
        <v>3487</v>
      </c>
      <c r="CA84" s="23" t="s">
        <v>3557</v>
      </c>
      <c r="CB84" s="23" t="s">
        <v>3487</v>
      </c>
      <c r="CC84" s="23"/>
      <c r="CD84" s="23" t="s">
        <v>3487</v>
      </c>
      <c r="CE84" s="23"/>
      <c r="CF84" s="23"/>
      <c r="CG84" s="23" t="s">
        <v>3558</v>
      </c>
      <c r="CH84" s="23" t="s">
        <v>942</v>
      </c>
      <c r="CI84" s="471" t="s">
        <v>3559</v>
      </c>
      <c r="CJ84" s="23"/>
    </row>
    <row r="85" spans="1:88" s="554" customFormat="1" ht="48" customHeight="1">
      <c r="A85" s="15">
        <v>25</v>
      </c>
      <c r="B85" s="349" t="s">
        <v>3560</v>
      </c>
      <c r="C85" s="348" t="s">
        <v>3561</v>
      </c>
      <c r="D85" s="331" t="s">
        <v>3562</v>
      </c>
      <c r="E85" s="15" t="s">
        <v>68</v>
      </c>
      <c r="F85" s="15">
        <v>2021</v>
      </c>
      <c r="G85" s="15">
        <v>2021</v>
      </c>
      <c r="H85" s="15">
        <v>8</v>
      </c>
      <c r="I85" s="15" t="s">
        <v>3214</v>
      </c>
      <c r="J85" s="350">
        <f>8103000+12474000</f>
        <v>20577000</v>
      </c>
      <c r="K85" s="15" t="s">
        <v>3091</v>
      </c>
      <c r="L85" s="15">
        <v>2</v>
      </c>
      <c r="M85" s="15"/>
      <c r="N85" s="15" t="s">
        <v>3223</v>
      </c>
      <c r="O85" s="23"/>
      <c r="P85" s="23"/>
      <c r="Q85" s="15">
        <v>6070770</v>
      </c>
      <c r="R85" s="15" t="s">
        <v>69</v>
      </c>
      <c r="S85" s="334" t="s">
        <v>3563</v>
      </c>
      <c r="T85" s="608">
        <f t="shared" si="12"/>
        <v>20577000</v>
      </c>
      <c r="U85" s="15" t="s">
        <v>160</v>
      </c>
      <c r="V85" s="15"/>
      <c r="W85" s="15"/>
      <c r="X85" s="15"/>
      <c r="Y85" s="15" t="s">
        <v>3564</v>
      </c>
      <c r="Z85" s="15">
        <v>228</v>
      </c>
      <c r="AA85" s="333" t="s">
        <v>3565</v>
      </c>
      <c r="AB85" s="15">
        <v>6699792</v>
      </c>
      <c r="AC85" s="340" t="s">
        <v>3566</v>
      </c>
      <c r="AD85" s="15" t="s">
        <v>576</v>
      </c>
      <c r="AE85" s="583"/>
      <c r="AF85" s="15" t="s">
        <v>160</v>
      </c>
      <c r="AG85" s="15"/>
      <c r="AH85" s="15"/>
      <c r="AI85" s="15"/>
      <c r="AJ85" s="15" t="s">
        <v>3564</v>
      </c>
      <c r="AK85" s="15">
        <v>6753293</v>
      </c>
      <c r="AL85" s="334" t="s">
        <v>3567</v>
      </c>
      <c r="AM85" s="15" t="s">
        <v>577</v>
      </c>
      <c r="AN85" s="608"/>
      <c r="AO85" s="15" t="s">
        <v>160</v>
      </c>
      <c r="AP85" s="15"/>
      <c r="AQ85" s="15"/>
      <c r="AR85" s="15"/>
      <c r="AS85" s="15" t="s">
        <v>3564</v>
      </c>
      <c r="AT85" s="15">
        <v>6680648</v>
      </c>
      <c r="AU85" s="334" t="s">
        <v>1036</v>
      </c>
      <c r="AV85" s="14" t="s">
        <v>17</v>
      </c>
      <c r="AW85" s="608">
        <f>J85</f>
        <v>20577000</v>
      </c>
      <c r="AX85" s="15" t="s">
        <v>166</v>
      </c>
      <c r="AY85" s="15"/>
      <c r="AZ85" s="15" t="s">
        <v>3217</v>
      </c>
      <c r="BA85" s="15" t="s">
        <v>3216</v>
      </c>
      <c r="BB85" s="23"/>
      <c r="BC85" s="23"/>
      <c r="BD85" s="23"/>
      <c r="BE85" s="534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348" t="s">
        <v>3190</v>
      </c>
      <c r="BR85" s="348" t="s">
        <v>3191</v>
      </c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23"/>
      <c r="CF85" s="23"/>
      <c r="CG85" s="23" t="s">
        <v>3568</v>
      </c>
      <c r="CH85" s="23" t="s">
        <v>3569</v>
      </c>
      <c r="CI85" s="471" t="s">
        <v>3282</v>
      </c>
      <c r="CJ85" s="23" t="s">
        <v>3570</v>
      </c>
    </row>
    <row r="86" spans="1:88" s="4" customFormat="1" ht="48" customHeight="1">
      <c r="A86" s="15">
        <v>26</v>
      </c>
      <c r="B86" s="349" t="s">
        <v>3571</v>
      </c>
      <c r="C86" s="348" t="s">
        <v>3572</v>
      </c>
      <c r="D86" s="331" t="s">
        <v>3573</v>
      </c>
      <c r="E86" s="15" t="s">
        <v>68</v>
      </c>
      <c r="F86" s="15">
        <v>2021</v>
      </c>
      <c r="G86" s="15">
        <v>2021</v>
      </c>
      <c r="H86" s="15">
        <v>12</v>
      </c>
      <c r="I86" s="15" t="s">
        <v>942</v>
      </c>
      <c r="J86" s="350">
        <v>40000000</v>
      </c>
      <c r="K86" s="15" t="s">
        <v>3091</v>
      </c>
      <c r="L86" s="15">
        <v>4</v>
      </c>
      <c r="M86" s="15"/>
      <c r="N86" s="15" t="s">
        <v>3223</v>
      </c>
      <c r="O86" s="15"/>
      <c r="P86" s="15"/>
      <c r="Q86" s="15">
        <v>6680622</v>
      </c>
      <c r="R86" s="15" t="s">
        <v>3574</v>
      </c>
      <c r="S86" s="334" t="s">
        <v>983</v>
      </c>
      <c r="T86" s="608">
        <f t="shared" si="12"/>
        <v>40000000</v>
      </c>
      <c r="U86" s="15" t="s">
        <v>164</v>
      </c>
      <c r="V86" s="15"/>
      <c r="W86" s="15"/>
      <c r="X86" s="15" t="s">
        <v>3217</v>
      </c>
      <c r="Y86" s="15" t="s">
        <v>3216</v>
      </c>
      <c r="Z86" s="15">
        <v>8140</v>
      </c>
      <c r="AA86" s="333" t="s">
        <v>3291</v>
      </c>
      <c r="AB86" s="15"/>
      <c r="AC86" s="340"/>
      <c r="AD86" s="15"/>
      <c r="AE86" s="583"/>
      <c r="AF86" s="15"/>
      <c r="AG86" s="15"/>
      <c r="AH86" s="15"/>
      <c r="AI86" s="15"/>
      <c r="AJ86" s="15"/>
      <c r="AK86" s="15"/>
      <c r="AL86" s="341"/>
      <c r="AM86" s="15"/>
      <c r="AN86" s="583"/>
      <c r="AO86" s="15"/>
      <c r="AP86" s="15"/>
      <c r="AQ86" s="15"/>
      <c r="AR86" s="15"/>
      <c r="AS86" s="15"/>
      <c r="AT86" s="23"/>
      <c r="AU86" s="23"/>
      <c r="AV86" s="23"/>
      <c r="AW86" s="534"/>
      <c r="AX86" s="23"/>
      <c r="AY86" s="23"/>
      <c r="AZ86" s="23"/>
      <c r="BA86" s="23"/>
      <c r="BB86" s="23"/>
      <c r="BC86" s="23"/>
      <c r="BD86" s="23"/>
      <c r="BE86" s="534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348" t="s">
        <v>3190</v>
      </c>
      <c r="BR86" s="15" t="s">
        <v>3191</v>
      </c>
      <c r="BS86" s="23" t="s">
        <v>3575</v>
      </c>
      <c r="BT86" s="14"/>
      <c r="BU86" s="23" t="s">
        <v>3576</v>
      </c>
      <c r="BV86" s="23"/>
      <c r="BW86" s="23" t="s">
        <v>3577</v>
      </c>
      <c r="BX86" s="14"/>
      <c r="BY86" s="23"/>
      <c r="BZ86" s="23"/>
      <c r="CA86" s="23"/>
      <c r="CB86" s="23"/>
      <c r="CC86" s="23"/>
      <c r="CD86" s="23"/>
      <c r="CE86" s="23"/>
      <c r="CF86" s="23"/>
      <c r="CG86" s="23" t="s">
        <v>3070</v>
      </c>
      <c r="CH86" s="23" t="s">
        <v>942</v>
      </c>
      <c r="CI86" s="471" t="s">
        <v>277</v>
      </c>
      <c r="CJ86" s="23"/>
    </row>
    <row r="87" spans="1:88" s="4" customFormat="1" ht="48" customHeight="1">
      <c r="A87" s="15">
        <v>27</v>
      </c>
      <c r="B87" s="349" t="s">
        <v>3578</v>
      </c>
      <c r="C87" s="348" t="s">
        <v>3579</v>
      </c>
      <c r="D87" s="331" t="s">
        <v>3580</v>
      </c>
      <c r="E87" s="15" t="s">
        <v>68</v>
      </c>
      <c r="F87" s="15">
        <v>2021</v>
      </c>
      <c r="G87" s="15">
        <v>2021</v>
      </c>
      <c r="H87" s="15">
        <v>11</v>
      </c>
      <c r="I87" s="15" t="s">
        <v>942</v>
      </c>
      <c r="J87" s="350">
        <f>16750000*2</f>
        <v>33500000</v>
      </c>
      <c r="K87" s="15"/>
      <c r="L87" s="15">
        <v>6</v>
      </c>
      <c r="M87" s="15"/>
      <c r="N87" s="15" t="s">
        <v>3223</v>
      </c>
      <c r="O87" s="15"/>
      <c r="P87" s="15"/>
      <c r="Q87" s="15"/>
      <c r="R87" s="15" t="s">
        <v>70</v>
      </c>
      <c r="S87" s="334"/>
      <c r="T87" s="608">
        <f t="shared" si="12"/>
        <v>33500000</v>
      </c>
      <c r="U87" s="15"/>
      <c r="V87" s="15"/>
      <c r="W87" s="15"/>
      <c r="X87" s="15"/>
      <c r="Y87" s="15"/>
      <c r="Z87" s="15"/>
      <c r="AA87" s="333"/>
      <c r="AB87" s="15"/>
      <c r="AC87" s="340"/>
      <c r="AD87" s="15" t="s">
        <v>3581</v>
      </c>
      <c r="AE87" s="583"/>
      <c r="AF87" s="15"/>
      <c r="AG87" s="15"/>
      <c r="AH87" s="15"/>
      <c r="AI87" s="15"/>
      <c r="AJ87" s="15"/>
      <c r="AK87" s="15"/>
      <c r="AL87" s="341"/>
      <c r="AM87" s="15" t="s">
        <v>73</v>
      </c>
      <c r="AN87" s="583"/>
      <c r="AO87" s="15"/>
      <c r="AP87" s="15"/>
      <c r="AQ87" s="15"/>
      <c r="AR87" s="15"/>
      <c r="AS87" s="15"/>
      <c r="AT87" s="23"/>
      <c r="AU87" s="23"/>
      <c r="AV87" s="14" t="s">
        <v>775</v>
      </c>
      <c r="AW87" s="534"/>
      <c r="AX87" s="23"/>
      <c r="AY87" s="23"/>
      <c r="AZ87" s="23"/>
      <c r="BA87" s="23"/>
      <c r="BB87" s="23"/>
      <c r="BC87" s="23"/>
      <c r="BD87" s="23"/>
      <c r="BE87" s="534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348" t="s">
        <v>3190</v>
      </c>
      <c r="BR87" s="15" t="s">
        <v>3191</v>
      </c>
      <c r="BS87" s="23" t="s">
        <v>3582</v>
      </c>
      <c r="BT87" s="14"/>
      <c r="BU87" s="23"/>
      <c r="BV87" s="23"/>
      <c r="BW87" s="23"/>
      <c r="BX87" s="14"/>
      <c r="BY87" s="23"/>
      <c r="BZ87" s="23"/>
      <c r="CA87" s="23"/>
      <c r="CB87" s="23"/>
      <c r="CC87" s="23"/>
      <c r="CD87" s="23"/>
      <c r="CE87" s="23"/>
      <c r="CF87" s="23"/>
      <c r="CG87" s="23" t="s">
        <v>3583</v>
      </c>
      <c r="CH87" s="23" t="s">
        <v>942</v>
      </c>
      <c r="CI87" s="471" t="s">
        <v>942</v>
      </c>
      <c r="CJ87" s="23"/>
    </row>
    <row r="88" spans="1:88" s="4" customFormat="1" ht="48" customHeight="1">
      <c r="A88" s="15">
        <v>28</v>
      </c>
      <c r="B88" s="349" t="s">
        <v>3584</v>
      </c>
      <c r="C88" s="348" t="s">
        <v>3585</v>
      </c>
      <c r="D88" s="331" t="s">
        <v>3586</v>
      </c>
      <c r="E88" s="15" t="s">
        <v>90</v>
      </c>
      <c r="F88" s="15">
        <v>2021</v>
      </c>
      <c r="G88" s="15">
        <v>2021</v>
      </c>
      <c r="H88" s="15">
        <v>12</v>
      </c>
      <c r="I88" s="15" t="s">
        <v>3587</v>
      </c>
      <c r="J88" s="350">
        <v>100000000</v>
      </c>
      <c r="K88" s="15" t="s">
        <v>3091</v>
      </c>
      <c r="L88" s="15">
        <v>4</v>
      </c>
      <c r="M88" s="15" t="s">
        <v>3222</v>
      </c>
      <c r="N88" s="15" t="s">
        <v>3223</v>
      </c>
      <c r="O88" s="15" t="s">
        <v>3215</v>
      </c>
      <c r="P88" s="15" t="s">
        <v>3216</v>
      </c>
      <c r="Q88" s="15">
        <v>6680685</v>
      </c>
      <c r="R88" s="15" t="s">
        <v>21</v>
      </c>
      <c r="S88" s="340" t="s">
        <v>944</v>
      </c>
      <c r="T88" s="608">
        <f t="shared" si="12"/>
        <v>100000000</v>
      </c>
      <c r="U88" s="15" t="s">
        <v>155</v>
      </c>
      <c r="V88" s="15"/>
      <c r="W88" s="15"/>
      <c r="X88" s="15" t="s">
        <v>3224</v>
      </c>
      <c r="Y88" s="15" t="s">
        <v>3216</v>
      </c>
      <c r="Z88" s="15">
        <v>8140</v>
      </c>
      <c r="AA88" s="333" t="s">
        <v>3291</v>
      </c>
      <c r="AB88" s="15"/>
      <c r="AC88" s="340"/>
      <c r="AD88" s="15"/>
      <c r="AE88" s="583"/>
      <c r="AF88" s="15"/>
      <c r="AG88" s="15"/>
      <c r="AH88" s="15"/>
      <c r="AI88" s="15"/>
      <c r="AJ88" s="15"/>
      <c r="AK88" s="15"/>
      <c r="AL88" s="341"/>
      <c r="AM88" s="15"/>
      <c r="AN88" s="583"/>
      <c r="AO88" s="15"/>
      <c r="AP88" s="15"/>
      <c r="AQ88" s="15"/>
      <c r="AR88" s="15"/>
      <c r="AS88" s="15"/>
      <c r="AT88" s="23"/>
      <c r="AU88" s="23"/>
      <c r="AV88" s="23"/>
      <c r="AW88" s="534"/>
      <c r="AX88" s="23"/>
      <c r="AY88" s="23"/>
      <c r="AZ88" s="23"/>
      <c r="BA88" s="23"/>
      <c r="BB88" s="23"/>
      <c r="BC88" s="23"/>
      <c r="BD88" s="23"/>
      <c r="BE88" s="534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348" t="s">
        <v>3190</v>
      </c>
      <c r="BR88" s="348" t="s">
        <v>3191</v>
      </c>
      <c r="BS88" s="23" t="s">
        <v>3588</v>
      </c>
      <c r="BT88" s="14" t="s">
        <v>3589</v>
      </c>
      <c r="BU88" s="23" t="s">
        <v>3590</v>
      </c>
      <c r="BV88" s="23"/>
      <c r="BW88" s="23" t="s">
        <v>3549</v>
      </c>
      <c r="BX88" s="14"/>
      <c r="BY88" s="23" t="s">
        <v>3591</v>
      </c>
      <c r="BZ88" s="23" t="s">
        <v>3487</v>
      </c>
      <c r="CA88" s="23" t="s">
        <v>3592</v>
      </c>
      <c r="CB88" s="23"/>
      <c r="CC88" s="23" t="s">
        <v>3593</v>
      </c>
      <c r="CD88" s="23"/>
      <c r="CE88" s="23" t="s">
        <v>2554</v>
      </c>
      <c r="CF88" s="23"/>
      <c r="CG88" s="23" t="s">
        <v>3594</v>
      </c>
      <c r="CH88" s="23" t="s">
        <v>942</v>
      </c>
      <c r="CI88" s="471" t="s">
        <v>3392</v>
      </c>
      <c r="CJ88" s="23"/>
    </row>
    <row r="89" spans="1:88" s="4" customFormat="1" ht="60" customHeight="1">
      <c r="A89" s="15">
        <v>29</v>
      </c>
      <c r="B89" s="349" t="s">
        <v>3584</v>
      </c>
      <c r="C89" s="348" t="s">
        <v>3595</v>
      </c>
      <c r="D89" s="331" t="s">
        <v>3596</v>
      </c>
      <c r="E89" s="15" t="s">
        <v>90</v>
      </c>
      <c r="F89" s="15">
        <v>2021</v>
      </c>
      <c r="G89" s="15">
        <v>2021</v>
      </c>
      <c r="H89" s="15">
        <v>12</v>
      </c>
      <c r="I89" s="15" t="s">
        <v>3597</v>
      </c>
      <c r="J89" s="350">
        <v>100000000</v>
      </c>
      <c r="K89" s="15" t="s">
        <v>3091</v>
      </c>
      <c r="L89" s="15">
        <v>4</v>
      </c>
      <c r="M89" s="15" t="s">
        <v>3222</v>
      </c>
      <c r="N89" s="15" t="s">
        <v>3223</v>
      </c>
      <c r="O89" s="15" t="s">
        <v>3215</v>
      </c>
      <c r="P89" s="15" t="s">
        <v>3216</v>
      </c>
      <c r="Q89" s="15">
        <v>6680633</v>
      </c>
      <c r="R89" s="15" t="s">
        <v>18</v>
      </c>
      <c r="S89" s="334" t="s">
        <v>3322</v>
      </c>
      <c r="T89" s="608">
        <f t="shared" si="12"/>
        <v>100000000</v>
      </c>
      <c r="U89" s="15" t="s">
        <v>156</v>
      </c>
      <c r="V89" s="15" t="s">
        <v>166</v>
      </c>
      <c r="W89" s="15"/>
      <c r="X89" s="15" t="s">
        <v>3217</v>
      </c>
      <c r="Y89" s="15" t="s">
        <v>3216</v>
      </c>
      <c r="Z89" s="15">
        <v>8140</v>
      </c>
      <c r="AA89" s="333" t="s">
        <v>3291</v>
      </c>
      <c r="AB89" s="15"/>
      <c r="AC89" s="340"/>
      <c r="AD89" s="15"/>
      <c r="AE89" s="583"/>
      <c r="AF89" s="15"/>
      <c r="AG89" s="15"/>
      <c r="AH89" s="15"/>
      <c r="AI89" s="15"/>
      <c r="AJ89" s="15"/>
      <c r="AK89" s="15"/>
      <c r="AL89" s="341"/>
      <c r="AM89" s="15"/>
      <c r="AN89" s="583"/>
      <c r="AO89" s="15"/>
      <c r="AP89" s="15"/>
      <c r="AQ89" s="15"/>
      <c r="AR89" s="15"/>
      <c r="AS89" s="15"/>
      <c r="AT89" s="23"/>
      <c r="AU89" s="23"/>
      <c r="AV89" s="23"/>
      <c r="AW89" s="534"/>
      <c r="AX89" s="23"/>
      <c r="AY89" s="23"/>
      <c r="AZ89" s="23"/>
      <c r="BA89" s="23"/>
      <c r="BB89" s="23"/>
      <c r="BC89" s="23"/>
      <c r="BD89" s="23"/>
      <c r="BE89" s="534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348" t="s">
        <v>3190</v>
      </c>
      <c r="BR89" s="15" t="s">
        <v>3191</v>
      </c>
      <c r="BS89" s="23" t="s">
        <v>1223</v>
      </c>
      <c r="BT89" s="14" t="s">
        <v>3589</v>
      </c>
      <c r="BU89" s="23" t="s">
        <v>3228</v>
      </c>
      <c r="BV89" s="23"/>
      <c r="BW89" s="23" t="s">
        <v>3598</v>
      </c>
      <c r="BX89" s="14" t="s">
        <v>3589</v>
      </c>
      <c r="BY89" s="23" t="s">
        <v>1068</v>
      </c>
      <c r="BZ89" s="23"/>
      <c r="CA89" s="23" t="s">
        <v>3270</v>
      </c>
      <c r="CB89" s="23" t="s">
        <v>3482</v>
      </c>
      <c r="CC89" s="23" t="s">
        <v>3599</v>
      </c>
      <c r="CD89" s="23" t="s">
        <v>3589</v>
      </c>
      <c r="CE89" s="23"/>
      <c r="CF89" s="23"/>
      <c r="CG89" s="23" t="s">
        <v>3070</v>
      </c>
      <c r="CH89" s="23" t="s">
        <v>942</v>
      </c>
      <c r="CI89" s="471" t="s">
        <v>3600</v>
      </c>
      <c r="CJ89" s="23"/>
    </row>
    <row r="90" spans="1:88" s="4" customFormat="1" ht="36.75" customHeight="1">
      <c r="A90" s="15">
        <v>30</v>
      </c>
      <c r="B90" s="349" t="s">
        <v>3415</v>
      </c>
      <c r="C90" s="348" t="s">
        <v>3601</v>
      </c>
      <c r="D90" s="331" t="s">
        <v>3602</v>
      </c>
      <c r="E90" s="15" t="s">
        <v>99</v>
      </c>
      <c r="F90" s="15">
        <v>2021</v>
      </c>
      <c r="G90" s="15">
        <v>2021</v>
      </c>
      <c r="H90" s="15">
        <v>10</v>
      </c>
      <c r="I90" s="15" t="s">
        <v>3603</v>
      </c>
      <c r="J90" s="350">
        <v>3500000</v>
      </c>
      <c r="K90" s="15" t="s">
        <v>3091</v>
      </c>
      <c r="L90" s="15" t="s">
        <v>3604</v>
      </c>
      <c r="M90" s="15" t="s">
        <v>3222</v>
      </c>
      <c r="N90" s="15" t="s">
        <v>3223</v>
      </c>
      <c r="O90" s="15" t="s">
        <v>3215</v>
      </c>
      <c r="P90" s="15" t="s">
        <v>3216</v>
      </c>
      <c r="Q90" s="15">
        <v>6682237</v>
      </c>
      <c r="R90" s="15" t="s">
        <v>13</v>
      </c>
      <c r="S90" s="334" t="s">
        <v>1736</v>
      </c>
      <c r="T90" s="608">
        <f t="shared" si="12"/>
        <v>3500000</v>
      </c>
      <c r="U90" s="15" t="s">
        <v>160</v>
      </c>
      <c r="V90" s="15"/>
      <c r="W90" s="15"/>
      <c r="X90" s="15" t="s">
        <v>3217</v>
      </c>
      <c r="Y90" s="15" t="s">
        <v>3216</v>
      </c>
      <c r="Z90" s="15">
        <v>8140</v>
      </c>
      <c r="AA90" s="333" t="s">
        <v>3291</v>
      </c>
      <c r="AB90" s="15">
        <v>6680618</v>
      </c>
      <c r="AC90" s="15" t="s">
        <v>1737</v>
      </c>
      <c r="AD90" s="15" t="s">
        <v>24</v>
      </c>
      <c r="AE90" s="583">
        <f>T90</f>
        <v>3500000</v>
      </c>
      <c r="AF90" s="15" t="s">
        <v>160</v>
      </c>
      <c r="AG90" s="15"/>
      <c r="AH90" s="15"/>
      <c r="AI90" s="15" t="s">
        <v>3224</v>
      </c>
      <c r="AJ90" s="15" t="s">
        <v>3216</v>
      </c>
      <c r="AK90" s="15">
        <v>6680627</v>
      </c>
      <c r="AL90" s="341" t="s">
        <v>1912</v>
      </c>
      <c r="AM90" s="14" t="s">
        <v>95</v>
      </c>
      <c r="AN90" s="622">
        <f>T90</f>
        <v>3500000</v>
      </c>
      <c r="AO90" s="15" t="s">
        <v>160</v>
      </c>
      <c r="AP90" s="15"/>
      <c r="AQ90" s="15"/>
      <c r="AR90" s="15" t="s">
        <v>3224</v>
      </c>
      <c r="AS90" s="15" t="s">
        <v>3216</v>
      </c>
      <c r="AT90" s="23"/>
      <c r="AU90" s="23"/>
      <c r="AV90" s="23"/>
      <c r="AW90" s="534"/>
      <c r="AX90" s="23"/>
      <c r="AY90" s="23"/>
      <c r="AZ90" s="23"/>
      <c r="BA90" s="23"/>
      <c r="BB90" s="23"/>
      <c r="BC90" s="23"/>
      <c r="BD90" s="23"/>
      <c r="BE90" s="534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348" t="s">
        <v>3190</v>
      </c>
      <c r="BR90" s="348" t="s">
        <v>3191</v>
      </c>
      <c r="BS90" s="23"/>
      <c r="BT90" s="14"/>
      <c r="BU90" s="23"/>
      <c r="BV90" s="23"/>
      <c r="BW90" s="23"/>
      <c r="BX90" s="14"/>
      <c r="BY90" s="23"/>
      <c r="BZ90" s="23"/>
      <c r="CA90" s="23"/>
      <c r="CB90" s="23"/>
      <c r="CC90" s="23"/>
      <c r="CD90" s="23"/>
      <c r="CE90" s="23"/>
      <c r="CF90" s="23"/>
      <c r="CG90" s="23" t="s">
        <v>3605</v>
      </c>
      <c r="CH90" s="23" t="s">
        <v>942</v>
      </c>
      <c r="CI90" s="471" t="s">
        <v>942</v>
      </c>
      <c r="CJ90" s="23"/>
    </row>
    <row r="91" spans="1:88" s="554" customFormat="1" ht="37.5" customHeight="1">
      <c r="A91" s="15">
        <v>31</v>
      </c>
      <c r="B91" s="349" t="s">
        <v>3415</v>
      </c>
      <c r="C91" s="348" t="s">
        <v>3606</v>
      </c>
      <c r="D91" s="331" t="s">
        <v>3607</v>
      </c>
      <c r="E91" s="15" t="s">
        <v>99</v>
      </c>
      <c r="F91" s="15">
        <v>2021</v>
      </c>
      <c r="G91" s="15">
        <v>2021</v>
      </c>
      <c r="H91" s="15">
        <v>8</v>
      </c>
      <c r="I91" s="15" t="s">
        <v>3476</v>
      </c>
      <c r="J91" s="350">
        <v>3000000</v>
      </c>
      <c r="K91" s="15" t="s">
        <v>3091</v>
      </c>
      <c r="L91" s="15" t="s">
        <v>942</v>
      </c>
      <c r="M91" s="15" t="s">
        <v>3222</v>
      </c>
      <c r="N91" s="15" t="s">
        <v>3223</v>
      </c>
      <c r="O91" s="15" t="s">
        <v>3215</v>
      </c>
      <c r="P91" s="15" t="s">
        <v>3216</v>
      </c>
      <c r="Q91" s="15">
        <v>6665306</v>
      </c>
      <c r="R91" s="15" t="s">
        <v>28</v>
      </c>
      <c r="S91" s="334" t="s">
        <v>1727</v>
      </c>
      <c r="T91" s="608">
        <f t="shared" si="12"/>
        <v>3000000</v>
      </c>
      <c r="U91" s="15" t="s">
        <v>166</v>
      </c>
      <c r="V91" s="15"/>
      <c r="W91" s="15"/>
      <c r="X91" s="15" t="s">
        <v>3217</v>
      </c>
      <c r="Y91" s="15" t="s">
        <v>3216</v>
      </c>
      <c r="Z91" s="15">
        <v>8140</v>
      </c>
      <c r="AA91" s="333" t="s">
        <v>3291</v>
      </c>
      <c r="AB91" s="15">
        <v>6680648</v>
      </c>
      <c r="AC91" s="15" t="s">
        <v>1036</v>
      </c>
      <c r="AD91" s="15" t="s">
        <v>17</v>
      </c>
      <c r="AE91" s="583">
        <f>T91</f>
        <v>3000000</v>
      </c>
      <c r="AF91" s="15" t="s">
        <v>166</v>
      </c>
      <c r="AG91" s="15"/>
      <c r="AH91" s="15"/>
      <c r="AI91" s="15" t="s">
        <v>3217</v>
      </c>
      <c r="AJ91" s="15" t="s">
        <v>3216</v>
      </c>
      <c r="AK91" s="15">
        <v>6744406</v>
      </c>
      <c r="AL91" s="341" t="s">
        <v>985</v>
      </c>
      <c r="AM91" s="15" t="s">
        <v>352</v>
      </c>
      <c r="AN91" s="622">
        <f>T91</f>
        <v>3000000</v>
      </c>
      <c r="AO91" s="15" t="s">
        <v>166</v>
      </c>
      <c r="AP91" s="15"/>
      <c r="AQ91" s="15"/>
      <c r="AR91" s="15" t="s">
        <v>3217</v>
      </c>
      <c r="AS91" s="15" t="s">
        <v>3216</v>
      </c>
      <c r="AT91" s="23"/>
      <c r="AU91" s="23"/>
      <c r="AV91" s="23"/>
      <c r="AW91" s="534"/>
      <c r="AX91" s="23"/>
      <c r="AY91" s="23"/>
      <c r="AZ91" s="23"/>
      <c r="BA91" s="23"/>
      <c r="BB91" s="23"/>
      <c r="BC91" s="23"/>
      <c r="BD91" s="23"/>
      <c r="BE91" s="534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348" t="s">
        <v>3190</v>
      </c>
      <c r="BR91" s="348" t="s">
        <v>3191</v>
      </c>
      <c r="BS91" s="23"/>
      <c r="BT91" s="14"/>
      <c r="BU91" s="23"/>
      <c r="BV91" s="23"/>
      <c r="BW91" s="23"/>
      <c r="BX91" s="14"/>
      <c r="BY91" s="23"/>
      <c r="BZ91" s="23"/>
      <c r="CA91" s="23"/>
      <c r="CB91" s="23"/>
      <c r="CC91" s="23"/>
      <c r="CD91" s="23"/>
      <c r="CE91" s="23"/>
      <c r="CF91" s="23"/>
      <c r="CG91" s="23" t="s">
        <v>3608</v>
      </c>
      <c r="CH91" s="23" t="s">
        <v>3609</v>
      </c>
      <c r="CI91" s="471" t="s">
        <v>942</v>
      </c>
      <c r="CJ91" s="23"/>
    </row>
    <row r="92" spans="1:88" s="4" customFormat="1" ht="48" customHeight="1">
      <c r="A92" s="15">
        <v>32</v>
      </c>
      <c r="B92" s="349" t="s">
        <v>3415</v>
      </c>
      <c r="C92" s="348" t="s">
        <v>3610</v>
      </c>
      <c r="D92" s="331" t="s">
        <v>3611</v>
      </c>
      <c r="E92" s="15" t="s">
        <v>91</v>
      </c>
      <c r="F92" s="15">
        <v>2021</v>
      </c>
      <c r="G92" s="15">
        <v>2021</v>
      </c>
      <c r="H92" s="15">
        <v>12</v>
      </c>
      <c r="I92" s="15" t="s">
        <v>3451</v>
      </c>
      <c r="J92" s="350">
        <v>16800000</v>
      </c>
      <c r="K92" s="15" t="s">
        <v>3091</v>
      </c>
      <c r="L92" s="15">
        <v>3</v>
      </c>
      <c r="M92" s="15" t="s">
        <v>3222</v>
      </c>
      <c r="N92" s="15" t="s">
        <v>3223</v>
      </c>
      <c r="O92" s="15" t="s">
        <v>3215</v>
      </c>
      <c r="P92" s="15" t="s">
        <v>3216</v>
      </c>
      <c r="Q92" s="15">
        <v>6680641</v>
      </c>
      <c r="R92" s="15" t="s">
        <v>92</v>
      </c>
      <c r="S92" s="334" t="s">
        <v>1794</v>
      </c>
      <c r="T92" s="608">
        <f t="shared" si="12"/>
        <v>16800000</v>
      </c>
      <c r="U92" s="15" t="s">
        <v>151</v>
      </c>
      <c r="V92" s="15"/>
      <c r="W92" s="15"/>
      <c r="X92" s="15" t="s">
        <v>3224</v>
      </c>
      <c r="Y92" s="15" t="s">
        <v>3216</v>
      </c>
      <c r="Z92" s="15">
        <v>8140</v>
      </c>
      <c r="AA92" s="333" t="s">
        <v>3291</v>
      </c>
      <c r="AB92" s="15">
        <v>6680678</v>
      </c>
      <c r="AC92" s="15" t="s">
        <v>1725</v>
      </c>
      <c r="AD92" s="15" t="s">
        <v>14</v>
      </c>
      <c r="AE92" s="583">
        <f>T92</f>
        <v>16800000</v>
      </c>
      <c r="AF92" s="15" t="s">
        <v>3477</v>
      </c>
      <c r="AG92" s="15"/>
      <c r="AH92" s="15"/>
      <c r="AI92" s="15" t="s">
        <v>3224</v>
      </c>
      <c r="AJ92" s="15" t="s">
        <v>3216</v>
      </c>
      <c r="AK92" s="15"/>
      <c r="AL92" s="341"/>
      <c r="AM92" s="15"/>
      <c r="AN92" s="622"/>
      <c r="AO92" s="15"/>
      <c r="AP92" s="15"/>
      <c r="AQ92" s="15"/>
      <c r="AR92" s="15"/>
      <c r="AS92" s="15"/>
      <c r="AT92" s="23"/>
      <c r="AU92" s="23"/>
      <c r="AV92" s="23"/>
      <c r="AW92" s="534"/>
      <c r="AX92" s="23"/>
      <c r="AY92" s="23"/>
      <c r="AZ92" s="23"/>
      <c r="BA92" s="23"/>
      <c r="BB92" s="23"/>
      <c r="BC92" s="23"/>
      <c r="BD92" s="23"/>
      <c r="BE92" s="534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348" t="s">
        <v>3190</v>
      </c>
      <c r="BR92" s="348" t="s">
        <v>3191</v>
      </c>
      <c r="BS92" s="23" t="s">
        <v>550</v>
      </c>
      <c r="BT92" s="14" t="s">
        <v>3482</v>
      </c>
      <c r="BU92" s="23" t="s">
        <v>3612</v>
      </c>
      <c r="BV92" s="14" t="s">
        <v>3482</v>
      </c>
      <c r="BW92" s="23"/>
      <c r="BX92" s="14"/>
      <c r="BY92" s="23"/>
      <c r="BZ92" s="23"/>
      <c r="CA92" s="23"/>
      <c r="CB92" s="23"/>
      <c r="CC92" s="23"/>
      <c r="CD92" s="23"/>
      <c r="CE92" s="23"/>
      <c r="CF92" s="23"/>
      <c r="CG92" s="23" t="s">
        <v>3613</v>
      </c>
      <c r="CH92" s="23" t="s">
        <v>3419</v>
      </c>
      <c r="CI92" s="471" t="s">
        <v>3614</v>
      </c>
      <c r="CJ92" s="23"/>
    </row>
    <row r="93" spans="1:88" s="4" customFormat="1" ht="36" customHeight="1">
      <c r="A93" s="15">
        <v>33</v>
      </c>
      <c r="B93" s="349" t="s">
        <v>3615</v>
      </c>
      <c r="C93" s="15" t="s">
        <v>942</v>
      </c>
      <c r="D93" s="331" t="s">
        <v>3616</v>
      </c>
      <c r="E93" s="15" t="s">
        <v>72</v>
      </c>
      <c r="F93" s="15">
        <v>2021</v>
      </c>
      <c r="G93" s="15">
        <v>2021</v>
      </c>
      <c r="H93" s="15">
        <v>6</v>
      </c>
      <c r="I93" s="15" t="s">
        <v>3476</v>
      </c>
      <c r="J93" s="350">
        <v>0</v>
      </c>
      <c r="K93" s="15" t="s">
        <v>3091</v>
      </c>
      <c r="L93" s="15">
        <v>2</v>
      </c>
      <c r="M93" s="15" t="s">
        <v>3617</v>
      </c>
      <c r="N93" s="15" t="s">
        <v>3223</v>
      </c>
      <c r="O93" s="15" t="s">
        <v>3215</v>
      </c>
      <c r="P93" s="15" t="s">
        <v>3216</v>
      </c>
      <c r="Q93" s="15">
        <v>6680612</v>
      </c>
      <c r="R93" s="15" t="s">
        <v>19</v>
      </c>
      <c r="S93" s="334" t="s">
        <v>960</v>
      </c>
      <c r="T93" s="608">
        <f t="shared" si="12"/>
        <v>0</v>
      </c>
      <c r="U93" s="15" t="s">
        <v>155</v>
      </c>
      <c r="V93" s="15"/>
      <c r="W93" s="15"/>
      <c r="X93" s="15" t="s">
        <v>3224</v>
      </c>
      <c r="Y93" s="15" t="s">
        <v>3216</v>
      </c>
      <c r="Z93" s="15">
        <v>8140</v>
      </c>
      <c r="AA93" s="333" t="s">
        <v>3291</v>
      </c>
      <c r="AB93" s="15"/>
      <c r="AC93" s="15"/>
      <c r="AD93" s="15"/>
      <c r="AE93" s="583"/>
      <c r="AF93" s="15"/>
      <c r="AG93" s="15"/>
      <c r="AH93" s="15"/>
      <c r="AI93" s="15"/>
      <c r="AJ93" s="15"/>
      <c r="AK93" s="15"/>
      <c r="AL93" s="341"/>
      <c r="AM93" s="15"/>
      <c r="AN93" s="622"/>
      <c r="AO93" s="15"/>
      <c r="AP93" s="15"/>
      <c r="AQ93" s="15"/>
      <c r="AR93" s="15"/>
      <c r="AS93" s="15"/>
      <c r="AT93" s="23"/>
      <c r="AU93" s="23"/>
      <c r="AV93" s="23"/>
      <c r="AW93" s="534"/>
      <c r="AX93" s="23"/>
      <c r="AY93" s="23"/>
      <c r="AZ93" s="23"/>
      <c r="BA93" s="23"/>
      <c r="BB93" s="23"/>
      <c r="BC93" s="23"/>
      <c r="BD93" s="23"/>
      <c r="BE93" s="534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15" t="s">
        <v>3190</v>
      </c>
      <c r="BR93" s="348" t="s">
        <v>3191</v>
      </c>
      <c r="BS93" s="23" t="s">
        <v>3478</v>
      </c>
      <c r="BT93" s="14" t="s">
        <v>3487</v>
      </c>
      <c r="BU93" s="23" t="s">
        <v>489</v>
      </c>
      <c r="BV93" s="14" t="s">
        <v>3487</v>
      </c>
      <c r="BW93" s="23"/>
      <c r="BX93" s="14"/>
      <c r="BY93" s="23"/>
      <c r="BZ93" s="23"/>
      <c r="CA93" s="23"/>
      <c r="CB93" s="23"/>
      <c r="CC93" s="23"/>
      <c r="CD93" s="23"/>
      <c r="CE93" s="23"/>
      <c r="CF93" s="23"/>
      <c r="CG93" s="23" t="s">
        <v>3282</v>
      </c>
      <c r="CH93" s="23" t="s">
        <v>3419</v>
      </c>
      <c r="CI93" s="471" t="s">
        <v>942</v>
      </c>
      <c r="CJ93" s="23"/>
    </row>
    <row r="94" spans="1:88" s="554" customFormat="1" ht="72" customHeight="1">
      <c r="A94" s="15">
        <v>34</v>
      </c>
      <c r="B94" s="349" t="s">
        <v>3615</v>
      </c>
      <c r="C94" s="15" t="s">
        <v>942</v>
      </c>
      <c r="D94" s="331" t="s">
        <v>3618</v>
      </c>
      <c r="E94" s="15" t="s">
        <v>72</v>
      </c>
      <c r="F94" s="15">
        <v>2021</v>
      </c>
      <c r="G94" s="15">
        <v>2021</v>
      </c>
      <c r="H94" s="15">
        <v>6</v>
      </c>
      <c r="I94" s="15" t="s">
        <v>3214</v>
      </c>
      <c r="J94" s="350">
        <v>0</v>
      </c>
      <c r="K94" s="15" t="s">
        <v>3091</v>
      </c>
      <c r="L94" s="15">
        <v>3</v>
      </c>
      <c r="M94" s="15" t="s">
        <v>3617</v>
      </c>
      <c r="N94" s="15" t="s">
        <v>3223</v>
      </c>
      <c r="O94" s="15" t="s">
        <v>3215</v>
      </c>
      <c r="P94" s="15" t="s">
        <v>3216</v>
      </c>
      <c r="Q94" s="15">
        <v>6680631</v>
      </c>
      <c r="R94" s="15" t="s">
        <v>77</v>
      </c>
      <c r="S94" s="334" t="s">
        <v>1770</v>
      </c>
      <c r="T94" s="608">
        <f t="shared" si="12"/>
        <v>0</v>
      </c>
      <c r="U94" s="15" t="s">
        <v>155</v>
      </c>
      <c r="V94" s="15"/>
      <c r="W94" s="15"/>
      <c r="X94" s="15" t="s">
        <v>3224</v>
      </c>
      <c r="Y94" s="15" t="s">
        <v>3216</v>
      </c>
      <c r="Z94" s="15">
        <v>8140</v>
      </c>
      <c r="AA94" s="333" t="s">
        <v>3291</v>
      </c>
      <c r="AB94" s="15">
        <v>6680648</v>
      </c>
      <c r="AC94" s="15" t="s">
        <v>1036</v>
      </c>
      <c r="AD94" s="15" t="s">
        <v>17</v>
      </c>
      <c r="AE94" s="583">
        <f>T94</f>
        <v>0</v>
      </c>
      <c r="AF94" s="15" t="s">
        <v>166</v>
      </c>
      <c r="AG94" s="15"/>
      <c r="AH94" s="15"/>
      <c r="AI94" s="15" t="s">
        <v>3217</v>
      </c>
      <c r="AJ94" s="15" t="s">
        <v>3216</v>
      </c>
      <c r="AK94" s="15">
        <v>6718390</v>
      </c>
      <c r="AL94" s="334" t="s">
        <v>3619</v>
      </c>
      <c r="AM94" s="15" t="s">
        <v>1175</v>
      </c>
      <c r="AN94" s="622">
        <f t="shared" ref="AN94:AN101" si="13">T94</f>
        <v>0</v>
      </c>
      <c r="AO94" s="15" t="s">
        <v>3620</v>
      </c>
      <c r="AP94" s="15"/>
      <c r="AQ94" s="15"/>
      <c r="AR94" s="15" t="s">
        <v>3621</v>
      </c>
      <c r="AS94" s="15" t="s">
        <v>207</v>
      </c>
      <c r="AT94" s="23">
        <v>5999348</v>
      </c>
      <c r="AU94" s="617" t="s">
        <v>3622</v>
      </c>
      <c r="AV94" s="23" t="s">
        <v>1191</v>
      </c>
      <c r="AW94" s="534">
        <f>T94</f>
        <v>0</v>
      </c>
      <c r="AX94" s="23" t="s">
        <v>3623</v>
      </c>
      <c r="AY94" s="23"/>
      <c r="AZ94" s="23" t="s">
        <v>3624</v>
      </c>
      <c r="BA94" s="23" t="s">
        <v>3625</v>
      </c>
      <c r="BB94" s="23"/>
      <c r="BC94" s="23"/>
      <c r="BD94" s="23"/>
      <c r="BE94" s="534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348" t="s">
        <v>3190</v>
      </c>
      <c r="BR94" s="348" t="s">
        <v>3191</v>
      </c>
      <c r="BS94" s="23" t="s">
        <v>3626</v>
      </c>
      <c r="BT94" s="14"/>
      <c r="BU94" s="23" t="s">
        <v>3064</v>
      </c>
      <c r="BV94" s="14" t="s">
        <v>3487</v>
      </c>
      <c r="BW94" s="23"/>
      <c r="BX94" s="14"/>
      <c r="BY94" s="23"/>
      <c r="BZ94" s="23"/>
      <c r="CA94" s="23"/>
      <c r="CB94" s="23"/>
      <c r="CC94" s="23"/>
      <c r="CD94" s="23"/>
      <c r="CE94" s="23"/>
      <c r="CF94" s="23"/>
      <c r="CG94" s="23" t="s">
        <v>3627</v>
      </c>
      <c r="CH94" s="23" t="s">
        <v>3442</v>
      </c>
      <c r="CI94" s="471" t="s">
        <v>3628</v>
      </c>
      <c r="CJ94" s="23" t="s">
        <v>3419</v>
      </c>
    </row>
    <row r="95" spans="1:88" s="4" customFormat="1" ht="48" customHeight="1">
      <c r="A95" s="15">
        <v>35</v>
      </c>
      <c r="B95" s="349" t="s">
        <v>3615</v>
      </c>
      <c r="C95" s="15" t="s">
        <v>942</v>
      </c>
      <c r="D95" s="331" t="s">
        <v>3629</v>
      </c>
      <c r="E95" s="15" t="s">
        <v>72</v>
      </c>
      <c r="F95" s="15">
        <v>2021</v>
      </c>
      <c r="G95" s="15">
        <v>2021</v>
      </c>
      <c r="H95" s="15">
        <v>12</v>
      </c>
      <c r="I95" s="15" t="s">
        <v>3516</v>
      </c>
      <c r="J95" s="350">
        <v>0</v>
      </c>
      <c r="K95" s="15" t="s">
        <v>3091</v>
      </c>
      <c r="L95" s="15">
        <v>3</v>
      </c>
      <c r="M95" s="15" t="s">
        <v>3617</v>
      </c>
      <c r="N95" s="15" t="s">
        <v>3223</v>
      </c>
      <c r="O95" s="15" t="s">
        <v>3215</v>
      </c>
      <c r="P95" s="15" t="s">
        <v>3216</v>
      </c>
      <c r="Q95" s="15">
        <v>6680629</v>
      </c>
      <c r="R95" s="15" t="s">
        <v>27</v>
      </c>
      <c r="S95" s="334" t="s">
        <v>2424</v>
      </c>
      <c r="T95" s="608">
        <f t="shared" si="12"/>
        <v>0</v>
      </c>
      <c r="U95" s="15" t="s">
        <v>151</v>
      </c>
      <c r="V95" s="15"/>
      <c r="W95" s="15"/>
      <c r="X95" s="15" t="s">
        <v>3224</v>
      </c>
      <c r="Y95" s="15" t="s">
        <v>3216</v>
      </c>
      <c r="Z95" s="15">
        <v>8140</v>
      </c>
      <c r="AA95" s="333" t="s">
        <v>3291</v>
      </c>
      <c r="AB95" s="15"/>
      <c r="AC95" s="15"/>
      <c r="AD95" s="15"/>
      <c r="AE95" s="583"/>
      <c r="AF95" s="15"/>
      <c r="AG95" s="15"/>
      <c r="AH95" s="15"/>
      <c r="AI95" s="15"/>
      <c r="AJ95" s="15"/>
      <c r="AK95" s="15">
        <v>6680633</v>
      </c>
      <c r="AL95" s="334" t="s">
        <v>3322</v>
      </c>
      <c r="AM95" s="15" t="s">
        <v>18</v>
      </c>
      <c r="AN95" s="622">
        <f t="shared" si="13"/>
        <v>0</v>
      </c>
      <c r="AO95" s="15" t="s">
        <v>156</v>
      </c>
      <c r="AP95" s="15" t="s">
        <v>166</v>
      </c>
      <c r="AQ95" s="15"/>
      <c r="AR95" s="15" t="s">
        <v>3217</v>
      </c>
      <c r="AS95" s="15" t="s">
        <v>3216</v>
      </c>
      <c r="AT95" s="23"/>
      <c r="AU95" s="23"/>
      <c r="AV95" s="23"/>
      <c r="AW95" s="534"/>
      <c r="AX95" s="23"/>
      <c r="AY95" s="23"/>
      <c r="AZ95" s="23"/>
      <c r="BA95" s="23"/>
      <c r="BB95" s="23"/>
      <c r="BC95" s="23"/>
      <c r="BD95" s="23"/>
      <c r="BE95" s="534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348" t="s">
        <v>3190</v>
      </c>
      <c r="BR95" s="15" t="s">
        <v>3191</v>
      </c>
      <c r="BS95" s="23" t="s">
        <v>3630</v>
      </c>
      <c r="BT95" s="14"/>
      <c r="BU95" s="23" t="s">
        <v>3631</v>
      </c>
      <c r="BV95" s="23"/>
      <c r="BW95" s="23"/>
      <c r="BX95" s="14"/>
      <c r="BY95" s="23"/>
      <c r="BZ95" s="23"/>
      <c r="CA95" s="23"/>
      <c r="CB95" s="23"/>
      <c r="CC95" s="23"/>
      <c r="CD95" s="23"/>
      <c r="CE95" s="23"/>
      <c r="CF95" s="23"/>
      <c r="CG95" s="23" t="s">
        <v>3251</v>
      </c>
      <c r="CH95" s="23" t="s">
        <v>942</v>
      </c>
      <c r="CI95" s="471" t="s">
        <v>942</v>
      </c>
      <c r="CJ95" s="23"/>
    </row>
    <row r="96" spans="1:88" s="554" customFormat="1" ht="48" customHeight="1">
      <c r="A96" s="15">
        <v>36</v>
      </c>
      <c r="B96" s="349" t="s">
        <v>3615</v>
      </c>
      <c r="C96" s="15" t="s">
        <v>942</v>
      </c>
      <c r="D96" s="331" t="s">
        <v>3632</v>
      </c>
      <c r="E96" s="15" t="s">
        <v>72</v>
      </c>
      <c r="F96" s="15">
        <v>2021</v>
      </c>
      <c r="G96" s="15">
        <v>2021</v>
      </c>
      <c r="H96" s="15">
        <v>6</v>
      </c>
      <c r="I96" s="15" t="s">
        <v>3214</v>
      </c>
      <c r="J96" s="350">
        <v>0</v>
      </c>
      <c r="K96" s="15" t="s">
        <v>3091</v>
      </c>
      <c r="L96" s="15">
        <v>3</v>
      </c>
      <c r="M96" s="15" t="s">
        <v>3617</v>
      </c>
      <c r="N96" s="15" t="s">
        <v>3223</v>
      </c>
      <c r="O96" s="15" t="s">
        <v>3215</v>
      </c>
      <c r="P96" s="15" t="s">
        <v>3216</v>
      </c>
      <c r="Q96" s="15">
        <v>6680645</v>
      </c>
      <c r="R96" s="15" t="s">
        <v>83</v>
      </c>
      <c r="S96" s="334" t="s">
        <v>2849</v>
      </c>
      <c r="T96" s="608">
        <f t="shared" si="12"/>
        <v>0</v>
      </c>
      <c r="U96" s="15" t="s">
        <v>154</v>
      </c>
      <c r="V96" s="15"/>
      <c r="W96" s="15"/>
      <c r="X96" s="15" t="s">
        <v>3224</v>
      </c>
      <c r="Y96" s="15" t="s">
        <v>3216</v>
      </c>
      <c r="Z96" s="15">
        <v>8140</v>
      </c>
      <c r="AA96" s="333" t="s">
        <v>3291</v>
      </c>
      <c r="AB96" s="15">
        <v>6805206</v>
      </c>
      <c r="AC96" s="15">
        <v>8920230021</v>
      </c>
      <c r="AD96" s="15" t="s">
        <v>73</v>
      </c>
      <c r="AE96" s="583">
        <f>T96</f>
        <v>0</v>
      </c>
      <c r="AF96" s="15" t="s">
        <v>166</v>
      </c>
      <c r="AG96" s="15"/>
      <c r="AH96" s="15"/>
      <c r="AI96" s="15" t="s">
        <v>3217</v>
      </c>
      <c r="AJ96" s="15" t="s">
        <v>3216</v>
      </c>
      <c r="AK96" s="15">
        <v>6680678</v>
      </c>
      <c r="AL96" s="341" t="s">
        <v>1725</v>
      </c>
      <c r="AM96" s="15" t="s">
        <v>14</v>
      </c>
      <c r="AN96" s="622">
        <f t="shared" si="13"/>
        <v>0</v>
      </c>
      <c r="AO96" s="15" t="s">
        <v>3477</v>
      </c>
      <c r="AP96" s="15"/>
      <c r="AQ96" s="15"/>
      <c r="AR96" s="15" t="s">
        <v>3224</v>
      </c>
      <c r="AS96" s="15" t="s">
        <v>3216</v>
      </c>
      <c r="AT96" s="23"/>
      <c r="AU96" s="23"/>
      <c r="AV96" s="23"/>
      <c r="AW96" s="534"/>
      <c r="AX96" s="23"/>
      <c r="AY96" s="23"/>
      <c r="AZ96" s="23"/>
      <c r="BA96" s="23"/>
      <c r="BB96" s="23"/>
      <c r="BC96" s="23"/>
      <c r="BD96" s="23"/>
      <c r="BE96" s="534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348" t="s">
        <v>3190</v>
      </c>
      <c r="BR96" s="348" t="s">
        <v>3191</v>
      </c>
      <c r="BS96" s="23" t="s">
        <v>3633</v>
      </c>
      <c r="BT96" s="14"/>
      <c r="BU96" s="23" t="s">
        <v>2850</v>
      </c>
      <c r="BV96" s="23"/>
      <c r="BW96" s="23"/>
      <c r="BX96" s="14"/>
      <c r="BY96" s="23"/>
      <c r="BZ96" s="23"/>
      <c r="CA96" s="23"/>
      <c r="CB96" s="23"/>
      <c r="CC96" s="23"/>
      <c r="CD96" s="23"/>
      <c r="CE96" s="23"/>
      <c r="CF96" s="23"/>
      <c r="CG96" s="23" t="s">
        <v>3634</v>
      </c>
      <c r="CH96" s="23" t="s">
        <v>942</v>
      </c>
      <c r="CI96" s="471" t="s">
        <v>942</v>
      </c>
      <c r="CJ96" s="23"/>
    </row>
    <row r="97" spans="1:88" s="554" customFormat="1" ht="60" customHeight="1">
      <c r="A97" s="15">
        <v>37</v>
      </c>
      <c r="B97" s="349" t="s">
        <v>3615</v>
      </c>
      <c r="C97" s="15" t="s">
        <v>942</v>
      </c>
      <c r="D97" s="331" t="s">
        <v>3635</v>
      </c>
      <c r="E97" s="15" t="s">
        <v>72</v>
      </c>
      <c r="F97" s="15">
        <v>2021</v>
      </c>
      <c r="G97" s="15">
        <v>2021</v>
      </c>
      <c r="H97" s="15">
        <v>12</v>
      </c>
      <c r="I97" s="15" t="s">
        <v>3307</v>
      </c>
      <c r="J97" s="350">
        <v>0</v>
      </c>
      <c r="K97" s="15" t="s">
        <v>3091</v>
      </c>
      <c r="L97" s="15">
        <v>3</v>
      </c>
      <c r="M97" s="15" t="s">
        <v>3617</v>
      </c>
      <c r="N97" s="15" t="s">
        <v>3223</v>
      </c>
      <c r="O97" s="15" t="s">
        <v>3215</v>
      </c>
      <c r="P97" s="15" t="s">
        <v>3216</v>
      </c>
      <c r="Q97" s="15">
        <v>6680622</v>
      </c>
      <c r="R97" s="15" t="s">
        <v>3574</v>
      </c>
      <c r="S97" s="334" t="s">
        <v>983</v>
      </c>
      <c r="T97" s="608">
        <f t="shared" si="12"/>
        <v>0</v>
      </c>
      <c r="U97" s="15" t="s">
        <v>164</v>
      </c>
      <c r="V97" s="15"/>
      <c r="W97" s="15"/>
      <c r="X97" s="15" t="s">
        <v>3217</v>
      </c>
      <c r="Y97" s="15" t="s">
        <v>3216</v>
      </c>
      <c r="Z97" s="15">
        <v>8140</v>
      </c>
      <c r="AA97" s="333" t="s">
        <v>3291</v>
      </c>
      <c r="AB97" s="15">
        <v>6680623</v>
      </c>
      <c r="AC97" s="15" t="s">
        <v>1841</v>
      </c>
      <c r="AD97" s="15" t="s">
        <v>30</v>
      </c>
      <c r="AE97" s="583">
        <f>T97</f>
        <v>0</v>
      </c>
      <c r="AF97" s="15" t="s">
        <v>166</v>
      </c>
      <c r="AG97" s="15"/>
      <c r="AH97" s="15"/>
      <c r="AI97" s="15" t="s">
        <v>3217</v>
      </c>
      <c r="AJ97" s="15" t="s">
        <v>3216</v>
      </c>
      <c r="AK97" s="15">
        <v>259781</v>
      </c>
      <c r="AL97" s="341" t="s">
        <v>982</v>
      </c>
      <c r="AM97" s="15" t="s">
        <v>26</v>
      </c>
      <c r="AN97" s="622">
        <f t="shared" si="13"/>
        <v>0</v>
      </c>
      <c r="AO97" s="15" t="s">
        <v>164</v>
      </c>
      <c r="AP97" s="15" t="s">
        <v>166</v>
      </c>
      <c r="AQ97" s="15"/>
      <c r="AR97" s="15" t="s">
        <v>3217</v>
      </c>
      <c r="AS97" s="15" t="s">
        <v>3216</v>
      </c>
      <c r="AT97" s="23"/>
      <c r="AU97" s="23"/>
      <c r="AV97" s="23"/>
      <c r="AW97" s="534"/>
      <c r="AX97" s="23"/>
      <c r="AY97" s="23"/>
      <c r="AZ97" s="23"/>
      <c r="BA97" s="23"/>
      <c r="BB97" s="23"/>
      <c r="BC97" s="23"/>
      <c r="BD97" s="23"/>
      <c r="BE97" s="534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348" t="s">
        <v>3190</v>
      </c>
      <c r="BR97" s="348" t="s">
        <v>3191</v>
      </c>
      <c r="BS97" s="23" t="s">
        <v>3636</v>
      </c>
      <c r="BT97" s="14"/>
      <c r="BU97" s="23" t="s">
        <v>3637</v>
      </c>
      <c r="BV97" s="23"/>
      <c r="BW97" s="23"/>
      <c r="BX97" s="14"/>
      <c r="BY97" s="23"/>
      <c r="BZ97" s="23"/>
      <c r="CA97" s="23"/>
      <c r="CB97" s="23"/>
      <c r="CC97" s="23"/>
      <c r="CD97" s="23"/>
      <c r="CE97" s="23"/>
      <c r="CF97" s="23"/>
      <c r="CG97" s="23" t="s">
        <v>3061</v>
      </c>
      <c r="CH97" s="23" t="s">
        <v>3442</v>
      </c>
      <c r="CI97" s="471" t="s">
        <v>3638</v>
      </c>
      <c r="CJ97" s="23" t="s">
        <v>3442</v>
      </c>
    </row>
    <row r="98" spans="1:88" s="4" customFormat="1" ht="48" customHeight="1">
      <c r="A98" s="15">
        <v>38</v>
      </c>
      <c r="B98" s="349" t="s">
        <v>3615</v>
      </c>
      <c r="C98" s="15" t="s">
        <v>942</v>
      </c>
      <c r="D98" s="331" t="s">
        <v>3639</v>
      </c>
      <c r="E98" s="15" t="s">
        <v>72</v>
      </c>
      <c r="F98" s="15">
        <v>2021</v>
      </c>
      <c r="G98" s="15">
        <v>2021</v>
      </c>
      <c r="H98" s="15">
        <v>6</v>
      </c>
      <c r="I98" s="15" t="s">
        <v>3603</v>
      </c>
      <c r="J98" s="350">
        <v>0</v>
      </c>
      <c r="K98" s="15" t="s">
        <v>3091</v>
      </c>
      <c r="L98" s="15" t="s">
        <v>3640</v>
      </c>
      <c r="M98" s="15" t="s">
        <v>3617</v>
      </c>
      <c r="N98" s="15" t="s">
        <v>3223</v>
      </c>
      <c r="O98" s="15" t="s">
        <v>3215</v>
      </c>
      <c r="P98" s="15" t="s">
        <v>3216</v>
      </c>
      <c r="Q98" s="15">
        <v>6805206</v>
      </c>
      <c r="R98" s="15" t="s">
        <v>73</v>
      </c>
      <c r="S98" s="342">
        <v>8920230021</v>
      </c>
      <c r="T98" s="608">
        <f t="shared" si="12"/>
        <v>0</v>
      </c>
      <c r="U98" s="15" t="s">
        <v>164</v>
      </c>
      <c r="V98" s="15"/>
      <c r="W98" s="15"/>
      <c r="X98" s="15" t="s">
        <v>3217</v>
      </c>
      <c r="Y98" s="15" t="s">
        <v>3216</v>
      </c>
      <c r="Z98" s="15">
        <v>8140</v>
      </c>
      <c r="AA98" s="333" t="s">
        <v>3291</v>
      </c>
      <c r="AB98" s="15">
        <v>6805479</v>
      </c>
      <c r="AC98" s="15" t="s">
        <v>3641</v>
      </c>
      <c r="AD98" s="15" t="s">
        <v>3098</v>
      </c>
      <c r="AE98" s="583">
        <f>T98</f>
        <v>0</v>
      </c>
      <c r="AF98" s="15"/>
      <c r="AG98" s="15"/>
      <c r="AH98" s="15"/>
      <c r="AI98" s="15"/>
      <c r="AJ98" s="15"/>
      <c r="AK98" s="15">
        <v>6680726</v>
      </c>
      <c r="AL98" s="341" t="s">
        <v>943</v>
      </c>
      <c r="AM98" s="15" t="s">
        <v>93</v>
      </c>
      <c r="AN98" s="622">
        <f t="shared" si="13"/>
        <v>0</v>
      </c>
      <c r="AO98" s="15" t="s">
        <v>156</v>
      </c>
      <c r="AP98" s="15"/>
      <c r="AQ98" s="15"/>
      <c r="AR98" s="15" t="s">
        <v>3224</v>
      </c>
      <c r="AS98" s="15" t="s">
        <v>3216</v>
      </c>
      <c r="AT98" s="23"/>
      <c r="AU98" s="23"/>
      <c r="AV98" s="23"/>
      <c r="AW98" s="534"/>
      <c r="AX98" s="23"/>
      <c r="AY98" s="23"/>
      <c r="AZ98" s="23"/>
      <c r="BA98" s="23"/>
      <c r="BB98" s="23"/>
      <c r="BC98" s="23"/>
      <c r="BD98" s="23"/>
      <c r="BE98" s="534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348" t="s">
        <v>3190</v>
      </c>
      <c r="BR98" s="348" t="s">
        <v>3191</v>
      </c>
      <c r="BS98" s="23" t="s">
        <v>3642</v>
      </c>
      <c r="BT98" s="14"/>
      <c r="BU98" s="23"/>
      <c r="BV98" s="23"/>
      <c r="BW98" s="23"/>
      <c r="BX98" s="14"/>
      <c r="BY98" s="23"/>
      <c r="BZ98" s="23"/>
      <c r="CA98" s="23"/>
      <c r="CB98" s="23"/>
      <c r="CC98" s="23"/>
      <c r="CD98" s="23"/>
      <c r="CE98" s="23"/>
      <c r="CF98" s="23"/>
      <c r="CG98" s="23" t="s">
        <v>3640</v>
      </c>
      <c r="CH98" s="23" t="s">
        <v>942</v>
      </c>
      <c r="CI98" s="471" t="s">
        <v>3643</v>
      </c>
      <c r="CJ98" s="23"/>
    </row>
    <row r="99" spans="1:88" s="4" customFormat="1" ht="48" customHeight="1">
      <c r="A99" s="15">
        <v>39</v>
      </c>
      <c r="B99" s="349" t="s">
        <v>3615</v>
      </c>
      <c r="C99" s="15" t="s">
        <v>942</v>
      </c>
      <c r="D99" s="331" t="s">
        <v>3644</v>
      </c>
      <c r="E99" s="15" t="s">
        <v>72</v>
      </c>
      <c r="F99" s="15">
        <v>2021</v>
      </c>
      <c r="G99" s="15">
        <v>2021</v>
      </c>
      <c r="H99" s="15">
        <v>6</v>
      </c>
      <c r="I99" s="15" t="s">
        <v>3603</v>
      </c>
      <c r="J99" s="350">
        <v>0</v>
      </c>
      <c r="K99" s="15" t="s">
        <v>3091</v>
      </c>
      <c r="L99" s="15">
        <v>3</v>
      </c>
      <c r="M99" s="15" t="s">
        <v>3617</v>
      </c>
      <c r="N99" s="15" t="s">
        <v>3223</v>
      </c>
      <c r="O99" s="15" t="s">
        <v>3215</v>
      </c>
      <c r="P99" s="15" t="s">
        <v>3216</v>
      </c>
      <c r="Q99" s="15">
        <v>6756289</v>
      </c>
      <c r="R99" s="15" t="s">
        <v>81</v>
      </c>
      <c r="S99" s="334" t="s">
        <v>1755</v>
      </c>
      <c r="T99" s="608">
        <f t="shared" si="12"/>
        <v>0</v>
      </c>
      <c r="U99" s="15" t="s">
        <v>172</v>
      </c>
      <c r="V99" s="15"/>
      <c r="W99" s="15"/>
      <c r="X99" s="15" t="s">
        <v>3224</v>
      </c>
      <c r="Y99" s="15" t="s">
        <v>3216</v>
      </c>
      <c r="Z99" s="15">
        <v>8140</v>
      </c>
      <c r="AA99" s="333" t="s">
        <v>3291</v>
      </c>
      <c r="AB99" s="15">
        <v>6778519</v>
      </c>
      <c r="AC99" s="15" t="s">
        <v>1876</v>
      </c>
      <c r="AD99" s="15" t="s">
        <v>177</v>
      </c>
      <c r="AE99" s="583">
        <f>T99</f>
        <v>0</v>
      </c>
      <c r="AF99" s="15" t="s">
        <v>172</v>
      </c>
      <c r="AG99" s="15"/>
      <c r="AH99" s="15"/>
      <c r="AI99" s="15" t="s">
        <v>3224</v>
      </c>
      <c r="AJ99" s="15" t="s">
        <v>3216</v>
      </c>
      <c r="AK99" s="15">
        <v>6784457</v>
      </c>
      <c r="AL99" s="341" t="s">
        <v>1754</v>
      </c>
      <c r="AM99" s="14" t="s">
        <v>44</v>
      </c>
      <c r="AN99" s="622">
        <f t="shared" si="13"/>
        <v>0</v>
      </c>
      <c r="AO99" s="15" t="s">
        <v>172</v>
      </c>
      <c r="AP99" s="15"/>
      <c r="AQ99" s="15"/>
      <c r="AR99" s="15" t="s">
        <v>3224</v>
      </c>
      <c r="AS99" s="15" t="s">
        <v>3216</v>
      </c>
      <c r="AT99" s="23"/>
      <c r="AU99" s="23"/>
      <c r="AV99" s="23"/>
      <c r="AW99" s="534"/>
      <c r="AX99" s="23"/>
      <c r="AY99" s="23"/>
      <c r="AZ99" s="23"/>
      <c r="BA99" s="23"/>
      <c r="BB99" s="23"/>
      <c r="BC99" s="23"/>
      <c r="BD99" s="23"/>
      <c r="BE99" s="534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348" t="s">
        <v>3190</v>
      </c>
      <c r="BR99" s="348" t="s">
        <v>3191</v>
      </c>
      <c r="BS99" s="23" t="s">
        <v>3645</v>
      </c>
      <c r="BT99" s="14"/>
      <c r="BU99" s="23" t="s">
        <v>3517</v>
      </c>
      <c r="BV99" s="23"/>
      <c r="BW99" s="23"/>
      <c r="BX99" s="14"/>
      <c r="BY99" s="23"/>
      <c r="BZ99" s="23"/>
      <c r="CA99" s="23"/>
      <c r="CB99" s="23"/>
      <c r="CC99" s="23"/>
      <c r="CD99" s="23"/>
      <c r="CE99" s="23"/>
      <c r="CF99" s="23"/>
      <c r="CG99" s="23" t="s">
        <v>277</v>
      </c>
      <c r="CH99" s="23" t="s">
        <v>3442</v>
      </c>
      <c r="CI99" s="471" t="s">
        <v>3643</v>
      </c>
      <c r="CJ99" s="23"/>
    </row>
    <row r="100" spans="1:88" s="554" customFormat="1" ht="48" customHeight="1">
      <c r="A100" s="15">
        <v>40</v>
      </c>
      <c r="B100" s="349" t="s">
        <v>3615</v>
      </c>
      <c r="C100" s="15" t="s">
        <v>942</v>
      </c>
      <c r="D100" s="331" t="s">
        <v>3646</v>
      </c>
      <c r="E100" s="15" t="s">
        <v>72</v>
      </c>
      <c r="F100" s="15">
        <v>2021</v>
      </c>
      <c r="G100" s="15">
        <v>2021</v>
      </c>
      <c r="H100" s="15">
        <v>10</v>
      </c>
      <c r="I100" s="15" t="s">
        <v>3476</v>
      </c>
      <c r="J100" s="350">
        <v>0</v>
      </c>
      <c r="K100" s="15" t="s">
        <v>3091</v>
      </c>
      <c r="L100" s="15">
        <v>2</v>
      </c>
      <c r="M100" s="15" t="s">
        <v>3222</v>
      </c>
      <c r="N100" s="15" t="s">
        <v>3223</v>
      </c>
      <c r="O100" s="15" t="s">
        <v>3215</v>
      </c>
      <c r="P100" s="15" t="s">
        <v>3216</v>
      </c>
      <c r="Q100" s="15">
        <v>6680643</v>
      </c>
      <c r="R100" s="15" t="s">
        <v>8</v>
      </c>
      <c r="S100" s="334" t="s">
        <v>1017</v>
      </c>
      <c r="T100" s="608">
        <f t="shared" si="12"/>
        <v>0</v>
      </c>
      <c r="U100" s="15" t="s">
        <v>160</v>
      </c>
      <c r="V100" s="15" t="s">
        <v>172</v>
      </c>
      <c r="W100" s="15"/>
      <c r="X100" s="15" t="s">
        <v>3217</v>
      </c>
      <c r="Y100" s="15" t="s">
        <v>3216</v>
      </c>
      <c r="Z100" s="15">
        <v>8140</v>
      </c>
      <c r="AA100" s="333" t="s">
        <v>3291</v>
      </c>
      <c r="AB100" s="15">
        <v>6680648</v>
      </c>
      <c r="AC100" s="15" t="s">
        <v>1036</v>
      </c>
      <c r="AD100" s="15" t="s">
        <v>17</v>
      </c>
      <c r="AE100" s="583">
        <f>T100</f>
        <v>0</v>
      </c>
      <c r="AF100" s="15" t="s">
        <v>166</v>
      </c>
      <c r="AG100" s="15"/>
      <c r="AH100" s="15"/>
      <c r="AI100" s="15" t="s">
        <v>3217</v>
      </c>
      <c r="AJ100" s="15" t="s">
        <v>3216</v>
      </c>
      <c r="AK100" s="15">
        <v>6680618</v>
      </c>
      <c r="AL100" s="341" t="s">
        <v>1737</v>
      </c>
      <c r="AM100" s="15" t="s">
        <v>24</v>
      </c>
      <c r="AN100" s="622">
        <f t="shared" si="13"/>
        <v>0</v>
      </c>
      <c r="AO100" s="15" t="s">
        <v>160</v>
      </c>
      <c r="AP100" s="15"/>
      <c r="AQ100" s="15"/>
      <c r="AR100" s="15" t="s">
        <v>3217</v>
      </c>
      <c r="AS100" s="15" t="s">
        <v>3216</v>
      </c>
      <c r="AT100" s="23"/>
      <c r="AU100" s="23"/>
      <c r="AV100" s="23"/>
      <c r="AW100" s="534"/>
      <c r="AX100" s="23"/>
      <c r="AY100" s="23"/>
      <c r="AZ100" s="23"/>
      <c r="BA100" s="23"/>
      <c r="BB100" s="23"/>
      <c r="BC100" s="23"/>
      <c r="BD100" s="23"/>
      <c r="BE100" s="534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15" t="s">
        <v>3190</v>
      </c>
      <c r="BR100" s="15" t="s">
        <v>3191</v>
      </c>
      <c r="BS100" s="23" t="s">
        <v>3446</v>
      </c>
      <c r="BT100" s="14"/>
      <c r="BU100" s="23"/>
      <c r="BV100" s="23"/>
      <c r="BW100" s="23"/>
      <c r="BX100" s="14"/>
      <c r="BY100" s="23"/>
      <c r="BZ100" s="23"/>
      <c r="CA100" s="23"/>
      <c r="CB100" s="23"/>
      <c r="CC100" s="23"/>
      <c r="CD100" s="23"/>
      <c r="CE100" s="23"/>
      <c r="CF100" s="23"/>
      <c r="CG100" s="23" t="s">
        <v>3647</v>
      </c>
      <c r="CH100" s="23" t="s">
        <v>942</v>
      </c>
      <c r="CI100" s="471" t="s">
        <v>942</v>
      </c>
      <c r="CJ100" s="23"/>
    </row>
    <row r="101" spans="1:88" s="554" customFormat="1" ht="48" customHeight="1">
      <c r="A101" s="15">
        <v>41</v>
      </c>
      <c r="B101" s="349" t="s">
        <v>3615</v>
      </c>
      <c r="C101" s="15" t="s">
        <v>942</v>
      </c>
      <c r="D101" s="331" t="s">
        <v>3648</v>
      </c>
      <c r="E101" s="15" t="s">
        <v>72</v>
      </c>
      <c r="F101" s="15">
        <v>2021</v>
      </c>
      <c r="G101" s="15">
        <v>2021</v>
      </c>
      <c r="H101" s="15">
        <v>10</v>
      </c>
      <c r="I101" s="15" t="s">
        <v>3516</v>
      </c>
      <c r="J101" s="350">
        <v>0</v>
      </c>
      <c r="K101" s="15" t="s">
        <v>3091</v>
      </c>
      <c r="L101" s="15">
        <v>3</v>
      </c>
      <c r="M101" s="15" t="s">
        <v>3222</v>
      </c>
      <c r="N101" s="15" t="s">
        <v>3223</v>
      </c>
      <c r="O101" s="15" t="s">
        <v>3215</v>
      </c>
      <c r="P101" s="15" t="s">
        <v>3216</v>
      </c>
      <c r="Q101" s="15">
        <v>6681032</v>
      </c>
      <c r="R101" s="15" t="s">
        <v>76</v>
      </c>
      <c r="S101" s="334" t="s">
        <v>3423</v>
      </c>
      <c r="T101" s="608">
        <f t="shared" si="12"/>
        <v>0</v>
      </c>
      <c r="U101" s="15" t="s">
        <v>166</v>
      </c>
      <c r="V101" s="15"/>
      <c r="W101" s="15"/>
      <c r="X101" s="15" t="s">
        <v>3217</v>
      </c>
      <c r="Y101" s="15" t="s">
        <v>3216</v>
      </c>
      <c r="Z101" s="15">
        <v>8140</v>
      </c>
      <c r="AA101" s="333" t="s">
        <v>3291</v>
      </c>
      <c r="AB101" s="15"/>
      <c r="AC101" s="15"/>
      <c r="AD101" s="15"/>
      <c r="AE101" s="583"/>
      <c r="AF101" s="15"/>
      <c r="AG101" s="15"/>
      <c r="AH101" s="15"/>
      <c r="AI101" s="15"/>
      <c r="AJ101" s="15"/>
      <c r="AK101" s="15">
        <v>6764236</v>
      </c>
      <c r="AL101" s="341" t="s">
        <v>1684</v>
      </c>
      <c r="AM101" s="15" t="s">
        <v>25</v>
      </c>
      <c r="AN101" s="622">
        <f t="shared" si="13"/>
        <v>0</v>
      </c>
      <c r="AO101" s="15" t="s">
        <v>166</v>
      </c>
      <c r="AP101" s="15"/>
      <c r="AQ101" s="15"/>
      <c r="AR101" s="15" t="s">
        <v>3217</v>
      </c>
      <c r="AS101" s="15" t="s">
        <v>3216</v>
      </c>
      <c r="AT101" s="23"/>
      <c r="AU101" s="23"/>
      <c r="AV101" s="23"/>
      <c r="AW101" s="534"/>
      <c r="AX101" s="23"/>
      <c r="AY101" s="23"/>
      <c r="AZ101" s="23"/>
      <c r="BA101" s="23"/>
      <c r="BB101" s="23"/>
      <c r="BC101" s="23"/>
      <c r="BD101" s="23"/>
      <c r="BE101" s="534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348" t="s">
        <v>3190</v>
      </c>
      <c r="BR101" s="348" t="s">
        <v>3191</v>
      </c>
      <c r="BS101" s="23" t="s">
        <v>3649</v>
      </c>
      <c r="BT101" s="23"/>
      <c r="BU101" s="14" t="s">
        <v>3650</v>
      </c>
      <c r="BV101" s="23"/>
      <c r="BW101" s="23" t="s">
        <v>3651</v>
      </c>
      <c r="BX101" s="14"/>
      <c r="BY101" s="23"/>
      <c r="BZ101" s="23"/>
      <c r="CA101" s="23"/>
      <c r="CB101" s="23"/>
      <c r="CC101" s="23"/>
      <c r="CD101" s="23"/>
      <c r="CE101" s="23"/>
      <c r="CF101" s="23"/>
      <c r="CG101" s="23" t="s">
        <v>3652</v>
      </c>
      <c r="CH101" s="23" t="s">
        <v>3442</v>
      </c>
      <c r="CI101" s="471" t="s">
        <v>3653</v>
      </c>
      <c r="CJ101" s="23"/>
    </row>
    <row r="102" spans="1:88" s="4" customFormat="1" ht="48" customHeight="1">
      <c r="A102" s="15">
        <v>42</v>
      </c>
      <c r="B102" s="349" t="s">
        <v>3615</v>
      </c>
      <c r="C102" s="348" t="s">
        <v>3654</v>
      </c>
      <c r="D102" s="331" t="s">
        <v>3655</v>
      </c>
      <c r="E102" s="15" t="s">
        <v>72</v>
      </c>
      <c r="F102" s="15">
        <v>2021</v>
      </c>
      <c r="G102" s="15">
        <v>2021</v>
      </c>
      <c r="H102" s="15">
        <v>6</v>
      </c>
      <c r="I102" s="15" t="s">
        <v>3547</v>
      </c>
      <c r="J102" s="350">
        <v>0</v>
      </c>
      <c r="K102" s="15" t="s">
        <v>3091</v>
      </c>
      <c r="L102" s="15">
        <v>3</v>
      </c>
      <c r="M102" s="15" t="s">
        <v>3617</v>
      </c>
      <c r="N102" s="15" t="s">
        <v>3223</v>
      </c>
      <c r="O102" s="15" t="s">
        <v>3215</v>
      </c>
      <c r="P102" s="15" t="s">
        <v>3216</v>
      </c>
      <c r="Q102" s="15">
        <v>6756318</v>
      </c>
      <c r="R102" s="15" t="s">
        <v>62</v>
      </c>
      <c r="S102" s="334" t="s">
        <v>950</v>
      </c>
      <c r="T102" s="608">
        <f t="shared" si="12"/>
        <v>0</v>
      </c>
      <c r="U102" s="15" t="s">
        <v>175</v>
      </c>
      <c r="V102" s="15"/>
      <c r="W102" s="15"/>
      <c r="X102" s="15" t="s">
        <v>3217</v>
      </c>
      <c r="Y102" s="15" t="s">
        <v>3216</v>
      </c>
      <c r="Z102" s="15">
        <v>8140</v>
      </c>
      <c r="AA102" s="15" t="s">
        <v>3291</v>
      </c>
      <c r="AB102" s="15">
        <v>6793410</v>
      </c>
      <c r="AC102" s="15" t="s">
        <v>947</v>
      </c>
      <c r="AD102" s="15" t="s">
        <v>79</v>
      </c>
      <c r="AE102" s="583">
        <f>T102</f>
        <v>0</v>
      </c>
      <c r="AF102" s="15" t="s">
        <v>175</v>
      </c>
      <c r="AG102" s="15"/>
      <c r="AH102" s="15"/>
      <c r="AI102" s="15" t="s">
        <v>3217</v>
      </c>
      <c r="AJ102" s="15" t="s">
        <v>3216</v>
      </c>
      <c r="AK102" s="15"/>
      <c r="AL102" s="341"/>
      <c r="AM102" s="15"/>
      <c r="AN102" s="622"/>
      <c r="AO102" s="15"/>
      <c r="AP102" s="15"/>
      <c r="AQ102" s="15"/>
      <c r="AR102" s="15"/>
      <c r="AS102" s="15"/>
      <c r="AT102" s="23"/>
      <c r="AU102" s="23"/>
      <c r="AV102" s="23"/>
      <c r="AW102" s="534"/>
      <c r="AX102" s="23"/>
      <c r="AY102" s="23"/>
      <c r="AZ102" s="23"/>
      <c r="BA102" s="23"/>
      <c r="BB102" s="23"/>
      <c r="BC102" s="23"/>
      <c r="BD102" s="23"/>
      <c r="BE102" s="534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348" t="s">
        <v>3190</v>
      </c>
      <c r="BR102" s="348" t="s">
        <v>3191</v>
      </c>
      <c r="BS102" s="23" t="s">
        <v>3656</v>
      </c>
      <c r="BT102" s="14"/>
      <c r="BU102" s="23"/>
      <c r="BV102" s="23"/>
      <c r="BW102" s="23"/>
      <c r="BX102" s="14"/>
      <c r="BY102" s="23"/>
      <c r="BZ102" s="23"/>
      <c r="CA102" s="23"/>
      <c r="CB102" s="23"/>
      <c r="CC102" s="23"/>
      <c r="CD102" s="23"/>
      <c r="CE102" s="23"/>
      <c r="CF102" s="23"/>
      <c r="CG102" s="23" t="s">
        <v>3640</v>
      </c>
      <c r="CH102" s="23" t="s">
        <v>942</v>
      </c>
      <c r="CI102" s="471" t="s">
        <v>3657</v>
      </c>
      <c r="CJ102" s="23"/>
    </row>
    <row r="103" spans="1:88" s="4" customFormat="1" ht="48" customHeight="1">
      <c r="A103" s="15">
        <v>43</v>
      </c>
      <c r="B103" s="349" t="s">
        <v>3615</v>
      </c>
      <c r="C103" s="15" t="s">
        <v>942</v>
      </c>
      <c r="D103" s="331" t="s">
        <v>3658</v>
      </c>
      <c r="E103" s="15" t="s">
        <v>72</v>
      </c>
      <c r="F103" s="15">
        <v>2021</v>
      </c>
      <c r="G103" s="15">
        <v>2021</v>
      </c>
      <c r="H103" s="15">
        <v>6</v>
      </c>
      <c r="I103" s="15" t="s">
        <v>3214</v>
      </c>
      <c r="J103" s="350">
        <v>0</v>
      </c>
      <c r="K103" s="15" t="s">
        <v>3091</v>
      </c>
      <c r="L103" s="15">
        <v>3</v>
      </c>
      <c r="M103" s="15" t="s">
        <v>3617</v>
      </c>
      <c r="N103" s="15" t="s">
        <v>3223</v>
      </c>
      <c r="O103" s="15" t="s">
        <v>3215</v>
      </c>
      <c r="P103" s="15" t="s">
        <v>3216</v>
      </c>
      <c r="Q103" s="15">
        <v>6767777</v>
      </c>
      <c r="R103" s="15" t="s">
        <v>34</v>
      </c>
      <c r="S103" s="334" t="s">
        <v>2673</v>
      </c>
      <c r="T103" s="608">
        <f t="shared" si="12"/>
        <v>0</v>
      </c>
      <c r="U103" s="15" t="s">
        <v>171</v>
      </c>
      <c r="V103" s="15"/>
      <c r="W103" s="15"/>
      <c r="X103" s="15" t="s">
        <v>3217</v>
      </c>
      <c r="Y103" s="15" t="s">
        <v>3216</v>
      </c>
      <c r="Z103" s="15">
        <v>8140</v>
      </c>
      <c r="AA103" s="15" t="s">
        <v>3291</v>
      </c>
      <c r="AB103" s="15">
        <v>6801989</v>
      </c>
      <c r="AC103" s="15" t="s">
        <v>1890</v>
      </c>
      <c r="AD103" s="15" t="s">
        <v>174</v>
      </c>
      <c r="AE103" s="583">
        <f>T103</f>
        <v>0</v>
      </c>
      <c r="AF103" s="15" t="s">
        <v>3093</v>
      </c>
      <c r="AG103" s="15"/>
      <c r="AH103" s="15"/>
      <c r="AI103" s="15" t="s">
        <v>3217</v>
      </c>
      <c r="AJ103" s="15" t="s">
        <v>3216</v>
      </c>
      <c r="AK103" s="15">
        <v>6784457</v>
      </c>
      <c r="AL103" s="341" t="s">
        <v>1754</v>
      </c>
      <c r="AM103" s="14" t="s">
        <v>44</v>
      </c>
      <c r="AN103" s="622">
        <f>T103</f>
        <v>0</v>
      </c>
      <c r="AO103" s="15" t="s">
        <v>172</v>
      </c>
      <c r="AP103" s="15"/>
      <c r="AQ103" s="15"/>
      <c r="AR103" s="15" t="s">
        <v>3224</v>
      </c>
      <c r="AS103" s="15" t="s">
        <v>3216</v>
      </c>
      <c r="AT103" s="23"/>
      <c r="AU103" s="23"/>
      <c r="AV103" s="23"/>
      <c r="AW103" s="534"/>
      <c r="AX103" s="23"/>
      <c r="AY103" s="23"/>
      <c r="AZ103" s="23"/>
      <c r="BA103" s="23"/>
      <c r="BB103" s="23"/>
      <c r="BC103" s="23"/>
      <c r="BD103" s="23"/>
      <c r="BE103" s="534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348" t="s">
        <v>3190</v>
      </c>
      <c r="BR103" s="348" t="s">
        <v>3191</v>
      </c>
      <c r="BS103" s="23" t="s">
        <v>3659</v>
      </c>
      <c r="BT103" s="14"/>
      <c r="BU103" s="23" t="s">
        <v>3426</v>
      </c>
      <c r="BV103" s="23"/>
      <c r="BW103" s="23"/>
      <c r="BX103" s="14"/>
      <c r="BY103" s="23"/>
      <c r="BZ103" s="23"/>
      <c r="CA103" s="23"/>
      <c r="CB103" s="23"/>
      <c r="CC103" s="23"/>
      <c r="CD103" s="23"/>
      <c r="CE103" s="23"/>
      <c r="CF103" s="23"/>
      <c r="CG103" s="23" t="s">
        <v>3660</v>
      </c>
      <c r="CH103" s="23" t="s">
        <v>3419</v>
      </c>
      <c r="CI103" s="471" t="s">
        <v>942</v>
      </c>
      <c r="CJ103" s="23"/>
    </row>
    <row r="104" spans="1:88" s="4" customFormat="1" ht="48" customHeight="1">
      <c r="A104" s="15">
        <v>44</v>
      </c>
      <c r="B104" s="23" t="s">
        <v>942</v>
      </c>
      <c r="C104" s="15" t="s">
        <v>942</v>
      </c>
      <c r="D104" s="331" t="s">
        <v>3661</v>
      </c>
      <c r="E104" s="15" t="s">
        <v>31</v>
      </c>
      <c r="F104" s="15">
        <v>2021</v>
      </c>
      <c r="G104" s="15">
        <v>2021</v>
      </c>
      <c r="H104" s="15">
        <v>10</v>
      </c>
      <c r="I104" s="15" t="s">
        <v>3214</v>
      </c>
      <c r="J104" s="350"/>
      <c r="K104" s="15" t="s">
        <v>3091</v>
      </c>
      <c r="L104" s="15">
        <v>2</v>
      </c>
      <c r="M104" s="15" t="s">
        <v>3222</v>
      </c>
      <c r="N104" s="15" t="s">
        <v>3223</v>
      </c>
      <c r="O104" s="15" t="s">
        <v>3215</v>
      </c>
      <c r="P104" s="15" t="s">
        <v>3216</v>
      </c>
      <c r="Q104" s="15">
        <v>259781</v>
      </c>
      <c r="R104" s="15" t="s">
        <v>26</v>
      </c>
      <c r="S104" s="334" t="s">
        <v>982</v>
      </c>
      <c r="T104" s="608">
        <f t="shared" si="12"/>
        <v>0</v>
      </c>
      <c r="U104" s="15" t="s">
        <v>164</v>
      </c>
      <c r="V104" s="15" t="s">
        <v>166</v>
      </c>
      <c r="W104" s="15"/>
      <c r="X104" s="15" t="s">
        <v>3217</v>
      </c>
      <c r="Y104" s="15" t="s">
        <v>3216</v>
      </c>
      <c r="Z104" s="15">
        <v>8140</v>
      </c>
      <c r="AA104" s="15" t="s">
        <v>3291</v>
      </c>
      <c r="AB104" s="15">
        <v>6680622</v>
      </c>
      <c r="AC104" s="15" t="s">
        <v>983</v>
      </c>
      <c r="AD104" s="15" t="s">
        <v>11</v>
      </c>
      <c r="AE104" s="583">
        <f>T104</f>
        <v>0</v>
      </c>
      <c r="AF104" s="15" t="s">
        <v>164</v>
      </c>
      <c r="AG104" s="15"/>
      <c r="AH104" s="15"/>
      <c r="AI104" s="15" t="s">
        <v>3217</v>
      </c>
      <c r="AJ104" s="15" t="s">
        <v>3216</v>
      </c>
      <c r="AK104" s="15">
        <v>6744406</v>
      </c>
      <c r="AL104" s="341" t="s">
        <v>985</v>
      </c>
      <c r="AM104" s="15" t="s">
        <v>352</v>
      </c>
      <c r="AN104" s="622">
        <f>T104</f>
        <v>0</v>
      </c>
      <c r="AO104" s="15" t="s">
        <v>166</v>
      </c>
      <c r="AP104" s="15"/>
      <c r="AQ104" s="15"/>
      <c r="AR104" s="15" t="s">
        <v>3217</v>
      </c>
      <c r="AS104" s="15" t="s">
        <v>3216</v>
      </c>
      <c r="AT104" s="23"/>
      <c r="AU104" s="23"/>
      <c r="AV104" s="23"/>
      <c r="AW104" s="534"/>
      <c r="AX104" s="23"/>
      <c r="AY104" s="23"/>
      <c r="AZ104" s="23"/>
      <c r="BA104" s="23"/>
      <c r="BB104" s="23"/>
      <c r="BC104" s="23"/>
      <c r="BD104" s="23"/>
      <c r="BE104" s="534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15" t="s">
        <v>3190</v>
      </c>
      <c r="BR104" s="15" t="s">
        <v>3191</v>
      </c>
      <c r="BS104" s="23" t="s">
        <v>3662</v>
      </c>
      <c r="BT104" s="14"/>
      <c r="BU104" s="23" t="s">
        <v>3663</v>
      </c>
      <c r="BV104" s="23"/>
      <c r="BW104" s="23"/>
      <c r="BX104" s="14"/>
      <c r="BY104" s="23"/>
      <c r="BZ104" s="23"/>
      <c r="CA104" s="23"/>
      <c r="CB104" s="23"/>
      <c r="CC104" s="23"/>
      <c r="CD104" s="23"/>
      <c r="CE104" s="23"/>
      <c r="CF104" s="23"/>
      <c r="CG104" s="23" t="s">
        <v>3664</v>
      </c>
      <c r="CH104" s="23" t="s">
        <v>942</v>
      </c>
      <c r="CI104" s="471" t="s">
        <v>3665</v>
      </c>
      <c r="CJ104" s="23"/>
    </row>
    <row r="105" spans="1:88" s="554" customFormat="1" ht="48" customHeight="1">
      <c r="A105" s="15">
        <v>45</v>
      </c>
      <c r="B105" s="349" t="s">
        <v>3666</v>
      </c>
      <c r="C105" s="348" t="s">
        <v>3484</v>
      </c>
      <c r="D105" s="331" t="s">
        <v>3667</v>
      </c>
      <c r="E105" s="15" t="s">
        <v>72</v>
      </c>
      <c r="F105" s="15">
        <v>2021</v>
      </c>
      <c r="G105" s="15">
        <v>2021</v>
      </c>
      <c r="H105" s="15">
        <v>12</v>
      </c>
      <c r="I105" s="15" t="s">
        <v>3547</v>
      </c>
      <c r="J105" s="350">
        <v>17000000</v>
      </c>
      <c r="K105" s="15" t="s">
        <v>3091</v>
      </c>
      <c r="L105" s="15">
        <v>5</v>
      </c>
      <c r="M105" s="15" t="s">
        <v>3222</v>
      </c>
      <c r="N105" s="15" t="s">
        <v>3223</v>
      </c>
      <c r="O105" s="15" t="s">
        <v>3215</v>
      </c>
      <c r="P105" s="15" t="s">
        <v>3216</v>
      </c>
      <c r="Q105" s="15">
        <v>6680651</v>
      </c>
      <c r="R105" s="15" t="s">
        <v>12</v>
      </c>
      <c r="S105" s="334" t="s">
        <v>1016</v>
      </c>
      <c r="T105" s="608">
        <f t="shared" si="12"/>
        <v>17000000</v>
      </c>
      <c r="U105" s="15" t="s">
        <v>155</v>
      </c>
      <c r="V105" s="15"/>
      <c r="W105" s="15"/>
      <c r="X105" s="15" t="s">
        <v>3224</v>
      </c>
      <c r="Y105" s="15" t="s">
        <v>3216</v>
      </c>
      <c r="Z105" s="15">
        <v>8140</v>
      </c>
      <c r="AA105" s="15" t="s">
        <v>3291</v>
      </c>
      <c r="AB105" s="15">
        <v>6665306</v>
      </c>
      <c r="AC105" s="15" t="s">
        <v>1727</v>
      </c>
      <c r="AD105" s="15" t="s">
        <v>28</v>
      </c>
      <c r="AE105" s="583">
        <f>T105</f>
        <v>17000000</v>
      </c>
      <c r="AF105" s="15" t="s">
        <v>166</v>
      </c>
      <c r="AG105" s="15"/>
      <c r="AH105" s="15"/>
      <c r="AI105" s="15" t="s">
        <v>3217</v>
      </c>
      <c r="AJ105" s="15" t="s">
        <v>3216</v>
      </c>
      <c r="AK105" s="15"/>
      <c r="AL105" s="341"/>
      <c r="AM105" s="15"/>
      <c r="AN105" s="583"/>
      <c r="AO105" s="15"/>
      <c r="AP105" s="15"/>
      <c r="AQ105" s="15"/>
      <c r="AR105" s="15"/>
      <c r="AS105" s="15"/>
      <c r="AT105" s="23"/>
      <c r="AU105" s="23"/>
      <c r="AV105" s="23"/>
      <c r="AW105" s="534"/>
      <c r="AX105" s="23"/>
      <c r="AY105" s="23"/>
      <c r="AZ105" s="23"/>
      <c r="BA105" s="23"/>
      <c r="BB105" s="23"/>
      <c r="BC105" s="23"/>
      <c r="BD105" s="23"/>
      <c r="BE105" s="534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348" t="s">
        <v>3190</v>
      </c>
      <c r="BR105" s="15" t="s">
        <v>3191</v>
      </c>
      <c r="BS105" s="23"/>
      <c r="BT105" s="14"/>
      <c r="BU105" s="23"/>
      <c r="BV105" s="23"/>
      <c r="BW105" s="23"/>
      <c r="BX105" s="14"/>
      <c r="BY105" s="23"/>
      <c r="BZ105" s="23"/>
      <c r="CA105" s="23"/>
      <c r="CB105" s="23"/>
      <c r="CC105" s="23"/>
      <c r="CD105" s="23"/>
      <c r="CE105" s="23"/>
      <c r="CF105" s="23"/>
      <c r="CG105" s="23" t="s">
        <v>3668</v>
      </c>
      <c r="CH105" s="23" t="s">
        <v>3419</v>
      </c>
      <c r="CI105" s="471" t="s">
        <v>3669</v>
      </c>
      <c r="CJ105" s="23"/>
    </row>
    <row r="106" spans="1:88" s="4" customFormat="1" ht="48" customHeight="1">
      <c r="A106" s="15">
        <v>46</v>
      </c>
      <c r="B106" s="23" t="s">
        <v>942</v>
      </c>
      <c r="C106" s="15" t="s">
        <v>942</v>
      </c>
      <c r="D106" s="331" t="s">
        <v>3670</v>
      </c>
      <c r="E106" s="15" t="s">
        <v>91</v>
      </c>
      <c r="F106" s="15">
        <v>2021</v>
      </c>
      <c r="G106" s="15">
        <v>2021</v>
      </c>
      <c r="H106" s="15">
        <v>24</v>
      </c>
      <c r="I106" s="15" t="s">
        <v>3451</v>
      </c>
      <c r="J106" s="350"/>
      <c r="K106" s="15" t="s">
        <v>3091</v>
      </c>
      <c r="L106" s="15">
        <v>6</v>
      </c>
      <c r="M106" s="15" t="s">
        <v>3222</v>
      </c>
      <c r="N106" s="15" t="s">
        <v>3223</v>
      </c>
      <c r="O106" s="15" t="s">
        <v>3215</v>
      </c>
      <c r="P106" s="15" t="s">
        <v>3216</v>
      </c>
      <c r="Q106" s="15">
        <v>6829130</v>
      </c>
      <c r="R106" s="15" t="s">
        <v>82</v>
      </c>
      <c r="S106" s="334" t="s">
        <v>3020</v>
      </c>
      <c r="T106" s="608">
        <f t="shared" si="12"/>
        <v>0</v>
      </c>
      <c r="U106" s="15" t="s">
        <v>154</v>
      </c>
      <c r="V106" s="15"/>
      <c r="W106" s="15"/>
      <c r="X106" s="15" t="s">
        <v>3224</v>
      </c>
      <c r="Y106" s="15" t="s">
        <v>3216</v>
      </c>
      <c r="Z106" s="15">
        <v>8140</v>
      </c>
      <c r="AA106" s="15" t="s">
        <v>3291</v>
      </c>
      <c r="AB106" s="15"/>
      <c r="AC106" s="15"/>
      <c r="AD106" s="15"/>
      <c r="AE106" s="583"/>
      <c r="AF106" s="15"/>
      <c r="AG106" s="15"/>
      <c r="AH106" s="15"/>
      <c r="AI106" s="15"/>
      <c r="AJ106" s="15"/>
      <c r="AK106" s="15"/>
      <c r="AL106" s="341"/>
      <c r="AM106" s="15"/>
      <c r="AN106" s="583"/>
      <c r="AO106" s="15"/>
      <c r="AP106" s="15"/>
      <c r="AQ106" s="15"/>
      <c r="AR106" s="15"/>
      <c r="AS106" s="15"/>
      <c r="AT106" s="23"/>
      <c r="AU106" s="23"/>
      <c r="AV106" s="23"/>
      <c r="AW106" s="534"/>
      <c r="AX106" s="23"/>
      <c r="AY106" s="23"/>
      <c r="AZ106" s="23"/>
      <c r="BA106" s="23"/>
      <c r="BB106" s="23"/>
      <c r="BC106" s="23"/>
      <c r="BD106" s="23"/>
      <c r="BE106" s="534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348" t="s">
        <v>3190</v>
      </c>
      <c r="BR106" s="15" t="s">
        <v>3191</v>
      </c>
      <c r="BS106" s="23"/>
      <c r="BT106" s="14"/>
      <c r="BU106" s="23"/>
      <c r="BV106" s="23"/>
      <c r="BW106" s="23"/>
      <c r="BX106" s="14"/>
      <c r="BY106" s="23"/>
      <c r="BZ106" s="23"/>
      <c r="CA106" s="23"/>
      <c r="CB106" s="23"/>
      <c r="CC106" s="23"/>
      <c r="CD106" s="23"/>
      <c r="CE106" s="23"/>
      <c r="CF106" s="23"/>
      <c r="CG106" s="23" t="s">
        <v>3671</v>
      </c>
      <c r="CH106" s="23" t="s">
        <v>942</v>
      </c>
      <c r="CI106" s="471" t="s">
        <v>942</v>
      </c>
      <c r="CJ106" s="23"/>
    </row>
    <row r="107" spans="1:88" ht="60" customHeight="1">
      <c r="A107" s="15">
        <v>47</v>
      </c>
      <c r="B107" s="23" t="s">
        <v>942</v>
      </c>
      <c r="C107" s="15" t="s">
        <v>942</v>
      </c>
      <c r="D107" s="331" t="s">
        <v>3672</v>
      </c>
      <c r="E107" s="15" t="s">
        <v>72</v>
      </c>
      <c r="F107" s="15">
        <v>2021</v>
      </c>
      <c r="G107" s="15">
        <v>2021</v>
      </c>
      <c r="H107" s="15">
        <v>6</v>
      </c>
      <c r="I107" s="15" t="s">
        <v>3516</v>
      </c>
      <c r="J107" s="350">
        <v>0</v>
      </c>
      <c r="K107" s="15" t="s">
        <v>3091</v>
      </c>
      <c r="L107" s="15">
        <v>3</v>
      </c>
      <c r="M107" s="15" t="s">
        <v>3617</v>
      </c>
      <c r="N107" s="15" t="s">
        <v>3223</v>
      </c>
      <c r="O107" s="15" t="s">
        <v>3215</v>
      </c>
      <c r="P107" s="15" t="s">
        <v>3216</v>
      </c>
      <c r="Q107" s="15">
        <v>6680625</v>
      </c>
      <c r="R107" s="15" t="s">
        <v>23</v>
      </c>
      <c r="S107" s="334" t="s">
        <v>1782</v>
      </c>
      <c r="T107" s="608">
        <f t="shared" si="12"/>
        <v>0</v>
      </c>
      <c r="U107" s="15" t="s">
        <v>154</v>
      </c>
      <c r="V107" s="15"/>
      <c r="W107" s="15"/>
      <c r="X107" s="15" t="s">
        <v>3224</v>
      </c>
      <c r="Y107" s="15" t="s">
        <v>3216</v>
      </c>
      <c r="Z107" s="15">
        <v>8140</v>
      </c>
      <c r="AA107" s="15" t="s">
        <v>3291</v>
      </c>
      <c r="AB107" s="15">
        <v>6680645</v>
      </c>
      <c r="AC107" s="15" t="s">
        <v>2849</v>
      </c>
      <c r="AD107" s="15" t="s">
        <v>83</v>
      </c>
      <c r="AE107" s="583">
        <f t="shared" ref="AE107:AE115" si="14">T107</f>
        <v>0</v>
      </c>
      <c r="AF107" s="15" t="s">
        <v>154</v>
      </c>
      <c r="AG107" s="15"/>
      <c r="AH107" s="15"/>
      <c r="AI107" s="15" t="s">
        <v>3224</v>
      </c>
      <c r="AJ107" s="15" t="s">
        <v>3216</v>
      </c>
      <c r="AK107" s="15"/>
      <c r="AL107" s="341"/>
      <c r="AM107" s="15"/>
      <c r="AN107" s="583"/>
      <c r="AO107" s="15"/>
      <c r="AP107" s="15"/>
      <c r="AQ107" s="15"/>
      <c r="AR107" s="15"/>
      <c r="AS107" s="15"/>
      <c r="AT107" s="23"/>
      <c r="AU107" s="23"/>
      <c r="AV107" s="23"/>
      <c r="AW107" s="534"/>
      <c r="AX107" s="23"/>
      <c r="AY107" s="23"/>
      <c r="AZ107" s="23"/>
      <c r="BA107" s="23"/>
      <c r="BB107" s="23"/>
      <c r="BC107" s="23"/>
      <c r="BD107" s="23"/>
      <c r="BE107" s="534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348" t="s">
        <v>3190</v>
      </c>
      <c r="BR107" s="15" t="s">
        <v>3191</v>
      </c>
      <c r="BS107" s="23" t="s">
        <v>3656</v>
      </c>
      <c r="BT107" s="14"/>
      <c r="BU107" s="23" t="s">
        <v>3673</v>
      </c>
      <c r="BV107" s="23"/>
      <c r="BW107" s="23"/>
      <c r="BX107" s="14"/>
      <c r="BY107" s="23"/>
      <c r="BZ107" s="23"/>
      <c r="CA107" s="23"/>
      <c r="CB107" s="23"/>
      <c r="CC107" s="23"/>
      <c r="CD107" s="23"/>
      <c r="CE107" s="23"/>
      <c r="CF107" s="23"/>
      <c r="CG107" s="23" t="s">
        <v>3674</v>
      </c>
      <c r="CH107" s="23" t="s">
        <v>942</v>
      </c>
      <c r="CI107" s="471" t="s">
        <v>942</v>
      </c>
      <c r="CJ107" s="23"/>
    </row>
    <row r="108" spans="1:88" ht="48" customHeight="1">
      <c r="A108" s="15">
        <v>48</v>
      </c>
      <c r="B108" s="23" t="s">
        <v>942</v>
      </c>
      <c r="C108" s="15" t="s">
        <v>942</v>
      </c>
      <c r="D108" s="331" t="s">
        <v>3675</v>
      </c>
      <c r="E108" s="15" t="s">
        <v>72</v>
      </c>
      <c r="F108" s="15">
        <v>2021</v>
      </c>
      <c r="G108" s="15">
        <v>2021</v>
      </c>
      <c r="H108" s="15">
        <v>12</v>
      </c>
      <c r="I108" s="15" t="s">
        <v>3587</v>
      </c>
      <c r="J108" s="350">
        <v>0</v>
      </c>
      <c r="K108" s="15" t="s">
        <v>3091</v>
      </c>
      <c r="L108" s="15">
        <v>4</v>
      </c>
      <c r="M108" s="15" t="s">
        <v>3617</v>
      </c>
      <c r="N108" s="15" t="s">
        <v>3223</v>
      </c>
      <c r="O108" s="15" t="s">
        <v>3215</v>
      </c>
      <c r="P108" s="15" t="s">
        <v>3216</v>
      </c>
      <c r="Q108" s="15">
        <v>6680741</v>
      </c>
      <c r="R108" s="15" t="s">
        <v>16</v>
      </c>
      <c r="S108" s="334" t="s">
        <v>1838</v>
      </c>
      <c r="T108" s="608">
        <f t="shared" si="12"/>
        <v>0</v>
      </c>
      <c r="U108" s="15" t="s">
        <v>154</v>
      </c>
      <c r="V108" s="15"/>
      <c r="W108" s="15"/>
      <c r="X108" s="15" t="s">
        <v>3224</v>
      </c>
      <c r="Y108" s="15" t="s">
        <v>3216</v>
      </c>
      <c r="Z108" s="15">
        <v>8140</v>
      </c>
      <c r="AA108" s="15" t="s">
        <v>3291</v>
      </c>
      <c r="AB108" s="15">
        <v>6680645</v>
      </c>
      <c r="AC108" s="15" t="s">
        <v>2849</v>
      </c>
      <c r="AD108" s="15" t="s">
        <v>83</v>
      </c>
      <c r="AE108" s="583">
        <f t="shared" si="14"/>
        <v>0</v>
      </c>
      <c r="AF108" s="15" t="s">
        <v>154</v>
      </c>
      <c r="AG108" s="15"/>
      <c r="AH108" s="15"/>
      <c r="AI108" s="15" t="s">
        <v>3224</v>
      </c>
      <c r="AJ108" s="15" t="s">
        <v>3216</v>
      </c>
      <c r="AK108" s="15">
        <v>6829130</v>
      </c>
      <c r="AL108" s="341" t="s">
        <v>3020</v>
      </c>
      <c r="AM108" s="15" t="s">
        <v>173</v>
      </c>
      <c r="AN108" s="583">
        <f>T108</f>
        <v>0</v>
      </c>
      <c r="AO108" s="15" t="s">
        <v>154</v>
      </c>
      <c r="AP108" s="15" t="s">
        <v>155</v>
      </c>
      <c r="AQ108" s="15"/>
      <c r="AR108" s="15" t="s">
        <v>3224</v>
      </c>
      <c r="AS108" s="15" t="s">
        <v>3216</v>
      </c>
      <c r="AT108" s="23"/>
      <c r="AU108" s="23"/>
      <c r="AV108" s="23"/>
      <c r="AW108" s="534"/>
      <c r="AX108" s="23"/>
      <c r="AY108" s="23"/>
      <c r="AZ108" s="23"/>
      <c r="BA108" s="23"/>
      <c r="BB108" s="23"/>
      <c r="BC108" s="23"/>
      <c r="BD108" s="23"/>
      <c r="BE108" s="534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348" t="s">
        <v>3190</v>
      </c>
      <c r="BR108" s="15" t="s">
        <v>3191</v>
      </c>
      <c r="BS108" s="23" t="s">
        <v>3676</v>
      </c>
      <c r="BT108" s="14"/>
      <c r="BU108" s="23" t="s">
        <v>3677</v>
      </c>
      <c r="BV108" s="23"/>
      <c r="BW108" s="23"/>
      <c r="BX108" s="14"/>
      <c r="BY108" s="23"/>
      <c r="BZ108" s="23"/>
      <c r="CA108" s="23"/>
      <c r="CB108" s="23"/>
      <c r="CC108" s="23"/>
      <c r="CD108" s="23"/>
      <c r="CE108" s="23"/>
      <c r="CF108" s="23"/>
      <c r="CG108" s="23" t="s">
        <v>3674</v>
      </c>
      <c r="CH108" s="23" t="s">
        <v>942</v>
      </c>
      <c r="CI108" s="471" t="s">
        <v>942</v>
      </c>
      <c r="CJ108" s="23"/>
    </row>
    <row r="109" spans="1:88" ht="48" customHeight="1">
      <c r="A109" s="15">
        <v>49</v>
      </c>
      <c r="B109" s="349" t="s">
        <v>3666</v>
      </c>
      <c r="C109" s="15" t="s">
        <v>942</v>
      </c>
      <c r="D109" s="331" t="s">
        <v>3678</v>
      </c>
      <c r="E109" s="15" t="s">
        <v>72</v>
      </c>
      <c r="F109" s="15">
        <v>2021</v>
      </c>
      <c r="G109" s="15">
        <v>2021</v>
      </c>
      <c r="H109" s="15">
        <v>6</v>
      </c>
      <c r="I109" s="15" t="s">
        <v>942</v>
      </c>
      <c r="J109" s="350">
        <v>0</v>
      </c>
      <c r="K109" s="15" t="s">
        <v>3091</v>
      </c>
      <c r="L109" s="15">
        <v>2</v>
      </c>
      <c r="M109" s="15" t="s">
        <v>3617</v>
      </c>
      <c r="N109" s="15" t="s">
        <v>3223</v>
      </c>
      <c r="O109" s="15" t="s">
        <v>3215</v>
      </c>
      <c r="P109" s="15" t="s">
        <v>3216</v>
      </c>
      <c r="Q109" s="333">
        <v>6680678</v>
      </c>
      <c r="R109" s="15" t="s">
        <v>14</v>
      </c>
      <c r="S109" s="15" t="s">
        <v>1725</v>
      </c>
      <c r="T109" s="608">
        <f t="shared" si="12"/>
        <v>0</v>
      </c>
      <c r="U109" s="15" t="s">
        <v>3679</v>
      </c>
      <c r="V109" s="15"/>
      <c r="W109" s="15"/>
      <c r="X109" s="15" t="s">
        <v>3224</v>
      </c>
      <c r="Y109" s="15" t="s">
        <v>3216</v>
      </c>
      <c r="Z109" s="15">
        <v>8140</v>
      </c>
      <c r="AA109" s="15" t="s">
        <v>3291</v>
      </c>
      <c r="AB109" s="15">
        <v>6680683</v>
      </c>
      <c r="AC109" s="333" t="s">
        <v>2454</v>
      </c>
      <c r="AD109" s="15" t="s">
        <v>10</v>
      </c>
      <c r="AE109" s="583">
        <f t="shared" si="14"/>
        <v>0</v>
      </c>
      <c r="AF109" s="15" t="s">
        <v>3477</v>
      </c>
      <c r="AG109" s="15"/>
      <c r="AH109" s="15"/>
      <c r="AI109" s="15" t="s">
        <v>3224</v>
      </c>
      <c r="AJ109" s="15" t="s">
        <v>3216</v>
      </c>
      <c r="AK109" s="15"/>
      <c r="AL109" s="341"/>
      <c r="AM109" s="15"/>
      <c r="AN109" s="583"/>
      <c r="AO109" s="15"/>
      <c r="AP109" s="15"/>
      <c r="AQ109" s="15"/>
      <c r="AR109" s="15"/>
      <c r="AS109" s="15"/>
      <c r="AT109" s="23"/>
      <c r="AU109" s="23"/>
      <c r="AV109" s="23"/>
      <c r="AW109" s="534"/>
      <c r="AX109" s="23"/>
      <c r="AY109" s="23"/>
      <c r="AZ109" s="23"/>
      <c r="BA109" s="23"/>
      <c r="BB109" s="23"/>
      <c r="BC109" s="23"/>
      <c r="BD109" s="23"/>
      <c r="BE109" s="534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348" t="s">
        <v>3190</v>
      </c>
      <c r="BR109" s="15" t="s">
        <v>3191</v>
      </c>
      <c r="BS109" s="23" t="s">
        <v>3680</v>
      </c>
      <c r="BT109" s="14"/>
      <c r="BU109" s="23" t="s">
        <v>3681</v>
      </c>
      <c r="BV109" s="23"/>
      <c r="BW109" s="23"/>
      <c r="BX109" s="14"/>
      <c r="BY109" s="23"/>
      <c r="BZ109" s="23"/>
      <c r="CA109" s="23"/>
      <c r="CB109" s="23"/>
      <c r="CC109" s="23"/>
      <c r="CD109" s="23"/>
      <c r="CE109" s="23"/>
      <c r="CF109" s="23"/>
      <c r="CG109" s="23" t="s">
        <v>3287</v>
      </c>
      <c r="CH109" s="23" t="s">
        <v>942</v>
      </c>
      <c r="CI109" s="471" t="s">
        <v>942</v>
      </c>
      <c r="CJ109" s="23"/>
    </row>
    <row r="110" spans="1:88" ht="60" customHeight="1">
      <c r="A110" s="15">
        <v>50</v>
      </c>
      <c r="B110" s="349" t="s">
        <v>3666</v>
      </c>
      <c r="C110" s="15" t="s">
        <v>942</v>
      </c>
      <c r="D110" s="331" t="s">
        <v>3682</v>
      </c>
      <c r="E110" s="15" t="s">
        <v>72</v>
      </c>
      <c r="F110" s="15">
        <v>2021</v>
      </c>
      <c r="G110" s="15">
        <v>2021</v>
      </c>
      <c r="H110" s="15">
        <v>3</v>
      </c>
      <c r="I110" s="15" t="s">
        <v>3516</v>
      </c>
      <c r="J110" s="350">
        <v>0</v>
      </c>
      <c r="K110" s="15" t="s">
        <v>3091</v>
      </c>
      <c r="L110" s="15">
        <v>3</v>
      </c>
      <c r="M110" s="15" t="s">
        <v>3617</v>
      </c>
      <c r="N110" s="15" t="s">
        <v>3223</v>
      </c>
      <c r="O110" s="15" t="s">
        <v>3215</v>
      </c>
      <c r="P110" s="15" t="s">
        <v>3216</v>
      </c>
      <c r="Q110" s="15">
        <v>6768348</v>
      </c>
      <c r="R110" s="15" t="s">
        <v>53</v>
      </c>
      <c r="S110" s="334" t="s">
        <v>2044</v>
      </c>
      <c r="T110" s="608">
        <f t="shared" si="12"/>
        <v>0</v>
      </c>
      <c r="U110" s="15" t="s">
        <v>171</v>
      </c>
      <c r="V110" s="15"/>
      <c r="W110" s="15"/>
      <c r="X110" s="15" t="s">
        <v>3217</v>
      </c>
      <c r="Y110" s="15" t="s">
        <v>3216</v>
      </c>
      <c r="Z110" s="15">
        <v>8140</v>
      </c>
      <c r="AA110" s="15" t="s">
        <v>3291</v>
      </c>
      <c r="AB110" s="15">
        <v>6773159</v>
      </c>
      <c r="AC110" s="15" t="s">
        <v>3683</v>
      </c>
      <c r="AD110" s="15" t="s">
        <v>46</v>
      </c>
      <c r="AE110" s="583">
        <f t="shared" si="14"/>
        <v>0</v>
      </c>
      <c r="AF110" s="15" t="s">
        <v>171</v>
      </c>
      <c r="AG110" s="15"/>
      <c r="AH110" s="15"/>
      <c r="AI110" s="15" t="s">
        <v>3217</v>
      </c>
      <c r="AJ110" s="15" t="s">
        <v>3216</v>
      </c>
      <c r="AK110" s="15">
        <v>6680626</v>
      </c>
      <c r="AL110" s="334" t="s">
        <v>1008</v>
      </c>
      <c r="AM110" s="15" t="s">
        <v>38</v>
      </c>
      <c r="AN110" s="583">
        <f>T110</f>
        <v>0</v>
      </c>
      <c r="AO110" s="15" t="s">
        <v>171</v>
      </c>
      <c r="AP110" s="15"/>
      <c r="AQ110" s="15"/>
      <c r="AR110" s="15" t="s">
        <v>3217</v>
      </c>
      <c r="AS110" s="15" t="s">
        <v>3216</v>
      </c>
      <c r="AT110" s="15">
        <v>6680629</v>
      </c>
      <c r="AU110" s="623" t="s">
        <v>2424</v>
      </c>
      <c r="AV110" s="334" t="s">
        <v>27</v>
      </c>
      <c r="AW110" s="620">
        <f>T110</f>
        <v>0</v>
      </c>
      <c r="AX110" s="15" t="s">
        <v>151</v>
      </c>
      <c r="AY110" s="15"/>
      <c r="AZ110" s="15" t="s">
        <v>3224</v>
      </c>
      <c r="BA110" s="15" t="s">
        <v>3216</v>
      </c>
      <c r="BB110" s="23"/>
      <c r="BC110" s="23"/>
      <c r="BD110" s="23"/>
      <c r="BE110" s="534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348" t="s">
        <v>3190</v>
      </c>
      <c r="BR110" s="348" t="s">
        <v>3191</v>
      </c>
      <c r="BS110" s="23" t="s">
        <v>3630</v>
      </c>
      <c r="BT110" s="14"/>
      <c r="BU110" s="23" t="s">
        <v>3631</v>
      </c>
      <c r="BV110" s="23"/>
      <c r="BW110" s="23"/>
      <c r="BX110" s="14"/>
      <c r="BY110" s="23"/>
      <c r="BZ110" s="23"/>
      <c r="CA110" s="23"/>
      <c r="CB110" s="23"/>
      <c r="CC110" s="23"/>
      <c r="CD110" s="23"/>
      <c r="CE110" s="23"/>
      <c r="CF110" s="23"/>
      <c r="CG110" s="23" t="s">
        <v>3251</v>
      </c>
      <c r="CH110" s="23" t="s">
        <v>942</v>
      </c>
      <c r="CI110" s="471" t="s">
        <v>3684</v>
      </c>
      <c r="CJ110" s="23"/>
    </row>
    <row r="111" spans="1:88" ht="51.9" customHeight="1">
      <c r="A111" s="15">
        <v>51</v>
      </c>
      <c r="B111" s="349" t="s">
        <v>3666</v>
      </c>
      <c r="C111" s="624" t="s">
        <v>3685</v>
      </c>
      <c r="D111" s="331" t="s">
        <v>3686</v>
      </c>
      <c r="E111" s="15" t="s">
        <v>72</v>
      </c>
      <c r="F111" s="15">
        <v>2021</v>
      </c>
      <c r="G111" s="15">
        <v>2021</v>
      </c>
      <c r="H111" s="15">
        <v>6</v>
      </c>
      <c r="I111" s="15" t="s">
        <v>3687</v>
      </c>
      <c r="J111" s="350">
        <v>0</v>
      </c>
      <c r="K111" s="15" t="s">
        <v>3091</v>
      </c>
      <c r="L111" s="15">
        <v>3</v>
      </c>
      <c r="M111" s="15" t="s">
        <v>3617</v>
      </c>
      <c r="N111" s="15" t="s">
        <v>3223</v>
      </c>
      <c r="O111" s="15" t="s">
        <v>3215</v>
      </c>
      <c r="P111" s="15" t="s">
        <v>3216</v>
      </c>
      <c r="Q111" s="15">
        <v>6793410</v>
      </c>
      <c r="R111" s="15" t="s">
        <v>79</v>
      </c>
      <c r="S111" s="334" t="s">
        <v>3688</v>
      </c>
      <c r="T111" s="608">
        <f t="shared" si="12"/>
        <v>0</v>
      </c>
      <c r="U111" s="15" t="s">
        <v>175</v>
      </c>
      <c r="V111" s="15"/>
      <c r="W111" s="15"/>
      <c r="X111" s="15" t="s">
        <v>3217</v>
      </c>
      <c r="Y111" s="15" t="s">
        <v>3216</v>
      </c>
      <c r="Z111" s="15">
        <v>8140</v>
      </c>
      <c r="AA111" s="15" t="s">
        <v>3291</v>
      </c>
      <c r="AB111" s="15">
        <v>6756318</v>
      </c>
      <c r="AC111" s="15" t="s">
        <v>950</v>
      </c>
      <c r="AD111" s="15" t="s">
        <v>62</v>
      </c>
      <c r="AE111" s="583">
        <f t="shared" si="14"/>
        <v>0</v>
      </c>
      <c r="AF111" s="15" t="s">
        <v>175</v>
      </c>
      <c r="AG111" s="15"/>
      <c r="AH111" s="15"/>
      <c r="AI111" s="15" t="s">
        <v>3217</v>
      </c>
      <c r="AJ111" s="15" t="s">
        <v>3216</v>
      </c>
      <c r="AK111" s="15">
        <v>6760392</v>
      </c>
      <c r="AL111" s="334" t="s">
        <v>948</v>
      </c>
      <c r="AM111" s="15" t="s">
        <v>75</v>
      </c>
      <c r="AN111" s="583">
        <f>T111</f>
        <v>0</v>
      </c>
      <c r="AO111" s="15" t="s">
        <v>175</v>
      </c>
      <c r="AP111" s="15"/>
      <c r="AQ111" s="15"/>
      <c r="AR111" s="15" t="s">
        <v>3217</v>
      </c>
      <c r="AS111" s="15" t="s">
        <v>3216</v>
      </c>
      <c r="AT111" s="36"/>
      <c r="AU111" s="36"/>
      <c r="AV111" s="36"/>
      <c r="AW111" s="625"/>
      <c r="AX111" s="36"/>
      <c r="AY111" s="36"/>
      <c r="AZ111" s="36"/>
      <c r="BA111" s="36"/>
      <c r="BB111" s="23"/>
      <c r="BC111" s="23"/>
      <c r="BD111" s="23"/>
      <c r="BE111" s="534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348" t="s">
        <v>3190</v>
      </c>
      <c r="BR111" s="348" t="s">
        <v>3191</v>
      </c>
      <c r="BS111" s="23" t="s">
        <v>3689</v>
      </c>
      <c r="BT111" s="14"/>
      <c r="BU111" s="23"/>
      <c r="BV111" s="23"/>
      <c r="BW111" s="23"/>
      <c r="BX111" s="14"/>
      <c r="BY111" s="23"/>
      <c r="BZ111" s="23"/>
      <c r="CA111" s="23"/>
      <c r="CB111" s="23"/>
      <c r="CC111" s="23"/>
      <c r="CD111" s="23"/>
      <c r="CE111" s="23"/>
      <c r="CF111" s="23"/>
      <c r="CG111" s="23" t="s">
        <v>3640</v>
      </c>
      <c r="CH111" s="23" t="s">
        <v>3419</v>
      </c>
      <c r="CI111" s="471" t="s">
        <v>3657</v>
      </c>
      <c r="CJ111" s="23" t="s">
        <v>3419</v>
      </c>
    </row>
    <row r="112" spans="1:88" ht="51.9" customHeight="1">
      <c r="A112" s="15">
        <v>52</v>
      </c>
      <c r="B112" s="349" t="s">
        <v>3666</v>
      </c>
      <c r="C112" s="624" t="s">
        <v>3690</v>
      </c>
      <c r="D112" s="331" t="s">
        <v>3691</v>
      </c>
      <c r="E112" s="15" t="s">
        <v>72</v>
      </c>
      <c r="F112" s="15">
        <v>2021</v>
      </c>
      <c r="G112" s="15">
        <v>2021</v>
      </c>
      <c r="H112" s="15">
        <v>6</v>
      </c>
      <c r="I112" s="15" t="s">
        <v>3516</v>
      </c>
      <c r="J112" s="350">
        <v>0</v>
      </c>
      <c r="K112" s="15" t="s">
        <v>3091</v>
      </c>
      <c r="L112" s="15">
        <v>5</v>
      </c>
      <c r="M112" s="15" t="s">
        <v>3617</v>
      </c>
      <c r="N112" s="15" t="s">
        <v>3223</v>
      </c>
      <c r="O112" s="15" t="s">
        <v>3215</v>
      </c>
      <c r="P112" s="15" t="s">
        <v>3216</v>
      </c>
      <c r="Q112" s="15" t="s">
        <v>942</v>
      </c>
      <c r="R112" s="15" t="s">
        <v>74</v>
      </c>
      <c r="S112" s="334" t="s">
        <v>942</v>
      </c>
      <c r="T112" s="608">
        <f t="shared" si="12"/>
        <v>0</v>
      </c>
      <c r="U112" s="15" t="s">
        <v>175</v>
      </c>
      <c r="V112" s="15"/>
      <c r="W112" s="15"/>
      <c r="X112" s="15" t="s">
        <v>3217</v>
      </c>
      <c r="Y112" s="15" t="s">
        <v>3216</v>
      </c>
      <c r="Z112" s="15">
        <v>8140</v>
      </c>
      <c r="AA112" s="15" t="s">
        <v>3291</v>
      </c>
      <c r="AB112" s="15">
        <v>6760392</v>
      </c>
      <c r="AC112" s="334" t="s">
        <v>948</v>
      </c>
      <c r="AD112" s="15" t="s">
        <v>75</v>
      </c>
      <c r="AE112" s="583">
        <f t="shared" si="14"/>
        <v>0</v>
      </c>
      <c r="AF112" s="15" t="s">
        <v>175</v>
      </c>
      <c r="AG112" s="15"/>
      <c r="AH112" s="15"/>
      <c r="AI112" s="15" t="s">
        <v>3217</v>
      </c>
      <c r="AJ112" s="15" t="s">
        <v>3216</v>
      </c>
      <c r="AK112" s="15">
        <v>6829959</v>
      </c>
      <c r="AL112" s="334" t="s">
        <v>3692</v>
      </c>
      <c r="AM112" s="15" t="s">
        <v>80</v>
      </c>
      <c r="AN112" s="583">
        <f>T112</f>
        <v>0</v>
      </c>
      <c r="AO112" s="15" t="s">
        <v>175</v>
      </c>
      <c r="AP112" s="15"/>
      <c r="AQ112" s="15"/>
      <c r="AR112" s="15" t="s">
        <v>3217</v>
      </c>
      <c r="AS112" s="15" t="s">
        <v>3216</v>
      </c>
      <c r="AT112" s="23"/>
      <c r="AU112" s="23"/>
      <c r="AV112" s="23"/>
      <c r="AW112" s="534"/>
      <c r="AX112" s="23"/>
      <c r="AY112" s="23"/>
      <c r="AZ112" s="23"/>
      <c r="BA112" s="23"/>
      <c r="BB112" s="23"/>
      <c r="BC112" s="23"/>
      <c r="BD112" s="23"/>
      <c r="BE112" s="534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348" t="s">
        <v>3190</v>
      </c>
      <c r="BR112" s="348" t="s">
        <v>3191</v>
      </c>
      <c r="BS112" s="23" t="s">
        <v>3693</v>
      </c>
      <c r="BT112" s="14"/>
      <c r="BU112" s="23" t="s">
        <v>3694</v>
      </c>
      <c r="BV112" s="23"/>
      <c r="BW112" s="23"/>
      <c r="BX112" s="14"/>
      <c r="BY112" s="23"/>
      <c r="BZ112" s="23"/>
      <c r="CA112" s="23"/>
      <c r="CB112" s="23"/>
      <c r="CC112" s="23"/>
      <c r="CD112" s="23"/>
      <c r="CE112" s="23"/>
      <c r="CF112" s="23"/>
      <c r="CG112" s="23" t="s">
        <v>3251</v>
      </c>
      <c r="CH112" s="23" t="s">
        <v>942</v>
      </c>
      <c r="CI112" s="471" t="s">
        <v>942</v>
      </c>
      <c r="CJ112" s="23"/>
    </row>
    <row r="113" spans="1:88" ht="72" customHeight="1">
      <c r="A113" s="15">
        <v>53</v>
      </c>
      <c r="B113" s="349" t="s">
        <v>3666</v>
      </c>
      <c r="C113" s="15" t="s">
        <v>942</v>
      </c>
      <c r="D113" s="331" t="s">
        <v>3695</v>
      </c>
      <c r="E113" s="15" t="s">
        <v>72</v>
      </c>
      <c r="F113" s="15">
        <v>2021</v>
      </c>
      <c r="G113" s="15">
        <v>2021</v>
      </c>
      <c r="H113" s="15">
        <v>6</v>
      </c>
      <c r="I113" s="15" t="s">
        <v>3516</v>
      </c>
      <c r="J113" s="350">
        <v>0</v>
      </c>
      <c r="K113" s="15" t="s">
        <v>3091</v>
      </c>
      <c r="L113" s="15">
        <v>1</v>
      </c>
      <c r="M113" s="15" t="s">
        <v>3617</v>
      </c>
      <c r="N113" s="15" t="s">
        <v>3223</v>
      </c>
      <c r="O113" s="15" t="s">
        <v>3215</v>
      </c>
      <c r="P113" s="15" t="s">
        <v>3216</v>
      </c>
      <c r="Q113" s="15">
        <v>6828913</v>
      </c>
      <c r="R113" s="15" t="s">
        <v>78</v>
      </c>
      <c r="S113" s="334" t="s">
        <v>3696</v>
      </c>
      <c r="T113" s="608">
        <f t="shared" si="12"/>
        <v>0</v>
      </c>
      <c r="U113" s="15" t="s">
        <v>3093</v>
      </c>
      <c r="V113" s="15"/>
      <c r="W113" s="15"/>
      <c r="X113" s="15" t="s">
        <v>3217</v>
      </c>
      <c r="Y113" s="15" t="s">
        <v>3216</v>
      </c>
      <c r="Z113" s="15">
        <v>8140</v>
      </c>
      <c r="AA113" s="333" t="s">
        <v>3291</v>
      </c>
      <c r="AB113" s="15" t="s">
        <v>942</v>
      </c>
      <c r="AC113" s="340" t="s">
        <v>3697</v>
      </c>
      <c r="AD113" s="15" t="s">
        <v>1573</v>
      </c>
      <c r="AE113" s="583">
        <f t="shared" si="14"/>
        <v>0</v>
      </c>
      <c r="AF113" s="15" t="s">
        <v>3093</v>
      </c>
      <c r="AG113" s="15"/>
      <c r="AH113" s="15"/>
      <c r="AI113" s="15" t="s">
        <v>3217</v>
      </c>
      <c r="AJ113" s="15" t="s">
        <v>3216</v>
      </c>
      <c r="AK113" s="15"/>
      <c r="AL113" s="341"/>
      <c r="AM113" s="15"/>
      <c r="AN113" s="583"/>
      <c r="AO113" s="15"/>
      <c r="AP113" s="15"/>
      <c r="AQ113" s="15"/>
      <c r="AR113" s="15"/>
      <c r="AS113" s="15"/>
      <c r="AT113" s="23"/>
      <c r="AU113" s="23"/>
      <c r="AV113" s="23"/>
      <c r="AW113" s="534"/>
      <c r="AX113" s="23"/>
      <c r="AY113" s="23"/>
      <c r="AZ113" s="23"/>
      <c r="BA113" s="23"/>
      <c r="BB113" s="23"/>
      <c r="BC113" s="23"/>
      <c r="BD113" s="23"/>
      <c r="BE113" s="534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348" t="s">
        <v>3190</v>
      </c>
      <c r="BR113" s="348" t="s">
        <v>3191</v>
      </c>
      <c r="BS113" s="23" t="s">
        <v>3698</v>
      </c>
      <c r="BT113" s="14"/>
      <c r="BU113" s="23"/>
      <c r="BV113" s="23"/>
      <c r="BW113" s="23"/>
      <c r="BX113" s="14"/>
      <c r="BY113" s="23"/>
      <c r="BZ113" s="23"/>
      <c r="CA113" s="23"/>
      <c r="CB113" s="23"/>
      <c r="CC113" s="23"/>
      <c r="CD113" s="23"/>
      <c r="CE113" s="23"/>
      <c r="CF113" s="23"/>
      <c r="CG113" s="23" t="s">
        <v>3251</v>
      </c>
      <c r="CH113" s="23" t="s">
        <v>3699</v>
      </c>
      <c r="CI113" s="471" t="s">
        <v>942</v>
      </c>
      <c r="CJ113" s="23"/>
    </row>
    <row r="114" spans="1:88" ht="60" customHeight="1">
      <c r="A114" s="15">
        <v>54</v>
      </c>
      <c r="B114" s="349" t="s">
        <v>3666</v>
      </c>
      <c r="C114" s="15" t="s">
        <v>942</v>
      </c>
      <c r="D114" s="331" t="s">
        <v>3700</v>
      </c>
      <c r="E114" s="15" t="s">
        <v>72</v>
      </c>
      <c r="F114" s="15">
        <v>2021</v>
      </c>
      <c r="G114" s="15">
        <v>2021</v>
      </c>
      <c r="H114" s="15">
        <v>6</v>
      </c>
      <c r="I114" s="15" t="s">
        <v>3516</v>
      </c>
      <c r="J114" s="350">
        <v>0</v>
      </c>
      <c r="K114" s="15" t="s">
        <v>3091</v>
      </c>
      <c r="L114" s="15">
        <v>3</v>
      </c>
      <c r="M114" s="15" t="s">
        <v>3617</v>
      </c>
      <c r="N114" s="15" t="s">
        <v>3223</v>
      </c>
      <c r="O114" s="15" t="s">
        <v>3215</v>
      </c>
      <c r="P114" s="15" t="s">
        <v>3216</v>
      </c>
      <c r="Q114" s="15">
        <v>6829959</v>
      </c>
      <c r="R114" s="15" t="s">
        <v>80</v>
      </c>
      <c r="S114" s="334" t="s">
        <v>3692</v>
      </c>
      <c r="T114" s="608">
        <f t="shared" si="12"/>
        <v>0</v>
      </c>
      <c r="U114" s="15" t="s">
        <v>175</v>
      </c>
      <c r="V114" s="15"/>
      <c r="W114" s="15"/>
      <c r="X114" s="15" t="s">
        <v>3217</v>
      </c>
      <c r="Y114" s="15" t="s">
        <v>3216</v>
      </c>
      <c r="Z114" s="15">
        <v>8140</v>
      </c>
      <c r="AA114" s="333" t="s">
        <v>3291</v>
      </c>
      <c r="AB114" s="94" t="s">
        <v>942</v>
      </c>
      <c r="AC114" s="340" t="s">
        <v>942</v>
      </c>
      <c r="AD114" s="15" t="s">
        <v>74</v>
      </c>
      <c r="AE114" s="583">
        <f t="shared" si="14"/>
        <v>0</v>
      </c>
      <c r="AF114" s="15" t="s">
        <v>175</v>
      </c>
      <c r="AG114" s="15"/>
      <c r="AH114" s="15"/>
      <c r="AI114" s="15" t="s">
        <v>3217</v>
      </c>
      <c r="AJ114" s="15" t="s">
        <v>3216</v>
      </c>
      <c r="AK114" s="15">
        <v>6680622</v>
      </c>
      <c r="AL114" s="334" t="s">
        <v>983</v>
      </c>
      <c r="AM114" s="15" t="s">
        <v>11</v>
      </c>
      <c r="AN114" s="583">
        <f>T114</f>
        <v>0</v>
      </c>
      <c r="AO114" s="15" t="s">
        <v>164</v>
      </c>
      <c r="AP114" s="15"/>
      <c r="AQ114" s="15"/>
      <c r="AR114" s="15" t="s">
        <v>3217</v>
      </c>
      <c r="AS114" s="15" t="s">
        <v>3216</v>
      </c>
      <c r="AT114" s="23"/>
      <c r="AU114" s="23"/>
      <c r="AV114" s="23"/>
      <c r="AW114" s="534"/>
      <c r="AX114" s="23"/>
      <c r="AY114" s="23"/>
      <c r="AZ114" s="23"/>
      <c r="BA114" s="23"/>
      <c r="BB114" s="23"/>
      <c r="BC114" s="23"/>
      <c r="BD114" s="23"/>
      <c r="BE114" s="534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348" t="s">
        <v>3190</v>
      </c>
      <c r="BR114" s="348" t="s">
        <v>3191</v>
      </c>
      <c r="BS114" s="23" t="s">
        <v>3701</v>
      </c>
      <c r="BT114" s="14"/>
      <c r="BU114" s="23"/>
      <c r="BV114" s="23"/>
      <c r="BW114" s="23"/>
      <c r="BX114" s="14"/>
      <c r="BY114" s="23"/>
      <c r="BZ114" s="23"/>
      <c r="CA114" s="23"/>
      <c r="CB114" s="23"/>
      <c r="CC114" s="23"/>
      <c r="CD114" s="23"/>
      <c r="CE114" s="23"/>
      <c r="CF114" s="23"/>
      <c r="CG114" s="23" t="s">
        <v>3660</v>
      </c>
      <c r="CH114" s="23" t="s">
        <v>942</v>
      </c>
      <c r="CI114" s="471" t="s">
        <v>942</v>
      </c>
      <c r="CJ114" s="23"/>
    </row>
    <row r="115" spans="1:88" ht="48" customHeight="1">
      <c r="A115" s="15">
        <v>55</v>
      </c>
      <c r="B115" s="349" t="s">
        <v>3666</v>
      </c>
      <c r="C115" s="15" t="s">
        <v>942</v>
      </c>
      <c r="D115" s="331" t="s">
        <v>3702</v>
      </c>
      <c r="E115" s="15" t="s">
        <v>72</v>
      </c>
      <c r="F115" s="15">
        <v>2021</v>
      </c>
      <c r="G115" s="15">
        <v>2021</v>
      </c>
      <c r="H115" s="15">
        <v>6</v>
      </c>
      <c r="I115" s="15" t="s">
        <v>3703</v>
      </c>
      <c r="J115" s="350">
        <v>0</v>
      </c>
      <c r="K115" s="15" t="s">
        <v>3091</v>
      </c>
      <c r="L115" s="15">
        <v>3</v>
      </c>
      <c r="M115" s="15" t="s">
        <v>3617</v>
      </c>
      <c r="N115" s="15" t="s">
        <v>3223</v>
      </c>
      <c r="O115" s="15" t="s">
        <v>3215</v>
      </c>
      <c r="P115" s="15" t="s">
        <v>3216</v>
      </c>
      <c r="Q115" s="15">
        <v>6680741</v>
      </c>
      <c r="R115" s="15" t="s">
        <v>16</v>
      </c>
      <c r="S115" s="334" t="s">
        <v>1838</v>
      </c>
      <c r="T115" s="608">
        <f t="shared" si="12"/>
        <v>0</v>
      </c>
      <c r="U115" s="15" t="s">
        <v>154</v>
      </c>
      <c r="V115" s="15"/>
      <c r="W115" s="15"/>
      <c r="X115" s="15" t="s">
        <v>3224</v>
      </c>
      <c r="Y115" s="15" t="s">
        <v>3216</v>
      </c>
      <c r="Z115" s="15">
        <v>8140</v>
      </c>
      <c r="AA115" s="333" t="s">
        <v>3291</v>
      </c>
      <c r="AB115" s="15">
        <v>6829130</v>
      </c>
      <c r="AC115" s="340" t="s">
        <v>3020</v>
      </c>
      <c r="AD115" s="15" t="s">
        <v>173</v>
      </c>
      <c r="AE115" s="583">
        <f t="shared" si="14"/>
        <v>0</v>
      </c>
      <c r="AF115" s="15" t="s">
        <v>154</v>
      </c>
      <c r="AG115" s="15" t="s">
        <v>155</v>
      </c>
      <c r="AH115" s="15"/>
      <c r="AI115" s="15" t="s">
        <v>3224</v>
      </c>
      <c r="AJ115" s="15" t="s">
        <v>3216</v>
      </c>
      <c r="AK115" s="15"/>
      <c r="AL115" s="341"/>
      <c r="AM115" s="15"/>
      <c r="AN115" s="583"/>
      <c r="AO115" s="15"/>
      <c r="AP115" s="15"/>
      <c r="AQ115" s="15"/>
      <c r="AR115" s="15"/>
      <c r="AS115" s="15"/>
      <c r="AT115" s="23"/>
      <c r="AU115" s="23"/>
      <c r="AV115" s="23"/>
      <c r="AW115" s="534"/>
      <c r="AX115" s="23"/>
      <c r="AY115" s="23"/>
      <c r="AZ115" s="23"/>
      <c r="BA115" s="23"/>
      <c r="BB115" s="23"/>
      <c r="BC115" s="23"/>
      <c r="BD115" s="23"/>
      <c r="BE115" s="534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348" t="s">
        <v>3190</v>
      </c>
      <c r="BR115" s="348" t="s">
        <v>3191</v>
      </c>
      <c r="BS115" s="23" t="s">
        <v>3704</v>
      </c>
      <c r="BT115" s="14"/>
      <c r="BU115" s="23" t="s">
        <v>3705</v>
      </c>
      <c r="BV115" s="23"/>
      <c r="BW115" s="23" t="s">
        <v>3706</v>
      </c>
      <c r="BX115" s="14"/>
      <c r="BY115" s="23" t="s">
        <v>3707</v>
      </c>
      <c r="BZ115" s="23"/>
      <c r="CA115" s="23"/>
      <c r="CB115" s="23"/>
      <c r="CC115" s="23"/>
      <c r="CD115" s="23"/>
      <c r="CE115" s="23"/>
      <c r="CF115" s="23"/>
      <c r="CG115" s="23" t="s">
        <v>3708</v>
      </c>
      <c r="CH115" s="23" t="s">
        <v>942</v>
      </c>
      <c r="CI115" s="471" t="s">
        <v>942</v>
      </c>
      <c r="CJ115" s="23"/>
    </row>
    <row r="116" spans="1:88" ht="51" customHeight="1">
      <c r="A116" s="15">
        <v>56</v>
      </c>
      <c r="B116" s="349" t="s">
        <v>3666</v>
      </c>
      <c r="C116" s="624" t="s">
        <v>3709</v>
      </c>
      <c r="D116" s="331" t="s">
        <v>3710</v>
      </c>
      <c r="E116" s="15" t="s">
        <v>72</v>
      </c>
      <c r="F116" s="15">
        <v>2021</v>
      </c>
      <c r="G116" s="15">
        <v>2021</v>
      </c>
      <c r="H116" s="15">
        <v>6</v>
      </c>
      <c r="I116" s="15" t="s">
        <v>3516</v>
      </c>
      <c r="J116" s="350">
        <v>0</v>
      </c>
      <c r="K116" s="15" t="s">
        <v>3091</v>
      </c>
      <c r="L116" s="15">
        <v>5</v>
      </c>
      <c r="M116" s="15" t="s">
        <v>3617</v>
      </c>
      <c r="N116" s="15" t="s">
        <v>3223</v>
      </c>
      <c r="O116" s="15" t="s">
        <v>3215</v>
      </c>
      <c r="P116" s="15" t="s">
        <v>3216</v>
      </c>
      <c r="Q116" s="15">
        <v>6760392</v>
      </c>
      <c r="R116" s="15" t="s">
        <v>75</v>
      </c>
      <c r="S116" s="334" t="s">
        <v>948</v>
      </c>
      <c r="T116" s="608">
        <f t="shared" si="12"/>
        <v>0</v>
      </c>
      <c r="U116" s="15" t="s">
        <v>175</v>
      </c>
      <c r="V116" s="15"/>
      <c r="W116" s="15"/>
      <c r="X116" s="15" t="s">
        <v>3217</v>
      </c>
      <c r="Y116" s="15" t="s">
        <v>3216</v>
      </c>
      <c r="Z116" s="15">
        <v>8140</v>
      </c>
      <c r="AA116" s="333" t="s">
        <v>3291</v>
      </c>
      <c r="AB116" s="15"/>
      <c r="AC116" s="340"/>
      <c r="AD116" s="15"/>
      <c r="AE116" s="583"/>
      <c r="AF116" s="15"/>
      <c r="AG116" s="15"/>
      <c r="AH116" s="15"/>
      <c r="AI116" s="15"/>
      <c r="AJ116" s="15"/>
      <c r="AK116" s="15"/>
      <c r="AL116" s="341"/>
      <c r="AM116" s="15"/>
      <c r="AN116" s="583"/>
      <c r="AO116" s="15"/>
      <c r="AP116" s="15"/>
      <c r="AQ116" s="15"/>
      <c r="AR116" s="15"/>
      <c r="AS116" s="15"/>
      <c r="AT116" s="23"/>
      <c r="AU116" s="23"/>
      <c r="AV116" s="23"/>
      <c r="AW116" s="534"/>
      <c r="AX116" s="23"/>
      <c r="AY116" s="23"/>
      <c r="AZ116" s="23"/>
      <c r="BA116" s="23"/>
      <c r="BB116" s="23"/>
      <c r="BC116" s="23"/>
      <c r="BD116" s="23"/>
      <c r="BE116" s="534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348" t="s">
        <v>3190</v>
      </c>
      <c r="BR116" s="348" t="s">
        <v>3191</v>
      </c>
      <c r="BS116" s="23" t="s">
        <v>3711</v>
      </c>
      <c r="BT116" s="14"/>
      <c r="BU116" s="23" t="s">
        <v>3712</v>
      </c>
      <c r="BV116" s="23" t="s">
        <v>3713</v>
      </c>
      <c r="BW116" s="23"/>
      <c r="BX116" s="14"/>
      <c r="BY116" s="23"/>
      <c r="BZ116" s="23"/>
      <c r="CA116" s="23"/>
      <c r="CB116" s="23"/>
      <c r="CC116" s="23"/>
      <c r="CD116" s="23"/>
      <c r="CE116" s="23"/>
      <c r="CF116" s="23"/>
      <c r="CG116" s="23" t="s">
        <v>3251</v>
      </c>
      <c r="CH116" s="23" t="s">
        <v>942</v>
      </c>
      <c r="CI116" s="471" t="s">
        <v>942</v>
      </c>
      <c r="CJ116" s="23"/>
    </row>
    <row r="117" spans="1:88" ht="48" customHeight="1">
      <c r="A117" s="15">
        <v>57</v>
      </c>
      <c r="B117" s="349" t="s">
        <v>3666</v>
      </c>
      <c r="C117" s="15" t="s">
        <v>942</v>
      </c>
      <c r="D117" s="331" t="s">
        <v>3714</v>
      </c>
      <c r="E117" s="15" t="s">
        <v>72</v>
      </c>
      <c r="F117" s="15">
        <v>2021</v>
      </c>
      <c r="G117" s="15">
        <v>2021</v>
      </c>
      <c r="H117" s="15">
        <v>3</v>
      </c>
      <c r="I117" s="15" t="s">
        <v>3451</v>
      </c>
      <c r="J117" s="350">
        <v>0</v>
      </c>
      <c r="K117" s="15" t="s">
        <v>3091</v>
      </c>
      <c r="L117" s="15">
        <v>3</v>
      </c>
      <c r="M117" s="15" t="s">
        <v>3617</v>
      </c>
      <c r="N117" s="15" t="s">
        <v>3223</v>
      </c>
      <c r="O117" s="15" t="s">
        <v>3215</v>
      </c>
      <c r="P117" s="15" t="s">
        <v>3216</v>
      </c>
      <c r="Q117" s="15">
        <v>6829130</v>
      </c>
      <c r="R117" s="15" t="s">
        <v>82</v>
      </c>
      <c r="S117" s="334" t="s">
        <v>3020</v>
      </c>
      <c r="T117" s="608">
        <f t="shared" si="12"/>
        <v>0</v>
      </c>
      <c r="U117" s="15" t="s">
        <v>154</v>
      </c>
      <c r="V117" s="15"/>
      <c r="W117" s="15"/>
      <c r="X117" s="15" t="s">
        <v>3224</v>
      </c>
      <c r="Y117" s="15" t="s">
        <v>3216</v>
      </c>
      <c r="Z117" s="15">
        <v>8140</v>
      </c>
      <c r="AA117" s="333" t="s">
        <v>3291</v>
      </c>
      <c r="AB117" s="15"/>
      <c r="AC117" s="340"/>
      <c r="AD117" s="15"/>
      <c r="AE117" s="583"/>
      <c r="AF117" s="15"/>
      <c r="AG117" s="15"/>
      <c r="AH117" s="15"/>
      <c r="AI117" s="15"/>
      <c r="AJ117" s="15"/>
      <c r="AK117" s="15"/>
      <c r="AL117" s="341"/>
      <c r="AM117" s="15"/>
      <c r="AN117" s="583"/>
      <c r="AO117" s="15"/>
      <c r="AP117" s="15"/>
      <c r="AQ117" s="15"/>
      <c r="AR117" s="15"/>
      <c r="AS117" s="15"/>
      <c r="AT117" s="23"/>
      <c r="AU117" s="23"/>
      <c r="AV117" s="23"/>
      <c r="AW117" s="534"/>
      <c r="AX117" s="23"/>
      <c r="AY117" s="23"/>
      <c r="AZ117" s="23"/>
      <c r="BA117" s="23"/>
      <c r="BB117" s="23"/>
      <c r="BC117" s="23"/>
      <c r="BD117" s="23"/>
      <c r="BE117" s="534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348" t="s">
        <v>3190</v>
      </c>
      <c r="BR117" s="348" t="s">
        <v>3191</v>
      </c>
      <c r="BS117" s="23" t="s">
        <v>525</v>
      </c>
      <c r="BT117" s="14"/>
      <c r="BU117" s="23" t="s">
        <v>3715</v>
      </c>
      <c r="BV117" s="23"/>
      <c r="BW117" s="23"/>
      <c r="BX117" s="14"/>
      <c r="BY117" s="23"/>
      <c r="BZ117" s="23"/>
      <c r="CA117" s="23"/>
      <c r="CB117" s="23"/>
      <c r="CC117" s="23"/>
      <c r="CD117" s="23"/>
      <c r="CE117" s="23"/>
      <c r="CF117" s="23"/>
      <c r="CG117" s="23" t="s">
        <v>3643</v>
      </c>
      <c r="CH117" s="23" t="s">
        <v>942</v>
      </c>
      <c r="CI117" s="471" t="s">
        <v>3716</v>
      </c>
      <c r="CJ117" s="23"/>
    </row>
    <row r="118" spans="1:88" s="550" customFormat="1" ht="48" customHeight="1">
      <c r="A118" s="15">
        <v>58</v>
      </c>
      <c r="B118" s="349" t="s">
        <v>3666</v>
      </c>
      <c r="C118" s="15" t="s">
        <v>942</v>
      </c>
      <c r="D118" s="331" t="s">
        <v>3717</v>
      </c>
      <c r="E118" s="15" t="s">
        <v>72</v>
      </c>
      <c r="F118" s="15">
        <v>2021</v>
      </c>
      <c r="G118" s="15">
        <v>2021</v>
      </c>
      <c r="H118" s="15">
        <v>6</v>
      </c>
      <c r="I118" s="15" t="s">
        <v>3516</v>
      </c>
      <c r="J118" s="350">
        <v>0</v>
      </c>
      <c r="K118" s="15" t="s">
        <v>3091</v>
      </c>
      <c r="L118" s="15">
        <v>2</v>
      </c>
      <c r="M118" s="15" t="s">
        <v>3617</v>
      </c>
      <c r="N118" s="15" t="s">
        <v>3223</v>
      </c>
      <c r="O118" s="15" t="s">
        <v>3215</v>
      </c>
      <c r="P118" s="15" t="s">
        <v>3216</v>
      </c>
      <c r="Q118" s="15">
        <v>6665306</v>
      </c>
      <c r="R118" s="15" t="s">
        <v>28</v>
      </c>
      <c r="S118" s="334" t="s">
        <v>1727</v>
      </c>
      <c r="T118" s="608">
        <f t="shared" si="12"/>
        <v>0</v>
      </c>
      <c r="U118" s="15" t="s">
        <v>166</v>
      </c>
      <c r="V118" s="15"/>
      <c r="W118" s="15"/>
      <c r="X118" s="15" t="s">
        <v>3217</v>
      </c>
      <c r="Y118" s="15" t="s">
        <v>3216</v>
      </c>
      <c r="Z118" s="15">
        <v>8140</v>
      </c>
      <c r="AA118" s="333" t="s">
        <v>3291</v>
      </c>
      <c r="AB118" s="15"/>
      <c r="AC118" s="340"/>
      <c r="AD118" s="15"/>
      <c r="AE118" s="583"/>
      <c r="AF118" s="15"/>
      <c r="AG118" s="15"/>
      <c r="AH118" s="15"/>
      <c r="AI118" s="15"/>
      <c r="AJ118" s="15"/>
      <c r="AK118" s="15"/>
      <c r="AL118" s="341"/>
      <c r="AM118" s="15"/>
      <c r="AN118" s="583"/>
      <c r="AO118" s="15"/>
      <c r="AP118" s="15"/>
      <c r="AQ118" s="15"/>
      <c r="AR118" s="15"/>
      <c r="AS118" s="15"/>
      <c r="AT118" s="23"/>
      <c r="AU118" s="23"/>
      <c r="AV118" s="23"/>
      <c r="AW118" s="534"/>
      <c r="AX118" s="23"/>
      <c r="AY118" s="23"/>
      <c r="AZ118" s="23"/>
      <c r="BA118" s="23"/>
      <c r="BB118" s="23"/>
      <c r="BC118" s="23"/>
      <c r="BD118" s="23"/>
      <c r="BE118" s="534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348" t="s">
        <v>3190</v>
      </c>
      <c r="BR118" s="15" t="s">
        <v>3191</v>
      </c>
      <c r="BS118" s="23" t="s">
        <v>3095</v>
      </c>
      <c r="BT118" s="14" t="s">
        <v>3713</v>
      </c>
      <c r="BU118" s="23" t="s">
        <v>3718</v>
      </c>
      <c r="BV118" s="23"/>
      <c r="BW118" s="23" t="s">
        <v>3719</v>
      </c>
      <c r="BX118" s="14" t="s">
        <v>3713</v>
      </c>
      <c r="BY118" s="23"/>
      <c r="BZ118" s="23"/>
      <c r="CA118" s="23"/>
      <c r="CB118" s="23"/>
      <c r="CC118" s="23"/>
      <c r="CD118" s="23"/>
      <c r="CE118" s="23"/>
      <c r="CF118" s="23"/>
      <c r="CG118" s="23" t="s">
        <v>3251</v>
      </c>
      <c r="CH118" s="23" t="s">
        <v>942</v>
      </c>
      <c r="CI118" s="471" t="s">
        <v>3309</v>
      </c>
      <c r="CJ118" s="23"/>
    </row>
    <row r="119" spans="1:88" ht="36" customHeight="1">
      <c r="A119" s="15">
        <v>59</v>
      </c>
      <c r="B119" s="349" t="s">
        <v>3666</v>
      </c>
      <c r="C119" s="15" t="s">
        <v>942</v>
      </c>
      <c r="D119" s="331" t="s">
        <v>3720</v>
      </c>
      <c r="E119" s="15" t="s">
        <v>72</v>
      </c>
      <c r="F119" s="15">
        <v>2021</v>
      </c>
      <c r="G119" s="15">
        <v>2021</v>
      </c>
      <c r="H119" s="15">
        <v>6</v>
      </c>
      <c r="I119" s="15" t="s">
        <v>3503</v>
      </c>
      <c r="J119" s="350">
        <v>0</v>
      </c>
      <c r="K119" s="15" t="s">
        <v>3091</v>
      </c>
      <c r="L119" s="15">
        <v>5</v>
      </c>
      <c r="M119" s="15" t="s">
        <v>3617</v>
      </c>
      <c r="N119" s="15" t="s">
        <v>3223</v>
      </c>
      <c r="O119" s="15" t="s">
        <v>3215</v>
      </c>
      <c r="P119" s="15" t="s">
        <v>3216</v>
      </c>
      <c r="Q119" s="15">
        <v>6680651</v>
      </c>
      <c r="R119" s="15" t="s">
        <v>12</v>
      </c>
      <c r="S119" s="334" t="s">
        <v>1016</v>
      </c>
      <c r="T119" s="608">
        <f t="shared" si="12"/>
        <v>0</v>
      </c>
      <c r="U119" s="15" t="s">
        <v>155</v>
      </c>
      <c r="V119" s="15"/>
      <c r="W119" s="15"/>
      <c r="X119" s="15" t="s">
        <v>3224</v>
      </c>
      <c r="Y119" s="15" t="s">
        <v>3216</v>
      </c>
      <c r="Z119" s="15">
        <v>8140</v>
      </c>
      <c r="AA119" s="333" t="s">
        <v>3291</v>
      </c>
      <c r="AB119" s="15">
        <v>6680633</v>
      </c>
      <c r="AC119" s="340" t="s">
        <v>3322</v>
      </c>
      <c r="AD119" s="15" t="s">
        <v>18</v>
      </c>
      <c r="AE119" s="583"/>
      <c r="AF119" s="15"/>
      <c r="AG119" s="15" t="s">
        <v>166</v>
      </c>
      <c r="AH119" s="15"/>
      <c r="AI119" s="15"/>
      <c r="AJ119" s="15"/>
      <c r="AK119" s="15">
        <v>6665306</v>
      </c>
      <c r="AL119" s="341">
        <v>703129001</v>
      </c>
      <c r="AM119" s="15" t="s">
        <v>28</v>
      </c>
      <c r="AN119" s="583"/>
      <c r="AO119" s="15"/>
      <c r="AP119" s="15"/>
      <c r="AQ119" s="15"/>
      <c r="AR119" s="15"/>
      <c r="AS119" s="15"/>
      <c r="AT119" s="23">
        <v>6680648</v>
      </c>
      <c r="AU119" s="23">
        <v>724089201</v>
      </c>
      <c r="AV119" s="23" t="s">
        <v>17</v>
      </c>
      <c r="AW119" s="534"/>
      <c r="AX119" s="23"/>
      <c r="AY119" s="23"/>
      <c r="AZ119" s="23"/>
      <c r="BA119" s="23"/>
      <c r="BB119" s="23">
        <v>6680623</v>
      </c>
      <c r="BC119" s="23">
        <v>721088602</v>
      </c>
      <c r="BD119" s="23" t="s">
        <v>30</v>
      </c>
      <c r="BE119" s="534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15" t="s">
        <v>3190</v>
      </c>
      <c r="BR119" s="348" t="s">
        <v>3191</v>
      </c>
      <c r="BS119" s="23" t="s">
        <v>3721</v>
      </c>
      <c r="BT119" s="14"/>
      <c r="BU119" s="23"/>
      <c r="BV119" s="23"/>
      <c r="BW119" s="23"/>
      <c r="BX119" s="14"/>
      <c r="BY119" s="23"/>
      <c r="BZ119" s="23"/>
      <c r="CA119" s="23"/>
      <c r="CB119" s="23"/>
      <c r="CC119" s="23"/>
      <c r="CD119" s="23"/>
      <c r="CE119" s="23"/>
      <c r="CF119" s="23"/>
      <c r="CG119" s="23" t="s">
        <v>942</v>
      </c>
      <c r="CH119" s="23" t="s">
        <v>942</v>
      </c>
      <c r="CI119" s="471" t="s">
        <v>942</v>
      </c>
      <c r="CJ119" s="23"/>
    </row>
    <row r="120" spans="1:88" ht="48" customHeight="1">
      <c r="A120" s="15">
        <v>60</v>
      </c>
      <c r="B120" s="349" t="s">
        <v>3666</v>
      </c>
      <c r="C120" s="348" t="s">
        <v>3722</v>
      </c>
      <c r="D120" s="331" t="s">
        <v>3723</v>
      </c>
      <c r="E120" s="15" t="s">
        <v>99</v>
      </c>
      <c r="F120" s="15">
        <v>2021</v>
      </c>
      <c r="G120" s="15">
        <v>2021</v>
      </c>
      <c r="H120" s="15">
        <v>5</v>
      </c>
      <c r="I120" s="15" t="s">
        <v>3603</v>
      </c>
      <c r="J120" s="350">
        <v>3000000</v>
      </c>
      <c r="K120" s="15" t="s">
        <v>3091</v>
      </c>
      <c r="L120" s="15" t="s">
        <v>942</v>
      </c>
      <c r="M120" s="15" t="s">
        <v>99</v>
      </c>
      <c r="N120" s="15" t="s">
        <v>3223</v>
      </c>
      <c r="O120" s="15" t="s">
        <v>3215</v>
      </c>
      <c r="P120" s="15" t="s">
        <v>3216</v>
      </c>
      <c r="Q120" s="15">
        <v>6801989</v>
      </c>
      <c r="R120" s="15" t="s">
        <v>55</v>
      </c>
      <c r="S120" s="15" t="s">
        <v>1890</v>
      </c>
      <c r="T120" s="608">
        <f t="shared" si="12"/>
        <v>3000000</v>
      </c>
      <c r="U120" s="15" t="s">
        <v>3093</v>
      </c>
      <c r="V120" s="15"/>
      <c r="W120" s="15"/>
      <c r="X120" s="15"/>
      <c r="Y120" s="15"/>
      <c r="Z120" s="15"/>
      <c r="AA120" s="333"/>
      <c r="AB120" s="15"/>
      <c r="AC120" s="340"/>
      <c r="AD120" s="15" t="s">
        <v>3097</v>
      </c>
      <c r="AE120" s="583">
        <f>J120/5</f>
        <v>600000</v>
      </c>
      <c r="AF120" s="15"/>
      <c r="AG120" s="15"/>
      <c r="AH120" s="15"/>
      <c r="AI120" s="15"/>
      <c r="AJ120" s="15"/>
      <c r="AK120" s="15">
        <v>6682237</v>
      </c>
      <c r="AL120" s="334" t="s">
        <v>1736</v>
      </c>
      <c r="AM120" s="15" t="s">
        <v>13</v>
      </c>
      <c r="AN120" s="583">
        <f>J120/5</f>
        <v>600000</v>
      </c>
      <c r="AO120" s="15" t="s">
        <v>3093</v>
      </c>
      <c r="AP120" s="15"/>
      <c r="AQ120" s="15"/>
      <c r="AR120" s="15" t="s">
        <v>3217</v>
      </c>
      <c r="AS120" s="15" t="s">
        <v>3216</v>
      </c>
      <c r="AT120" s="23"/>
      <c r="AU120" s="15"/>
      <c r="AV120" s="15" t="s">
        <v>3098</v>
      </c>
      <c r="AW120" s="534">
        <f>J120/5</f>
        <v>600000</v>
      </c>
      <c r="AX120" s="23"/>
      <c r="AY120" s="23"/>
      <c r="AZ120" s="23"/>
      <c r="BA120" s="23"/>
      <c r="BB120" s="15"/>
      <c r="BC120" s="204"/>
      <c r="BD120" s="15" t="s">
        <v>1573</v>
      </c>
      <c r="BE120" s="534">
        <f>J120/5</f>
        <v>600000</v>
      </c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348" t="s">
        <v>3190</v>
      </c>
      <c r="BR120" s="348" t="s">
        <v>3191</v>
      </c>
      <c r="BS120" s="23"/>
      <c r="BT120" s="14"/>
      <c r="BU120" s="23"/>
      <c r="BV120" s="23"/>
      <c r="BW120" s="23"/>
      <c r="BX120" s="14"/>
      <c r="BY120" s="23"/>
      <c r="BZ120" s="23"/>
      <c r="CA120" s="23"/>
      <c r="CB120" s="23"/>
      <c r="CC120" s="23"/>
      <c r="CD120" s="23"/>
      <c r="CE120" s="23"/>
      <c r="CF120" s="23"/>
      <c r="CG120" s="23" t="s">
        <v>3605</v>
      </c>
      <c r="CH120" s="23" t="s">
        <v>3609</v>
      </c>
      <c r="CI120" s="471" t="s">
        <v>942</v>
      </c>
      <c r="CJ120" s="23"/>
    </row>
    <row r="121" spans="1:88" ht="48" customHeight="1">
      <c r="A121" s="15">
        <v>61</v>
      </c>
      <c r="B121" s="349" t="s">
        <v>3666</v>
      </c>
      <c r="C121" s="348" t="s">
        <v>3724</v>
      </c>
      <c r="D121" s="331" t="s">
        <v>3725</v>
      </c>
      <c r="E121" s="15" t="s">
        <v>99</v>
      </c>
      <c r="F121" s="15">
        <v>2021</v>
      </c>
      <c r="G121" s="15">
        <v>2021</v>
      </c>
      <c r="H121" s="15">
        <v>12</v>
      </c>
      <c r="I121" s="15" t="s">
        <v>3703</v>
      </c>
      <c r="J121" s="350">
        <v>3000000</v>
      </c>
      <c r="K121" s="15" t="s">
        <v>3091</v>
      </c>
      <c r="L121" s="15" t="s">
        <v>942</v>
      </c>
      <c r="M121" s="15" t="s">
        <v>99</v>
      </c>
      <c r="N121" s="15" t="s">
        <v>3223</v>
      </c>
      <c r="O121" s="15" t="s">
        <v>3215</v>
      </c>
      <c r="P121" s="15" t="s">
        <v>3216</v>
      </c>
      <c r="Q121" s="15">
        <v>6768348</v>
      </c>
      <c r="R121" s="15" t="s">
        <v>53</v>
      </c>
      <c r="S121" s="334" t="s">
        <v>2044</v>
      </c>
      <c r="T121" s="608">
        <f t="shared" si="12"/>
        <v>3000000</v>
      </c>
      <c r="U121" s="15"/>
      <c r="V121" s="15"/>
      <c r="W121" s="15"/>
      <c r="X121" s="15"/>
      <c r="Y121" s="15"/>
      <c r="Z121" s="15"/>
      <c r="AA121" s="333"/>
      <c r="AB121" s="15">
        <v>6767777</v>
      </c>
      <c r="AC121" s="340" t="s">
        <v>2673</v>
      </c>
      <c r="AD121" s="15" t="s">
        <v>3452</v>
      </c>
      <c r="AE121" s="583">
        <f>J121/3</f>
        <v>1000000</v>
      </c>
      <c r="AF121" s="15" t="s">
        <v>171</v>
      </c>
      <c r="AG121" s="15"/>
      <c r="AH121" s="15"/>
      <c r="AI121" s="15" t="s">
        <v>3217</v>
      </c>
      <c r="AJ121" s="15" t="s">
        <v>3216</v>
      </c>
      <c r="AK121" s="15">
        <v>6773159</v>
      </c>
      <c r="AL121" s="341" t="s">
        <v>3683</v>
      </c>
      <c r="AM121" s="15" t="s">
        <v>46</v>
      </c>
      <c r="AN121" s="583">
        <f>J121/3</f>
        <v>1000000</v>
      </c>
      <c r="AO121" s="15" t="s">
        <v>171</v>
      </c>
      <c r="AP121" s="15"/>
      <c r="AQ121" s="15"/>
      <c r="AR121" s="15" t="s">
        <v>3217</v>
      </c>
      <c r="AS121" s="15" t="s">
        <v>3216</v>
      </c>
      <c r="AT121" s="23"/>
      <c r="AU121" s="23"/>
      <c r="AV121" s="23"/>
      <c r="AW121" s="534"/>
      <c r="AX121" s="23"/>
      <c r="AY121" s="23"/>
      <c r="AZ121" s="23"/>
      <c r="BA121" s="23"/>
      <c r="BB121" s="23"/>
      <c r="BC121" s="23"/>
      <c r="BD121" s="23"/>
      <c r="BE121" s="534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348" t="s">
        <v>3190</v>
      </c>
      <c r="BR121" s="348" t="s">
        <v>3191</v>
      </c>
      <c r="BS121" s="23"/>
      <c r="BT121" s="14"/>
      <c r="BU121" s="23"/>
      <c r="BV121" s="23"/>
      <c r="BW121" s="23"/>
      <c r="BX121" s="14"/>
      <c r="BY121" s="23"/>
      <c r="BZ121" s="23"/>
      <c r="CA121" s="23"/>
      <c r="CB121" s="23"/>
      <c r="CC121" s="23"/>
      <c r="CD121" s="23"/>
      <c r="CE121" s="23"/>
      <c r="CF121" s="23"/>
      <c r="CG121" s="23" t="s">
        <v>3605</v>
      </c>
      <c r="CH121" s="23" t="s">
        <v>3609</v>
      </c>
      <c r="CI121" s="471" t="s">
        <v>942</v>
      </c>
      <c r="CJ121" s="23"/>
    </row>
    <row r="122" spans="1:88" ht="48" customHeight="1">
      <c r="A122" s="15">
        <v>62</v>
      </c>
      <c r="B122" s="349" t="s">
        <v>3666</v>
      </c>
      <c r="C122" s="348" t="s">
        <v>3726</v>
      </c>
      <c r="D122" s="331" t="s">
        <v>3727</v>
      </c>
      <c r="E122" s="15" t="s">
        <v>99</v>
      </c>
      <c r="F122" s="15">
        <v>2021</v>
      </c>
      <c r="G122" s="15">
        <v>2021</v>
      </c>
      <c r="H122" s="15">
        <v>5</v>
      </c>
      <c r="I122" s="15" t="s">
        <v>3728</v>
      </c>
      <c r="J122" s="350">
        <v>3000000</v>
      </c>
      <c r="K122" s="15" t="s">
        <v>3091</v>
      </c>
      <c r="L122" s="15" t="s">
        <v>942</v>
      </c>
      <c r="M122" s="15" t="s">
        <v>99</v>
      </c>
      <c r="N122" s="15" t="s">
        <v>3223</v>
      </c>
      <c r="O122" s="15" t="s">
        <v>3215</v>
      </c>
      <c r="P122" s="15" t="s">
        <v>3216</v>
      </c>
      <c r="Q122" s="15" t="s">
        <v>942</v>
      </c>
      <c r="R122" s="15" t="s">
        <v>74</v>
      </c>
      <c r="S122" s="334" t="s">
        <v>942</v>
      </c>
      <c r="T122" s="608">
        <f t="shared" si="12"/>
        <v>3000000</v>
      </c>
      <c r="U122" s="15"/>
      <c r="V122" s="15"/>
      <c r="W122" s="15"/>
      <c r="X122" s="15"/>
      <c r="Y122" s="15"/>
      <c r="Z122" s="15"/>
      <c r="AA122" s="333"/>
      <c r="AB122" s="15">
        <v>6760392</v>
      </c>
      <c r="AC122" s="334" t="s">
        <v>948</v>
      </c>
      <c r="AD122" s="15" t="s">
        <v>75</v>
      </c>
      <c r="AE122" s="583">
        <f>J122/3</f>
        <v>1000000</v>
      </c>
      <c r="AF122" s="15" t="s">
        <v>175</v>
      </c>
      <c r="AG122" s="15"/>
      <c r="AH122" s="15"/>
      <c r="AI122" s="15" t="s">
        <v>3217</v>
      </c>
      <c r="AJ122" s="15" t="s">
        <v>3216</v>
      </c>
      <c r="AK122" s="15"/>
      <c r="AL122" s="341"/>
      <c r="AM122" s="15" t="s">
        <v>80</v>
      </c>
      <c r="AN122" s="583">
        <f>J122/3</f>
        <v>1000000</v>
      </c>
      <c r="AO122" s="15"/>
      <c r="AP122" s="15"/>
      <c r="AQ122" s="15"/>
      <c r="AR122" s="15" t="s">
        <v>3217</v>
      </c>
      <c r="AS122" s="15" t="s">
        <v>3216</v>
      </c>
      <c r="AT122" s="23">
        <v>6680680</v>
      </c>
      <c r="AU122" s="23">
        <v>704039202</v>
      </c>
      <c r="AV122" s="23" t="s">
        <v>9</v>
      </c>
      <c r="AW122" s="534"/>
      <c r="AX122" s="23"/>
      <c r="AY122" s="23"/>
      <c r="AZ122" s="23"/>
      <c r="BA122" s="23"/>
      <c r="BB122" s="23">
        <v>6793410</v>
      </c>
      <c r="BC122" s="23">
        <v>707019501</v>
      </c>
      <c r="BD122" s="23" t="s">
        <v>79</v>
      </c>
      <c r="BE122" s="534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348" t="s">
        <v>3190</v>
      </c>
      <c r="BR122" s="348" t="s">
        <v>3191</v>
      </c>
      <c r="BS122" s="23"/>
      <c r="BT122" s="14"/>
      <c r="BU122" s="23"/>
      <c r="BV122" s="23"/>
      <c r="BW122" s="23"/>
      <c r="BX122" s="14"/>
      <c r="BY122" s="23"/>
      <c r="BZ122" s="23"/>
      <c r="CA122" s="23"/>
      <c r="CB122" s="23"/>
      <c r="CC122" s="23"/>
      <c r="CD122" s="23"/>
      <c r="CE122" s="23"/>
      <c r="CF122" s="23"/>
      <c r="CG122" s="23" t="s">
        <v>3729</v>
      </c>
      <c r="CH122" s="23" t="s">
        <v>3609</v>
      </c>
      <c r="CI122" s="471" t="s">
        <v>942</v>
      </c>
      <c r="CJ122" s="23"/>
    </row>
    <row r="123" spans="1:88" s="550" customFormat="1" ht="72" customHeight="1">
      <c r="A123" s="15">
        <v>63</v>
      </c>
      <c r="B123" s="23" t="s">
        <v>942</v>
      </c>
      <c r="C123" s="15" t="s">
        <v>942</v>
      </c>
      <c r="D123" s="331" t="s">
        <v>3730</v>
      </c>
      <c r="E123" s="15" t="s">
        <v>72</v>
      </c>
      <c r="F123" s="15">
        <v>2021</v>
      </c>
      <c r="G123" s="15">
        <v>2021</v>
      </c>
      <c r="H123" s="15">
        <v>6</v>
      </c>
      <c r="I123" s="15" t="s">
        <v>3516</v>
      </c>
      <c r="J123" s="350">
        <v>0</v>
      </c>
      <c r="K123" s="15" t="s">
        <v>3091</v>
      </c>
      <c r="L123" s="15">
        <v>1</v>
      </c>
      <c r="M123" s="15" t="s">
        <v>3617</v>
      </c>
      <c r="N123" s="15" t="s">
        <v>3223</v>
      </c>
      <c r="O123" s="15" t="s">
        <v>3215</v>
      </c>
      <c r="P123" s="15" t="s">
        <v>3216</v>
      </c>
      <c r="Q123" s="15">
        <v>6680634</v>
      </c>
      <c r="R123" s="15" t="s">
        <v>47</v>
      </c>
      <c r="S123" s="334" t="s">
        <v>989</v>
      </c>
      <c r="T123" s="608">
        <f t="shared" si="12"/>
        <v>0</v>
      </c>
      <c r="U123" s="15" t="s">
        <v>166</v>
      </c>
      <c r="V123" s="15"/>
      <c r="W123" s="15"/>
      <c r="X123" s="15" t="s">
        <v>3217</v>
      </c>
      <c r="Y123" s="15" t="s">
        <v>3216</v>
      </c>
      <c r="Z123" s="15">
        <v>8140</v>
      </c>
      <c r="AA123" s="333" t="s">
        <v>3291</v>
      </c>
      <c r="AB123" s="15">
        <v>6665306</v>
      </c>
      <c r="AC123" s="340" t="s">
        <v>1727</v>
      </c>
      <c r="AD123" s="15" t="s">
        <v>28</v>
      </c>
      <c r="AE123" s="583"/>
      <c r="AF123" s="15" t="s">
        <v>166</v>
      </c>
      <c r="AG123" s="15"/>
      <c r="AH123" s="15"/>
      <c r="AI123" s="15" t="s">
        <v>3217</v>
      </c>
      <c r="AJ123" s="15" t="s">
        <v>3216</v>
      </c>
      <c r="AK123" s="15">
        <v>6744406</v>
      </c>
      <c r="AL123" s="341">
        <v>709059004</v>
      </c>
      <c r="AM123" s="15" t="s">
        <v>352</v>
      </c>
      <c r="AN123" s="583"/>
      <c r="AO123" s="15"/>
      <c r="AP123" s="15"/>
      <c r="AQ123" s="15"/>
      <c r="AR123" s="15"/>
      <c r="AS123" s="15"/>
      <c r="AT123" s="23"/>
      <c r="AU123" s="23"/>
      <c r="AV123" s="23"/>
      <c r="AW123" s="534"/>
      <c r="AX123" s="23"/>
      <c r="AY123" s="23"/>
      <c r="AZ123" s="23"/>
      <c r="BA123" s="23"/>
      <c r="BB123" s="23"/>
      <c r="BC123" s="23"/>
      <c r="BD123" s="23"/>
      <c r="BE123" s="534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348" t="s">
        <v>3190</v>
      </c>
      <c r="BR123" s="15" t="s">
        <v>3191</v>
      </c>
      <c r="BS123" s="23"/>
      <c r="BT123" s="14"/>
      <c r="BU123" s="23"/>
      <c r="BV123" s="23"/>
      <c r="BW123" s="23"/>
      <c r="BX123" s="14"/>
      <c r="BY123" s="23"/>
      <c r="BZ123" s="23"/>
      <c r="CA123" s="23"/>
      <c r="CB123" s="23"/>
      <c r="CC123" s="23"/>
      <c r="CD123" s="23"/>
      <c r="CE123" s="23"/>
      <c r="CF123" s="23"/>
      <c r="CG123" s="23" t="s">
        <v>3731</v>
      </c>
      <c r="CH123" s="23" t="s">
        <v>942</v>
      </c>
      <c r="CI123" s="471" t="s">
        <v>942</v>
      </c>
      <c r="CJ123" s="23"/>
    </row>
    <row r="124" spans="1:88" ht="36">
      <c r="A124" s="15">
        <v>64</v>
      </c>
      <c r="B124" s="23" t="s">
        <v>942</v>
      </c>
      <c r="C124" s="15" t="s">
        <v>942</v>
      </c>
      <c r="D124" s="331" t="s">
        <v>3732</v>
      </c>
      <c r="E124" s="15" t="s">
        <v>59</v>
      </c>
      <c r="F124" s="15">
        <v>2021</v>
      </c>
      <c r="G124" s="15">
        <v>2021</v>
      </c>
      <c r="H124" s="15"/>
      <c r="I124" s="15"/>
      <c r="J124" s="350">
        <v>100000000</v>
      </c>
      <c r="K124" s="15"/>
      <c r="L124" s="15"/>
      <c r="M124" s="15"/>
      <c r="N124" s="15" t="s">
        <v>3223</v>
      </c>
      <c r="O124" s="15"/>
      <c r="P124" s="15"/>
      <c r="Q124" s="15">
        <v>258471</v>
      </c>
      <c r="R124" s="15" t="s">
        <v>60</v>
      </c>
      <c r="S124" s="334" t="s">
        <v>3504</v>
      </c>
      <c r="T124" s="608">
        <f t="shared" si="12"/>
        <v>100000000</v>
      </c>
      <c r="U124" s="15" t="s">
        <v>155</v>
      </c>
      <c r="V124" s="15"/>
      <c r="W124" s="15"/>
      <c r="X124" s="15" t="s">
        <v>3224</v>
      </c>
      <c r="Y124" s="15" t="s">
        <v>3216</v>
      </c>
      <c r="Z124" s="15"/>
      <c r="AA124" s="333"/>
      <c r="AB124" s="15">
        <v>6680683</v>
      </c>
      <c r="AC124" s="340" t="s">
        <v>2454</v>
      </c>
      <c r="AD124" s="15" t="s">
        <v>10</v>
      </c>
      <c r="AE124" s="583"/>
      <c r="AF124" s="15" t="s">
        <v>164</v>
      </c>
      <c r="AG124" s="15"/>
      <c r="AH124" s="15"/>
      <c r="AI124" s="15" t="s">
        <v>3217</v>
      </c>
      <c r="AJ124" s="15" t="s">
        <v>3216</v>
      </c>
      <c r="AK124" s="15">
        <v>6680685</v>
      </c>
      <c r="AL124" s="334" t="s">
        <v>3328</v>
      </c>
      <c r="AM124" s="15" t="s">
        <v>3375</v>
      </c>
      <c r="AN124" s="583"/>
      <c r="AO124" s="15" t="s">
        <v>155</v>
      </c>
      <c r="AP124" s="15"/>
      <c r="AQ124" s="15"/>
      <c r="AR124" s="15" t="s">
        <v>3224</v>
      </c>
      <c r="AS124" s="15" t="s">
        <v>3216</v>
      </c>
      <c r="AT124" s="15">
        <v>6778837</v>
      </c>
      <c r="AU124" s="204" t="s">
        <v>979</v>
      </c>
      <c r="AV124" s="15" t="s">
        <v>71</v>
      </c>
      <c r="AW124" s="534"/>
      <c r="AX124" s="15" t="s">
        <v>171</v>
      </c>
      <c r="AY124" s="15"/>
      <c r="AZ124" s="15" t="s">
        <v>3286</v>
      </c>
      <c r="BA124" s="15" t="s">
        <v>3216</v>
      </c>
      <c r="BB124" s="23"/>
      <c r="BC124" s="23"/>
      <c r="BD124" s="23"/>
      <c r="BE124" s="534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348"/>
      <c r="BR124" s="15"/>
      <c r="BS124" s="23"/>
      <c r="BT124" s="14"/>
      <c r="BU124" s="23"/>
      <c r="BV124" s="23"/>
      <c r="BW124" s="23"/>
      <c r="BX124" s="14"/>
      <c r="BY124" s="23"/>
      <c r="BZ124" s="23"/>
      <c r="CA124" s="23"/>
      <c r="CB124" s="23"/>
      <c r="CC124" s="23"/>
      <c r="CD124" s="23"/>
      <c r="CE124" s="23"/>
      <c r="CF124" s="23"/>
      <c r="CG124" s="23"/>
      <c r="CH124" s="23"/>
      <c r="CI124" s="471"/>
      <c r="CJ124" s="23"/>
    </row>
    <row r="125" spans="1:88" s="157" customFormat="1" ht="14.4" customHeight="1">
      <c r="A125" s="714"/>
      <c r="B125" s="343"/>
      <c r="C125" s="714"/>
      <c r="D125" s="730"/>
      <c r="E125" s="714"/>
      <c r="F125" s="714"/>
      <c r="G125" s="714"/>
      <c r="H125" s="714"/>
      <c r="I125" s="714"/>
      <c r="J125" s="720"/>
      <c r="K125" s="714"/>
      <c r="L125" s="714"/>
      <c r="M125" s="714"/>
      <c r="N125" s="714"/>
      <c r="O125" s="714"/>
      <c r="P125" s="714"/>
      <c r="Q125" s="714"/>
      <c r="R125" s="714"/>
      <c r="S125" s="731"/>
      <c r="T125" s="732"/>
      <c r="U125" s="714"/>
      <c r="V125" s="714"/>
      <c r="W125" s="714"/>
      <c r="X125" s="714"/>
      <c r="Y125" s="714"/>
      <c r="Z125" s="714"/>
      <c r="AA125" s="718"/>
      <c r="AB125" s="714"/>
      <c r="AC125" s="733"/>
      <c r="AD125" s="714"/>
      <c r="AE125" s="722"/>
      <c r="AF125" s="714"/>
      <c r="AG125" s="714"/>
      <c r="AH125" s="714"/>
      <c r="AI125" s="714"/>
      <c r="AJ125" s="714"/>
      <c r="AK125" s="714"/>
      <c r="AL125" s="721"/>
      <c r="AM125" s="714"/>
      <c r="AN125" s="722"/>
      <c r="AO125" s="714"/>
      <c r="AP125" s="714"/>
      <c r="AQ125" s="714"/>
      <c r="AR125" s="714"/>
      <c r="AS125" s="714"/>
      <c r="AT125" s="343"/>
      <c r="AU125" s="343"/>
      <c r="AV125" s="343"/>
      <c r="AW125" s="734"/>
      <c r="AX125" s="343"/>
      <c r="AY125" s="343"/>
      <c r="AZ125" s="343"/>
      <c r="BA125" s="343"/>
      <c r="BB125" s="343"/>
      <c r="BC125" s="343"/>
      <c r="BD125" s="343"/>
      <c r="BE125" s="734"/>
      <c r="BF125" s="343"/>
      <c r="BG125" s="343"/>
      <c r="BH125" s="343"/>
      <c r="BI125" s="343"/>
      <c r="BJ125" s="343"/>
      <c r="BK125" s="343"/>
      <c r="BL125" s="343"/>
      <c r="BM125" s="343"/>
      <c r="BN125" s="343"/>
      <c r="BO125" s="343"/>
      <c r="BP125" s="343"/>
      <c r="BQ125" s="716"/>
      <c r="BR125" s="714"/>
      <c r="BS125" s="343"/>
      <c r="BT125" s="735"/>
      <c r="BU125" s="343"/>
      <c r="BV125" s="343"/>
      <c r="BW125" s="343"/>
      <c r="BX125" s="735"/>
      <c r="BY125" s="343"/>
      <c r="BZ125" s="343"/>
      <c r="CA125" s="343"/>
      <c r="CB125" s="343"/>
      <c r="CC125" s="343"/>
      <c r="CD125" s="343"/>
      <c r="CE125" s="343"/>
      <c r="CF125" s="343"/>
      <c r="CG125" s="343"/>
      <c r="CH125" s="343"/>
      <c r="CI125" s="736"/>
      <c r="CJ125" s="343"/>
    </row>
    <row r="126" spans="1:88" s="4" customFormat="1" ht="48" customHeight="1">
      <c r="A126" s="15">
        <v>1</v>
      </c>
      <c r="B126" s="349" t="s">
        <v>3733</v>
      </c>
      <c r="C126" s="348" t="s">
        <v>3734</v>
      </c>
      <c r="D126" s="14" t="s">
        <v>3735</v>
      </c>
      <c r="E126" s="15" t="s">
        <v>31</v>
      </c>
      <c r="F126" s="15">
        <v>2022</v>
      </c>
      <c r="G126" s="15">
        <v>2022</v>
      </c>
      <c r="H126" s="15">
        <v>10</v>
      </c>
      <c r="I126" s="344" t="s">
        <v>3476</v>
      </c>
      <c r="J126" s="350">
        <v>6500000</v>
      </c>
      <c r="K126" s="15" t="s">
        <v>3091</v>
      </c>
      <c r="L126" s="15">
        <v>3</v>
      </c>
      <c r="M126" s="15" t="s">
        <v>3222</v>
      </c>
      <c r="N126" s="15" t="s">
        <v>3223</v>
      </c>
      <c r="O126" s="15" t="s">
        <v>3215</v>
      </c>
      <c r="P126" s="15" t="s">
        <v>3216</v>
      </c>
      <c r="Q126" s="15">
        <v>6680643</v>
      </c>
      <c r="R126" s="15" t="s">
        <v>8</v>
      </c>
      <c r="S126" s="334" t="s">
        <v>1017</v>
      </c>
      <c r="T126" s="608">
        <f>J126/1</f>
        <v>6500000</v>
      </c>
      <c r="U126" s="15" t="s">
        <v>172</v>
      </c>
      <c r="V126" s="15" t="s">
        <v>160</v>
      </c>
      <c r="W126" s="15"/>
      <c r="X126" s="15" t="s">
        <v>3281</v>
      </c>
      <c r="Y126" s="15" t="s">
        <v>3216</v>
      </c>
      <c r="Z126" s="15">
        <v>8140</v>
      </c>
      <c r="AA126" s="333" t="s">
        <v>3291</v>
      </c>
      <c r="AB126" s="15"/>
      <c r="AC126" s="340"/>
      <c r="AD126" s="15"/>
      <c r="AE126" s="583"/>
      <c r="AF126" s="15"/>
      <c r="AG126" s="15"/>
      <c r="AH126" s="15"/>
      <c r="AI126" s="15"/>
      <c r="AJ126" s="15"/>
      <c r="AK126" s="15"/>
      <c r="AL126" s="341"/>
      <c r="AM126" s="15"/>
      <c r="AN126" s="583"/>
      <c r="AO126" s="15"/>
      <c r="AP126" s="15"/>
      <c r="AQ126" s="15"/>
      <c r="AR126" s="15"/>
      <c r="AS126" s="15"/>
      <c r="AT126" s="23"/>
      <c r="AU126" s="23"/>
      <c r="AV126" s="23"/>
      <c r="AW126" s="534"/>
      <c r="AX126" s="23"/>
      <c r="AY126" s="23"/>
      <c r="AZ126" s="23"/>
      <c r="BA126" s="23"/>
      <c r="BB126" s="23"/>
      <c r="BC126" s="23"/>
      <c r="BD126" s="23"/>
      <c r="BE126" s="534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348" t="s">
        <v>3190</v>
      </c>
      <c r="BR126" s="348" t="s">
        <v>3191</v>
      </c>
      <c r="BS126" s="23" t="s">
        <v>3736</v>
      </c>
      <c r="BT126" s="14" t="s">
        <v>3737</v>
      </c>
      <c r="BU126" s="23"/>
      <c r="BV126" s="23"/>
      <c r="BW126" s="23"/>
      <c r="BX126" s="14"/>
      <c r="BY126" s="23"/>
      <c r="BZ126" s="23"/>
      <c r="CA126" s="23"/>
      <c r="CB126" s="23"/>
      <c r="CC126" s="23"/>
      <c r="CD126" s="23"/>
      <c r="CE126" s="23"/>
      <c r="CF126" s="23"/>
      <c r="CG126" s="23" t="s">
        <v>3738</v>
      </c>
      <c r="CH126" s="345" t="s">
        <v>3419</v>
      </c>
      <c r="CI126" s="471"/>
      <c r="CJ126" s="345" t="s">
        <v>3739</v>
      </c>
    </row>
    <row r="127" spans="1:88" s="554" customFormat="1" ht="48" customHeight="1">
      <c r="A127" s="15">
        <v>2</v>
      </c>
      <c r="B127" s="349" t="s">
        <v>3733</v>
      </c>
      <c r="C127" s="348" t="s">
        <v>3740</v>
      </c>
      <c r="D127" s="14" t="s">
        <v>3741</v>
      </c>
      <c r="E127" s="15" t="s">
        <v>31</v>
      </c>
      <c r="F127" s="15">
        <v>2022</v>
      </c>
      <c r="G127" s="15">
        <v>2022</v>
      </c>
      <c r="H127" s="15">
        <v>8</v>
      </c>
      <c r="I127" s="344" t="s">
        <v>3516</v>
      </c>
      <c r="J127" s="350">
        <v>6739000</v>
      </c>
      <c r="K127" s="15" t="s">
        <v>3091</v>
      </c>
      <c r="L127" s="15">
        <v>3</v>
      </c>
      <c r="M127" s="15" t="s">
        <v>3222</v>
      </c>
      <c r="N127" s="15" t="s">
        <v>3223</v>
      </c>
      <c r="O127" s="15" t="s">
        <v>3215</v>
      </c>
      <c r="P127" s="15" t="s">
        <v>3216</v>
      </c>
      <c r="Q127" s="15">
        <v>6801883</v>
      </c>
      <c r="R127" s="15" t="s">
        <v>39</v>
      </c>
      <c r="S127" s="334" t="s">
        <v>1751</v>
      </c>
      <c r="T127" s="608">
        <f>J127/2</f>
        <v>3369500</v>
      </c>
      <c r="U127" s="15" t="s">
        <v>166</v>
      </c>
      <c r="V127" s="15"/>
      <c r="W127" s="15"/>
      <c r="X127" s="15" t="s">
        <v>3286</v>
      </c>
      <c r="Y127" s="15" t="s">
        <v>3216</v>
      </c>
      <c r="Z127" s="15">
        <v>8140</v>
      </c>
      <c r="AA127" s="333" t="s">
        <v>3291</v>
      </c>
      <c r="AB127" s="15">
        <v>6665306</v>
      </c>
      <c r="AC127" s="15" t="s">
        <v>1727</v>
      </c>
      <c r="AD127" s="15" t="s">
        <v>28</v>
      </c>
      <c r="AE127" s="583">
        <f t="shared" ref="AE127:AE147" si="15">T127</f>
        <v>3369500</v>
      </c>
      <c r="AF127" s="15" t="s">
        <v>166</v>
      </c>
      <c r="AG127" s="15"/>
      <c r="AH127" s="15"/>
      <c r="AI127" s="15" t="s">
        <v>3286</v>
      </c>
      <c r="AJ127" s="15" t="s">
        <v>3216</v>
      </c>
      <c r="AK127" s="15"/>
      <c r="AL127" s="341"/>
      <c r="AM127" s="15"/>
      <c r="AN127" s="583"/>
      <c r="AO127" s="15"/>
      <c r="AP127" s="15"/>
      <c r="AQ127" s="15"/>
      <c r="AR127" s="15"/>
      <c r="AS127" s="15"/>
      <c r="AT127" s="23"/>
      <c r="AU127" s="23"/>
      <c r="AV127" s="23"/>
      <c r="AW127" s="534"/>
      <c r="AX127" s="23"/>
      <c r="AY127" s="23"/>
      <c r="AZ127" s="23"/>
      <c r="BA127" s="23"/>
      <c r="BB127" s="23"/>
      <c r="BC127" s="23"/>
      <c r="BD127" s="23"/>
      <c r="BE127" s="534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348" t="s">
        <v>3190</v>
      </c>
      <c r="BR127" s="348" t="s">
        <v>3191</v>
      </c>
      <c r="BS127" s="23" t="s">
        <v>3742</v>
      </c>
      <c r="BT127" s="14"/>
      <c r="BU127" s="23" t="s">
        <v>1551</v>
      </c>
      <c r="BV127" s="23"/>
      <c r="BW127" s="23"/>
      <c r="BX127" s="14"/>
      <c r="BY127" s="23"/>
      <c r="BZ127" s="23"/>
      <c r="CA127" s="23"/>
      <c r="CB127" s="23"/>
      <c r="CC127" s="23"/>
      <c r="CD127" s="23"/>
      <c r="CE127" s="23"/>
      <c r="CF127" s="23"/>
      <c r="CG127" s="23" t="s">
        <v>3743</v>
      </c>
      <c r="CH127" s="345" t="s">
        <v>3744</v>
      </c>
      <c r="CI127" s="471" t="s">
        <v>3496</v>
      </c>
      <c r="CJ127" s="345" t="s">
        <v>3739</v>
      </c>
    </row>
    <row r="128" spans="1:88" s="554" customFormat="1" ht="48" customHeight="1">
      <c r="A128" s="15">
        <v>3</v>
      </c>
      <c r="B128" s="349" t="s">
        <v>3733</v>
      </c>
      <c r="C128" s="348" t="s">
        <v>3745</v>
      </c>
      <c r="D128" s="14" t="s">
        <v>3746</v>
      </c>
      <c r="E128" s="15" t="s">
        <v>31</v>
      </c>
      <c r="F128" s="15">
        <v>2022</v>
      </c>
      <c r="G128" s="15">
        <v>2022</v>
      </c>
      <c r="H128" s="15">
        <v>10</v>
      </c>
      <c r="I128" s="344" t="s">
        <v>3451</v>
      </c>
      <c r="J128" s="350">
        <v>6810000</v>
      </c>
      <c r="K128" s="15" t="s">
        <v>3091</v>
      </c>
      <c r="L128" s="15">
        <v>3</v>
      </c>
      <c r="M128" s="15" t="s">
        <v>3222</v>
      </c>
      <c r="N128" s="15" t="s">
        <v>3223</v>
      </c>
      <c r="O128" s="15" t="s">
        <v>3215</v>
      </c>
      <c r="P128" s="15" t="s">
        <v>3216</v>
      </c>
      <c r="Q128" s="15">
        <v>6801989</v>
      </c>
      <c r="R128" s="15" t="s">
        <v>55</v>
      </c>
      <c r="S128" s="15" t="s">
        <v>1890</v>
      </c>
      <c r="T128" s="608">
        <f>J128/2</f>
        <v>3405000</v>
      </c>
      <c r="U128" s="15" t="s">
        <v>166</v>
      </c>
      <c r="V128" s="15"/>
      <c r="W128" s="15"/>
      <c r="X128" s="15" t="s">
        <v>3286</v>
      </c>
      <c r="Y128" s="15" t="s">
        <v>3216</v>
      </c>
      <c r="Z128" s="15">
        <v>8140</v>
      </c>
      <c r="AA128" s="333" t="s">
        <v>3291</v>
      </c>
      <c r="AB128" s="15">
        <v>6682237</v>
      </c>
      <c r="AC128" s="340" t="s">
        <v>1736</v>
      </c>
      <c r="AD128" s="15" t="s">
        <v>13</v>
      </c>
      <c r="AE128" s="583">
        <f t="shared" si="15"/>
        <v>3405000</v>
      </c>
      <c r="AF128" s="15" t="s">
        <v>3093</v>
      </c>
      <c r="AG128" s="15"/>
      <c r="AH128" s="15"/>
      <c r="AI128" s="15" t="s">
        <v>3286</v>
      </c>
      <c r="AJ128" s="15" t="s">
        <v>3216</v>
      </c>
      <c r="AK128" s="15"/>
      <c r="AL128" s="341"/>
      <c r="AM128" s="15"/>
      <c r="AN128" s="583"/>
      <c r="AO128" s="15"/>
      <c r="AP128" s="15"/>
      <c r="AQ128" s="15"/>
      <c r="AR128" s="15"/>
      <c r="AS128" s="15"/>
      <c r="AT128" s="23"/>
      <c r="AU128" s="23"/>
      <c r="AV128" s="23"/>
      <c r="AW128" s="534"/>
      <c r="AX128" s="23"/>
      <c r="AY128" s="23"/>
      <c r="AZ128" s="23"/>
      <c r="BA128" s="23"/>
      <c r="BB128" s="23"/>
      <c r="BC128" s="23"/>
      <c r="BD128" s="23"/>
      <c r="BE128" s="534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348" t="s">
        <v>3190</v>
      </c>
      <c r="BR128" s="15" t="s">
        <v>3191</v>
      </c>
      <c r="BS128" s="23" t="s">
        <v>3747</v>
      </c>
      <c r="BT128" s="14" t="s">
        <v>3748</v>
      </c>
      <c r="BU128" s="23" t="s">
        <v>3749</v>
      </c>
      <c r="BV128" s="14" t="s">
        <v>3748</v>
      </c>
      <c r="BW128" s="23" t="s">
        <v>3750</v>
      </c>
      <c r="BX128" s="14"/>
      <c r="BY128" s="23"/>
      <c r="BZ128" s="23"/>
      <c r="CA128" s="23"/>
      <c r="CB128" s="23"/>
      <c r="CC128" s="23"/>
      <c r="CD128" s="23"/>
      <c r="CE128" s="23"/>
      <c r="CF128" s="23"/>
      <c r="CG128" s="23" t="s">
        <v>3251</v>
      </c>
      <c r="CH128" s="346" t="s">
        <v>3751</v>
      </c>
      <c r="CI128" s="471"/>
      <c r="CJ128" s="345" t="s">
        <v>3739</v>
      </c>
    </row>
    <row r="129" spans="1:88" s="4" customFormat="1" ht="48" customHeight="1">
      <c r="A129" s="15">
        <v>4</v>
      </c>
      <c r="B129" s="349" t="s">
        <v>3733</v>
      </c>
      <c r="C129" s="348" t="s">
        <v>3752</v>
      </c>
      <c r="D129" s="14" t="s">
        <v>3753</v>
      </c>
      <c r="E129" s="15" t="s">
        <v>31</v>
      </c>
      <c r="F129" s="15">
        <v>2022</v>
      </c>
      <c r="G129" s="15">
        <v>2022</v>
      </c>
      <c r="H129" s="15">
        <v>10</v>
      </c>
      <c r="I129" s="344" t="s">
        <v>3476</v>
      </c>
      <c r="J129" s="350">
        <v>6950000</v>
      </c>
      <c r="K129" s="15" t="s">
        <v>3091</v>
      </c>
      <c r="L129" s="626" t="s">
        <v>3263</v>
      </c>
      <c r="M129" s="15" t="s">
        <v>3222</v>
      </c>
      <c r="N129" s="15" t="s">
        <v>3223</v>
      </c>
      <c r="O129" s="15" t="s">
        <v>3215</v>
      </c>
      <c r="P129" s="15" t="s">
        <v>3216</v>
      </c>
      <c r="Q129" s="15">
        <v>6784457</v>
      </c>
      <c r="R129" s="15" t="s">
        <v>44</v>
      </c>
      <c r="S129" s="15" t="s">
        <v>1754</v>
      </c>
      <c r="T129" s="597">
        <f>J129/3</f>
        <v>2316666.6666666665</v>
      </c>
      <c r="U129" s="15" t="s">
        <v>3754</v>
      </c>
      <c r="V129" s="15"/>
      <c r="W129" s="15"/>
      <c r="X129" s="15" t="s">
        <v>3281</v>
      </c>
      <c r="Y129" s="15" t="s">
        <v>3216</v>
      </c>
      <c r="Z129" s="15">
        <v>8140</v>
      </c>
      <c r="AA129" s="333" t="s">
        <v>3291</v>
      </c>
      <c r="AB129" s="15">
        <v>6778837</v>
      </c>
      <c r="AC129" s="204" t="s">
        <v>979</v>
      </c>
      <c r="AD129" s="15" t="s">
        <v>71</v>
      </c>
      <c r="AE129" s="583">
        <f t="shared" si="15"/>
        <v>2316666.6666666665</v>
      </c>
      <c r="AF129" s="15" t="s">
        <v>171</v>
      </c>
      <c r="AG129" s="15"/>
      <c r="AH129" s="15"/>
      <c r="AI129" s="15" t="s">
        <v>3286</v>
      </c>
      <c r="AJ129" s="15" t="s">
        <v>3216</v>
      </c>
      <c r="AK129" s="15">
        <v>6778519</v>
      </c>
      <c r="AL129" s="334" t="s">
        <v>1876</v>
      </c>
      <c r="AM129" s="15" t="s">
        <v>177</v>
      </c>
      <c r="AN129" s="583">
        <f>T129</f>
        <v>2316666.6666666665</v>
      </c>
      <c r="AO129" s="15" t="s">
        <v>172</v>
      </c>
      <c r="AP129" s="15"/>
      <c r="AQ129" s="15"/>
      <c r="AR129" s="15" t="s">
        <v>3281</v>
      </c>
      <c r="AS129" s="15" t="s">
        <v>3216</v>
      </c>
      <c r="AT129" s="23"/>
      <c r="AU129" s="23"/>
      <c r="AV129" s="23"/>
      <c r="AW129" s="534"/>
      <c r="AX129" s="23"/>
      <c r="AY129" s="23"/>
      <c r="AZ129" s="23"/>
      <c r="BA129" s="23"/>
      <c r="BB129" s="23"/>
      <c r="BC129" s="23"/>
      <c r="BD129" s="23"/>
      <c r="BE129" s="534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348" t="s">
        <v>3190</v>
      </c>
      <c r="BR129" s="348" t="s">
        <v>3191</v>
      </c>
      <c r="BS129" s="23" t="s">
        <v>3755</v>
      </c>
      <c r="BT129" s="14"/>
      <c r="BU129" s="23" t="s">
        <v>3756</v>
      </c>
      <c r="BV129" s="23" t="s">
        <v>3757</v>
      </c>
      <c r="BW129" s="23" t="s">
        <v>3758</v>
      </c>
      <c r="BX129" s="14" t="s">
        <v>3759</v>
      </c>
      <c r="BY129" s="23"/>
      <c r="BZ129" s="23"/>
      <c r="CA129" s="23"/>
      <c r="CB129" s="23"/>
      <c r="CC129" s="23"/>
      <c r="CD129" s="23"/>
      <c r="CE129" s="23"/>
      <c r="CF129" s="23"/>
      <c r="CG129" s="23" t="s">
        <v>3760</v>
      </c>
      <c r="CH129" s="345" t="s">
        <v>3528</v>
      </c>
      <c r="CI129" s="471" t="s">
        <v>3760</v>
      </c>
      <c r="CJ129" s="345" t="s">
        <v>3419</v>
      </c>
    </row>
    <row r="130" spans="1:88" s="4" customFormat="1" ht="60" customHeight="1">
      <c r="A130" s="15">
        <v>5</v>
      </c>
      <c r="B130" s="349" t="s">
        <v>3733</v>
      </c>
      <c r="C130" s="348" t="s">
        <v>3761</v>
      </c>
      <c r="D130" s="14" t="s">
        <v>3762</v>
      </c>
      <c r="E130" s="15" t="s">
        <v>31</v>
      </c>
      <c r="F130" s="15">
        <v>2022</v>
      </c>
      <c r="G130" s="15">
        <v>2022</v>
      </c>
      <c r="H130" s="15">
        <v>6</v>
      </c>
      <c r="I130" s="344" t="s">
        <v>3516</v>
      </c>
      <c r="J130" s="350">
        <v>9750000</v>
      </c>
      <c r="K130" s="15" t="s">
        <v>3091</v>
      </c>
      <c r="L130" s="15">
        <v>3</v>
      </c>
      <c r="M130" s="15" t="s">
        <v>3222</v>
      </c>
      <c r="N130" s="15" t="s">
        <v>3223</v>
      </c>
      <c r="O130" s="15" t="s">
        <v>3215</v>
      </c>
      <c r="P130" s="15" t="s">
        <v>3216</v>
      </c>
      <c r="Q130" s="15">
        <v>6768348</v>
      </c>
      <c r="R130" s="15" t="s">
        <v>53</v>
      </c>
      <c r="S130" s="334" t="s">
        <v>2044</v>
      </c>
      <c r="T130" s="597">
        <f>J130/3</f>
        <v>3250000</v>
      </c>
      <c r="U130" s="15" t="s">
        <v>171</v>
      </c>
      <c r="V130" s="15"/>
      <c r="W130" s="15"/>
      <c r="X130" s="15" t="s">
        <v>3286</v>
      </c>
      <c r="Y130" s="15" t="s">
        <v>3216</v>
      </c>
      <c r="Z130" s="15">
        <v>8140</v>
      </c>
      <c r="AA130" s="333" t="s">
        <v>3291</v>
      </c>
      <c r="AB130" s="15">
        <v>6773159</v>
      </c>
      <c r="AC130" s="15" t="s">
        <v>3683</v>
      </c>
      <c r="AD130" s="15" t="s">
        <v>46</v>
      </c>
      <c r="AE130" s="583">
        <f t="shared" si="15"/>
        <v>3250000</v>
      </c>
      <c r="AF130" s="15" t="s">
        <v>171</v>
      </c>
      <c r="AG130" s="15"/>
      <c r="AH130" s="15"/>
      <c r="AI130" s="15" t="s">
        <v>3286</v>
      </c>
      <c r="AJ130" s="15" t="s">
        <v>3216</v>
      </c>
      <c r="AK130" s="15">
        <v>6680626</v>
      </c>
      <c r="AL130" s="334" t="s">
        <v>1008</v>
      </c>
      <c r="AM130" s="15" t="s">
        <v>38</v>
      </c>
      <c r="AN130" s="583">
        <f>T130</f>
        <v>3250000</v>
      </c>
      <c r="AO130" s="15" t="s">
        <v>171</v>
      </c>
      <c r="AP130" s="15"/>
      <c r="AQ130" s="15"/>
      <c r="AR130" s="15" t="s">
        <v>3286</v>
      </c>
      <c r="AS130" s="15" t="s">
        <v>3216</v>
      </c>
      <c r="AT130" s="23"/>
      <c r="AU130" s="23"/>
      <c r="AV130" s="23"/>
      <c r="AW130" s="534"/>
      <c r="AX130" s="23"/>
      <c r="AY130" s="23"/>
      <c r="AZ130" s="23"/>
      <c r="BA130" s="23"/>
      <c r="BB130" s="23"/>
      <c r="BC130" s="23"/>
      <c r="BD130" s="23"/>
      <c r="BE130" s="534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348" t="s">
        <v>3190</v>
      </c>
      <c r="BR130" s="348" t="s">
        <v>3191</v>
      </c>
      <c r="BS130" s="23" t="s">
        <v>3763</v>
      </c>
      <c r="BT130" s="14" t="s">
        <v>3589</v>
      </c>
      <c r="BU130" s="23" t="s">
        <v>3764</v>
      </c>
      <c r="BV130" s="23"/>
      <c r="BW130" s="23" t="s">
        <v>3765</v>
      </c>
      <c r="BX130" s="14"/>
      <c r="BY130" s="23"/>
      <c r="BZ130" s="23"/>
      <c r="CA130" s="23"/>
      <c r="CB130" s="23"/>
      <c r="CC130" s="23"/>
      <c r="CD130" s="23"/>
      <c r="CE130" s="23"/>
      <c r="CF130" s="23"/>
      <c r="CG130" s="23" t="s">
        <v>3251</v>
      </c>
      <c r="CH130" s="345" t="s">
        <v>3528</v>
      </c>
      <c r="CI130" s="471"/>
      <c r="CJ130" s="23"/>
    </row>
    <row r="131" spans="1:88" s="554" customFormat="1" ht="48" customHeight="1">
      <c r="A131" s="15">
        <v>6</v>
      </c>
      <c r="B131" s="349" t="s">
        <v>3733</v>
      </c>
      <c r="C131" s="348" t="s">
        <v>3766</v>
      </c>
      <c r="D131" s="14" t="s">
        <v>3767</v>
      </c>
      <c r="E131" s="15" t="s">
        <v>31</v>
      </c>
      <c r="F131" s="15">
        <v>2022</v>
      </c>
      <c r="G131" s="15">
        <v>2022</v>
      </c>
      <c r="H131" s="15">
        <v>8</v>
      </c>
      <c r="I131" s="344" t="s">
        <v>3587</v>
      </c>
      <c r="J131" s="350">
        <v>7000000</v>
      </c>
      <c r="K131" s="15" t="s">
        <v>3091</v>
      </c>
      <c r="L131" s="15">
        <v>3</v>
      </c>
      <c r="M131" s="15" t="s">
        <v>3222</v>
      </c>
      <c r="N131" s="15" t="s">
        <v>3223</v>
      </c>
      <c r="O131" s="15" t="s">
        <v>3215</v>
      </c>
      <c r="P131" s="15" t="s">
        <v>3216</v>
      </c>
      <c r="Q131" s="15">
        <v>6764236</v>
      </c>
      <c r="R131" s="15" t="s">
        <v>25</v>
      </c>
      <c r="S131" s="334" t="s">
        <v>1684</v>
      </c>
      <c r="T131" s="597">
        <f>J131/2</f>
        <v>3500000</v>
      </c>
      <c r="U131" s="15" t="s">
        <v>166</v>
      </c>
      <c r="V131" s="15"/>
      <c r="W131" s="15"/>
      <c r="X131" s="15" t="s">
        <v>3286</v>
      </c>
      <c r="Y131" s="15" t="s">
        <v>3216</v>
      </c>
      <c r="Z131" s="15">
        <v>8140</v>
      </c>
      <c r="AA131" s="333" t="s">
        <v>3291</v>
      </c>
      <c r="AB131" s="15">
        <v>6802117</v>
      </c>
      <c r="AC131" s="340" t="s">
        <v>978</v>
      </c>
      <c r="AD131" s="15" t="s">
        <v>178</v>
      </c>
      <c r="AE131" s="583">
        <f t="shared" si="15"/>
        <v>3500000</v>
      </c>
      <c r="AF131" s="15" t="s">
        <v>166</v>
      </c>
      <c r="AG131" s="15"/>
      <c r="AH131" s="15"/>
      <c r="AI131" s="15" t="s">
        <v>3286</v>
      </c>
      <c r="AJ131" s="15" t="s">
        <v>3216</v>
      </c>
      <c r="AK131" s="15"/>
      <c r="AL131" s="341"/>
      <c r="AM131" s="15"/>
      <c r="AN131" s="583"/>
      <c r="AO131" s="15"/>
      <c r="AP131" s="15"/>
      <c r="AQ131" s="15"/>
      <c r="AR131" s="15"/>
      <c r="AS131" s="15"/>
      <c r="AT131" s="23"/>
      <c r="AU131" s="23"/>
      <c r="AV131" s="23"/>
      <c r="AW131" s="534"/>
      <c r="AX131" s="23"/>
      <c r="AY131" s="23"/>
      <c r="AZ131" s="23"/>
      <c r="BA131" s="23"/>
      <c r="BB131" s="23"/>
      <c r="BC131" s="23"/>
      <c r="BD131" s="23"/>
      <c r="BE131" s="534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348" t="s">
        <v>3190</v>
      </c>
      <c r="BR131" s="348" t="s">
        <v>3191</v>
      </c>
      <c r="BS131" s="23" t="s">
        <v>3768</v>
      </c>
      <c r="BT131" s="14" t="s">
        <v>3713</v>
      </c>
      <c r="BU131" s="23" t="s">
        <v>3769</v>
      </c>
      <c r="BV131" s="14" t="s">
        <v>3713</v>
      </c>
      <c r="BW131" s="23"/>
      <c r="BX131" s="14"/>
      <c r="BY131" s="23"/>
      <c r="BZ131" s="23"/>
      <c r="CA131" s="23"/>
      <c r="CB131" s="23"/>
      <c r="CC131" s="23"/>
      <c r="CD131" s="23"/>
      <c r="CE131" s="23"/>
      <c r="CF131" s="23"/>
      <c r="CG131" s="23" t="s">
        <v>3062</v>
      </c>
      <c r="CH131" s="345" t="s">
        <v>3442</v>
      </c>
      <c r="CI131" s="471" t="s">
        <v>286</v>
      </c>
      <c r="CJ131" s="23"/>
    </row>
    <row r="132" spans="1:88" s="554" customFormat="1" ht="60" customHeight="1">
      <c r="A132" s="15">
        <v>7</v>
      </c>
      <c r="B132" s="349" t="s">
        <v>3733</v>
      </c>
      <c r="C132" s="348" t="s">
        <v>3770</v>
      </c>
      <c r="D132" s="14" t="s">
        <v>3771</v>
      </c>
      <c r="E132" s="15" t="s">
        <v>31</v>
      </c>
      <c r="F132" s="15">
        <v>2022</v>
      </c>
      <c r="G132" s="15">
        <v>2022</v>
      </c>
      <c r="H132" s="15">
        <v>10</v>
      </c>
      <c r="I132" s="344" t="s">
        <v>3772</v>
      </c>
      <c r="J132" s="350">
        <v>6700000</v>
      </c>
      <c r="K132" s="15" t="s">
        <v>3091</v>
      </c>
      <c r="L132" s="15">
        <v>3</v>
      </c>
      <c r="M132" s="15" t="s">
        <v>3222</v>
      </c>
      <c r="N132" s="15" t="s">
        <v>3223</v>
      </c>
      <c r="O132" s="15" t="s">
        <v>3215</v>
      </c>
      <c r="P132" s="15" t="s">
        <v>3216</v>
      </c>
      <c r="Q132" s="15">
        <v>6680634</v>
      </c>
      <c r="R132" s="15" t="s">
        <v>47</v>
      </c>
      <c r="S132" s="334" t="s">
        <v>989</v>
      </c>
      <c r="T132" s="597">
        <f t="shared" ref="T132:T139" si="16">J132/3</f>
        <v>2233333.3333333335</v>
      </c>
      <c r="U132" s="15" t="s">
        <v>166</v>
      </c>
      <c r="V132" s="15"/>
      <c r="W132" s="15"/>
      <c r="X132" s="15" t="s">
        <v>3286</v>
      </c>
      <c r="Y132" s="15" t="s">
        <v>3216</v>
      </c>
      <c r="Z132" s="15">
        <v>8140</v>
      </c>
      <c r="AA132" s="333" t="s">
        <v>3291</v>
      </c>
      <c r="AB132" s="15">
        <v>6744406</v>
      </c>
      <c r="AC132" s="334" t="s">
        <v>985</v>
      </c>
      <c r="AD132" s="15" t="s">
        <v>352</v>
      </c>
      <c r="AE132" s="583">
        <f t="shared" si="15"/>
        <v>2233333.3333333335</v>
      </c>
      <c r="AF132" s="15" t="s">
        <v>166</v>
      </c>
      <c r="AG132" s="15"/>
      <c r="AH132" s="15"/>
      <c r="AI132" s="15" t="s">
        <v>3286</v>
      </c>
      <c r="AJ132" s="15" t="s">
        <v>3216</v>
      </c>
      <c r="AK132" s="15">
        <v>6680648</v>
      </c>
      <c r="AL132" s="334" t="s">
        <v>1036</v>
      </c>
      <c r="AM132" s="15" t="s">
        <v>17</v>
      </c>
      <c r="AN132" s="583">
        <f>T132</f>
        <v>2233333.3333333335</v>
      </c>
      <c r="AO132" s="15" t="s">
        <v>166</v>
      </c>
      <c r="AP132" s="15"/>
      <c r="AQ132" s="15"/>
      <c r="AR132" s="15" t="s">
        <v>3286</v>
      </c>
      <c r="AS132" s="15" t="s">
        <v>3216</v>
      </c>
      <c r="AT132" s="23"/>
      <c r="AU132" s="23"/>
      <c r="AV132" s="23"/>
      <c r="AW132" s="534"/>
      <c r="AX132" s="23"/>
      <c r="AY132" s="23"/>
      <c r="AZ132" s="23"/>
      <c r="BA132" s="23"/>
      <c r="BB132" s="23"/>
      <c r="BC132" s="23"/>
      <c r="BD132" s="23"/>
      <c r="BE132" s="534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348" t="s">
        <v>3190</v>
      </c>
      <c r="BR132" s="348" t="s">
        <v>3191</v>
      </c>
      <c r="BS132" s="23" t="s">
        <v>3773</v>
      </c>
      <c r="BT132" s="14" t="s">
        <v>3713</v>
      </c>
      <c r="BU132" s="23" t="s">
        <v>3774</v>
      </c>
      <c r="BV132" s="14" t="s">
        <v>3713</v>
      </c>
      <c r="BW132" s="23" t="s">
        <v>1376</v>
      </c>
      <c r="BX132" s="14" t="s">
        <v>3713</v>
      </c>
      <c r="BY132" s="23"/>
      <c r="BZ132" s="23"/>
      <c r="CA132" s="23"/>
      <c r="CB132" s="23"/>
      <c r="CC132" s="23"/>
      <c r="CD132" s="23"/>
      <c r="CE132" s="23"/>
      <c r="CF132" s="23"/>
      <c r="CG132" s="346" t="s">
        <v>3775</v>
      </c>
      <c r="CH132" s="346" t="s">
        <v>3776</v>
      </c>
      <c r="CI132" s="627" t="s">
        <v>277</v>
      </c>
      <c r="CJ132" s="23"/>
    </row>
    <row r="133" spans="1:88" s="4" customFormat="1" ht="48" customHeight="1">
      <c r="A133" s="15">
        <v>8</v>
      </c>
      <c r="B133" s="349" t="s">
        <v>3733</v>
      </c>
      <c r="C133" s="348" t="s">
        <v>3777</v>
      </c>
      <c r="D133" s="14" t="s">
        <v>3778</v>
      </c>
      <c r="E133" s="15" t="s">
        <v>31</v>
      </c>
      <c r="F133" s="15">
        <v>2022</v>
      </c>
      <c r="G133" s="15">
        <v>2022</v>
      </c>
      <c r="H133" s="15">
        <v>10</v>
      </c>
      <c r="I133" s="344" t="s">
        <v>3516</v>
      </c>
      <c r="J133" s="350">
        <v>7000000</v>
      </c>
      <c r="K133" s="15" t="s">
        <v>3091</v>
      </c>
      <c r="L133" s="15">
        <v>3</v>
      </c>
      <c r="M133" s="15" t="s">
        <v>3222</v>
      </c>
      <c r="N133" s="15" t="s">
        <v>3223</v>
      </c>
      <c r="O133" s="15" t="s">
        <v>3215</v>
      </c>
      <c r="P133" s="15" t="s">
        <v>3216</v>
      </c>
      <c r="Q133" s="15">
        <v>6658545</v>
      </c>
      <c r="R133" s="15" t="s">
        <v>40</v>
      </c>
      <c r="S133" s="334" t="s">
        <v>984</v>
      </c>
      <c r="T133" s="597">
        <f>J133/2</f>
        <v>3500000</v>
      </c>
      <c r="U133" s="15" t="s">
        <v>160</v>
      </c>
      <c r="V133" s="15"/>
      <c r="W133" s="15"/>
      <c r="X133" s="15" t="s">
        <v>3281</v>
      </c>
      <c r="Y133" s="15" t="s">
        <v>3216</v>
      </c>
      <c r="Z133" s="15">
        <v>8140</v>
      </c>
      <c r="AA133" s="333" t="s">
        <v>3291</v>
      </c>
      <c r="AB133" s="15">
        <v>6680618</v>
      </c>
      <c r="AC133" s="15" t="s">
        <v>1737</v>
      </c>
      <c r="AD133" s="15" t="s">
        <v>24</v>
      </c>
      <c r="AE133" s="583">
        <f t="shared" si="15"/>
        <v>3500000</v>
      </c>
      <c r="AF133" s="15" t="s">
        <v>160</v>
      </c>
      <c r="AG133" s="15"/>
      <c r="AH133" s="15"/>
      <c r="AI133" s="15" t="s">
        <v>3281</v>
      </c>
      <c r="AJ133" s="15" t="s">
        <v>3216</v>
      </c>
      <c r="AK133" s="15"/>
      <c r="AL133" s="341"/>
      <c r="AM133" s="15"/>
      <c r="AN133" s="583"/>
      <c r="AO133" s="15"/>
      <c r="AP133" s="15"/>
      <c r="AQ133" s="15"/>
      <c r="AR133" s="15"/>
      <c r="AS133" s="15"/>
      <c r="AT133" s="23"/>
      <c r="AU133" s="23"/>
      <c r="AV133" s="23"/>
      <c r="AW133" s="534"/>
      <c r="AX133" s="23"/>
      <c r="AY133" s="23"/>
      <c r="AZ133" s="23"/>
      <c r="BA133" s="23"/>
      <c r="BB133" s="23"/>
      <c r="BC133" s="23"/>
      <c r="BD133" s="23"/>
      <c r="BE133" s="534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348" t="s">
        <v>3190</v>
      </c>
      <c r="BR133" s="348" t="s">
        <v>3191</v>
      </c>
      <c r="BS133" s="23" t="s">
        <v>3779</v>
      </c>
      <c r="BT133" s="14" t="s">
        <v>3737</v>
      </c>
      <c r="BU133" s="23" t="s">
        <v>3780</v>
      </c>
      <c r="BV133" s="23"/>
      <c r="BW133" s="23" t="s">
        <v>3781</v>
      </c>
      <c r="BX133" s="14" t="s">
        <v>3737</v>
      </c>
      <c r="BY133" s="23"/>
      <c r="BZ133" s="23"/>
      <c r="CA133" s="23"/>
      <c r="CB133" s="23"/>
      <c r="CC133" s="23"/>
      <c r="CD133" s="23"/>
      <c r="CE133" s="23"/>
      <c r="CF133" s="23"/>
      <c r="CG133" s="23" t="s">
        <v>3782</v>
      </c>
      <c r="CH133" s="346" t="s">
        <v>3783</v>
      </c>
      <c r="CI133" s="471" t="s">
        <v>277</v>
      </c>
      <c r="CJ133" s="23"/>
    </row>
    <row r="134" spans="1:88" s="4" customFormat="1" ht="48" customHeight="1">
      <c r="A134" s="15">
        <v>9</v>
      </c>
      <c r="B134" s="349" t="s">
        <v>3733</v>
      </c>
      <c r="C134" s="348" t="s">
        <v>3784</v>
      </c>
      <c r="D134" s="14" t="s">
        <v>3785</v>
      </c>
      <c r="E134" s="15" t="s">
        <v>91</v>
      </c>
      <c r="F134" s="15">
        <v>2022</v>
      </c>
      <c r="G134" s="15">
        <v>2022</v>
      </c>
      <c r="H134" s="15">
        <v>12</v>
      </c>
      <c r="I134" s="344" t="s">
        <v>3587</v>
      </c>
      <c r="J134" s="350">
        <v>16000000</v>
      </c>
      <c r="K134" s="15" t="s">
        <v>3091</v>
      </c>
      <c r="L134" s="15">
        <v>3</v>
      </c>
      <c r="M134" s="15" t="s">
        <v>3222</v>
      </c>
      <c r="N134" s="15" t="s">
        <v>3223</v>
      </c>
      <c r="O134" s="15" t="s">
        <v>3215</v>
      </c>
      <c r="P134" s="15" t="s">
        <v>3216</v>
      </c>
      <c r="Q134" s="15">
        <v>6680708</v>
      </c>
      <c r="R134" s="15" t="s">
        <v>85</v>
      </c>
      <c r="S134" s="334" t="s">
        <v>2436</v>
      </c>
      <c r="T134" s="597">
        <f t="shared" si="16"/>
        <v>5333333.333333333</v>
      </c>
      <c r="U134" s="15" t="s">
        <v>155</v>
      </c>
      <c r="V134" s="15"/>
      <c r="W134" s="15"/>
      <c r="X134" s="15" t="s">
        <v>3281</v>
      </c>
      <c r="Y134" s="15" t="s">
        <v>3216</v>
      </c>
      <c r="Z134" s="15">
        <v>8140</v>
      </c>
      <c r="AA134" s="333" t="s">
        <v>3291</v>
      </c>
      <c r="AB134" s="15">
        <v>6680651</v>
      </c>
      <c r="AC134" s="340" t="s">
        <v>1016</v>
      </c>
      <c r="AD134" s="15" t="s">
        <v>12</v>
      </c>
      <c r="AE134" s="583">
        <f t="shared" si="15"/>
        <v>5333333.333333333</v>
      </c>
      <c r="AF134" s="15" t="s">
        <v>155</v>
      </c>
      <c r="AG134" s="15"/>
      <c r="AH134" s="15"/>
      <c r="AI134" s="15" t="s">
        <v>3281</v>
      </c>
      <c r="AJ134" s="15" t="s">
        <v>3216</v>
      </c>
      <c r="AK134" s="15">
        <v>6793410</v>
      </c>
      <c r="AL134" s="334" t="s">
        <v>947</v>
      </c>
      <c r="AM134" s="15" t="s">
        <v>3786</v>
      </c>
      <c r="AN134" s="583">
        <f>T134</f>
        <v>5333333.333333333</v>
      </c>
      <c r="AO134" s="15" t="s">
        <v>175</v>
      </c>
      <c r="AP134" s="15"/>
      <c r="AQ134" s="15"/>
      <c r="AR134" s="15" t="s">
        <v>3286</v>
      </c>
      <c r="AS134" s="15" t="s">
        <v>3216</v>
      </c>
      <c r="AT134" s="23"/>
      <c r="AU134" s="23"/>
      <c r="AV134" s="23"/>
      <c r="AW134" s="534"/>
      <c r="AX134" s="23"/>
      <c r="AY134" s="23"/>
      <c r="AZ134" s="23"/>
      <c r="BA134" s="23"/>
      <c r="BB134" s="23"/>
      <c r="BC134" s="23"/>
      <c r="BD134" s="23"/>
      <c r="BE134" s="534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348" t="s">
        <v>3190</v>
      </c>
      <c r="BR134" s="348" t="s">
        <v>3191</v>
      </c>
      <c r="BS134" s="23" t="s">
        <v>3787</v>
      </c>
      <c r="BT134" s="14" t="s">
        <v>3487</v>
      </c>
      <c r="BU134" s="23" t="s">
        <v>3788</v>
      </c>
      <c r="BV134" s="23"/>
      <c r="BW134" s="23" t="s">
        <v>3082</v>
      </c>
      <c r="BX134" s="14"/>
      <c r="BY134" s="23"/>
      <c r="BZ134" s="23"/>
      <c r="CA134" s="23"/>
      <c r="CB134" s="23"/>
      <c r="CC134" s="23"/>
      <c r="CD134" s="23"/>
      <c r="CE134" s="23"/>
      <c r="CF134" s="23"/>
      <c r="CG134" s="346" t="s">
        <v>3496</v>
      </c>
      <c r="CH134" s="345" t="s">
        <v>3528</v>
      </c>
      <c r="CI134" s="627" t="s">
        <v>277</v>
      </c>
      <c r="CJ134" s="23"/>
    </row>
    <row r="135" spans="1:88" s="4" customFormat="1" ht="48" customHeight="1">
      <c r="A135" s="15">
        <v>10</v>
      </c>
      <c r="B135" s="349" t="s">
        <v>3733</v>
      </c>
      <c r="C135" s="348" t="s">
        <v>3789</v>
      </c>
      <c r="D135" s="14" t="s">
        <v>3790</v>
      </c>
      <c r="E135" s="15" t="s">
        <v>91</v>
      </c>
      <c r="F135" s="15">
        <v>2022</v>
      </c>
      <c r="G135" s="15">
        <v>2022</v>
      </c>
      <c r="H135" s="15">
        <v>12</v>
      </c>
      <c r="I135" s="344" t="s">
        <v>3451</v>
      </c>
      <c r="J135" s="350">
        <v>16000000</v>
      </c>
      <c r="K135" s="15" t="s">
        <v>3091</v>
      </c>
      <c r="L135" s="15">
        <v>3</v>
      </c>
      <c r="M135" s="15" t="s">
        <v>3222</v>
      </c>
      <c r="N135" s="15" t="s">
        <v>3223</v>
      </c>
      <c r="O135" s="15" t="s">
        <v>3215</v>
      </c>
      <c r="P135" s="15" t="s">
        <v>3216</v>
      </c>
      <c r="Q135" s="15">
        <v>6680627</v>
      </c>
      <c r="R135" s="15" t="s">
        <v>95</v>
      </c>
      <c r="S135" s="334" t="s">
        <v>1912</v>
      </c>
      <c r="T135" s="597">
        <f>J135/2</f>
        <v>8000000</v>
      </c>
      <c r="U135" s="15" t="s">
        <v>160</v>
      </c>
      <c r="V135" s="15"/>
      <c r="W135" s="15"/>
      <c r="X135" s="15" t="s">
        <v>3281</v>
      </c>
      <c r="Y135" s="15" t="s">
        <v>3216</v>
      </c>
      <c r="Z135" s="15">
        <v>8140</v>
      </c>
      <c r="AA135" s="333" t="s">
        <v>3291</v>
      </c>
      <c r="AB135" s="15">
        <v>6682237</v>
      </c>
      <c r="AC135" s="340" t="s">
        <v>1736</v>
      </c>
      <c r="AD135" s="15" t="s">
        <v>13</v>
      </c>
      <c r="AE135" s="583">
        <f t="shared" si="15"/>
        <v>8000000</v>
      </c>
      <c r="AF135" s="15" t="s">
        <v>3093</v>
      </c>
      <c r="AG135" s="15"/>
      <c r="AH135" s="15"/>
      <c r="AI135" s="15" t="s">
        <v>3286</v>
      </c>
      <c r="AJ135" s="15" t="s">
        <v>3216</v>
      </c>
      <c r="AK135" s="15">
        <v>6859016</v>
      </c>
      <c r="AL135" s="334" t="s">
        <v>2497</v>
      </c>
      <c r="AM135" s="15" t="s">
        <v>52</v>
      </c>
      <c r="AN135" s="583">
        <f>T135</f>
        <v>8000000</v>
      </c>
      <c r="AO135" s="15" t="s">
        <v>155</v>
      </c>
      <c r="AP135" s="15"/>
      <c r="AQ135" s="15"/>
      <c r="AR135" s="15" t="s">
        <v>3281</v>
      </c>
      <c r="AS135" s="15" t="s">
        <v>3216</v>
      </c>
      <c r="AT135" s="23"/>
      <c r="AU135" s="23"/>
      <c r="AV135" s="23"/>
      <c r="AW135" s="534"/>
      <c r="AX135" s="23"/>
      <c r="AY135" s="23"/>
      <c r="AZ135" s="23"/>
      <c r="BA135" s="23"/>
      <c r="BB135" s="23"/>
      <c r="BC135" s="23"/>
      <c r="BD135" s="23"/>
      <c r="BE135" s="534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348" t="s">
        <v>3190</v>
      </c>
      <c r="BR135" s="348" t="s">
        <v>3191</v>
      </c>
      <c r="BS135" s="23" t="s">
        <v>3791</v>
      </c>
      <c r="BT135" s="14" t="s">
        <v>3737</v>
      </c>
      <c r="BU135" s="23" t="s">
        <v>3792</v>
      </c>
      <c r="BV135" s="14" t="s">
        <v>3737</v>
      </c>
      <c r="BW135" s="23" t="s">
        <v>3793</v>
      </c>
      <c r="BX135" s="14" t="s">
        <v>3737</v>
      </c>
      <c r="BY135" s="23"/>
      <c r="BZ135" s="23"/>
      <c r="CA135" s="23"/>
      <c r="CB135" s="23"/>
      <c r="CC135" s="23"/>
      <c r="CD135" s="23"/>
      <c r="CE135" s="23"/>
      <c r="CF135" s="23"/>
      <c r="CG135" s="346" t="s">
        <v>3794</v>
      </c>
      <c r="CH135" s="345" t="s">
        <v>3795</v>
      </c>
      <c r="CI135" s="627" t="s">
        <v>3796</v>
      </c>
      <c r="CJ135" s="23"/>
    </row>
    <row r="136" spans="1:88" s="4" customFormat="1" ht="48" customHeight="1">
      <c r="A136" s="15">
        <v>11</v>
      </c>
      <c r="B136" s="349" t="s">
        <v>3733</v>
      </c>
      <c r="C136" s="348" t="s">
        <v>3797</v>
      </c>
      <c r="D136" s="14" t="s">
        <v>3798</v>
      </c>
      <c r="E136" s="15" t="s">
        <v>91</v>
      </c>
      <c r="F136" s="15">
        <v>2022</v>
      </c>
      <c r="G136" s="15">
        <v>2022</v>
      </c>
      <c r="H136" s="15">
        <v>12</v>
      </c>
      <c r="I136" s="344" t="s">
        <v>3516</v>
      </c>
      <c r="J136" s="350">
        <v>16000000</v>
      </c>
      <c r="K136" s="15" t="s">
        <v>3091</v>
      </c>
      <c r="L136" s="15">
        <v>6</v>
      </c>
      <c r="M136" s="15" t="s">
        <v>3222</v>
      </c>
      <c r="N136" s="15" t="s">
        <v>3223</v>
      </c>
      <c r="O136" s="15" t="s">
        <v>3215</v>
      </c>
      <c r="P136" s="15" t="s">
        <v>3216</v>
      </c>
      <c r="Q136" s="15">
        <v>6680625</v>
      </c>
      <c r="R136" s="15" t="s">
        <v>23</v>
      </c>
      <c r="S136" s="334" t="s">
        <v>1782</v>
      </c>
      <c r="T136" s="597">
        <f t="shared" ref="T136:T137" si="17">J136/2</f>
        <v>8000000</v>
      </c>
      <c r="U136" s="15" t="s">
        <v>154</v>
      </c>
      <c r="V136" s="15"/>
      <c r="W136" s="15"/>
      <c r="X136" s="15" t="s">
        <v>3281</v>
      </c>
      <c r="Y136" s="15" t="s">
        <v>3216</v>
      </c>
      <c r="Z136" s="15">
        <v>8140</v>
      </c>
      <c r="AA136" s="333" t="s">
        <v>3291</v>
      </c>
      <c r="AB136" s="15">
        <v>6724784</v>
      </c>
      <c r="AC136" s="340" t="s">
        <v>1781</v>
      </c>
      <c r="AD136" s="15" t="s">
        <v>108</v>
      </c>
      <c r="AE136" s="583">
        <f t="shared" si="15"/>
        <v>8000000</v>
      </c>
      <c r="AF136" s="15" t="s">
        <v>154</v>
      </c>
      <c r="AG136" s="15"/>
      <c r="AH136" s="15"/>
      <c r="AI136" s="15" t="s">
        <v>3281</v>
      </c>
      <c r="AJ136" s="15" t="s">
        <v>3216</v>
      </c>
      <c r="AK136" s="15"/>
      <c r="AL136" s="341"/>
      <c r="AM136" s="15"/>
      <c r="AN136" s="583"/>
      <c r="AO136" s="15"/>
      <c r="AP136" s="15"/>
      <c r="AQ136" s="15"/>
      <c r="AR136" s="15"/>
      <c r="AS136" s="15"/>
      <c r="AT136" s="23"/>
      <c r="AU136" s="23"/>
      <c r="AV136" s="23"/>
      <c r="AW136" s="534"/>
      <c r="AX136" s="23"/>
      <c r="AY136" s="23"/>
      <c r="AZ136" s="23"/>
      <c r="BA136" s="23"/>
      <c r="BB136" s="23"/>
      <c r="BC136" s="23"/>
      <c r="BD136" s="23"/>
      <c r="BE136" s="534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348" t="s">
        <v>3190</v>
      </c>
      <c r="BR136" s="348" t="s">
        <v>3191</v>
      </c>
      <c r="BS136" s="23" t="s">
        <v>3799</v>
      </c>
      <c r="BT136" s="14" t="s">
        <v>3800</v>
      </c>
      <c r="BU136" s="23" t="s">
        <v>3801</v>
      </c>
      <c r="BV136" s="23"/>
      <c r="BW136" s="23"/>
      <c r="BX136" s="14"/>
      <c r="BY136" s="23"/>
      <c r="BZ136" s="23"/>
      <c r="CA136" s="23"/>
      <c r="CB136" s="23"/>
      <c r="CC136" s="23"/>
      <c r="CD136" s="23"/>
      <c r="CE136" s="23"/>
      <c r="CF136" s="23"/>
      <c r="CG136" s="346" t="s">
        <v>3671</v>
      </c>
      <c r="CH136" s="346" t="s">
        <v>3802</v>
      </c>
      <c r="CI136" s="627" t="s">
        <v>3739</v>
      </c>
      <c r="CJ136" s="23"/>
    </row>
    <row r="137" spans="1:88" s="4" customFormat="1" ht="48" customHeight="1">
      <c r="A137" s="15">
        <v>12</v>
      </c>
      <c r="B137" s="349" t="s">
        <v>3733</v>
      </c>
      <c r="C137" s="348" t="s">
        <v>3803</v>
      </c>
      <c r="D137" s="14" t="s">
        <v>3804</v>
      </c>
      <c r="E137" s="15" t="s">
        <v>91</v>
      </c>
      <c r="F137" s="15">
        <v>2022</v>
      </c>
      <c r="G137" s="15">
        <v>2022</v>
      </c>
      <c r="H137" s="15">
        <v>12</v>
      </c>
      <c r="I137" s="344" t="s">
        <v>3476</v>
      </c>
      <c r="J137" s="350">
        <v>17000000</v>
      </c>
      <c r="K137" s="15" t="s">
        <v>3091</v>
      </c>
      <c r="L137" s="15">
        <v>7</v>
      </c>
      <c r="M137" s="15" t="s">
        <v>3222</v>
      </c>
      <c r="N137" s="15" t="s">
        <v>3223</v>
      </c>
      <c r="O137" s="15" t="s">
        <v>3215</v>
      </c>
      <c r="P137" s="15" t="s">
        <v>3216</v>
      </c>
      <c r="Q137" s="15">
        <v>6680641</v>
      </c>
      <c r="R137" s="15" t="s">
        <v>92</v>
      </c>
      <c r="S137" s="334" t="s">
        <v>1794</v>
      </c>
      <c r="T137" s="597">
        <f t="shared" si="17"/>
        <v>8500000</v>
      </c>
      <c r="U137" s="15" t="s">
        <v>151</v>
      </c>
      <c r="V137" s="15"/>
      <c r="W137" s="15"/>
      <c r="X137" s="15" t="s">
        <v>3281</v>
      </c>
      <c r="Y137" s="15" t="s">
        <v>3216</v>
      </c>
      <c r="Z137" s="15">
        <v>8140</v>
      </c>
      <c r="AA137" s="333" t="s">
        <v>3291</v>
      </c>
      <c r="AB137" s="15">
        <v>6680685</v>
      </c>
      <c r="AC137" s="340" t="s">
        <v>944</v>
      </c>
      <c r="AD137" s="15" t="s">
        <v>21</v>
      </c>
      <c r="AE137" s="583">
        <f t="shared" si="15"/>
        <v>8500000</v>
      </c>
      <c r="AF137" s="15" t="s">
        <v>155</v>
      </c>
      <c r="AG137" s="15"/>
      <c r="AH137" s="15"/>
      <c r="AI137" s="15" t="s">
        <v>3281</v>
      </c>
      <c r="AJ137" s="15" t="s">
        <v>3216</v>
      </c>
      <c r="AK137" s="15"/>
      <c r="AL137" s="341"/>
      <c r="AM137" s="15"/>
      <c r="AN137" s="583"/>
      <c r="AO137" s="15"/>
      <c r="AP137" s="15"/>
      <c r="AQ137" s="15"/>
      <c r="AR137" s="15"/>
      <c r="AS137" s="15"/>
      <c r="AT137" s="23"/>
      <c r="AU137" s="23"/>
      <c r="AV137" s="23"/>
      <c r="AW137" s="534"/>
      <c r="AX137" s="23"/>
      <c r="AY137" s="23"/>
      <c r="AZ137" s="23"/>
      <c r="BA137" s="23"/>
      <c r="BB137" s="23"/>
      <c r="BC137" s="23"/>
      <c r="BD137" s="23"/>
      <c r="BE137" s="534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348" t="s">
        <v>3190</v>
      </c>
      <c r="BR137" s="348" t="s">
        <v>3191</v>
      </c>
      <c r="BS137" s="23" t="s">
        <v>3805</v>
      </c>
      <c r="BT137" s="14"/>
      <c r="BU137" s="23" t="s">
        <v>3806</v>
      </c>
      <c r="BV137" s="23"/>
      <c r="BW137" s="23"/>
      <c r="BX137" s="14"/>
      <c r="BY137" s="23"/>
      <c r="BZ137" s="23"/>
      <c r="CA137" s="23"/>
      <c r="CB137" s="23"/>
      <c r="CC137" s="23"/>
      <c r="CD137" s="23"/>
      <c r="CE137" s="23"/>
      <c r="CF137" s="23"/>
      <c r="CG137" s="346" t="s">
        <v>3807</v>
      </c>
      <c r="CH137" s="345" t="s">
        <v>3419</v>
      </c>
      <c r="CI137" s="627" t="s">
        <v>3808</v>
      </c>
      <c r="CJ137" s="23"/>
    </row>
    <row r="138" spans="1:88" s="554" customFormat="1" ht="48" customHeight="1">
      <c r="A138" s="15">
        <v>13</v>
      </c>
      <c r="B138" s="349" t="s">
        <v>3733</v>
      </c>
      <c r="C138" s="348" t="s">
        <v>3809</v>
      </c>
      <c r="D138" s="14" t="s">
        <v>3810</v>
      </c>
      <c r="E138" s="15" t="s">
        <v>98</v>
      </c>
      <c r="F138" s="15">
        <v>2022</v>
      </c>
      <c r="G138" s="15">
        <v>2022</v>
      </c>
      <c r="H138" s="15">
        <v>12</v>
      </c>
      <c r="I138" s="344" t="s">
        <v>3516</v>
      </c>
      <c r="J138" s="350">
        <v>14995000</v>
      </c>
      <c r="K138" s="15" t="s">
        <v>3091</v>
      </c>
      <c r="L138" s="15">
        <v>6</v>
      </c>
      <c r="M138" s="15" t="s">
        <v>3222</v>
      </c>
      <c r="N138" s="15" t="s">
        <v>3223</v>
      </c>
      <c r="O138" s="15" t="s">
        <v>3215</v>
      </c>
      <c r="P138" s="15" t="s">
        <v>3216</v>
      </c>
      <c r="Q138" s="15">
        <v>6680628</v>
      </c>
      <c r="R138" s="15" t="s">
        <v>89</v>
      </c>
      <c r="S138" s="334" t="s">
        <v>1007</v>
      </c>
      <c r="T138" s="597">
        <f>J138/3</f>
        <v>4998333.333333333</v>
      </c>
      <c r="U138" s="15" t="s">
        <v>164</v>
      </c>
      <c r="V138" s="15"/>
      <c r="W138" s="15"/>
      <c r="X138" s="15" t="s">
        <v>3286</v>
      </c>
      <c r="Y138" s="15" t="s">
        <v>3216</v>
      </c>
      <c r="Z138" s="15">
        <v>8140</v>
      </c>
      <c r="AA138" s="333" t="s">
        <v>3291</v>
      </c>
      <c r="AB138" s="15">
        <v>6682174</v>
      </c>
      <c r="AC138" s="15" t="s">
        <v>2285</v>
      </c>
      <c r="AD138" s="15" t="s">
        <v>20</v>
      </c>
      <c r="AE138" s="583">
        <f t="shared" si="15"/>
        <v>4998333.333333333</v>
      </c>
      <c r="AF138" s="15" t="s">
        <v>156</v>
      </c>
      <c r="AG138" s="15"/>
      <c r="AH138" s="15"/>
      <c r="AI138" s="15" t="s">
        <v>3286</v>
      </c>
      <c r="AJ138" s="15" t="s">
        <v>3216</v>
      </c>
      <c r="AK138" s="15">
        <v>6764236</v>
      </c>
      <c r="AL138" s="334" t="s">
        <v>1684</v>
      </c>
      <c r="AM138" s="15" t="s">
        <v>25</v>
      </c>
      <c r="AN138" s="583">
        <f>T138</f>
        <v>4998333.333333333</v>
      </c>
      <c r="AO138" s="15" t="s">
        <v>166</v>
      </c>
      <c r="AP138" s="15"/>
      <c r="AQ138" s="15"/>
      <c r="AR138" s="15" t="s">
        <v>3286</v>
      </c>
      <c r="AS138" s="15" t="s">
        <v>3216</v>
      </c>
      <c r="AT138" s="23"/>
      <c r="AU138" s="23"/>
      <c r="AV138" s="23"/>
      <c r="AW138" s="534"/>
      <c r="AX138" s="23"/>
      <c r="AY138" s="23"/>
      <c r="AZ138" s="23"/>
      <c r="BA138" s="23"/>
      <c r="BB138" s="23"/>
      <c r="BC138" s="23"/>
      <c r="BD138" s="23"/>
      <c r="BE138" s="534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348" t="s">
        <v>3190</v>
      </c>
      <c r="BR138" s="348" t="s">
        <v>3191</v>
      </c>
      <c r="BS138" s="23" t="s">
        <v>3811</v>
      </c>
      <c r="BT138" s="14" t="s">
        <v>3812</v>
      </c>
      <c r="BU138" s="23" t="s">
        <v>2216</v>
      </c>
      <c r="BV138" s="23"/>
      <c r="BW138" s="23" t="s">
        <v>2217</v>
      </c>
      <c r="BX138" s="14"/>
      <c r="BY138" s="23"/>
      <c r="BZ138" s="23"/>
      <c r="CA138" s="23"/>
      <c r="CB138" s="23"/>
      <c r="CC138" s="23"/>
      <c r="CD138" s="23"/>
      <c r="CE138" s="23"/>
      <c r="CF138" s="23"/>
      <c r="CG138" s="346" t="s">
        <v>3813</v>
      </c>
      <c r="CH138" s="345" t="s">
        <v>3814</v>
      </c>
      <c r="CI138" s="628" t="s">
        <v>3815</v>
      </c>
      <c r="CJ138" s="345" t="s">
        <v>3739</v>
      </c>
    </row>
    <row r="139" spans="1:88" s="554" customFormat="1" ht="60" customHeight="1">
      <c r="A139" s="15">
        <v>14</v>
      </c>
      <c r="B139" s="349" t="s">
        <v>3733</v>
      </c>
      <c r="C139" s="348" t="s">
        <v>3816</v>
      </c>
      <c r="D139" s="14" t="s">
        <v>3817</v>
      </c>
      <c r="E139" s="15" t="s">
        <v>98</v>
      </c>
      <c r="F139" s="15">
        <v>2022</v>
      </c>
      <c r="G139" s="15">
        <v>2022</v>
      </c>
      <c r="H139" s="15">
        <v>11</v>
      </c>
      <c r="I139" s="344" t="s">
        <v>3516</v>
      </c>
      <c r="J139" s="350">
        <v>9200000</v>
      </c>
      <c r="K139" s="15" t="s">
        <v>3091</v>
      </c>
      <c r="L139" s="15">
        <v>6</v>
      </c>
      <c r="M139" s="15" t="s">
        <v>3222</v>
      </c>
      <c r="N139" s="15" t="s">
        <v>3223</v>
      </c>
      <c r="O139" s="15" t="s">
        <v>3215</v>
      </c>
      <c r="P139" s="15" t="s">
        <v>3216</v>
      </c>
      <c r="Q139" s="15">
        <v>6099359</v>
      </c>
      <c r="R139" s="15" t="s">
        <v>67</v>
      </c>
      <c r="S139" s="15" t="s">
        <v>977</v>
      </c>
      <c r="T139" s="597">
        <f t="shared" si="16"/>
        <v>3066666.6666666665</v>
      </c>
      <c r="U139" s="15" t="s">
        <v>166</v>
      </c>
      <c r="V139" s="15"/>
      <c r="W139" s="15"/>
      <c r="X139" s="15" t="s">
        <v>3286</v>
      </c>
      <c r="Y139" s="15" t="s">
        <v>3216</v>
      </c>
      <c r="Z139" s="15">
        <v>8140</v>
      </c>
      <c r="AA139" s="333" t="s">
        <v>3291</v>
      </c>
      <c r="AB139" s="15">
        <v>6778837</v>
      </c>
      <c r="AC139" s="204" t="s">
        <v>979</v>
      </c>
      <c r="AD139" s="15" t="s">
        <v>71</v>
      </c>
      <c r="AE139" s="583">
        <f t="shared" si="15"/>
        <v>3066666.6666666665</v>
      </c>
      <c r="AF139" s="15" t="s">
        <v>171</v>
      </c>
      <c r="AG139" s="15"/>
      <c r="AH139" s="15"/>
      <c r="AI139" s="15" t="s">
        <v>3286</v>
      </c>
      <c r="AJ139" s="15" t="s">
        <v>3216</v>
      </c>
      <c r="AK139" s="15">
        <v>6802117</v>
      </c>
      <c r="AL139" s="334" t="s">
        <v>978</v>
      </c>
      <c r="AM139" s="15" t="s">
        <v>178</v>
      </c>
      <c r="AN139" s="583">
        <f>T139</f>
        <v>3066666.6666666665</v>
      </c>
      <c r="AO139" s="15" t="s">
        <v>166</v>
      </c>
      <c r="AP139" s="15"/>
      <c r="AQ139" s="15"/>
      <c r="AR139" s="15" t="s">
        <v>3286</v>
      </c>
      <c r="AS139" s="15" t="s">
        <v>3216</v>
      </c>
      <c r="AT139" s="23"/>
      <c r="AU139" s="23"/>
      <c r="AV139" s="23"/>
      <c r="AW139" s="534"/>
      <c r="AX139" s="23"/>
      <c r="AY139" s="23"/>
      <c r="AZ139" s="23"/>
      <c r="BA139" s="23"/>
      <c r="BB139" s="23"/>
      <c r="BC139" s="23"/>
      <c r="BD139" s="23"/>
      <c r="BE139" s="534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348" t="s">
        <v>3190</v>
      </c>
      <c r="BR139" s="348" t="s">
        <v>3191</v>
      </c>
      <c r="BS139" s="23" t="s">
        <v>3818</v>
      </c>
      <c r="BT139" s="14"/>
      <c r="BU139" s="23" t="s">
        <v>3099</v>
      </c>
      <c r="BV139" s="14" t="s">
        <v>3812</v>
      </c>
      <c r="BW139" s="23"/>
      <c r="BX139" s="14"/>
      <c r="BY139" s="23"/>
      <c r="BZ139" s="23"/>
      <c r="CA139" s="23"/>
      <c r="CB139" s="23"/>
      <c r="CC139" s="23"/>
      <c r="CD139" s="23"/>
      <c r="CE139" s="23"/>
      <c r="CF139" s="23"/>
      <c r="CG139" s="346" t="s">
        <v>3819</v>
      </c>
      <c r="CH139" s="345" t="s">
        <v>3820</v>
      </c>
      <c r="CI139" s="627" t="s">
        <v>3739</v>
      </c>
      <c r="CJ139" s="345" t="s">
        <v>3739</v>
      </c>
    </row>
    <row r="140" spans="1:88" s="554" customFormat="1" ht="48" customHeight="1">
      <c r="A140" s="15">
        <v>15</v>
      </c>
      <c r="B140" s="349" t="s">
        <v>3821</v>
      </c>
      <c r="C140" s="348" t="s">
        <v>3822</v>
      </c>
      <c r="D140" s="14" t="s">
        <v>3823</v>
      </c>
      <c r="E140" s="15" t="s">
        <v>3824</v>
      </c>
      <c r="F140" s="15">
        <v>2022</v>
      </c>
      <c r="G140" s="15">
        <v>2022</v>
      </c>
      <c r="H140" s="15">
        <v>12</v>
      </c>
      <c r="I140" s="344" t="s">
        <v>3516</v>
      </c>
      <c r="J140" s="350">
        <v>16000000</v>
      </c>
      <c r="K140" s="15" t="s">
        <v>3091</v>
      </c>
      <c r="L140" s="15">
        <v>3</v>
      </c>
      <c r="M140" s="15" t="s">
        <v>3222</v>
      </c>
      <c r="N140" s="15" t="s">
        <v>3223</v>
      </c>
      <c r="O140" s="15" t="s">
        <v>3215</v>
      </c>
      <c r="P140" s="15" t="s">
        <v>3216</v>
      </c>
      <c r="Q140" s="15">
        <v>6681051</v>
      </c>
      <c r="R140" s="15" t="s">
        <v>6</v>
      </c>
      <c r="S140" s="334" t="s">
        <v>1657</v>
      </c>
      <c r="T140" s="597">
        <f>J140/3</f>
        <v>5333333.333333333</v>
      </c>
      <c r="U140" s="15" t="s">
        <v>160</v>
      </c>
      <c r="V140" s="15"/>
      <c r="W140" s="15"/>
      <c r="X140" s="15" t="s">
        <v>3281</v>
      </c>
      <c r="Y140" s="15" t="s">
        <v>3216</v>
      </c>
      <c r="Z140" s="15">
        <v>8140</v>
      </c>
      <c r="AA140" s="333" t="s">
        <v>3291</v>
      </c>
      <c r="AB140" s="15">
        <v>6680648</v>
      </c>
      <c r="AC140" s="204" t="s">
        <v>1036</v>
      </c>
      <c r="AD140" s="15" t="s">
        <v>17</v>
      </c>
      <c r="AE140" s="583">
        <f t="shared" si="15"/>
        <v>5333333.333333333</v>
      </c>
      <c r="AF140" s="15" t="s">
        <v>166</v>
      </c>
      <c r="AG140" s="15"/>
      <c r="AH140" s="15"/>
      <c r="AI140" s="15" t="s">
        <v>3286</v>
      </c>
      <c r="AJ140" s="15" t="s">
        <v>3216</v>
      </c>
      <c r="AK140" s="347">
        <v>6680726</v>
      </c>
      <c r="AL140" s="629">
        <v>719069101</v>
      </c>
      <c r="AM140" s="630" t="s">
        <v>3825</v>
      </c>
      <c r="AN140" s="583">
        <f>T140</f>
        <v>5333333.333333333</v>
      </c>
      <c r="AO140" s="15" t="s">
        <v>156</v>
      </c>
      <c r="AP140" s="15"/>
      <c r="AQ140" s="15"/>
      <c r="AR140" s="15" t="s">
        <v>3286</v>
      </c>
      <c r="AS140" s="15" t="s">
        <v>3216</v>
      </c>
      <c r="AT140" s="23"/>
      <c r="AU140" s="23"/>
      <c r="AV140" s="23"/>
      <c r="AW140" s="534"/>
      <c r="AX140" s="23"/>
      <c r="AY140" s="23"/>
      <c r="AZ140" s="23"/>
      <c r="BA140" s="23"/>
      <c r="BB140" s="23"/>
      <c r="BC140" s="23"/>
      <c r="BD140" s="23"/>
      <c r="BE140" s="534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348" t="s">
        <v>3190</v>
      </c>
      <c r="BR140" s="348" t="s">
        <v>3191</v>
      </c>
      <c r="BS140" s="23" t="s">
        <v>3826</v>
      </c>
      <c r="BT140" s="14" t="s">
        <v>3737</v>
      </c>
      <c r="BU140" s="23" t="s">
        <v>3827</v>
      </c>
      <c r="BV140" s="14" t="s">
        <v>3737</v>
      </c>
      <c r="BW140" s="23" t="s">
        <v>3828</v>
      </c>
      <c r="BX140" s="14"/>
      <c r="BY140" s="23"/>
      <c r="BZ140" s="23"/>
      <c r="CA140" s="23"/>
      <c r="CB140" s="23"/>
      <c r="CC140" s="23"/>
      <c r="CD140" s="23"/>
      <c r="CE140" s="23"/>
      <c r="CF140" s="23"/>
      <c r="CG140" s="346" t="s">
        <v>3251</v>
      </c>
      <c r="CH140" s="345" t="s">
        <v>3419</v>
      </c>
      <c r="CI140" s="627" t="s">
        <v>3282</v>
      </c>
      <c r="CJ140" s="345" t="s">
        <v>3442</v>
      </c>
    </row>
    <row r="141" spans="1:88" s="554" customFormat="1" ht="48" customHeight="1">
      <c r="A141" s="15">
        <v>16</v>
      </c>
      <c r="B141" s="349" t="s">
        <v>3821</v>
      </c>
      <c r="C141" s="348" t="s">
        <v>3829</v>
      </c>
      <c r="D141" s="14" t="s">
        <v>3830</v>
      </c>
      <c r="E141" s="15" t="s">
        <v>3824</v>
      </c>
      <c r="F141" s="15">
        <v>2022</v>
      </c>
      <c r="G141" s="15">
        <v>2022</v>
      </c>
      <c r="H141" s="15">
        <v>12</v>
      </c>
      <c r="I141" s="344" t="s">
        <v>3516</v>
      </c>
      <c r="J141" s="350">
        <v>13000000</v>
      </c>
      <c r="K141" s="15" t="s">
        <v>3091</v>
      </c>
      <c r="L141" s="15">
        <v>6</v>
      </c>
      <c r="M141" s="15" t="s">
        <v>3222</v>
      </c>
      <c r="N141" s="15" t="s">
        <v>3223</v>
      </c>
      <c r="O141" s="15" t="s">
        <v>3215</v>
      </c>
      <c r="P141" s="15" t="s">
        <v>3216</v>
      </c>
      <c r="Q141" s="15">
        <v>6760392</v>
      </c>
      <c r="R141" s="15" t="s">
        <v>75</v>
      </c>
      <c r="S141" s="334" t="s">
        <v>948</v>
      </c>
      <c r="T141" s="597">
        <f t="shared" ref="T141:T154" si="18">J141/2</f>
        <v>6500000</v>
      </c>
      <c r="U141" s="15" t="s">
        <v>175</v>
      </c>
      <c r="V141" s="15"/>
      <c r="W141" s="15"/>
      <c r="X141" s="15" t="s">
        <v>3286</v>
      </c>
      <c r="Y141" s="15" t="s">
        <v>3216</v>
      </c>
      <c r="Z141" s="15">
        <v>8140</v>
      </c>
      <c r="AA141" s="333" t="s">
        <v>3291</v>
      </c>
      <c r="AB141" s="15">
        <v>6764236</v>
      </c>
      <c r="AC141" s="334" t="s">
        <v>1684</v>
      </c>
      <c r="AD141" s="15" t="s">
        <v>25</v>
      </c>
      <c r="AE141" s="583">
        <f t="shared" si="15"/>
        <v>6500000</v>
      </c>
      <c r="AF141" s="15" t="s">
        <v>166</v>
      </c>
      <c r="AG141" s="15"/>
      <c r="AH141" s="15"/>
      <c r="AI141" s="15" t="s">
        <v>3286</v>
      </c>
      <c r="AJ141" s="15" t="s">
        <v>3216</v>
      </c>
      <c r="AK141" s="15"/>
      <c r="AL141" s="341"/>
      <c r="AM141" s="15"/>
      <c r="AN141" s="583"/>
      <c r="AO141" s="15"/>
      <c r="AP141" s="15"/>
      <c r="AQ141" s="15"/>
      <c r="AR141" s="15"/>
      <c r="AS141" s="15"/>
      <c r="AT141" s="23"/>
      <c r="AU141" s="23"/>
      <c r="AV141" s="23"/>
      <c r="AW141" s="534"/>
      <c r="AX141" s="23"/>
      <c r="AY141" s="23"/>
      <c r="AZ141" s="23"/>
      <c r="BA141" s="23"/>
      <c r="BB141" s="23"/>
      <c r="BC141" s="23"/>
      <c r="BD141" s="23"/>
      <c r="BE141" s="534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348" t="s">
        <v>3190</v>
      </c>
      <c r="BR141" s="348" t="s">
        <v>3191</v>
      </c>
      <c r="BS141" s="23" t="s">
        <v>3831</v>
      </c>
      <c r="BT141" s="14" t="s">
        <v>3832</v>
      </c>
      <c r="BU141" s="23" t="s">
        <v>3833</v>
      </c>
      <c r="BV141" s="23" t="s">
        <v>3834</v>
      </c>
      <c r="BW141" s="23" t="s">
        <v>3835</v>
      </c>
      <c r="BX141" s="23" t="s">
        <v>3834</v>
      </c>
      <c r="BY141" s="23"/>
      <c r="BZ141" s="23"/>
      <c r="CA141" s="23"/>
      <c r="CB141" s="23"/>
      <c r="CC141" s="23"/>
      <c r="CD141" s="23"/>
      <c r="CE141" s="23"/>
      <c r="CF141" s="23"/>
      <c r="CG141" s="23" t="s">
        <v>3836</v>
      </c>
      <c r="CH141" s="345"/>
      <c r="CI141" s="471"/>
      <c r="CJ141" s="23"/>
    </row>
    <row r="142" spans="1:88" s="4" customFormat="1" ht="48" customHeight="1">
      <c r="A142" s="15">
        <v>17</v>
      </c>
      <c r="B142" s="349" t="s">
        <v>3821</v>
      </c>
      <c r="C142" s="348" t="s">
        <v>3837</v>
      </c>
      <c r="D142" s="14" t="s">
        <v>3838</v>
      </c>
      <c r="E142" s="15" t="s">
        <v>3824</v>
      </c>
      <c r="F142" s="15">
        <v>2022</v>
      </c>
      <c r="G142" s="15">
        <v>2022</v>
      </c>
      <c r="H142" s="15">
        <v>8</v>
      </c>
      <c r="I142" s="344" t="s">
        <v>3839</v>
      </c>
      <c r="J142" s="350">
        <v>14675000</v>
      </c>
      <c r="K142" s="15" t="s">
        <v>3091</v>
      </c>
      <c r="L142" s="15">
        <v>2</v>
      </c>
      <c r="M142" s="15" t="s">
        <v>3222</v>
      </c>
      <c r="N142" s="15" t="s">
        <v>3223</v>
      </c>
      <c r="O142" s="15" t="s">
        <v>3215</v>
      </c>
      <c r="P142" s="15" t="s">
        <v>3216</v>
      </c>
      <c r="Q142" s="15">
        <v>6680612</v>
      </c>
      <c r="R142" s="15" t="s">
        <v>19</v>
      </c>
      <c r="S142" s="334" t="s">
        <v>960</v>
      </c>
      <c r="T142" s="597">
        <f t="shared" si="18"/>
        <v>7337500</v>
      </c>
      <c r="U142" s="15" t="s">
        <v>155</v>
      </c>
      <c r="V142" s="15"/>
      <c r="W142" s="15"/>
      <c r="X142" s="15" t="s">
        <v>3281</v>
      </c>
      <c r="Y142" s="15" t="s">
        <v>3216</v>
      </c>
      <c r="Z142" s="15">
        <v>8140</v>
      </c>
      <c r="AA142" s="333" t="s">
        <v>3291</v>
      </c>
      <c r="AB142" s="15">
        <v>6680683</v>
      </c>
      <c r="AC142" s="340" t="s">
        <v>2454</v>
      </c>
      <c r="AD142" s="15" t="s">
        <v>10</v>
      </c>
      <c r="AE142" s="583">
        <f t="shared" si="15"/>
        <v>7337500</v>
      </c>
      <c r="AF142" s="15" t="s">
        <v>151</v>
      </c>
      <c r="AG142" s="15"/>
      <c r="AH142" s="15"/>
      <c r="AI142" s="15" t="s">
        <v>3281</v>
      </c>
      <c r="AJ142" s="15" t="s">
        <v>3216</v>
      </c>
      <c r="AK142" s="15"/>
      <c r="AL142" s="341"/>
      <c r="AM142" s="15"/>
      <c r="AN142" s="583"/>
      <c r="AO142" s="15"/>
      <c r="AP142" s="15"/>
      <c r="AQ142" s="15"/>
      <c r="AR142" s="15"/>
      <c r="AS142" s="15"/>
      <c r="AT142" s="23"/>
      <c r="AU142" s="23"/>
      <c r="AV142" s="23"/>
      <c r="AW142" s="534"/>
      <c r="AX142" s="23"/>
      <c r="AY142" s="23"/>
      <c r="AZ142" s="23"/>
      <c r="BA142" s="23"/>
      <c r="BB142" s="23"/>
      <c r="BC142" s="23"/>
      <c r="BD142" s="23"/>
      <c r="BE142" s="534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348" t="s">
        <v>3190</v>
      </c>
      <c r="BR142" s="348" t="s">
        <v>3191</v>
      </c>
      <c r="BS142" s="23" t="s">
        <v>3840</v>
      </c>
      <c r="BT142" s="14" t="s">
        <v>3841</v>
      </c>
      <c r="BU142" s="23" t="s">
        <v>3842</v>
      </c>
      <c r="BV142" s="14" t="s">
        <v>3841</v>
      </c>
      <c r="BW142" s="23"/>
      <c r="BX142" s="14"/>
      <c r="BY142" s="23"/>
      <c r="BZ142" s="23"/>
      <c r="CA142" s="23"/>
      <c r="CB142" s="23"/>
      <c r="CC142" s="23"/>
      <c r="CD142" s="23"/>
      <c r="CE142" s="23"/>
      <c r="CF142" s="23"/>
      <c r="CG142" s="346" t="s">
        <v>3843</v>
      </c>
      <c r="CH142" s="345" t="s">
        <v>3528</v>
      </c>
      <c r="CI142" s="471" t="s">
        <v>3309</v>
      </c>
      <c r="CJ142" s="23"/>
    </row>
    <row r="143" spans="1:88" s="4" customFormat="1" ht="48" customHeight="1">
      <c r="A143" s="15">
        <v>18</v>
      </c>
      <c r="B143" s="349" t="s">
        <v>3821</v>
      </c>
      <c r="C143" s="348" t="s">
        <v>3844</v>
      </c>
      <c r="D143" s="14" t="s">
        <v>3845</v>
      </c>
      <c r="E143" s="15" t="s">
        <v>3824</v>
      </c>
      <c r="F143" s="15">
        <v>2022</v>
      </c>
      <c r="G143" s="15">
        <v>2022</v>
      </c>
      <c r="H143" s="15">
        <v>8</v>
      </c>
      <c r="I143" s="344" t="s">
        <v>3846</v>
      </c>
      <c r="J143" s="350">
        <v>14745000</v>
      </c>
      <c r="K143" s="15" t="s">
        <v>3091</v>
      </c>
      <c r="L143" s="15">
        <v>3</v>
      </c>
      <c r="M143" s="15" t="s">
        <v>3222</v>
      </c>
      <c r="N143" s="15" t="s">
        <v>3223</v>
      </c>
      <c r="O143" s="15" t="s">
        <v>3215</v>
      </c>
      <c r="P143" s="15" t="s">
        <v>3216</v>
      </c>
      <c r="Q143" s="15">
        <v>6680629</v>
      </c>
      <c r="R143" s="15" t="s">
        <v>27</v>
      </c>
      <c r="S143" s="334" t="s">
        <v>2424</v>
      </c>
      <c r="T143" s="597">
        <f t="shared" si="18"/>
        <v>7372500</v>
      </c>
      <c r="U143" s="15" t="s">
        <v>151</v>
      </c>
      <c r="V143" s="15"/>
      <c r="W143" s="15"/>
      <c r="X143" s="15" t="s">
        <v>3281</v>
      </c>
      <c r="Y143" s="15" t="s">
        <v>3216</v>
      </c>
      <c r="Z143" s="15">
        <v>8140</v>
      </c>
      <c r="AA143" s="333" t="s">
        <v>3291</v>
      </c>
      <c r="AB143" s="15">
        <v>6680641</v>
      </c>
      <c r="AC143" s="340" t="s">
        <v>1794</v>
      </c>
      <c r="AD143" s="15" t="s">
        <v>3231</v>
      </c>
      <c r="AE143" s="583">
        <f t="shared" si="15"/>
        <v>7372500</v>
      </c>
      <c r="AF143" s="15" t="s">
        <v>3477</v>
      </c>
      <c r="AG143" s="15"/>
      <c r="AH143" s="15"/>
      <c r="AI143" s="15" t="s">
        <v>3281</v>
      </c>
      <c r="AJ143" s="15" t="s">
        <v>3216</v>
      </c>
      <c r="AK143" s="15"/>
      <c r="AL143" s="341"/>
      <c r="AM143" s="15"/>
      <c r="AN143" s="583"/>
      <c r="AO143" s="15"/>
      <c r="AP143" s="15"/>
      <c r="AQ143" s="15"/>
      <c r="AR143" s="15"/>
      <c r="AS143" s="15"/>
      <c r="AT143" s="23"/>
      <c r="AU143" s="23"/>
      <c r="AV143" s="23"/>
      <c r="AW143" s="534"/>
      <c r="AX143" s="23"/>
      <c r="AY143" s="23"/>
      <c r="AZ143" s="23"/>
      <c r="BA143" s="23"/>
      <c r="BB143" s="23"/>
      <c r="BC143" s="23"/>
      <c r="BD143" s="23"/>
      <c r="BE143" s="534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348" t="s">
        <v>3190</v>
      </c>
      <c r="BR143" s="348" t="s">
        <v>3191</v>
      </c>
      <c r="BS143" s="23" t="s">
        <v>3847</v>
      </c>
      <c r="BT143" s="14" t="s">
        <v>3848</v>
      </c>
      <c r="BU143" s="23" t="s">
        <v>3849</v>
      </c>
      <c r="BV143" s="14" t="s">
        <v>3848</v>
      </c>
      <c r="BW143" s="23"/>
      <c r="BX143" s="14"/>
      <c r="BY143" s="23"/>
      <c r="BZ143" s="23"/>
      <c r="CA143" s="23"/>
      <c r="CB143" s="23"/>
      <c r="CC143" s="23"/>
      <c r="CD143" s="23"/>
      <c r="CE143" s="23"/>
      <c r="CF143" s="23"/>
      <c r="CG143" s="261" t="s">
        <v>3850</v>
      </c>
      <c r="CH143" s="261" t="s">
        <v>3851</v>
      </c>
      <c r="CI143" s="631" t="s">
        <v>3090</v>
      </c>
      <c r="CJ143" s="23"/>
    </row>
    <row r="144" spans="1:88" s="4" customFormat="1" ht="48" customHeight="1">
      <c r="A144" s="15">
        <v>19</v>
      </c>
      <c r="B144" s="349" t="s">
        <v>3821</v>
      </c>
      <c r="C144" s="348" t="s">
        <v>3852</v>
      </c>
      <c r="D144" s="14" t="s">
        <v>3853</v>
      </c>
      <c r="E144" s="15" t="s">
        <v>3824</v>
      </c>
      <c r="F144" s="15">
        <v>2022</v>
      </c>
      <c r="G144" s="15">
        <v>2022</v>
      </c>
      <c r="H144" s="15">
        <v>8</v>
      </c>
      <c r="I144" s="344" t="s">
        <v>3846</v>
      </c>
      <c r="J144" s="350">
        <v>13500000</v>
      </c>
      <c r="K144" s="15" t="s">
        <v>3091</v>
      </c>
      <c r="L144" s="15">
        <v>4</v>
      </c>
      <c r="M144" s="15" t="s">
        <v>3222</v>
      </c>
      <c r="N144" s="15" t="s">
        <v>3223</v>
      </c>
      <c r="O144" s="15" t="s">
        <v>3215</v>
      </c>
      <c r="P144" s="15" t="s">
        <v>3216</v>
      </c>
      <c r="Q144" s="15">
        <v>6680664</v>
      </c>
      <c r="R144" s="15" t="s">
        <v>15</v>
      </c>
      <c r="S144" s="204" t="s">
        <v>2288</v>
      </c>
      <c r="T144" s="597">
        <f>J144/4</f>
        <v>3375000</v>
      </c>
      <c r="U144" s="15" t="s">
        <v>156</v>
      </c>
      <c r="V144" s="15"/>
      <c r="W144" s="15"/>
      <c r="X144" s="15" t="s">
        <v>3286</v>
      </c>
      <c r="Y144" s="15" t="s">
        <v>3216</v>
      </c>
      <c r="Z144" s="15">
        <v>8140</v>
      </c>
      <c r="AA144" s="333" t="s">
        <v>3291</v>
      </c>
      <c r="AB144" s="15">
        <v>6680680</v>
      </c>
      <c r="AC144" s="334" t="s">
        <v>959</v>
      </c>
      <c r="AD144" s="15" t="s">
        <v>9</v>
      </c>
      <c r="AE144" s="583">
        <f t="shared" si="15"/>
        <v>3375000</v>
      </c>
      <c r="AF144" s="15" t="s">
        <v>156</v>
      </c>
      <c r="AG144" s="15"/>
      <c r="AH144" s="15"/>
      <c r="AI144" s="15" t="s">
        <v>3286</v>
      </c>
      <c r="AJ144" s="15" t="s">
        <v>3216</v>
      </c>
      <c r="AK144" s="347">
        <v>6756318</v>
      </c>
      <c r="AL144" s="629">
        <v>724079501</v>
      </c>
      <c r="AM144" s="347" t="s">
        <v>143</v>
      </c>
      <c r="AN144" s="597">
        <f>AB144/4</f>
        <v>1670170</v>
      </c>
      <c r="AO144" s="15" t="s">
        <v>175</v>
      </c>
      <c r="AP144" s="15"/>
      <c r="AQ144" s="15"/>
      <c r="AR144" s="15" t="s">
        <v>3286</v>
      </c>
      <c r="AS144" s="15" t="s">
        <v>3216</v>
      </c>
      <c r="AT144" s="347">
        <v>6681205</v>
      </c>
      <c r="AU144" s="347">
        <v>705109002</v>
      </c>
      <c r="AV144" s="347" t="s">
        <v>3854</v>
      </c>
      <c r="AW144" s="597">
        <f>AK144/4</f>
        <v>1689079.5</v>
      </c>
      <c r="AX144" s="15" t="s">
        <v>156</v>
      </c>
      <c r="AY144" s="15"/>
      <c r="AZ144" s="15" t="s">
        <v>3855</v>
      </c>
      <c r="BA144" s="15" t="s">
        <v>3216</v>
      </c>
      <c r="BB144" s="23"/>
      <c r="BC144" s="23"/>
      <c r="BD144" s="23"/>
      <c r="BE144" s="534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348" t="s">
        <v>3190</v>
      </c>
      <c r="BR144" s="348" t="s">
        <v>3191</v>
      </c>
      <c r="BS144" s="23" t="s">
        <v>3856</v>
      </c>
      <c r="BT144" s="14" t="s">
        <v>3857</v>
      </c>
      <c r="BU144" s="23"/>
      <c r="BV144" s="23"/>
      <c r="BW144" s="23"/>
      <c r="BX144" s="14"/>
      <c r="BY144" s="23"/>
      <c r="BZ144" s="23"/>
      <c r="CA144" s="23"/>
      <c r="CB144" s="23"/>
      <c r="CC144" s="23"/>
      <c r="CD144" s="23"/>
      <c r="CE144" s="23"/>
      <c r="CF144" s="23"/>
      <c r="CG144" s="261" t="s">
        <v>3858</v>
      </c>
      <c r="CH144" s="632" t="s">
        <v>3528</v>
      </c>
      <c r="CI144" s="631" t="s">
        <v>3090</v>
      </c>
      <c r="CJ144" s="23"/>
    </row>
    <row r="145" spans="1:88" s="4" customFormat="1" ht="48" customHeight="1">
      <c r="A145" s="15">
        <v>20</v>
      </c>
      <c r="B145" s="349" t="s">
        <v>3821</v>
      </c>
      <c r="C145" s="348" t="s">
        <v>3859</v>
      </c>
      <c r="D145" s="14" t="s">
        <v>3860</v>
      </c>
      <c r="E145" s="15" t="s">
        <v>3824</v>
      </c>
      <c r="F145" s="15">
        <v>2022</v>
      </c>
      <c r="G145" s="15">
        <v>2022</v>
      </c>
      <c r="H145" s="15">
        <v>12</v>
      </c>
      <c r="I145" s="344" t="s">
        <v>3451</v>
      </c>
      <c r="J145" s="350">
        <v>17000000</v>
      </c>
      <c r="K145" s="15" t="s">
        <v>3091</v>
      </c>
      <c r="L145" s="15">
        <v>6</v>
      </c>
      <c r="M145" s="15" t="s">
        <v>3222</v>
      </c>
      <c r="N145" s="15" t="s">
        <v>3223</v>
      </c>
      <c r="O145" s="15" t="s">
        <v>3215</v>
      </c>
      <c r="P145" s="15" t="s">
        <v>3216</v>
      </c>
      <c r="Q145" s="15">
        <v>6680626</v>
      </c>
      <c r="R145" s="15" t="s">
        <v>38</v>
      </c>
      <c r="S145" s="334" t="s">
        <v>1008</v>
      </c>
      <c r="T145" s="597">
        <f t="shared" si="18"/>
        <v>8500000</v>
      </c>
      <c r="U145" s="15" t="s">
        <v>164</v>
      </c>
      <c r="V145" s="15"/>
      <c r="W145" s="15"/>
      <c r="X145" s="15" t="s">
        <v>3286</v>
      </c>
      <c r="Y145" s="15" t="s">
        <v>3216</v>
      </c>
      <c r="Z145" s="15">
        <v>8140</v>
      </c>
      <c r="AA145" s="333" t="s">
        <v>3291</v>
      </c>
      <c r="AB145" s="15">
        <v>6680685</v>
      </c>
      <c r="AC145" s="340" t="s">
        <v>944</v>
      </c>
      <c r="AD145" s="15" t="s">
        <v>21</v>
      </c>
      <c r="AE145" s="583">
        <f t="shared" si="15"/>
        <v>8500000</v>
      </c>
      <c r="AF145" s="15" t="s">
        <v>155</v>
      </c>
      <c r="AG145" s="15"/>
      <c r="AH145" s="15"/>
      <c r="AI145" s="15" t="s">
        <v>3281</v>
      </c>
      <c r="AJ145" s="15" t="s">
        <v>3216</v>
      </c>
      <c r="AK145" s="15"/>
      <c r="AL145" s="341"/>
      <c r="AM145" s="15"/>
      <c r="AN145" s="583"/>
      <c r="AO145" s="15"/>
      <c r="AP145" s="15"/>
      <c r="AQ145" s="15"/>
      <c r="AR145" s="15"/>
      <c r="AS145" s="15"/>
      <c r="AT145" s="15"/>
      <c r="AU145" s="15"/>
      <c r="AV145" s="15"/>
      <c r="AW145" s="583"/>
      <c r="AX145" s="15"/>
      <c r="AY145" s="15"/>
      <c r="AZ145" s="15"/>
      <c r="BA145" s="15"/>
      <c r="BB145" s="23"/>
      <c r="BC145" s="23"/>
      <c r="BD145" s="23"/>
      <c r="BE145" s="534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348" t="s">
        <v>3190</v>
      </c>
      <c r="BR145" s="348" t="s">
        <v>3191</v>
      </c>
      <c r="BS145" s="23" t="s">
        <v>3861</v>
      </c>
      <c r="BT145" s="14" t="s">
        <v>3862</v>
      </c>
      <c r="BU145" s="23" t="s">
        <v>3863</v>
      </c>
      <c r="BV145" s="14" t="s">
        <v>3862</v>
      </c>
      <c r="BW145" s="23"/>
      <c r="BX145" s="14"/>
      <c r="BY145" s="23"/>
      <c r="BZ145" s="23"/>
      <c r="CA145" s="23"/>
      <c r="CB145" s="23"/>
      <c r="CC145" s="23"/>
      <c r="CD145" s="23"/>
      <c r="CE145" s="23"/>
      <c r="CF145" s="23"/>
      <c r="CG145" s="261" t="s">
        <v>3739</v>
      </c>
      <c r="CH145" s="632" t="s">
        <v>3739</v>
      </c>
      <c r="CI145" s="631" t="s">
        <v>3739</v>
      </c>
      <c r="CJ145" s="23"/>
    </row>
    <row r="146" spans="1:88" s="4" customFormat="1" ht="46.5" customHeight="1">
      <c r="A146" s="15">
        <v>21</v>
      </c>
      <c r="B146" s="349" t="s">
        <v>3821</v>
      </c>
      <c r="C146" s="15" t="s">
        <v>3864</v>
      </c>
      <c r="D146" s="14" t="s">
        <v>3865</v>
      </c>
      <c r="E146" s="15" t="s">
        <v>3824</v>
      </c>
      <c r="F146" s="15">
        <v>2022</v>
      </c>
      <c r="G146" s="15">
        <v>2022</v>
      </c>
      <c r="H146" s="15" t="s">
        <v>942</v>
      </c>
      <c r="I146" s="344" t="s">
        <v>942</v>
      </c>
      <c r="J146" s="350">
        <v>12100000</v>
      </c>
      <c r="K146" s="15" t="s">
        <v>3091</v>
      </c>
      <c r="L146" s="15">
        <v>4</v>
      </c>
      <c r="M146" s="15" t="s">
        <v>3222</v>
      </c>
      <c r="N146" s="15" t="s">
        <v>3223</v>
      </c>
      <c r="O146" s="15" t="s">
        <v>3215</v>
      </c>
      <c r="P146" s="15" t="s">
        <v>3216</v>
      </c>
      <c r="Q146" s="15">
        <v>6680683</v>
      </c>
      <c r="R146" s="15" t="s">
        <v>10</v>
      </c>
      <c r="S146" s="334" t="s">
        <v>2454</v>
      </c>
      <c r="T146" s="597">
        <f>J146/4</f>
        <v>3025000</v>
      </c>
      <c r="U146" s="15" t="s">
        <v>151</v>
      </c>
      <c r="V146" s="15"/>
      <c r="W146" s="15"/>
      <c r="X146" s="15" t="s">
        <v>3281</v>
      </c>
      <c r="Y146" s="15" t="s">
        <v>3216</v>
      </c>
      <c r="Z146" s="15">
        <v>8140</v>
      </c>
      <c r="AA146" s="333" t="s">
        <v>3291</v>
      </c>
      <c r="AB146" s="347">
        <v>258471</v>
      </c>
      <c r="AC146" s="633">
        <v>727097302</v>
      </c>
      <c r="AD146" s="15" t="s">
        <v>60</v>
      </c>
      <c r="AE146" s="583">
        <f t="shared" si="15"/>
        <v>3025000</v>
      </c>
      <c r="AF146" s="15" t="s">
        <v>155</v>
      </c>
      <c r="AG146" s="15"/>
      <c r="AH146" s="15"/>
      <c r="AI146" s="15" t="s">
        <v>3281</v>
      </c>
      <c r="AJ146" s="15" t="s">
        <v>3216</v>
      </c>
      <c r="AK146" s="347">
        <v>6778837</v>
      </c>
      <c r="AL146" s="629">
        <v>711039403</v>
      </c>
      <c r="AM146" s="347" t="s">
        <v>3119</v>
      </c>
      <c r="AN146" s="597">
        <f>T146</f>
        <v>3025000</v>
      </c>
      <c r="AO146" s="15" t="s">
        <v>171</v>
      </c>
      <c r="AP146" s="15"/>
      <c r="AQ146" s="15"/>
      <c r="AR146" s="15" t="s">
        <v>3286</v>
      </c>
      <c r="AS146" s="15" t="s">
        <v>3216</v>
      </c>
      <c r="AT146" s="347">
        <v>6767777</v>
      </c>
      <c r="AU146" s="347">
        <v>713059501</v>
      </c>
      <c r="AV146" s="347" t="s">
        <v>3116</v>
      </c>
      <c r="AW146" s="583">
        <f>T146</f>
        <v>3025000</v>
      </c>
      <c r="AX146" s="15" t="s">
        <v>171</v>
      </c>
      <c r="AY146" s="15"/>
      <c r="AZ146" s="15" t="s">
        <v>3286</v>
      </c>
      <c r="BA146" s="15" t="s">
        <v>3216</v>
      </c>
      <c r="BB146" s="23"/>
      <c r="BC146" s="23"/>
      <c r="BD146" s="23"/>
      <c r="BE146" s="534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15" t="s">
        <v>3190</v>
      </c>
      <c r="BR146" s="15" t="s">
        <v>3191</v>
      </c>
      <c r="BS146" s="23" t="s">
        <v>3866</v>
      </c>
      <c r="BT146" s="14"/>
      <c r="BU146" s="23" t="s">
        <v>3867</v>
      </c>
      <c r="BV146" s="23"/>
      <c r="BW146" s="23"/>
      <c r="BX146" s="14"/>
      <c r="BY146" s="23"/>
      <c r="BZ146" s="23"/>
      <c r="CA146" s="23"/>
      <c r="CB146" s="23"/>
      <c r="CC146" s="23"/>
      <c r="CD146" s="23"/>
      <c r="CE146" s="23"/>
      <c r="CF146" s="23"/>
      <c r="CG146" s="23" t="s">
        <v>3868</v>
      </c>
      <c r="CH146" s="345"/>
      <c r="CI146" s="471" t="s">
        <v>3287</v>
      </c>
      <c r="CJ146" s="23"/>
    </row>
    <row r="147" spans="1:88" s="554" customFormat="1" ht="48" customHeight="1">
      <c r="A147" s="15">
        <v>22</v>
      </c>
      <c r="B147" s="349" t="s">
        <v>3821</v>
      </c>
      <c r="C147" s="15" t="s">
        <v>942</v>
      </c>
      <c r="D147" s="14" t="s">
        <v>3869</v>
      </c>
      <c r="E147" s="15" t="s">
        <v>68</v>
      </c>
      <c r="F147" s="15">
        <v>2022</v>
      </c>
      <c r="G147" s="15">
        <v>2022</v>
      </c>
      <c r="H147" s="15" t="s">
        <v>942</v>
      </c>
      <c r="I147" s="344" t="s">
        <v>3703</v>
      </c>
      <c r="J147" s="350">
        <v>40000000</v>
      </c>
      <c r="K147" s="15" t="s">
        <v>3091</v>
      </c>
      <c r="L147" s="15">
        <v>3</v>
      </c>
      <c r="M147" s="23" t="s">
        <v>3870</v>
      </c>
      <c r="N147" s="23" t="s">
        <v>3871</v>
      </c>
      <c r="O147" s="15" t="s">
        <v>3215</v>
      </c>
      <c r="P147" s="15" t="s">
        <v>3072</v>
      </c>
      <c r="Q147" s="15">
        <v>6680629</v>
      </c>
      <c r="R147" s="15" t="s">
        <v>27</v>
      </c>
      <c r="S147" s="334" t="s">
        <v>2424</v>
      </c>
      <c r="T147" s="597">
        <f t="shared" si="18"/>
        <v>20000000</v>
      </c>
      <c r="U147" s="15" t="s">
        <v>151</v>
      </c>
      <c r="V147" s="15"/>
      <c r="W147" s="15"/>
      <c r="X147" s="15" t="s">
        <v>3281</v>
      </c>
      <c r="Y147" s="15" t="s">
        <v>3216</v>
      </c>
      <c r="Z147" s="15">
        <v>8140</v>
      </c>
      <c r="AA147" s="333" t="s">
        <v>3291</v>
      </c>
      <c r="AB147" s="15">
        <v>6764236</v>
      </c>
      <c r="AC147" s="334" t="s">
        <v>1684</v>
      </c>
      <c r="AD147" s="15" t="s">
        <v>25</v>
      </c>
      <c r="AE147" s="583">
        <f t="shared" si="15"/>
        <v>20000000</v>
      </c>
      <c r="AF147" s="15" t="s">
        <v>166</v>
      </c>
      <c r="AG147" s="15"/>
      <c r="AH147" s="15"/>
      <c r="AI147" s="15" t="s">
        <v>3286</v>
      </c>
      <c r="AJ147" s="15" t="s">
        <v>3216</v>
      </c>
      <c r="AK147" s="15"/>
      <c r="AL147" s="341"/>
      <c r="AM147" s="15"/>
      <c r="AN147" s="583"/>
      <c r="AO147" s="15"/>
      <c r="AP147" s="15"/>
      <c r="AQ147" s="15"/>
      <c r="AR147" s="15"/>
      <c r="AS147" s="15"/>
      <c r="AT147" s="23"/>
      <c r="AU147" s="23"/>
      <c r="AV147" s="23"/>
      <c r="AW147" s="534"/>
      <c r="AX147" s="23"/>
      <c r="AY147" s="23"/>
      <c r="AZ147" s="23"/>
      <c r="BA147" s="23"/>
      <c r="BB147" s="23"/>
      <c r="BC147" s="23"/>
      <c r="BD147" s="23"/>
      <c r="BE147" s="534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348" t="s">
        <v>3190</v>
      </c>
      <c r="BR147" s="348" t="s">
        <v>3191</v>
      </c>
      <c r="BS147" s="23" t="s">
        <v>3872</v>
      </c>
      <c r="BT147" s="14"/>
      <c r="BU147" s="23" t="s">
        <v>3873</v>
      </c>
      <c r="BV147" s="23"/>
      <c r="BW147" s="23"/>
      <c r="BX147" s="14"/>
      <c r="BY147" s="23"/>
      <c r="BZ147" s="23"/>
      <c r="CA147" s="23"/>
      <c r="CB147" s="23"/>
      <c r="CC147" s="23"/>
      <c r="CD147" s="23"/>
      <c r="CE147" s="23"/>
      <c r="CF147" s="23"/>
      <c r="CG147" s="23"/>
      <c r="CH147" s="345"/>
      <c r="CI147" s="471"/>
      <c r="CJ147" s="23"/>
    </row>
    <row r="148" spans="1:88" s="4" customFormat="1" ht="84" customHeight="1">
      <c r="A148" s="15">
        <v>23</v>
      </c>
      <c r="B148" s="349" t="s">
        <v>3874</v>
      </c>
      <c r="C148" s="15" t="s">
        <v>942</v>
      </c>
      <c r="D148" s="14" t="s">
        <v>3875</v>
      </c>
      <c r="E148" s="15" t="s">
        <v>68</v>
      </c>
      <c r="F148" s="15">
        <v>2022</v>
      </c>
      <c r="G148" s="15">
        <v>2022</v>
      </c>
      <c r="H148" s="15">
        <v>9</v>
      </c>
      <c r="I148" s="344" t="s">
        <v>3597</v>
      </c>
      <c r="J148" s="350">
        <v>13860000</v>
      </c>
      <c r="K148" s="15" t="s">
        <v>3091</v>
      </c>
      <c r="L148" s="15">
        <v>3</v>
      </c>
      <c r="M148" s="23" t="s">
        <v>3870</v>
      </c>
      <c r="N148" s="23" t="s">
        <v>3871</v>
      </c>
      <c r="O148" s="15" t="s">
        <v>3215</v>
      </c>
      <c r="P148" s="14" t="s">
        <v>2074</v>
      </c>
      <c r="Q148" s="15">
        <v>6778837</v>
      </c>
      <c r="R148" s="15" t="s">
        <v>71</v>
      </c>
      <c r="S148" s="204" t="s">
        <v>979</v>
      </c>
      <c r="T148" s="597">
        <f>J148/1</f>
        <v>13860000</v>
      </c>
      <c r="U148" s="15" t="s">
        <v>171</v>
      </c>
      <c r="V148" s="15"/>
      <c r="W148" s="15"/>
      <c r="X148" s="15" t="s">
        <v>3286</v>
      </c>
      <c r="Y148" s="15" t="s">
        <v>3216</v>
      </c>
      <c r="Z148" s="15">
        <v>8140</v>
      </c>
      <c r="AA148" s="333" t="s">
        <v>3291</v>
      </c>
      <c r="AB148" s="15"/>
      <c r="AC148" s="340"/>
      <c r="AD148" s="15" t="s">
        <v>1476</v>
      </c>
      <c r="AE148" s="583"/>
      <c r="AF148" s="15"/>
      <c r="AG148" s="15"/>
      <c r="AH148" s="15"/>
      <c r="AI148" s="15"/>
      <c r="AJ148" s="15" t="s">
        <v>2074</v>
      </c>
      <c r="AK148" s="15"/>
      <c r="AL148" s="341"/>
      <c r="AM148" s="15" t="s">
        <v>1474</v>
      </c>
      <c r="AN148" s="583"/>
      <c r="AO148" s="15"/>
      <c r="AP148" s="15"/>
      <c r="AQ148" s="15"/>
      <c r="AR148" s="15"/>
      <c r="AS148" s="15" t="s">
        <v>2074</v>
      </c>
      <c r="AT148" s="23"/>
      <c r="AU148" s="23"/>
      <c r="AV148" s="15" t="s">
        <v>1475</v>
      </c>
      <c r="AW148" s="583"/>
      <c r="AX148" s="23"/>
      <c r="AY148" s="23"/>
      <c r="AZ148" s="23"/>
      <c r="BA148" s="15" t="s">
        <v>2074</v>
      </c>
      <c r="BB148" s="23"/>
      <c r="BC148" s="23"/>
      <c r="BD148" s="23"/>
      <c r="BE148" s="534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348" t="s">
        <v>3190</v>
      </c>
      <c r="BR148" s="348" t="s">
        <v>3191</v>
      </c>
      <c r="BS148" s="23"/>
      <c r="BT148" s="14"/>
      <c r="BU148" s="23"/>
      <c r="BV148" s="23"/>
      <c r="BW148" s="23"/>
      <c r="BX148" s="14"/>
      <c r="BY148" s="23"/>
      <c r="BZ148" s="23"/>
      <c r="CA148" s="23"/>
      <c r="CB148" s="23"/>
      <c r="CC148" s="23"/>
      <c r="CD148" s="23"/>
      <c r="CE148" s="23"/>
      <c r="CF148" s="23"/>
      <c r="CG148" s="23"/>
      <c r="CH148" s="345"/>
      <c r="CI148" s="471"/>
      <c r="CJ148" s="23"/>
    </row>
    <row r="149" spans="1:88" s="145" customFormat="1" ht="84" customHeight="1">
      <c r="A149" s="15">
        <v>24</v>
      </c>
      <c r="B149" s="348" t="s">
        <v>3874</v>
      </c>
      <c r="C149" s="15" t="s">
        <v>942</v>
      </c>
      <c r="D149" s="14" t="s">
        <v>3876</v>
      </c>
      <c r="E149" s="15" t="s">
        <v>68</v>
      </c>
      <c r="F149" s="15">
        <v>2022</v>
      </c>
      <c r="G149" s="15">
        <v>2022</v>
      </c>
      <c r="H149" s="15">
        <v>12</v>
      </c>
      <c r="I149" s="344" t="s">
        <v>3703</v>
      </c>
      <c r="J149" s="582">
        <v>17840000</v>
      </c>
      <c r="K149" s="15" t="s">
        <v>3091</v>
      </c>
      <c r="L149" s="15">
        <v>3</v>
      </c>
      <c r="M149" s="15" t="s">
        <v>3870</v>
      </c>
      <c r="N149" s="15" t="s">
        <v>3871</v>
      </c>
      <c r="O149" s="15" t="s">
        <v>3215</v>
      </c>
      <c r="P149" s="15" t="s">
        <v>2074</v>
      </c>
      <c r="Q149" s="333">
        <v>6680678</v>
      </c>
      <c r="R149" s="15" t="s">
        <v>14</v>
      </c>
      <c r="S149" s="15" t="s">
        <v>1725</v>
      </c>
      <c r="T149" s="597">
        <f>J149/2</f>
        <v>8920000</v>
      </c>
      <c r="U149" s="15" t="s">
        <v>3679</v>
      </c>
      <c r="V149" s="15"/>
      <c r="W149" s="15"/>
      <c r="X149" s="15" t="s">
        <v>3281</v>
      </c>
      <c r="Y149" s="15" t="s">
        <v>3216</v>
      </c>
      <c r="Z149" s="15">
        <v>8140</v>
      </c>
      <c r="AA149" s="333" t="s">
        <v>3291</v>
      </c>
      <c r="AB149" s="347">
        <v>6786182</v>
      </c>
      <c r="AC149" s="347">
        <v>714029601</v>
      </c>
      <c r="AD149" s="15" t="s">
        <v>87</v>
      </c>
      <c r="AE149" s="583">
        <f>T149</f>
        <v>8920000</v>
      </c>
      <c r="AF149" s="15" t="s">
        <v>154</v>
      </c>
      <c r="AG149" s="15"/>
      <c r="AH149" s="15"/>
      <c r="AI149" s="15" t="s">
        <v>3281</v>
      </c>
      <c r="AJ149" s="15" t="s">
        <v>3091</v>
      </c>
      <c r="AK149" s="15"/>
      <c r="AL149" s="341"/>
      <c r="AM149" s="15" t="s">
        <v>1503</v>
      </c>
      <c r="AN149" s="583"/>
      <c r="AO149" s="15"/>
      <c r="AP149" s="15"/>
      <c r="AQ149" s="15"/>
      <c r="AR149" s="15"/>
      <c r="AS149" s="15" t="s">
        <v>2074</v>
      </c>
      <c r="AT149" s="15"/>
      <c r="AU149" s="15"/>
      <c r="AV149" s="15" t="s">
        <v>1502</v>
      </c>
      <c r="AW149" s="583"/>
      <c r="AX149" s="15"/>
      <c r="AY149" s="15"/>
      <c r="AZ149" s="15"/>
      <c r="BA149" s="15" t="s">
        <v>2074</v>
      </c>
      <c r="BB149" s="15"/>
      <c r="BC149" s="15"/>
      <c r="BD149" s="15"/>
      <c r="BE149" s="583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348" t="s">
        <v>3190</v>
      </c>
      <c r="BR149" s="15" t="s">
        <v>3191</v>
      </c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347" t="s">
        <v>3877</v>
      </c>
      <c r="CH149" s="332" t="s">
        <v>3739</v>
      </c>
      <c r="CI149" s="473" t="s">
        <v>3287</v>
      </c>
      <c r="CJ149" s="15"/>
    </row>
    <row r="150" spans="1:88" s="4" customFormat="1" ht="72" customHeight="1">
      <c r="A150" s="15">
        <v>25</v>
      </c>
      <c r="B150" s="349" t="s">
        <v>3821</v>
      </c>
      <c r="C150" s="348" t="s">
        <v>3878</v>
      </c>
      <c r="D150" s="14" t="s">
        <v>3879</v>
      </c>
      <c r="E150" s="15" t="s">
        <v>61</v>
      </c>
      <c r="F150" s="15">
        <v>2022</v>
      </c>
      <c r="G150" s="15">
        <v>2022</v>
      </c>
      <c r="H150" s="15">
        <v>12</v>
      </c>
      <c r="I150" s="344" t="s">
        <v>3547</v>
      </c>
      <c r="J150" s="350">
        <v>11000000</v>
      </c>
      <c r="K150" s="15" t="s">
        <v>3091</v>
      </c>
      <c r="L150" s="15">
        <v>3</v>
      </c>
      <c r="M150" s="15" t="s">
        <v>3880</v>
      </c>
      <c r="N150" s="23" t="s">
        <v>3871</v>
      </c>
      <c r="O150" s="15" t="s">
        <v>3215</v>
      </c>
      <c r="P150" s="14" t="s">
        <v>3881</v>
      </c>
      <c r="Q150" s="15">
        <v>6756318</v>
      </c>
      <c r="R150" s="15" t="s">
        <v>62</v>
      </c>
      <c r="S150" s="334" t="s">
        <v>950</v>
      </c>
      <c r="T150" s="597">
        <f>J150/2</f>
        <v>5500000</v>
      </c>
      <c r="U150" s="15" t="s">
        <v>175</v>
      </c>
      <c r="V150" s="15"/>
      <c r="W150" s="15"/>
      <c r="X150" s="15" t="s">
        <v>3286</v>
      </c>
      <c r="Y150" s="15" t="s">
        <v>3216</v>
      </c>
      <c r="Z150" s="15">
        <v>8140</v>
      </c>
      <c r="AA150" s="333" t="s">
        <v>3291</v>
      </c>
      <c r="AB150" s="15"/>
      <c r="AC150" s="340"/>
      <c r="AD150" s="15" t="s">
        <v>1386</v>
      </c>
      <c r="AE150" s="583"/>
      <c r="AF150" s="15"/>
      <c r="AG150" s="15"/>
      <c r="AH150" s="15"/>
      <c r="AI150" s="15"/>
      <c r="AJ150" s="15" t="s">
        <v>3881</v>
      </c>
      <c r="AK150" s="15">
        <v>6680680</v>
      </c>
      <c r="AL150" s="334" t="s">
        <v>959</v>
      </c>
      <c r="AM150" s="15" t="s">
        <v>9</v>
      </c>
      <c r="AN150" s="583">
        <f>T150</f>
        <v>5500000</v>
      </c>
      <c r="AO150" s="15" t="s">
        <v>156</v>
      </c>
      <c r="AP150" s="15"/>
      <c r="AQ150" s="15"/>
      <c r="AR150" s="15" t="s">
        <v>3286</v>
      </c>
      <c r="AS150" s="15" t="s">
        <v>3216</v>
      </c>
      <c r="AT150" s="23"/>
      <c r="AU150" s="23"/>
      <c r="AV150" s="23"/>
      <c r="AW150" s="534"/>
      <c r="AX150" s="23"/>
      <c r="AY150" s="23"/>
      <c r="AZ150" s="23"/>
      <c r="BA150" s="23"/>
      <c r="BB150" s="23"/>
      <c r="BC150" s="23"/>
      <c r="BD150" s="23"/>
      <c r="BE150" s="534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348" t="s">
        <v>3190</v>
      </c>
      <c r="BR150" s="348" t="s">
        <v>3191</v>
      </c>
      <c r="BS150" s="23" t="s">
        <v>3882</v>
      </c>
      <c r="BT150" s="14"/>
      <c r="BU150" s="23" t="s">
        <v>1400</v>
      </c>
      <c r="BV150" s="23"/>
      <c r="BW150" s="23" t="s">
        <v>1284</v>
      </c>
      <c r="BX150" s="14"/>
      <c r="BY150" s="23"/>
      <c r="BZ150" s="23"/>
      <c r="CA150" s="23"/>
      <c r="CB150" s="23"/>
      <c r="CC150" s="23"/>
      <c r="CD150" s="23"/>
      <c r="CE150" s="23"/>
      <c r="CF150" s="23"/>
      <c r="CG150" s="346" t="s">
        <v>3883</v>
      </c>
      <c r="CH150" s="345" t="s">
        <v>3528</v>
      </c>
      <c r="CI150" s="471"/>
      <c r="CJ150" s="23"/>
    </row>
    <row r="151" spans="1:88" s="4" customFormat="1" ht="48" customHeight="1">
      <c r="A151" s="15">
        <v>26</v>
      </c>
      <c r="B151" s="349" t="s">
        <v>3821</v>
      </c>
      <c r="C151" s="348" t="s">
        <v>3884</v>
      </c>
      <c r="D151" s="14" t="s">
        <v>3885</v>
      </c>
      <c r="E151" s="15" t="s">
        <v>58</v>
      </c>
      <c r="F151" s="15">
        <v>2022</v>
      </c>
      <c r="G151" s="15">
        <v>2022</v>
      </c>
      <c r="H151" s="15">
        <v>10</v>
      </c>
      <c r="I151" s="344" t="s">
        <v>3772</v>
      </c>
      <c r="J151" s="350">
        <v>10000000</v>
      </c>
      <c r="K151" s="15" t="s">
        <v>3091</v>
      </c>
      <c r="L151" s="15">
        <v>3</v>
      </c>
      <c r="M151" s="15" t="s">
        <v>3222</v>
      </c>
      <c r="N151" s="15" t="s">
        <v>3223</v>
      </c>
      <c r="O151" s="15" t="s">
        <v>3215</v>
      </c>
      <c r="P151" s="15" t="s">
        <v>3216</v>
      </c>
      <c r="Q151" s="15">
        <v>6680687</v>
      </c>
      <c r="R151" s="15" t="s">
        <v>29</v>
      </c>
      <c r="S151" s="334" t="s">
        <v>1693</v>
      </c>
      <c r="T151" s="597">
        <f t="shared" ref="T151" si="19">J151/3</f>
        <v>3333333.3333333335</v>
      </c>
      <c r="U151" s="15" t="s">
        <v>160</v>
      </c>
      <c r="V151" s="15"/>
      <c r="W151" s="15"/>
      <c r="X151" s="15" t="s">
        <v>3281</v>
      </c>
      <c r="Y151" s="15" t="s">
        <v>3216</v>
      </c>
      <c r="Z151" s="15">
        <v>8140</v>
      </c>
      <c r="AA151" s="333" t="s">
        <v>3291</v>
      </c>
      <c r="AB151" s="15">
        <v>6760392</v>
      </c>
      <c r="AC151" s="334" t="s">
        <v>948</v>
      </c>
      <c r="AD151" s="15" t="s">
        <v>75</v>
      </c>
      <c r="AE151" s="583">
        <f t="shared" ref="AE151:AE158" si="20">T151</f>
        <v>3333333.3333333335</v>
      </c>
      <c r="AF151" s="15" t="s">
        <v>175</v>
      </c>
      <c r="AG151" s="15"/>
      <c r="AH151" s="15"/>
      <c r="AI151" s="15" t="s">
        <v>3286</v>
      </c>
      <c r="AJ151" s="15" t="s">
        <v>3216</v>
      </c>
      <c r="AK151" s="15">
        <v>6680726</v>
      </c>
      <c r="AL151" s="334" t="s">
        <v>943</v>
      </c>
      <c r="AM151" s="15" t="s">
        <v>93</v>
      </c>
      <c r="AN151" s="583">
        <f>T151</f>
        <v>3333333.3333333335</v>
      </c>
      <c r="AO151" s="15" t="s">
        <v>156</v>
      </c>
      <c r="AP151" s="15"/>
      <c r="AQ151" s="15"/>
      <c r="AR151" s="15" t="s">
        <v>3286</v>
      </c>
      <c r="AS151" s="15" t="s">
        <v>3216</v>
      </c>
      <c r="AT151" s="23"/>
      <c r="AU151" s="23"/>
      <c r="AV151" s="23"/>
      <c r="AW151" s="534"/>
      <c r="AX151" s="23"/>
      <c r="AY151" s="23"/>
      <c r="AZ151" s="23"/>
      <c r="BA151" s="23"/>
      <c r="BB151" s="23"/>
      <c r="BC151" s="23"/>
      <c r="BD151" s="23"/>
      <c r="BE151" s="534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348" t="s">
        <v>3190</v>
      </c>
      <c r="BR151" s="348" t="s">
        <v>3191</v>
      </c>
      <c r="BS151" s="23" t="s">
        <v>3264</v>
      </c>
      <c r="BT151" s="14"/>
      <c r="BU151" s="23" t="s">
        <v>3886</v>
      </c>
      <c r="BV151" s="23" t="s">
        <v>3589</v>
      </c>
      <c r="BW151" s="23"/>
      <c r="BX151" s="14"/>
      <c r="BY151" s="23"/>
      <c r="BZ151" s="23"/>
      <c r="CA151" s="23"/>
      <c r="CB151" s="23"/>
      <c r="CC151" s="23"/>
      <c r="CD151" s="23"/>
      <c r="CE151" s="23"/>
      <c r="CF151" s="23"/>
      <c r="CG151" s="23" t="s">
        <v>3251</v>
      </c>
      <c r="CH151" s="345"/>
      <c r="CI151" s="471" t="s">
        <v>3887</v>
      </c>
      <c r="CJ151" s="23"/>
    </row>
    <row r="152" spans="1:88" s="4" customFormat="1" ht="48" customHeight="1">
      <c r="A152" s="15">
        <v>27</v>
      </c>
      <c r="B152" s="349" t="s">
        <v>3888</v>
      </c>
      <c r="C152" s="348" t="s">
        <v>3889</v>
      </c>
      <c r="D152" s="14" t="s">
        <v>3890</v>
      </c>
      <c r="E152" s="15" t="s">
        <v>90</v>
      </c>
      <c r="F152" s="15">
        <v>2022</v>
      </c>
      <c r="G152" s="15">
        <v>2022</v>
      </c>
      <c r="H152" s="15">
        <v>8</v>
      </c>
      <c r="I152" s="344" t="s">
        <v>3597</v>
      </c>
      <c r="J152" s="350">
        <v>150000000</v>
      </c>
      <c r="K152" s="15" t="s">
        <v>3091</v>
      </c>
      <c r="L152" s="15">
        <v>6</v>
      </c>
      <c r="M152" s="15" t="s">
        <v>90</v>
      </c>
      <c r="N152" s="15" t="s">
        <v>3223</v>
      </c>
      <c r="O152" s="15" t="s">
        <v>3215</v>
      </c>
      <c r="P152" s="15" t="s">
        <v>3216</v>
      </c>
      <c r="Q152" s="15">
        <v>6680633</v>
      </c>
      <c r="R152" s="15" t="s">
        <v>18</v>
      </c>
      <c r="S152" s="334" t="s">
        <v>3322</v>
      </c>
      <c r="T152" s="597">
        <f>J152/3</f>
        <v>50000000</v>
      </c>
      <c r="U152" s="15" t="s">
        <v>156</v>
      </c>
      <c r="V152" s="15" t="s">
        <v>166</v>
      </c>
      <c r="W152" s="15"/>
      <c r="X152" s="15" t="s">
        <v>3286</v>
      </c>
      <c r="Y152" s="15" t="s">
        <v>3216</v>
      </c>
      <c r="Z152" s="15">
        <v>8140</v>
      </c>
      <c r="AA152" s="333" t="s">
        <v>3291</v>
      </c>
      <c r="AB152" s="15">
        <v>6682174</v>
      </c>
      <c r="AC152" s="15" t="s">
        <v>2285</v>
      </c>
      <c r="AD152" s="15" t="s">
        <v>20</v>
      </c>
      <c r="AE152" s="583">
        <f t="shared" si="20"/>
        <v>50000000</v>
      </c>
      <c r="AF152" s="15" t="s">
        <v>156</v>
      </c>
      <c r="AG152" s="15"/>
      <c r="AH152" s="15"/>
      <c r="AI152" s="15" t="s">
        <v>3286</v>
      </c>
      <c r="AJ152" s="15" t="s">
        <v>3216</v>
      </c>
      <c r="AK152" s="633">
        <v>6663582</v>
      </c>
      <c r="AL152" s="634">
        <v>303069102</v>
      </c>
      <c r="AM152" s="15" t="s">
        <v>94</v>
      </c>
      <c r="AN152" s="583">
        <f>T152</f>
        <v>50000000</v>
      </c>
      <c r="AO152" s="15" t="s">
        <v>151</v>
      </c>
      <c r="AP152" s="15"/>
      <c r="AQ152" s="15"/>
      <c r="AR152" s="15" t="s">
        <v>3281</v>
      </c>
      <c r="AS152" s="15" t="s">
        <v>3216</v>
      </c>
      <c r="AT152" s="23"/>
      <c r="AU152" s="23"/>
      <c r="AV152" s="23"/>
      <c r="AW152" s="534"/>
      <c r="AX152" s="23"/>
      <c r="AY152" s="23"/>
      <c r="AZ152" s="23"/>
      <c r="BA152" s="23"/>
      <c r="BB152" s="23"/>
      <c r="BC152" s="23"/>
      <c r="BD152" s="23"/>
      <c r="BE152" s="534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348" t="s">
        <v>3190</v>
      </c>
      <c r="BR152" s="15" t="s">
        <v>3191</v>
      </c>
      <c r="BS152" s="23" t="s">
        <v>1223</v>
      </c>
      <c r="BT152" s="14"/>
      <c r="BU152" s="23" t="s">
        <v>3891</v>
      </c>
      <c r="BV152" s="23"/>
      <c r="BW152" s="23" t="s">
        <v>1068</v>
      </c>
      <c r="BX152" s="14"/>
      <c r="BY152" s="23" t="s">
        <v>3270</v>
      </c>
      <c r="BZ152" s="23"/>
      <c r="CA152" s="23"/>
      <c r="CB152" s="23"/>
      <c r="CC152" s="23"/>
      <c r="CD152" s="23"/>
      <c r="CE152" s="23"/>
      <c r="CF152" s="23"/>
      <c r="CG152" s="23"/>
      <c r="CH152" s="345"/>
      <c r="CI152" s="471"/>
      <c r="CJ152" s="23"/>
    </row>
    <row r="153" spans="1:88" s="4" customFormat="1" ht="66.75" customHeight="1">
      <c r="A153" s="15">
        <v>28</v>
      </c>
      <c r="B153" s="349" t="s">
        <v>3888</v>
      </c>
      <c r="C153" s="15" t="s">
        <v>942</v>
      </c>
      <c r="D153" s="14" t="s">
        <v>3892</v>
      </c>
      <c r="E153" s="15" t="s">
        <v>90</v>
      </c>
      <c r="F153" s="15">
        <v>2022</v>
      </c>
      <c r="G153" s="15">
        <v>2022</v>
      </c>
      <c r="H153" s="15">
        <v>12</v>
      </c>
      <c r="I153" s="344" t="s">
        <v>3587</v>
      </c>
      <c r="J153" s="350">
        <v>100000000</v>
      </c>
      <c r="K153" s="15" t="s">
        <v>3091</v>
      </c>
      <c r="L153" s="15">
        <v>4</v>
      </c>
      <c r="M153" s="15" t="s">
        <v>90</v>
      </c>
      <c r="N153" s="15" t="s">
        <v>3223</v>
      </c>
      <c r="O153" s="15" t="s">
        <v>3215</v>
      </c>
      <c r="P153" s="15" t="s">
        <v>3216</v>
      </c>
      <c r="Q153" s="15">
        <v>6680685</v>
      </c>
      <c r="R153" s="15" t="s">
        <v>21</v>
      </c>
      <c r="S153" s="340" t="s">
        <v>944</v>
      </c>
      <c r="T153" s="597">
        <f>J153/5</f>
        <v>20000000</v>
      </c>
      <c r="U153" s="15" t="s">
        <v>155</v>
      </c>
      <c r="V153" s="15"/>
      <c r="W153" s="15"/>
      <c r="X153" s="15" t="s">
        <v>3281</v>
      </c>
      <c r="Y153" s="15" t="s">
        <v>3216</v>
      </c>
      <c r="Z153" s="15">
        <v>8140</v>
      </c>
      <c r="AA153" s="333" t="s">
        <v>3291</v>
      </c>
      <c r="AB153" s="15">
        <v>6801989</v>
      </c>
      <c r="AC153" s="15" t="s">
        <v>1890</v>
      </c>
      <c r="AD153" s="15" t="s">
        <v>174</v>
      </c>
      <c r="AE153" s="583">
        <f t="shared" si="20"/>
        <v>20000000</v>
      </c>
      <c r="AF153" s="15" t="s">
        <v>3093</v>
      </c>
      <c r="AG153" s="15"/>
      <c r="AH153" s="15"/>
      <c r="AI153" s="15" t="s">
        <v>3286</v>
      </c>
      <c r="AJ153" s="15" t="s">
        <v>3216</v>
      </c>
      <c r="AK153" s="15">
        <v>6724784</v>
      </c>
      <c r="AL153" s="334" t="s">
        <v>1781</v>
      </c>
      <c r="AM153" s="15" t="s">
        <v>108</v>
      </c>
      <c r="AN153" s="583">
        <f>T153</f>
        <v>20000000</v>
      </c>
      <c r="AO153" s="15" t="s">
        <v>154</v>
      </c>
      <c r="AP153" s="15"/>
      <c r="AQ153" s="15"/>
      <c r="AR153" s="15" t="s">
        <v>3281</v>
      </c>
      <c r="AS153" s="15" t="s">
        <v>3216</v>
      </c>
      <c r="AT153" s="15">
        <v>6680626</v>
      </c>
      <c r="AU153" s="334" t="s">
        <v>1008</v>
      </c>
      <c r="AV153" s="15" t="s">
        <v>38</v>
      </c>
      <c r="AW153" s="583">
        <f>T153</f>
        <v>20000000</v>
      </c>
      <c r="AX153" s="15" t="s">
        <v>171</v>
      </c>
      <c r="AY153" s="15"/>
      <c r="AZ153" s="23" t="s">
        <v>3286</v>
      </c>
      <c r="BA153" s="15" t="s">
        <v>3216</v>
      </c>
      <c r="BB153" s="23">
        <v>6680627</v>
      </c>
      <c r="BC153" s="204" t="s">
        <v>1912</v>
      </c>
      <c r="BD153" s="15" t="s">
        <v>88</v>
      </c>
      <c r="BE153" s="583">
        <f>T153</f>
        <v>20000000</v>
      </c>
      <c r="BF153" s="15" t="s">
        <v>160</v>
      </c>
      <c r="BG153" s="15"/>
      <c r="BH153" s="23" t="s">
        <v>3286</v>
      </c>
      <c r="BI153" s="23"/>
      <c r="BJ153" s="23"/>
      <c r="BK153" s="23"/>
      <c r="BL153" s="23"/>
      <c r="BM153" s="23"/>
      <c r="BN153" s="23"/>
      <c r="BO153" s="23"/>
      <c r="BP153" s="23"/>
      <c r="BQ153" s="348" t="s">
        <v>3190</v>
      </c>
      <c r="BR153" s="15" t="s">
        <v>3191</v>
      </c>
      <c r="BS153" s="23" t="s">
        <v>487</v>
      </c>
      <c r="BT153" s="14"/>
      <c r="BU153" s="23" t="s">
        <v>3080</v>
      </c>
      <c r="BV153" s="23"/>
      <c r="BW153" s="23" t="s">
        <v>3893</v>
      </c>
      <c r="BX153" s="14"/>
      <c r="BY153" s="23" t="s">
        <v>3894</v>
      </c>
      <c r="BZ153" s="23"/>
      <c r="CA153" s="23" t="s">
        <v>3895</v>
      </c>
      <c r="CB153" s="23"/>
      <c r="CC153" s="23" t="s">
        <v>1745</v>
      </c>
      <c r="CD153" s="23"/>
      <c r="CE153" s="23" t="s">
        <v>2554</v>
      </c>
      <c r="CF153" s="23"/>
      <c r="CG153" s="23"/>
      <c r="CH153" s="345"/>
      <c r="CI153" s="471"/>
      <c r="CJ153" s="23"/>
    </row>
    <row r="154" spans="1:88" s="4" customFormat="1" ht="48" customHeight="1">
      <c r="A154" s="15">
        <v>29</v>
      </c>
      <c r="B154" s="349" t="s">
        <v>3888</v>
      </c>
      <c r="C154" s="15" t="s">
        <v>942</v>
      </c>
      <c r="D154" s="14" t="s">
        <v>3896</v>
      </c>
      <c r="E154" s="15" t="s">
        <v>90</v>
      </c>
      <c r="F154" s="15">
        <v>2022</v>
      </c>
      <c r="G154" s="15">
        <v>2022</v>
      </c>
      <c r="H154" s="15">
        <v>12</v>
      </c>
      <c r="I154" s="344" t="s">
        <v>3597</v>
      </c>
      <c r="J154" s="350">
        <v>50000000</v>
      </c>
      <c r="K154" s="15" t="s">
        <v>3091</v>
      </c>
      <c r="L154" s="15">
        <v>4</v>
      </c>
      <c r="M154" s="15" t="s">
        <v>90</v>
      </c>
      <c r="N154" s="15" t="s">
        <v>3223</v>
      </c>
      <c r="O154" s="15" t="s">
        <v>3215</v>
      </c>
      <c r="P154" s="15" t="s">
        <v>3216</v>
      </c>
      <c r="Q154" s="15">
        <v>6680685</v>
      </c>
      <c r="R154" s="15" t="s">
        <v>21</v>
      </c>
      <c r="S154" s="340" t="s">
        <v>944</v>
      </c>
      <c r="T154" s="597">
        <f t="shared" si="18"/>
        <v>25000000</v>
      </c>
      <c r="U154" s="15" t="s">
        <v>155</v>
      </c>
      <c r="V154" s="15"/>
      <c r="W154" s="15"/>
      <c r="X154" s="15" t="s">
        <v>3281</v>
      </c>
      <c r="Y154" s="15" t="s">
        <v>3216</v>
      </c>
      <c r="Z154" s="15">
        <v>8140</v>
      </c>
      <c r="AA154" s="333" t="s">
        <v>3291</v>
      </c>
      <c r="AB154" s="15">
        <v>6680641</v>
      </c>
      <c r="AC154" s="340" t="s">
        <v>1794</v>
      </c>
      <c r="AD154" s="15" t="s">
        <v>3231</v>
      </c>
      <c r="AE154" s="583">
        <f t="shared" si="20"/>
        <v>25000000</v>
      </c>
      <c r="AF154" s="15" t="s">
        <v>3477</v>
      </c>
      <c r="AG154" s="15"/>
      <c r="AH154" s="15"/>
      <c r="AI154" s="15" t="s">
        <v>3281</v>
      </c>
      <c r="AJ154" s="15" t="s">
        <v>3216</v>
      </c>
      <c r="AK154" s="15"/>
      <c r="AL154" s="341"/>
      <c r="AM154" s="15"/>
      <c r="AN154" s="583"/>
      <c r="AO154" s="15"/>
      <c r="AP154" s="15"/>
      <c r="AQ154" s="15"/>
      <c r="AR154" s="15"/>
      <c r="AS154" s="15"/>
      <c r="AT154" s="23"/>
      <c r="AU154" s="23"/>
      <c r="AV154" s="23"/>
      <c r="AW154" s="534"/>
      <c r="AX154" s="23"/>
      <c r="AY154" s="23"/>
      <c r="AZ154" s="23"/>
      <c r="BA154" s="23"/>
      <c r="BB154" s="23"/>
      <c r="BC154" s="23"/>
      <c r="BD154" s="23"/>
      <c r="BE154" s="534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348" t="s">
        <v>3190</v>
      </c>
      <c r="BR154" s="15" t="s">
        <v>3191</v>
      </c>
      <c r="BS154" s="23" t="s">
        <v>3590</v>
      </c>
      <c r="BT154" s="14"/>
      <c r="BU154" s="23" t="s">
        <v>3897</v>
      </c>
      <c r="BV154" s="23"/>
      <c r="BW154" s="23" t="s">
        <v>3898</v>
      </c>
      <c r="BX154" s="14"/>
      <c r="BY154" s="23" t="s">
        <v>3899</v>
      </c>
      <c r="BZ154" s="23"/>
      <c r="CA154" s="23" t="s">
        <v>3900</v>
      </c>
      <c r="CB154" s="23"/>
      <c r="CC154" s="23"/>
      <c r="CD154" s="23"/>
      <c r="CE154" s="23"/>
      <c r="CF154" s="23"/>
      <c r="CG154" s="346" t="s">
        <v>3901</v>
      </c>
      <c r="CH154" s="345" t="s">
        <v>3739</v>
      </c>
      <c r="CI154" s="627" t="s">
        <v>3309</v>
      </c>
      <c r="CJ154" s="23"/>
    </row>
    <row r="155" spans="1:88" s="554" customFormat="1" ht="48" customHeight="1">
      <c r="A155" s="15">
        <v>30</v>
      </c>
      <c r="B155" s="349" t="s">
        <v>3733</v>
      </c>
      <c r="C155" s="15" t="s">
        <v>942</v>
      </c>
      <c r="D155" s="14" t="s">
        <v>3902</v>
      </c>
      <c r="E155" s="15" t="s">
        <v>99</v>
      </c>
      <c r="F155" s="15">
        <v>2022</v>
      </c>
      <c r="G155" s="15">
        <v>2022</v>
      </c>
      <c r="H155" s="15">
        <v>7</v>
      </c>
      <c r="I155" s="344" t="s">
        <v>3587</v>
      </c>
      <c r="J155" s="350">
        <v>3000000</v>
      </c>
      <c r="K155" s="15" t="s">
        <v>3091</v>
      </c>
      <c r="L155" s="15" t="s">
        <v>942</v>
      </c>
      <c r="M155" s="15" t="s">
        <v>3222</v>
      </c>
      <c r="N155" s="15" t="s">
        <v>3223</v>
      </c>
      <c r="O155" s="15" t="s">
        <v>3215</v>
      </c>
      <c r="P155" s="15" t="s">
        <v>3216</v>
      </c>
      <c r="Q155" s="15">
        <v>6099359</v>
      </c>
      <c r="R155" s="15" t="s">
        <v>67</v>
      </c>
      <c r="S155" s="334" t="s">
        <v>977</v>
      </c>
      <c r="T155" s="597">
        <f>J155/3</f>
        <v>1000000</v>
      </c>
      <c r="U155" s="15" t="s">
        <v>166</v>
      </c>
      <c r="V155" s="15"/>
      <c r="W155" s="15"/>
      <c r="X155" s="15" t="s">
        <v>3286</v>
      </c>
      <c r="Y155" s="15" t="s">
        <v>3216</v>
      </c>
      <c r="Z155" s="15">
        <v>8140</v>
      </c>
      <c r="AA155" s="333" t="s">
        <v>3291</v>
      </c>
      <c r="AB155" s="15">
        <v>6680648</v>
      </c>
      <c r="AC155" s="204" t="s">
        <v>1036</v>
      </c>
      <c r="AD155" s="15" t="s">
        <v>17</v>
      </c>
      <c r="AE155" s="583">
        <f t="shared" si="20"/>
        <v>1000000</v>
      </c>
      <c r="AF155" s="15" t="s">
        <v>166</v>
      </c>
      <c r="AG155" s="15"/>
      <c r="AH155" s="15"/>
      <c r="AI155" s="15" t="s">
        <v>3286</v>
      </c>
      <c r="AJ155" s="15" t="s">
        <v>3216</v>
      </c>
      <c r="AK155" s="15"/>
      <c r="AL155" s="341"/>
      <c r="AM155" s="15" t="s">
        <v>39</v>
      </c>
      <c r="AN155" s="583">
        <f>T155</f>
        <v>1000000</v>
      </c>
      <c r="AO155" s="15" t="s">
        <v>166</v>
      </c>
      <c r="AP155" s="15"/>
      <c r="AQ155" s="15"/>
      <c r="AR155" s="15" t="s">
        <v>3286</v>
      </c>
      <c r="AS155" s="15" t="s">
        <v>3216</v>
      </c>
      <c r="AT155" s="23"/>
      <c r="AU155" s="23"/>
      <c r="AV155" s="23"/>
      <c r="AW155" s="534"/>
      <c r="AX155" s="23"/>
      <c r="AY155" s="23"/>
      <c r="AZ155" s="23"/>
      <c r="BA155" s="23"/>
      <c r="BB155" s="23"/>
      <c r="BC155" s="23"/>
      <c r="BD155" s="23"/>
      <c r="BE155" s="534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348" t="s">
        <v>3190</v>
      </c>
      <c r="BR155" s="15" t="s">
        <v>3191</v>
      </c>
      <c r="BS155" s="23" t="s">
        <v>3102</v>
      </c>
      <c r="BT155" s="14"/>
      <c r="BU155" s="23" t="s">
        <v>3900</v>
      </c>
      <c r="BV155" s="23"/>
      <c r="BW155" s="23"/>
      <c r="BX155" s="14"/>
      <c r="BY155" s="23"/>
      <c r="BZ155" s="23"/>
      <c r="CA155" s="23"/>
      <c r="CB155" s="23"/>
      <c r="CC155" s="23"/>
      <c r="CD155" s="23"/>
      <c r="CE155" s="23"/>
      <c r="CF155" s="23"/>
      <c r="CG155" s="23"/>
      <c r="CH155" s="345"/>
      <c r="CI155" s="471"/>
      <c r="CJ155" s="23"/>
    </row>
    <row r="156" spans="1:88" s="4" customFormat="1" ht="48" customHeight="1">
      <c r="A156" s="15">
        <v>31</v>
      </c>
      <c r="B156" s="349" t="s">
        <v>3733</v>
      </c>
      <c r="C156" s="15" t="s">
        <v>942</v>
      </c>
      <c r="D156" s="14" t="s">
        <v>3903</v>
      </c>
      <c r="E156" s="15" t="s">
        <v>99</v>
      </c>
      <c r="F156" s="15">
        <v>2022</v>
      </c>
      <c r="G156" s="15">
        <v>2022</v>
      </c>
      <c r="H156" s="15" t="s">
        <v>942</v>
      </c>
      <c r="I156" s="344" t="s">
        <v>942</v>
      </c>
      <c r="J156" s="350">
        <v>3000000</v>
      </c>
      <c r="K156" s="15" t="s">
        <v>3091</v>
      </c>
      <c r="L156" s="15" t="s">
        <v>942</v>
      </c>
      <c r="M156" s="15" t="s">
        <v>3222</v>
      </c>
      <c r="N156" s="15" t="s">
        <v>3223</v>
      </c>
      <c r="O156" s="15" t="s">
        <v>3215</v>
      </c>
      <c r="P156" s="15" t="s">
        <v>3216</v>
      </c>
      <c r="Q156" s="15">
        <v>6680708</v>
      </c>
      <c r="R156" s="15" t="s">
        <v>85</v>
      </c>
      <c r="S156" s="334" t="s">
        <v>2436</v>
      </c>
      <c r="T156" s="597">
        <f>J156/2</f>
        <v>1500000</v>
      </c>
      <c r="U156" s="15" t="s">
        <v>155</v>
      </c>
      <c r="V156" s="15"/>
      <c r="W156" s="15"/>
      <c r="X156" s="15" t="s">
        <v>3281</v>
      </c>
      <c r="Y156" s="15" t="s">
        <v>3216</v>
      </c>
      <c r="Z156" s="15">
        <v>8140</v>
      </c>
      <c r="AA156" s="333" t="s">
        <v>3291</v>
      </c>
      <c r="AB156" s="15" t="s">
        <v>3904</v>
      </c>
      <c r="AC156" s="340" t="s">
        <v>3905</v>
      </c>
      <c r="AD156" s="15" t="s">
        <v>191</v>
      </c>
      <c r="AE156" s="583">
        <f t="shared" si="20"/>
        <v>1500000</v>
      </c>
      <c r="AF156" s="15" t="s">
        <v>155</v>
      </c>
      <c r="AG156" s="15"/>
      <c r="AH156" s="15"/>
      <c r="AI156" s="15" t="s">
        <v>3281</v>
      </c>
      <c r="AJ156" s="15" t="s">
        <v>3216</v>
      </c>
      <c r="AK156" s="15"/>
      <c r="AL156" s="341"/>
      <c r="AM156" s="15"/>
      <c r="AN156" s="583"/>
      <c r="AO156" s="15"/>
      <c r="AP156" s="15"/>
      <c r="AQ156" s="15"/>
      <c r="AR156" s="15"/>
      <c r="AS156" s="15"/>
      <c r="AT156" s="23"/>
      <c r="AU156" s="23"/>
      <c r="AV156" s="23"/>
      <c r="AW156" s="534"/>
      <c r="AX156" s="23"/>
      <c r="AY156" s="23"/>
      <c r="AZ156" s="23"/>
      <c r="BA156" s="23"/>
      <c r="BB156" s="23"/>
      <c r="BC156" s="23"/>
      <c r="BD156" s="23"/>
      <c r="BE156" s="534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348" t="s">
        <v>3190</v>
      </c>
      <c r="BR156" s="15" t="s">
        <v>3191</v>
      </c>
      <c r="BS156" s="23"/>
      <c r="BT156" s="14"/>
      <c r="BU156" s="23"/>
      <c r="BV156" s="23"/>
      <c r="BW156" s="23"/>
      <c r="BX156" s="14"/>
      <c r="BY156" s="23"/>
      <c r="BZ156" s="23"/>
      <c r="CA156" s="23"/>
      <c r="CB156" s="23"/>
      <c r="CC156" s="23"/>
      <c r="CD156" s="23"/>
      <c r="CE156" s="23"/>
      <c r="CF156" s="23"/>
      <c r="CG156" s="23"/>
      <c r="CH156" s="345"/>
      <c r="CI156" s="471"/>
      <c r="CJ156" s="23"/>
    </row>
    <row r="157" spans="1:88" s="4" customFormat="1" ht="84" customHeight="1">
      <c r="A157" s="15">
        <v>32</v>
      </c>
      <c r="B157" s="349" t="s">
        <v>3906</v>
      </c>
      <c r="C157" s="15" t="s">
        <v>942</v>
      </c>
      <c r="D157" s="14" t="s">
        <v>3907</v>
      </c>
      <c r="E157" s="15" t="s">
        <v>3908</v>
      </c>
      <c r="F157" s="15">
        <v>2022</v>
      </c>
      <c r="G157" s="15">
        <v>2022</v>
      </c>
      <c r="H157" s="15" t="s">
        <v>942</v>
      </c>
      <c r="I157" s="344" t="s">
        <v>942</v>
      </c>
      <c r="J157" s="350">
        <v>346210000</v>
      </c>
      <c r="K157" s="15" t="s">
        <v>3091</v>
      </c>
      <c r="L157" s="15" t="s">
        <v>942</v>
      </c>
      <c r="M157" s="15" t="s">
        <v>3909</v>
      </c>
      <c r="N157" s="15" t="s">
        <v>3342</v>
      </c>
      <c r="O157" s="15" t="s">
        <v>3215</v>
      </c>
      <c r="P157" s="15" t="s">
        <v>3910</v>
      </c>
      <c r="Q157" s="15">
        <v>6680633</v>
      </c>
      <c r="R157" s="15" t="s">
        <v>18</v>
      </c>
      <c r="S157" s="334" t="s">
        <v>3322</v>
      </c>
      <c r="T157" s="597">
        <f>J157/4</f>
        <v>86552500</v>
      </c>
      <c r="U157" s="15" t="s">
        <v>156</v>
      </c>
      <c r="V157" s="15" t="s">
        <v>166</v>
      </c>
      <c r="W157" s="15"/>
      <c r="X157" s="15" t="s">
        <v>3286</v>
      </c>
      <c r="Y157" s="15" t="s">
        <v>3216</v>
      </c>
      <c r="Z157" s="15">
        <v>8140</v>
      </c>
      <c r="AA157" s="333" t="s">
        <v>3291</v>
      </c>
      <c r="AB157" s="15">
        <v>6682174</v>
      </c>
      <c r="AC157" s="15" t="s">
        <v>2285</v>
      </c>
      <c r="AD157" s="15" t="s">
        <v>20</v>
      </c>
      <c r="AE157" s="583">
        <f t="shared" si="20"/>
        <v>86552500</v>
      </c>
      <c r="AF157" s="15" t="s">
        <v>156</v>
      </c>
      <c r="AG157" s="15"/>
      <c r="AH157" s="15"/>
      <c r="AI157" s="15" t="s">
        <v>3286</v>
      </c>
      <c r="AJ157" s="15" t="s">
        <v>3216</v>
      </c>
      <c r="AK157" s="15">
        <v>6681205</v>
      </c>
      <c r="AL157" s="334" t="s">
        <v>1705</v>
      </c>
      <c r="AM157" s="15" t="s">
        <v>48</v>
      </c>
      <c r="AN157" s="583">
        <f>T157</f>
        <v>86552500</v>
      </c>
      <c r="AO157" s="15" t="s">
        <v>156</v>
      </c>
      <c r="AP157" s="15"/>
      <c r="AQ157" s="15"/>
      <c r="AR157" s="15" t="s">
        <v>3286</v>
      </c>
      <c r="AS157" s="15" t="s">
        <v>3216</v>
      </c>
      <c r="AT157" s="15">
        <v>6773159</v>
      </c>
      <c r="AU157" s="15" t="s">
        <v>3683</v>
      </c>
      <c r="AV157" s="15" t="s">
        <v>46</v>
      </c>
      <c r="AW157" s="583">
        <f>T157</f>
        <v>86552500</v>
      </c>
      <c r="AX157" s="15" t="s">
        <v>171</v>
      </c>
      <c r="AY157" s="15"/>
      <c r="AZ157" s="23" t="s">
        <v>3286</v>
      </c>
      <c r="BA157" s="15" t="s">
        <v>3216</v>
      </c>
      <c r="BB157" s="23"/>
      <c r="BC157" s="23"/>
      <c r="BD157" s="23"/>
      <c r="BE157" s="534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15" t="s">
        <v>3190</v>
      </c>
      <c r="BR157" s="15" t="s">
        <v>3191</v>
      </c>
      <c r="BS157" s="23"/>
      <c r="BT157" s="14"/>
      <c r="BU157" s="23"/>
      <c r="BV157" s="23"/>
      <c r="BW157" s="23"/>
      <c r="BX157" s="14"/>
      <c r="BY157" s="23"/>
      <c r="BZ157" s="23"/>
      <c r="CA157" s="23"/>
      <c r="CB157" s="23"/>
      <c r="CC157" s="23"/>
      <c r="CD157" s="23"/>
      <c r="CE157" s="23"/>
      <c r="CF157" s="23"/>
      <c r="CG157" s="23"/>
      <c r="CH157" s="345"/>
      <c r="CI157" s="471"/>
      <c r="CJ157" s="23"/>
    </row>
    <row r="158" spans="1:88" s="152" customFormat="1" ht="66" customHeight="1">
      <c r="A158" s="15">
        <v>33</v>
      </c>
      <c r="B158" s="23" t="s">
        <v>942</v>
      </c>
      <c r="C158" s="15" t="s">
        <v>942</v>
      </c>
      <c r="D158" s="14" t="s">
        <v>3911</v>
      </c>
      <c r="E158" s="15" t="s">
        <v>3912</v>
      </c>
      <c r="F158" s="15">
        <v>2022</v>
      </c>
      <c r="G158" s="15">
        <v>2022</v>
      </c>
      <c r="H158" s="15">
        <v>6</v>
      </c>
      <c r="I158" s="344" t="s">
        <v>3597</v>
      </c>
      <c r="J158" s="350">
        <v>170110000</v>
      </c>
      <c r="K158" s="15" t="s">
        <v>3091</v>
      </c>
      <c r="L158" s="15">
        <v>7</v>
      </c>
      <c r="M158" s="15" t="s">
        <v>3913</v>
      </c>
      <c r="N158" s="15" t="s">
        <v>3342</v>
      </c>
      <c r="O158" s="15" t="s">
        <v>3215</v>
      </c>
      <c r="P158" s="15" t="s">
        <v>3914</v>
      </c>
      <c r="Q158" s="15">
        <v>6778837</v>
      </c>
      <c r="R158" s="15" t="s">
        <v>71</v>
      </c>
      <c r="S158" s="204" t="s">
        <v>979</v>
      </c>
      <c r="T158" s="597">
        <f>J158/6</f>
        <v>28351666.666666668</v>
      </c>
      <c r="U158" s="15" t="s">
        <v>171</v>
      </c>
      <c r="V158" s="15"/>
      <c r="W158" s="15"/>
      <c r="X158" s="15" t="s">
        <v>3286</v>
      </c>
      <c r="Y158" s="15" t="s">
        <v>3216</v>
      </c>
      <c r="Z158" s="15">
        <v>8140</v>
      </c>
      <c r="AA158" s="333" t="s">
        <v>3291</v>
      </c>
      <c r="AB158" s="15">
        <v>6680633</v>
      </c>
      <c r="AC158" s="204" t="s">
        <v>3322</v>
      </c>
      <c r="AD158" s="15" t="s">
        <v>18</v>
      </c>
      <c r="AE158" s="583">
        <f t="shared" si="20"/>
        <v>28351666.666666668</v>
      </c>
      <c r="AF158" s="15" t="s">
        <v>156</v>
      </c>
      <c r="AG158" s="15" t="s">
        <v>166</v>
      </c>
      <c r="AH158" s="15"/>
      <c r="AI158" s="15" t="s">
        <v>3286</v>
      </c>
      <c r="AJ158" s="15" t="s">
        <v>3216</v>
      </c>
      <c r="AK158" s="15">
        <v>258471</v>
      </c>
      <c r="AL158" s="334" t="s">
        <v>3504</v>
      </c>
      <c r="AM158" s="15" t="s">
        <v>60</v>
      </c>
      <c r="AN158" s="583">
        <f>T158</f>
        <v>28351666.666666668</v>
      </c>
      <c r="AO158" s="15" t="s">
        <v>155</v>
      </c>
      <c r="AP158" s="15"/>
      <c r="AQ158" s="15"/>
      <c r="AR158" s="15" t="s">
        <v>3281</v>
      </c>
      <c r="AS158" s="15" t="s">
        <v>3216</v>
      </c>
      <c r="AT158" s="15">
        <v>6680683</v>
      </c>
      <c r="AU158" s="340" t="s">
        <v>2454</v>
      </c>
      <c r="AV158" s="15" t="s">
        <v>10</v>
      </c>
      <c r="AW158" s="583">
        <f>T158</f>
        <v>28351666.666666668</v>
      </c>
      <c r="AX158" s="15" t="s">
        <v>3477</v>
      </c>
      <c r="AY158" s="15"/>
      <c r="AZ158" s="23" t="s">
        <v>3281</v>
      </c>
      <c r="BA158" s="15" t="s">
        <v>3216</v>
      </c>
      <c r="BB158" s="23">
        <v>6682174</v>
      </c>
      <c r="BC158" s="23">
        <v>708069202</v>
      </c>
      <c r="BD158" s="23" t="s">
        <v>20</v>
      </c>
      <c r="BE158" s="534">
        <f>AW158</f>
        <v>28351666.666666668</v>
      </c>
      <c r="BF158" s="15" t="s">
        <v>156</v>
      </c>
      <c r="BG158" s="15"/>
      <c r="BH158" s="15" t="s">
        <v>3286</v>
      </c>
      <c r="BI158" s="15" t="s">
        <v>3216</v>
      </c>
      <c r="BJ158" s="23">
        <v>6681205</v>
      </c>
      <c r="BK158" s="23">
        <v>705109002</v>
      </c>
      <c r="BL158" s="23" t="s">
        <v>48</v>
      </c>
      <c r="BM158" s="23"/>
      <c r="BN158" s="23"/>
      <c r="BO158" s="23"/>
      <c r="BP158" s="23"/>
      <c r="BQ158" s="348" t="s">
        <v>3190</v>
      </c>
      <c r="BR158" s="15" t="s">
        <v>3191</v>
      </c>
      <c r="BS158" s="23"/>
      <c r="BT158" s="14"/>
      <c r="BU158" s="23"/>
      <c r="BV158" s="23"/>
      <c r="BW158" s="23"/>
      <c r="BX158" s="14"/>
      <c r="BY158" s="23"/>
      <c r="BZ158" s="23"/>
      <c r="CA158" s="23"/>
      <c r="CB158" s="23"/>
      <c r="CC158" s="23"/>
      <c r="CD158" s="23"/>
      <c r="CE158" s="23"/>
      <c r="CF158" s="23"/>
      <c r="CG158" s="23" t="s">
        <v>942</v>
      </c>
      <c r="CH158" s="345"/>
      <c r="CI158" s="471" t="s">
        <v>942</v>
      </c>
      <c r="CJ158" s="339"/>
    </row>
    <row r="159" spans="1:88" s="4" customFormat="1" ht="66.75" customHeight="1">
      <c r="A159" s="15">
        <v>34</v>
      </c>
      <c r="B159" s="23" t="s">
        <v>942</v>
      </c>
      <c r="C159" s="15" t="s">
        <v>942</v>
      </c>
      <c r="D159" s="14" t="s">
        <v>3915</v>
      </c>
      <c r="E159" s="15" t="s">
        <v>3916</v>
      </c>
      <c r="F159" s="15">
        <v>2022</v>
      </c>
      <c r="G159" s="15">
        <v>2022</v>
      </c>
      <c r="H159" s="15">
        <v>12</v>
      </c>
      <c r="I159" s="344" t="s">
        <v>942</v>
      </c>
      <c r="J159" s="350">
        <v>100000000</v>
      </c>
      <c r="K159" s="15" t="s">
        <v>3091</v>
      </c>
      <c r="L159" s="15" t="s">
        <v>942</v>
      </c>
      <c r="M159" s="15" t="s">
        <v>3341</v>
      </c>
      <c r="N159" s="15" t="s">
        <v>3342</v>
      </c>
      <c r="O159" s="15" t="s">
        <v>3215</v>
      </c>
      <c r="P159" s="15" t="s">
        <v>3910</v>
      </c>
      <c r="Q159" s="15">
        <v>6680651</v>
      </c>
      <c r="R159" s="15" t="s">
        <v>12</v>
      </c>
      <c r="S159" s="334" t="s">
        <v>1016</v>
      </c>
      <c r="T159" s="597">
        <f>J159/1</f>
        <v>100000000</v>
      </c>
      <c r="U159" s="15" t="s">
        <v>155</v>
      </c>
      <c r="V159" s="15"/>
      <c r="W159" s="15"/>
      <c r="X159" s="15" t="s">
        <v>3281</v>
      </c>
      <c r="Y159" s="15" t="s">
        <v>3216</v>
      </c>
      <c r="Z159" s="15">
        <v>8140</v>
      </c>
      <c r="AA159" s="333" t="s">
        <v>3291</v>
      </c>
      <c r="AB159" s="15"/>
      <c r="AC159" s="340"/>
      <c r="AD159" s="15"/>
      <c r="AE159" s="583"/>
      <c r="AF159" s="15"/>
      <c r="AG159" s="15"/>
      <c r="AH159" s="15"/>
      <c r="AI159" s="15"/>
      <c r="AJ159" s="15"/>
      <c r="AK159" s="15"/>
      <c r="AL159" s="341"/>
      <c r="AM159" s="15"/>
      <c r="AN159" s="583"/>
      <c r="AO159" s="15"/>
      <c r="AP159" s="15"/>
      <c r="AQ159" s="15"/>
      <c r="AR159" s="15"/>
      <c r="AS159" s="15"/>
      <c r="AT159" s="23"/>
      <c r="AU159" s="23"/>
      <c r="AV159" s="23"/>
      <c r="AW159" s="534"/>
      <c r="AX159" s="23"/>
      <c r="AY159" s="23"/>
      <c r="AZ159" s="23"/>
      <c r="BA159" s="23"/>
      <c r="BB159" s="23"/>
      <c r="BC159" s="23"/>
      <c r="BD159" s="23"/>
      <c r="BE159" s="534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348" t="s">
        <v>3190</v>
      </c>
      <c r="BR159" s="15" t="s">
        <v>3191</v>
      </c>
      <c r="BS159" s="23"/>
      <c r="BT159" s="14"/>
      <c r="BU159" s="23"/>
      <c r="BV159" s="23"/>
      <c r="BW159" s="23"/>
      <c r="BX159" s="14"/>
      <c r="BY159" s="23"/>
      <c r="BZ159" s="23"/>
      <c r="CA159" s="23"/>
      <c r="CB159" s="23"/>
      <c r="CC159" s="23"/>
      <c r="CD159" s="23"/>
      <c r="CE159" s="23"/>
      <c r="CF159" s="23"/>
      <c r="CG159" s="23"/>
      <c r="CH159" s="345"/>
      <c r="CI159" s="471"/>
      <c r="CJ159" s="23"/>
    </row>
    <row r="160" spans="1:88" s="4" customFormat="1" ht="51.75" customHeight="1">
      <c r="A160" s="15">
        <v>35</v>
      </c>
      <c r="B160" s="23" t="s">
        <v>942</v>
      </c>
      <c r="C160" s="15" t="s">
        <v>942</v>
      </c>
      <c r="D160" s="14" t="s">
        <v>3917</v>
      </c>
      <c r="E160" s="15" t="s">
        <v>3916</v>
      </c>
      <c r="F160" s="15">
        <v>2022</v>
      </c>
      <c r="G160" s="15">
        <v>2022</v>
      </c>
      <c r="H160" s="15">
        <v>12</v>
      </c>
      <c r="I160" s="344" t="s">
        <v>942</v>
      </c>
      <c r="J160" s="350">
        <v>95000000</v>
      </c>
      <c r="K160" s="15" t="s">
        <v>3091</v>
      </c>
      <c r="L160" s="15" t="s">
        <v>942</v>
      </c>
      <c r="M160" s="15" t="s">
        <v>3341</v>
      </c>
      <c r="N160" s="15" t="s">
        <v>3342</v>
      </c>
      <c r="O160" s="15" t="s">
        <v>3215</v>
      </c>
      <c r="P160" s="15" t="s">
        <v>3910</v>
      </c>
      <c r="Q160" s="15">
        <v>258471</v>
      </c>
      <c r="R160" s="15" t="s">
        <v>60</v>
      </c>
      <c r="S160" s="334" t="s">
        <v>3504</v>
      </c>
      <c r="T160" s="597">
        <f>J160/1</f>
        <v>95000000</v>
      </c>
      <c r="U160" s="15" t="s">
        <v>155</v>
      </c>
      <c r="V160" s="15"/>
      <c r="W160" s="15"/>
      <c r="X160" s="15" t="s">
        <v>3281</v>
      </c>
      <c r="Y160" s="15" t="s">
        <v>3216</v>
      </c>
      <c r="Z160" s="15">
        <v>8140</v>
      </c>
      <c r="AA160" s="333" t="s">
        <v>3291</v>
      </c>
      <c r="AB160" s="15"/>
      <c r="AC160" s="340"/>
      <c r="AD160" s="15"/>
      <c r="AE160" s="583"/>
      <c r="AF160" s="15"/>
      <c r="AG160" s="15"/>
      <c r="AH160" s="15"/>
      <c r="AI160" s="15"/>
      <c r="AJ160" s="15"/>
      <c r="AK160" s="15"/>
      <c r="AL160" s="341"/>
      <c r="AM160" s="15"/>
      <c r="AN160" s="583"/>
      <c r="AO160" s="15"/>
      <c r="AP160" s="15"/>
      <c r="AQ160" s="15"/>
      <c r="AR160" s="15"/>
      <c r="AS160" s="15"/>
      <c r="AT160" s="23"/>
      <c r="AU160" s="23"/>
      <c r="AV160" s="23"/>
      <c r="AW160" s="534"/>
      <c r="AX160" s="23"/>
      <c r="AY160" s="23"/>
      <c r="AZ160" s="23"/>
      <c r="BA160" s="23"/>
      <c r="BB160" s="23"/>
      <c r="BC160" s="23"/>
      <c r="BD160" s="23"/>
      <c r="BE160" s="534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348" t="s">
        <v>3190</v>
      </c>
      <c r="BR160" s="15" t="s">
        <v>3191</v>
      </c>
      <c r="BS160" s="23"/>
      <c r="BT160" s="14"/>
      <c r="BU160" s="23"/>
      <c r="BV160" s="23"/>
      <c r="BW160" s="23"/>
      <c r="BX160" s="14"/>
      <c r="BY160" s="23"/>
      <c r="BZ160" s="23"/>
      <c r="CA160" s="23"/>
      <c r="CB160" s="23"/>
      <c r="CC160" s="23"/>
      <c r="CD160" s="23"/>
      <c r="CE160" s="23"/>
      <c r="CF160" s="23"/>
      <c r="CG160" s="23"/>
      <c r="CH160" s="345"/>
      <c r="CI160" s="471"/>
      <c r="CJ160" s="23"/>
    </row>
    <row r="161" spans="1:91" s="703" customFormat="1" ht="9.75" customHeight="1">
      <c r="A161" s="689"/>
      <c r="B161" s="690"/>
      <c r="C161" s="689"/>
      <c r="D161" s="691"/>
      <c r="E161" s="689"/>
      <c r="F161" s="689"/>
      <c r="G161" s="689"/>
      <c r="H161" s="689"/>
      <c r="I161" s="692"/>
      <c r="J161" s="693"/>
      <c r="K161" s="689"/>
      <c r="L161" s="689"/>
      <c r="M161" s="689"/>
      <c r="N161" s="689"/>
      <c r="O161" s="689"/>
      <c r="P161" s="689"/>
      <c r="Q161" s="689"/>
      <c r="R161" s="689"/>
      <c r="S161" s="694"/>
      <c r="T161" s="695"/>
      <c r="U161" s="689"/>
      <c r="V161" s="689"/>
      <c r="W161" s="689"/>
      <c r="X161" s="689"/>
      <c r="Y161" s="689"/>
      <c r="Z161" s="689"/>
      <c r="AA161" s="696"/>
      <c r="AB161" s="689"/>
      <c r="AC161" s="697"/>
      <c r="AD161" s="689"/>
      <c r="AE161" s="698"/>
      <c r="AF161" s="689"/>
      <c r="AG161" s="689"/>
      <c r="AH161" s="689"/>
      <c r="AI161" s="689"/>
      <c r="AJ161" s="689"/>
      <c r="AK161" s="689"/>
      <c r="AL161" s="699"/>
      <c r="AM161" s="689"/>
      <c r="AN161" s="698"/>
      <c r="AO161" s="689"/>
      <c r="AP161" s="689"/>
      <c r="AQ161" s="689"/>
      <c r="AR161" s="689"/>
      <c r="AS161" s="689"/>
      <c r="AT161" s="690"/>
      <c r="AU161" s="690"/>
      <c r="AV161" s="690"/>
      <c r="AW161" s="700"/>
      <c r="AX161" s="690"/>
      <c r="AY161" s="690"/>
      <c r="AZ161" s="690"/>
      <c r="BA161" s="690"/>
      <c r="BB161" s="690"/>
      <c r="BC161" s="690"/>
      <c r="BD161" s="690"/>
      <c r="BE161" s="700"/>
      <c r="BF161" s="690"/>
      <c r="BG161" s="690"/>
      <c r="BH161" s="690"/>
      <c r="BI161" s="690"/>
      <c r="BJ161" s="690"/>
      <c r="BK161" s="690"/>
      <c r="BL161" s="690"/>
      <c r="BM161" s="690"/>
      <c r="BN161" s="690"/>
      <c r="BO161" s="690"/>
      <c r="BP161" s="690"/>
      <c r="BQ161" s="689"/>
      <c r="BR161" s="689"/>
      <c r="BS161" s="690"/>
      <c r="BT161" s="691"/>
      <c r="BU161" s="690"/>
      <c r="BV161" s="690"/>
      <c r="BW161" s="690"/>
      <c r="BX161" s="691"/>
      <c r="BY161" s="690"/>
      <c r="BZ161" s="690"/>
      <c r="CA161" s="690"/>
      <c r="CB161" s="690"/>
      <c r="CC161" s="690"/>
      <c r="CD161" s="690"/>
      <c r="CE161" s="690"/>
      <c r="CF161" s="690"/>
      <c r="CG161" s="690"/>
      <c r="CH161" s="701"/>
      <c r="CI161" s="702"/>
      <c r="CJ161" s="690"/>
    </row>
    <row r="162" spans="1:91" s="4" customFormat="1" ht="36">
      <c r="A162" s="15">
        <v>1</v>
      </c>
      <c r="B162" s="349" t="s">
        <v>3918</v>
      </c>
      <c r="C162" s="348" t="s">
        <v>3919</v>
      </c>
      <c r="D162" s="14" t="s">
        <v>3920</v>
      </c>
      <c r="E162" s="15" t="s">
        <v>3921</v>
      </c>
      <c r="F162" s="15">
        <v>2023</v>
      </c>
      <c r="G162" s="15">
        <v>2023</v>
      </c>
      <c r="H162" s="15">
        <v>7</v>
      </c>
      <c r="I162" s="15" t="s">
        <v>3922</v>
      </c>
      <c r="J162" s="350">
        <v>6752000</v>
      </c>
      <c r="K162" s="15" t="s">
        <v>3091</v>
      </c>
      <c r="L162" s="15">
        <v>3</v>
      </c>
      <c r="M162" s="15" t="s">
        <v>3222</v>
      </c>
      <c r="N162" s="15" t="s">
        <v>3223</v>
      </c>
      <c r="O162" s="15" t="s">
        <v>3215</v>
      </c>
      <c r="P162" s="15" t="s">
        <v>3923</v>
      </c>
      <c r="Q162" s="15">
        <v>6773159</v>
      </c>
      <c r="R162" s="15" t="s">
        <v>46</v>
      </c>
      <c r="S162" s="334" t="s">
        <v>3683</v>
      </c>
      <c r="T162" s="608">
        <f>J162/3</f>
        <v>2250666.6666666665</v>
      </c>
      <c r="U162" s="15" t="s">
        <v>171</v>
      </c>
      <c r="V162" s="15"/>
      <c r="W162" s="15"/>
      <c r="X162" s="15" t="s">
        <v>3286</v>
      </c>
      <c r="Y162" s="15" t="s">
        <v>3216</v>
      </c>
      <c r="Z162" s="15">
        <v>8140</v>
      </c>
      <c r="AA162" s="333">
        <v>72019</v>
      </c>
      <c r="AB162" s="15">
        <v>6768348</v>
      </c>
      <c r="AC162" s="340" t="s">
        <v>2044</v>
      </c>
      <c r="AD162" s="15" t="s">
        <v>53</v>
      </c>
      <c r="AE162" s="583">
        <f t="shared" ref="AE162:AE175" si="21">T162</f>
        <v>2250666.6666666665</v>
      </c>
      <c r="AF162" s="15" t="s">
        <v>171</v>
      </c>
      <c r="AG162" s="15"/>
      <c r="AH162" s="15"/>
      <c r="AI162" s="15" t="s">
        <v>3286</v>
      </c>
      <c r="AJ162" s="15" t="s">
        <v>3216</v>
      </c>
      <c r="AK162" s="204" t="s">
        <v>3924</v>
      </c>
      <c r="AL162" s="334" t="s">
        <v>2672</v>
      </c>
      <c r="AM162" s="15" t="s">
        <v>187</v>
      </c>
      <c r="AN162" s="583">
        <f>T162</f>
        <v>2250666.6666666665</v>
      </c>
      <c r="AO162" s="15" t="s">
        <v>171</v>
      </c>
      <c r="AP162" s="15"/>
      <c r="AQ162" s="15"/>
      <c r="AR162" s="15" t="s">
        <v>3286</v>
      </c>
      <c r="AS162" s="15" t="s">
        <v>3216</v>
      </c>
      <c r="AT162" s="23"/>
      <c r="AU162" s="23"/>
      <c r="AV162" s="23"/>
      <c r="AW162" s="534"/>
      <c r="AX162" s="23"/>
      <c r="AY162" s="23"/>
      <c r="AZ162" s="23"/>
      <c r="BA162" s="23"/>
      <c r="BB162" s="23"/>
      <c r="BC162" s="23"/>
      <c r="BD162" s="23"/>
      <c r="BE162" s="534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348" t="s">
        <v>3190</v>
      </c>
      <c r="BR162" s="348" t="s">
        <v>3191</v>
      </c>
      <c r="BS162" s="23" t="s">
        <v>2891</v>
      </c>
      <c r="BT162" s="14" t="s">
        <v>3857</v>
      </c>
      <c r="BU162" s="23" t="s">
        <v>3925</v>
      </c>
      <c r="BV162" s="23" t="s">
        <v>3857</v>
      </c>
      <c r="BW162" s="23" t="s">
        <v>3926</v>
      </c>
      <c r="BX162" s="14" t="s">
        <v>3857</v>
      </c>
      <c r="BY162" s="23"/>
      <c r="BZ162" s="23"/>
      <c r="CA162" s="23"/>
      <c r="CB162" s="23"/>
      <c r="CC162" s="23"/>
      <c r="CD162" s="23"/>
      <c r="CE162" s="23"/>
      <c r="CF162" s="23"/>
      <c r="CG162" s="23" t="s">
        <v>3060</v>
      </c>
      <c r="CH162" s="345" t="s">
        <v>3927</v>
      </c>
      <c r="CI162" s="471" t="s">
        <v>942</v>
      </c>
      <c r="CJ162" s="23" t="s">
        <v>3928</v>
      </c>
      <c r="CK162" s="158"/>
      <c r="CL162" s="158"/>
    </row>
    <row r="163" spans="1:91" s="131" customFormat="1" ht="93.6">
      <c r="A163" s="635">
        <v>2</v>
      </c>
      <c r="B163" s="349" t="s">
        <v>3918</v>
      </c>
      <c r="C163" s="348" t="s">
        <v>3929</v>
      </c>
      <c r="D163" s="636" t="s">
        <v>3930</v>
      </c>
      <c r="E163" s="635" t="s">
        <v>3921</v>
      </c>
      <c r="F163" s="635">
        <v>2023</v>
      </c>
      <c r="G163" s="635">
        <v>2023</v>
      </c>
      <c r="H163" s="635">
        <v>8</v>
      </c>
      <c r="I163" s="635" t="s">
        <v>3931</v>
      </c>
      <c r="J163" s="351">
        <v>7000000</v>
      </c>
      <c r="K163" s="635" t="s">
        <v>3091</v>
      </c>
      <c r="L163" s="635">
        <v>2</v>
      </c>
      <c r="M163" s="635" t="s">
        <v>3222</v>
      </c>
      <c r="N163" s="15" t="s">
        <v>3223</v>
      </c>
      <c r="O163" s="635" t="s">
        <v>3215</v>
      </c>
      <c r="P163" s="635" t="s">
        <v>3923</v>
      </c>
      <c r="Q163" s="635">
        <v>6859016</v>
      </c>
      <c r="R163" s="635" t="s">
        <v>52</v>
      </c>
      <c r="S163" s="637" t="s">
        <v>3932</v>
      </c>
      <c r="T163" s="638">
        <f>J163/2</f>
        <v>3500000</v>
      </c>
      <c r="U163" s="635" t="s">
        <v>155</v>
      </c>
      <c r="V163" s="635"/>
      <c r="W163" s="635"/>
      <c r="X163" s="635" t="s">
        <v>3281</v>
      </c>
      <c r="Y163" s="635" t="s">
        <v>3216</v>
      </c>
      <c r="Z163" s="635">
        <v>8140</v>
      </c>
      <c r="AA163" s="639">
        <v>72019</v>
      </c>
      <c r="AB163" s="635">
        <v>6767777</v>
      </c>
      <c r="AC163" s="640" t="s">
        <v>2673</v>
      </c>
      <c r="AD163" s="635" t="s">
        <v>3452</v>
      </c>
      <c r="AE163" s="641">
        <f t="shared" si="21"/>
        <v>3500000</v>
      </c>
      <c r="AF163" s="635" t="s">
        <v>171</v>
      </c>
      <c r="AG163" s="635"/>
      <c r="AH163" s="635"/>
      <c r="AI163" s="635" t="s">
        <v>3286</v>
      </c>
      <c r="AJ163" s="635" t="s">
        <v>3216</v>
      </c>
      <c r="AK163" s="635"/>
      <c r="AL163" s="637"/>
      <c r="AM163" s="635"/>
      <c r="AN163" s="641"/>
      <c r="AO163" s="352"/>
      <c r="AP163" s="352"/>
      <c r="AQ163" s="352"/>
      <c r="AR163" s="352"/>
      <c r="AS163" s="636"/>
      <c r="AT163" s="352"/>
      <c r="AU163" s="352"/>
      <c r="AV163" s="352"/>
      <c r="AW163" s="642"/>
      <c r="AX163" s="352"/>
      <c r="AY163" s="352"/>
      <c r="AZ163" s="352"/>
      <c r="BA163" s="352"/>
      <c r="BB163" s="352"/>
      <c r="BC163" s="352"/>
      <c r="BD163" s="352"/>
      <c r="BE163" s="642"/>
      <c r="BF163" s="352"/>
      <c r="BG163" s="352"/>
      <c r="BH163" s="352"/>
      <c r="BI163" s="352"/>
      <c r="BJ163" s="352"/>
      <c r="BK163" s="352"/>
      <c r="BL163" s="352"/>
      <c r="BM163" s="352"/>
      <c r="BN163" s="352"/>
      <c r="BO163" s="352"/>
      <c r="BP163" s="352"/>
      <c r="BQ163" s="353" t="s">
        <v>3190</v>
      </c>
      <c r="BR163" s="348" t="s">
        <v>3191</v>
      </c>
      <c r="BS163" s="352" t="s">
        <v>3933</v>
      </c>
      <c r="BT163" s="636" t="s">
        <v>3841</v>
      </c>
      <c r="BU163" s="352" t="s">
        <v>3934</v>
      </c>
      <c r="BV163" s="636" t="s">
        <v>3841</v>
      </c>
      <c r="BW163" s="352" t="s">
        <v>3935</v>
      </c>
      <c r="BX163" s="636" t="s">
        <v>3841</v>
      </c>
      <c r="BY163" s="352"/>
      <c r="BZ163" s="352"/>
      <c r="CA163" s="352"/>
      <c r="CB163" s="352"/>
      <c r="CC163" s="352"/>
      <c r="CD163" s="352"/>
      <c r="CE163" s="352"/>
      <c r="CF163" s="352"/>
      <c r="CG163" s="352" t="s">
        <v>3069</v>
      </c>
      <c r="CH163" s="643" t="s">
        <v>3739</v>
      </c>
      <c r="CI163" s="644"/>
      <c r="CJ163" s="352"/>
      <c r="CK163" s="561" t="s">
        <v>3936</v>
      </c>
      <c r="CL163" s="316" t="s">
        <v>3937</v>
      </c>
    </row>
    <row r="164" spans="1:91" s="4" customFormat="1" ht="79.5" customHeight="1">
      <c r="A164" s="15">
        <v>3</v>
      </c>
      <c r="B164" s="349" t="s">
        <v>3918</v>
      </c>
      <c r="C164" s="348" t="s">
        <v>3938</v>
      </c>
      <c r="D164" s="14" t="s">
        <v>3939</v>
      </c>
      <c r="E164" s="15" t="s">
        <v>3824</v>
      </c>
      <c r="F164" s="15">
        <v>2023</v>
      </c>
      <c r="G164" s="15">
        <v>2023</v>
      </c>
      <c r="H164" s="15">
        <v>7</v>
      </c>
      <c r="I164" s="15" t="s">
        <v>3931</v>
      </c>
      <c r="J164" s="350">
        <v>17000000</v>
      </c>
      <c r="K164" s="15" t="s">
        <v>3091</v>
      </c>
      <c r="L164" s="15">
        <v>6</v>
      </c>
      <c r="M164" s="15" t="s">
        <v>3222</v>
      </c>
      <c r="N164" s="15" t="s">
        <v>3223</v>
      </c>
      <c r="O164" s="15" t="s">
        <v>3215</v>
      </c>
      <c r="P164" s="15" t="s">
        <v>3923</v>
      </c>
      <c r="Q164" s="15">
        <v>6680683</v>
      </c>
      <c r="R164" s="15" t="s">
        <v>10</v>
      </c>
      <c r="S164" s="334" t="s">
        <v>2454</v>
      </c>
      <c r="T164" s="608">
        <f t="shared" ref="T164:T172" si="22">J164/3</f>
        <v>5666666.666666667</v>
      </c>
      <c r="U164" s="15" t="s">
        <v>151</v>
      </c>
      <c r="V164" s="15"/>
      <c r="W164" s="15"/>
      <c r="X164" s="15" t="s">
        <v>3281</v>
      </c>
      <c r="Y164" s="15" t="s">
        <v>3216</v>
      </c>
      <c r="Z164" s="15">
        <v>8140</v>
      </c>
      <c r="AA164" s="333">
        <v>72019</v>
      </c>
      <c r="AB164" s="15" t="s">
        <v>3940</v>
      </c>
      <c r="AC164" s="333">
        <v>8950850022</v>
      </c>
      <c r="AD164" s="15" t="s">
        <v>190</v>
      </c>
      <c r="AE164" s="583">
        <f t="shared" si="21"/>
        <v>5666666.666666667</v>
      </c>
      <c r="AF164" s="15" t="s">
        <v>151</v>
      </c>
      <c r="AG164" s="15"/>
      <c r="AH164" s="15"/>
      <c r="AI164" s="15" t="s">
        <v>3281</v>
      </c>
      <c r="AJ164" s="15" t="s">
        <v>3216</v>
      </c>
      <c r="AK164" s="15">
        <v>6680641</v>
      </c>
      <c r="AL164" s="334" t="s">
        <v>1794</v>
      </c>
      <c r="AM164" s="15" t="s">
        <v>92</v>
      </c>
      <c r="AN164" s="583">
        <f>T164</f>
        <v>5666666.666666667</v>
      </c>
      <c r="AO164" s="15" t="s">
        <v>151</v>
      </c>
      <c r="AP164" s="15"/>
      <c r="AQ164" s="15"/>
      <c r="AR164" s="15" t="s">
        <v>3281</v>
      </c>
      <c r="AS164" s="15" t="s">
        <v>3216</v>
      </c>
      <c r="AT164" s="23"/>
      <c r="AU164" s="23"/>
      <c r="AV164" s="23"/>
      <c r="AW164" s="534"/>
      <c r="AX164" s="23"/>
      <c r="AY164" s="23"/>
      <c r="AZ164" s="23"/>
      <c r="BA164" s="23"/>
      <c r="BB164" s="23"/>
      <c r="BC164" s="23"/>
      <c r="BD164" s="23"/>
      <c r="BE164" s="534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348" t="s">
        <v>3190</v>
      </c>
      <c r="BR164" s="348" t="s">
        <v>3191</v>
      </c>
      <c r="BS164" s="23" t="s">
        <v>3079</v>
      </c>
      <c r="BT164" s="14" t="s">
        <v>3848</v>
      </c>
      <c r="BU164" s="23" t="s">
        <v>3941</v>
      </c>
      <c r="BV164" s="14" t="s">
        <v>3848</v>
      </c>
      <c r="BW164" s="23"/>
      <c r="BX164" s="14"/>
      <c r="BY164" s="23"/>
      <c r="BZ164" s="23"/>
      <c r="CA164" s="23"/>
      <c r="CB164" s="23"/>
      <c r="CC164" s="23"/>
      <c r="CD164" s="23"/>
      <c r="CE164" s="23"/>
      <c r="CF164" s="23"/>
      <c r="CG164" s="23" t="s">
        <v>3942</v>
      </c>
      <c r="CH164" s="23"/>
      <c r="CI164" s="471" t="s">
        <v>3868</v>
      </c>
      <c r="CJ164" s="23"/>
      <c r="CK164" s="561" t="s">
        <v>3943</v>
      </c>
      <c r="CL164" s="317" t="s">
        <v>3944</v>
      </c>
    </row>
    <row r="165" spans="1:91" s="4" customFormat="1" ht="50.25" customHeight="1">
      <c r="A165" s="15">
        <v>4</v>
      </c>
      <c r="B165" s="349" t="s">
        <v>3918</v>
      </c>
      <c r="C165" s="348" t="s">
        <v>3945</v>
      </c>
      <c r="D165" s="14" t="s">
        <v>3946</v>
      </c>
      <c r="E165" s="15" t="s">
        <v>3824</v>
      </c>
      <c r="F165" s="15">
        <v>2023</v>
      </c>
      <c r="G165" s="15">
        <v>2023</v>
      </c>
      <c r="H165" s="221">
        <v>12</v>
      </c>
      <c r="I165" s="15" t="s">
        <v>3931</v>
      </c>
      <c r="J165" s="350">
        <v>15000000</v>
      </c>
      <c r="K165" s="15" t="s">
        <v>3091</v>
      </c>
      <c r="L165" s="15">
        <v>7</v>
      </c>
      <c r="M165" s="15" t="s">
        <v>3222</v>
      </c>
      <c r="N165" s="15" t="s">
        <v>3223</v>
      </c>
      <c r="O165" s="15" t="s">
        <v>3215</v>
      </c>
      <c r="P165" s="15" t="s">
        <v>3923</v>
      </c>
      <c r="Q165" s="15">
        <v>6663582</v>
      </c>
      <c r="R165" s="15" t="s">
        <v>94</v>
      </c>
      <c r="S165" s="334" t="s">
        <v>1668</v>
      </c>
      <c r="T165" s="608">
        <f t="shared" si="22"/>
        <v>5000000</v>
      </c>
      <c r="U165" s="15" t="s">
        <v>151</v>
      </c>
      <c r="V165" s="15"/>
      <c r="W165" s="15"/>
      <c r="X165" s="15" t="s">
        <v>3281</v>
      </c>
      <c r="Y165" s="15" t="s">
        <v>3216</v>
      </c>
      <c r="Z165" s="15">
        <v>8140</v>
      </c>
      <c r="AA165" s="333">
        <v>72019</v>
      </c>
      <c r="AB165" s="15">
        <v>6731906</v>
      </c>
      <c r="AC165" s="340" t="s">
        <v>971</v>
      </c>
      <c r="AD165" s="15" t="s">
        <v>704</v>
      </c>
      <c r="AE165" s="583">
        <f t="shared" si="21"/>
        <v>5000000</v>
      </c>
      <c r="AF165" s="15" t="s">
        <v>151</v>
      </c>
      <c r="AG165" s="15"/>
      <c r="AH165" s="15"/>
      <c r="AI165" s="15" t="s">
        <v>3281</v>
      </c>
      <c r="AJ165" s="15" t="s">
        <v>3216</v>
      </c>
      <c r="AK165" s="15">
        <v>6680641</v>
      </c>
      <c r="AL165" s="334" t="s">
        <v>1794</v>
      </c>
      <c r="AM165" s="15" t="s">
        <v>92</v>
      </c>
      <c r="AN165" s="583">
        <f>T165</f>
        <v>5000000</v>
      </c>
      <c r="AO165" s="15" t="s">
        <v>151</v>
      </c>
      <c r="AP165" s="15"/>
      <c r="AQ165" s="15"/>
      <c r="AR165" s="15" t="s">
        <v>3281</v>
      </c>
      <c r="AS165" s="15" t="s">
        <v>3216</v>
      </c>
      <c r="AT165" s="23"/>
      <c r="AU165" s="23"/>
      <c r="AV165" s="23"/>
      <c r="AW165" s="534"/>
      <c r="AX165" s="23"/>
      <c r="AY165" s="23"/>
      <c r="AZ165" s="23"/>
      <c r="BA165" s="23"/>
      <c r="BB165" s="23"/>
      <c r="BC165" s="23"/>
      <c r="BD165" s="23"/>
      <c r="BE165" s="534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348" t="s">
        <v>3190</v>
      </c>
      <c r="BR165" s="348" t="s">
        <v>3191</v>
      </c>
      <c r="BS165" s="23" t="s">
        <v>2151</v>
      </c>
      <c r="BT165" s="14" t="s">
        <v>3848</v>
      </c>
      <c r="BU165" s="23" t="s">
        <v>3947</v>
      </c>
      <c r="BV165" s="14" t="s">
        <v>3848</v>
      </c>
      <c r="BW165" s="23" t="s">
        <v>3948</v>
      </c>
      <c r="BX165" s="14" t="s">
        <v>3848</v>
      </c>
      <c r="BY165" s="23"/>
      <c r="BZ165" s="23"/>
      <c r="CA165" s="23"/>
      <c r="CB165" s="23"/>
      <c r="CC165" s="23"/>
      <c r="CD165" s="23"/>
      <c r="CE165" s="23"/>
      <c r="CF165" s="23"/>
      <c r="CG165" s="23" t="s">
        <v>3942</v>
      </c>
      <c r="CH165" s="345" t="s">
        <v>3739</v>
      </c>
      <c r="CI165" s="471" t="s">
        <v>3868</v>
      </c>
      <c r="CJ165" s="23"/>
      <c r="CK165" s="561" t="s">
        <v>3949</v>
      </c>
      <c r="CL165" s="130" t="s">
        <v>3950</v>
      </c>
      <c r="CM165" s="318"/>
    </row>
    <row r="166" spans="1:91" s="557" customFormat="1" ht="204.75" customHeight="1">
      <c r="A166" s="347">
        <v>5</v>
      </c>
      <c r="B166" s="354" t="s">
        <v>3918</v>
      </c>
      <c r="C166" s="348" t="s">
        <v>3951</v>
      </c>
      <c r="D166" s="630" t="s">
        <v>3952</v>
      </c>
      <c r="E166" s="347" t="s">
        <v>3921</v>
      </c>
      <c r="F166" s="347">
        <v>2023</v>
      </c>
      <c r="G166" s="347">
        <v>2023</v>
      </c>
      <c r="H166" s="347">
        <v>6</v>
      </c>
      <c r="I166" s="347" t="s">
        <v>3953</v>
      </c>
      <c r="J166" s="645">
        <v>6000000</v>
      </c>
      <c r="K166" s="347" t="s">
        <v>3091</v>
      </c>
      <c r="L166" s="347">
        <v>2</v>
      </c>
      <c r="M166" s="347" t="s">
        <v>3222</v>
      </c>
      <c r="N166" s="15" t="s">
        <v>3223</v>
      </c>
      <c r="O166" s="347" t="s">
        <v>3215</v>
      </c>
      <c r="P166" s="347" t="s">
        <v>3923</v>
      </c>
      <c r="Q166" s="347" t="s">
        <v>3954</v>
      </c>
      <c r="R166" s="347" t="s">
        <v>41</v>
      </c>
      <c r="S166" s="646" t="s">
        <v>2010</v>
      </c>
      <c r="T166" s="647">
        <f t="shared" si="22"/>
        <v>2000000</v>
      </c>
      <c r="U166" s="347" t="s">
        <v>166</v>
      </c>
      <c r="V166" s="347"/>
      <c r="W166" s="347"/>
      <c r="X166" s="347" t="s">
        <v>3286</v>
      </c>
      <c r="Y166" s="347" t="s">
        <v>3216</v>
      </c>
      <c r="Z166" s="347">
        <v>8140</v>
      </c>
      <c r="AA166" s="648">
        <v>72019</v>
      </c>
      <c r="AB166" s="347">
        <v>6826699</v>
      </c>
      <c r="AC166" s="649" t="s">
        <v>1905</v>
      </c>
      <c r="AD166" s="347" t="s">
        <v>33</v>
      </c>
      <c r="AE166" s="650">
        <f t="shared" si="21"/>
        <v>2000000</v>
      </c>
      <c r="AF166" s="347" t="s">
        <v>166</v>
      </c>
      <c r="AG166" s="347"/>
      <c r="AH166" s="347"/>
      <c r="AI166" s="347" t="s">
        <v>3286</v>
      </c>
      <c r="AJ166" s="347" t="s">
        <v>3216</v>
      </c>
      <c r="AK166" s="347">
        <v>6859382</v>
      </c>
      <c r="AL166" s="646" t="s">
        <v>2343</v>
      </c>
      <c r="AM166" s="347" t="s">
        <v>184</v>
      </c>
      <c r="AN166" s="650">
        <f>T166</f>
        <v>2000000</v>
      </c>
      <c r="AO166" s="347" t="s">
        <v>166</v>
      </c>
      <c r="AP166" s="347"/>
      <c r="AQ166" s="347"/>
      <c r="AR166" s="347" t="s">
        <v>3286</v>
      </c>
      <c r="AS166" s="347" t="s">
        <v>3216</v>
      </c>
      <c r="AT166" s="346"/>
      <c r="AU166" s="346"/>
      <c r="AV166" s="346"/>
      <c r="AW166" s="651"/>
      <c r="AX166" s="346"/>
      <c r="AY166" s="346"/>
      <c r="AZ166" s="346"/>
      <c r="BA166" s="346"/>
      <c r="BB166" s="346"/>
      <c r="BC166" s="346"/>
      <c r="BD166" s="346"/>
      <c r="BE166" s="651"/>
      <c r="BF166" s="346"/>
      <c r="BG166" s="346"/>
      <c r="BH166" s="346"/>
      <c r="BI166" s="346"/>
      <c r="BJ166" s="346"/>
      <c r="BK166" s="346"/>
      <c r="BL166" s="346"/>
      <c r="BM166" s="346"/>
      <c r="BN166" s="346"/>
      <c r="BO166" s="346"/>
      <c r="BP166" s="346"/>
      <c r="BQ166" s="348" t="s">
        <v>3190</v>
      </c>
      <c r="BR166" s="348" t="s">
        <v>3191</v>
      </c>
      <c r="BS166" s="346" t="s">
        <v>3006</v>
      </c>
      <c r="BT166" s="630" t="s">
        <v>3832</v>
      </c>
      <c r="BU166" s="346" t="s">
        <v>2316</v>
      </c>
      <c r="BV166" s="630" t="s">
        <v>3832</v>
      </c>
      <c r="BW166" s="346" t="s">
        <v>2319</v>
      </c>
      <c r="BX166" s="630" t="s">
        <v>3832</v>
      </c>
      <c r="BY166" s="346"/>
      <c r="BZ166" s="346"/>
      <c r="CA166" s="346"/>
      <c r="CB166" s="346"/>
      <c r="CC166" s="346"/>
      <c r="CD166" s="346"/>
      <c r="CE166" s="346"/>
      <c r="CF166" s="346"/>
      <c r="CG166" s="346" t="s">
        <v>3063</v>
      </c>
      <c r="CH166" s="345" t="s">
        <v>3739</v>
      </c>
      <c r="CI166" s="628" t="s">
        <v>277</v>
      </c>
      <c r="CJ166" s="346" t="s">
        <v>3955</v>
      </c>
      <c r="CK166" s="804"/>
      <c r="CL166" s="804"/>
      <c r="CM166" s="556"/>
    </row>
    <row r="167" spans="1:91" s="4" customFormat="1" ht="36">
      <c r="A167" s="15">
        <v>6</v>
      </c>
      <c r="B167" s="349" t="s">
        <v>3918</v>
      </c>
      <c r="C167" s="348" t="s">
        <v>3956</v>
      </c>
      <c r="D167" s="14" t="s">
        <v>3957</v>
      </c>
      <c r="E167" s="15" t="s">
        <v>3921</v>
      </c>
      <c r="F167" s="15">
        <v>2023</v>
      </c>
      <c r="G167" s="15">
        <v>2023</v>
      </c>
      <c r="H167" s="15">
        <v>7</v>
      </c>
      <c r="I167" s="15" t="s">
        <v>3953</v>
      </c>
      <c r="J167" s="350">
        <v>7000000</v>
      </c>
      <c r="K167" s="15" t="s">
        <v>3091</v>
      </c>
      <c r="L167" s="15">
        <v>2</v>
      </c>
      <c r="M167" s="15" t="s">
        <v>3222</v>
      </c>
      <c r="N167" s="15" t="s">
        <v>3223</v>
      </c>
      <c r="O167" s="15" t="s">
        <v>3215</v>
      </c>
      <c r="P167" s="15" t="s">
        <v>3923</v>
      </c>
      <c r="Q167" s="15">
        <v>6826743</v>
      </c>
      <c r="R167" s="15" t="s">
        <v>45</v>
      </c>
      <c r="S167" s="334" t="s">
        <v>1880</v>
      </c>
      <c r="T167" s="608">
        <f>J167/2</f>
        <v>3500000</v>
      </c>
      <c r="U167" s="15" t="s">
        <v>160</v>
      </c>
      <c r="V167" s="15"/>
      <c r="W167" s="15"/>
      <c r="X167" s="15" t="s">
        <v>3281</v>
      </c>
      <c r="Y167" s="15" t="s">
        <v>3216</v>
      </c>
      <c r="Z167" s="15">
        <v>8140</v>
      </c>
      <c r="AA167" s="333">
        <v>72019</v>
      </c>
      <c r="AB167" s="15" t="s">
        <v>2875</v>
      </c>
      <c r="AC167" s="340" t="s">
        <v>1672</v>
      </c>
      <c r="AD167" s="15" t="s">
        <v>56</v>
      </c>
      <c r="AE167" s="583">
        <f t="shared" si="21"/>
        <v>3500000</v>
      </c>
      <c r="AF167" s="15" t="s">
        <v>160</v>
      </c>
      <c r="AG167" s="15"/>
      <c r="AH167" s="15"/>
      <c r="AI167" s="15" t="s">
        <v>3281</v>
      </c>
      <c r="AJ167" s="15" t="s">
        <v>3216</v>
      </c>
      <c r="AK167" s="15"/>
      <c r="AL167" s="341"/>
      <c r="AM167" s="15"/>
      <c r="AN167" s="583"/>
      <c r="AO167" s="23"/>
      <c r="AP167" s="23"/>
      <c r="AQ167" s="23"/>
      <c r="AR167" s="23"/>
      <c r="AS167" s="23"/>
      <c r="AT167" s="23"/>
      <c r="AU167" s="23"/>
      <c r="AV167" s="23"/>
      <c r="AW167" s="534"/>
      <c r="AX167" s="23"/>
      <c r="AY167" s="23"/>
      <c r="AZ167" s="23"/>
      <c r="BA167" s="23"/>
      <c r="BB167" s="23"/>
      <c r="BC167" s="23"/>
      <c r="BD167" s="23"/>
      <c r="BE167" s="534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353" t="s">
        <v>3190</v>
      </c>
      <c r="BR167" s="348" t="s">
        <v>3191</v>
      </c>
      <c r="BS167" s="23" t="s">
        <v>1883</v>
      </c>
      <c r="BT167" s="14" t="s">
        <v>3958</v>
      </c>
      <c r="BU167" s="23" t="s">
        <v>1884</v>
      </c>
      <c r="BV167" s="14" t="s">
        <v>3958</v>
      </c>
      <c r="BW167" s="23"/>
      <c r="BX167" s="14"/>
      <c r="BY167" s="23"/>
      <c r="BZ167" s="23"/>
      <c r="CA167" s="23"/>
      <c r="CB167" s="23"/>
      <c r="CC167" s="23"/>
      <c r="CD167" s="23"/>
      <c r="CE167" s="23"/>
      <c r="CF167" s="23"/>
      <c r="CG167" s="23" t="s">
        <v>3063</v>
      </c>
      <c r="CH167" s="345" t="s">
        <v>3959</v>
      </c>
      <c r="CI167" s="471"/>
      <c r="CJ167" s="23"/>
      <c r="CK167" s="533"/>
      <c r="CL167" s="533"/>
      <c r="CM167" s="319"/>
    </row>
    <row r="168" spans="1:91" s="4" customFormat="1" ht="36">
      <c r="A168" s="15">
        <v>7</v>
      </c>
      <c r="B168" s="349" t="s">
        <v>3918</v>
      </c>
      <c r="C168" s="348" t="s">
        <v>3960</v>
      </c>
      <c r="D168" s="14" t="s">
        <v>3961</v>
      </c>
      <c r="E168" s="15" t="s">
        <v>3921</v>
      </c>
      <c r="F168" s="15">
        <v>2023</v>
      </c>
      <c r="G168" s="15">
        <v>2023</v>
      </c>
      <c r="H168" s="15">
        <v>7</v>
      </c>
      <c r="I168" s="15" t="s">
        <v>3922</v>
      </c>
      <c r="J168" s="350">
        <v>6550000</v>
      </c>
      <c r="K168" s="15" t="s">
        <v>3091</v>
      </c>
      <c r="L168" s="15">
        <v>3</v>
      </c>
      <c r="M168" s="15" t="s">
        <v>3222</v>
      </c>
      <c r="N168" s="15" t="s">
        <v>3223</v>
      </c>
      <c r="O168" s="15" t="s">
        <v>3215</v>
      </c>
      <c r="P168" s="15" t="s">
        <v>3923</v>
      </c>
      <c r="Q168" s="15" t="s">
        <v>2875</v>
      </c>
      <c r="R168" s="15" t="s">
        <v>56</v>
      </c>
      <c r="S168" s="652" t="s">
        <v>1672</v>
      </c>
      <c r="T168" s="608">
        <f t="shared" ref="T168:T169" si="23">J168/2</f>
        <v>3275000</v>
      </c>
      <c r="U168" s="15" t="s">
        <v>160</v>
      </c>
      <c r="V168" s="15"/>
      <c r="W168" s="15"/>
      <c r="X168" s="15" t="s">
        <v>3281</v>
      </c>
      <c r="Y168" s="15" t="s">
        <v>3216</v>
      </c>
      <c r="Z168" s="15">
        <v>8140</v>
      </c>
      <c r="AA168" s="333">
        <v>72019</v>
      </c>
      <c r="AB168" s="15">
        <v>6681051</v>
      </c>
      <c r="AC168" s="334" t="s">
        <v>1657</v>
      </c>
      <c r="AD168" s="15" t="s">
        <v>6</v>
      </c>
      <c r="AE168" s="583">
        <f t="shared" si="21"/>
        <v>3275000</v>
      </c>
      <c r="AF168" s="15" t="s">
        <v>160</v>
      </c>
      <c r="AG168" s="15"/>
      <c r="AH168" s="15"/>
      <c r="AI168" s="15" t="s">
        <v>3281</v>
      </c>
      <c r="AJ168" s="15" t="s">
        <v>3216</v>
      </c>
      <c r="AK168" s="15"/>
      <c r="AL168" s="341"/>
      <c r="AM168" s="15"/>
      <c r="AN168" s="583"/>
      <c r="AO168" s="23"/>
      <c r="AP168" s="23"/>
      <c r="AQ168" s="23"/>
      <c r="AR168" s="23"/>
      <c r="AS168" s="23"/>
      <c r="AT168" s="23"/>
      <c r="AU168" s="23"/>
      <c r="AV168" s="23"/>
      <c r="AW168" s="534"/>
      <c r="AX168" s="23"/>
      <c r="AY168" s="23"/>
      <c r="AZ168" s="23"/>
      <c r="BA168" s="23"/>
      <c r="BB168" s="23"/>
      <c r="BC168" s="23"/>
      <c r="BD168" s="23"/>
      <c r="BE168" s="534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348" t="s">
        <v>3190</v>
      </c>
      <c r="BR168" s="348" t="s">
        <v>3191</v>
      </c>
      <c r="BS168" s="23" t="s">
        <v>3962</v>
      </c>
      <c r="BT168" s="14" t="s">
        <v>3958</v>
      </c>
      <c r="BU168" s="23" t="s">
        <v>2577</v>
      </c>
      <c r="BV168" s="14" t="s">
        <v>3958</v>
      </c>
      <c r="BW168" s="23" t="s">
        <v>3963</v>
      </c>
      <c r="BX168" s="14" t="s">
        <v>3958</v>
      </c>
      <c r="BY168" s="23"/>
      <c r="BZ168" s="23"/>
      <c r="CA168" s="23"/>
      <c r="CB168" s="23"/>
      <c r="CC168" s="23"/>
      <c r="CD168" s="23"/>
      <c r="CE168" s="23"/>
      <c r="CF168" s="23"/>
      <c r="CG168" s="23" t="s">
        <v>3063</v>
      </c>
      <c r="CH168" s="345" t="s">
        <v>3964</v>
      </c>
      <c r="CI168" s="471" t="s">
        <v>277</v>
      </c>
      <c r="CJ168" s="23" t="s">
        <v>3965</v>
      </c>
      <c r="CK168" s="533"/>
      <c r="CL168" s="533"/>
    </row>
    <row r="169" spans="1:91" s="4" customFormat="1" ht="75" customHeight="1">
      <c r="A169" s="15">
        <v>8</v>
      </c>
      <c r="B169" s="349" t="s">
        <v>3918</v>
      </c>
      <c r="C169" s="348" t="s">
        <v>3966</v>
      </c>
      <c r="D169" s="14" t="s">
        <v>3967</v>
      </c>
      <c r="E169" s="15" t="s">
        <v>3921</v>
      </c>
      <c r="F169" s="15">
        <v>2023</v>
      </c>
      <c r="G169" s="15">
        <v>2023</v>
      </c>
      <c r="H169" s="15">
        <v>7</v>
      </c>
      <c r="I169" s="15" t="s">
        <v>3968</v>
      </c>
      <c r="J169" s="350">
        <v>7000000</v>
      </c>
      <c r="K169" s="15" t="s">
        <v>3091</v>
      </c>
      <c r="L169" s="15">
        <v>3</v>
      </c>
      <c r="M169" s="15" t="s">
        <v>3222</v>
      </c>
      <c r="N169" s="15" t="s">
        <v>3223</v>
      </c>
      <c r="O169" s="15" t="s">
        <v>3215</v>
      </c>
      <c r="P169" s="15" t="s">
        <v>3923</v>
      </c>
      <c r="Q169" s="15">
        <v>6826739</v>
      </c>
      <c r="R169" s="15" t="s">
        <v>50</v>
      </c>
      <c r="S169" s="334" t="s">
        <v>2307</v>
      </c>
      <c r="T169" s="608">
        <f t="shared" si="23"/>
        <v>3500000</v>
      </c>
      <c r="U169" s="15" t="s">
        <v>160</v>
      </c>
      <c r="V169" s="15"/>
      <c r="W169" s="15"/>
      <c r="X169" s="15" t="s">
        <v>3281</v>
      </c>
      <c r="Y169" s="15" t="s">
        <v>3216</v>
      </c>
      <c r="Z169" s="15">
        <v>8140</v>
      </c>
      <c r="AA169" s="333">
        <v>72019</v>
      </c>
      <c r="AB169" s="15">
        <v>6826743</v>
      </c>
      <c r="AC169" s="340" t="s">
        <v>1880</v>
      </c>
      <c r="AD169" s="15" t="s">
        <v>45</v>
      </c>
      <c r="AE169" s="583">
        <f t="shared" si="21"/>
        <v>3500000</v>
      </c>
      <c r="AF169" s="15" t="s">
        <v>160</v>
      </c>
      <c r="AG169" s="15"/>
      <c r="AH169" s="15"/>
      <c r="AI169" s="15" t="s">
        <v>3281</v>
      </c>
      <c r="AJ169" s="15" t="s">
        <v>3216</v>
      </c>
      <c r="AK169" s="15"/>
      <c r="AL169" s="341"/>
      <c r="AM169" s="15"/>
      <c r="AN169" s="583"/>
      <c r="AO169" s="23"/>
      <c r="AP169" s="23"/>
      <c r="AQ169" s="23"/>
      <c r="AR169" s="23"/>
      <c r="AS169" s="23"/>
      <c r="AT169" s="23"/>
      <c r="AU169" s="23"/>
      <c r="AV169" s="23"/>
      <c r="AW169" s="534"/>
      <c r="AX169" s="23"/>
      <c r="AY169" s="23"/>
      <c r="AZ169" s="23"/>
      <c r="BA169" s="23"/>
      <c r="BB169" s="23"/>
      <c r="BC169" s="23"/>
      <c r="BD169" s="23"/>
      <c r="BE169" s="534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348" t="s">
        <v>3190</v>
      </c>
      <c r="BR169" s="348" t="s">
        <v>3191</v>
      </c>
      <c r="BS169" s="23" t="s">
        <v>3969</v>
      </c>
      <c r="BT169" s="14" t="s">
        <v>3958</v>
      </c>
      <c r="BU169" s="23" t="s">
        <v>1934</v>
      </c>
      <c r="BV169" s="14" t="s">
        <v>3958</v>
      </c>
      <c r="BW169" s="23" t="s">
        <v>3970</v>
      </c>
      <c r="BX169" s="14" t="s">
        <v>3958</v>
      </c>
      <c r="BY169" s="23"/>
      <c r="BZ169" s="23"/>
      <c r="CA169" s="23"/>
      <c r="CB169" s="23"/>
      <c r="CC169" s="23"/>
      <c r="CD169" s="23"/>
      <c r="CE169" s="23"/>
      <c r="CF169" s="23"/>
      <c r="CG169" s="23" t="s">
        <v>3063</v>
      </c>
      <c r="CH169" s="345" t="s">
        <v>3971</v>
      </c>
      <c r="CI169" s="471" t="s">
        <v>277</v>
      </c>
      <c r="CJ169" s="23" t="s">
        <v>3972</v>
      </c>
      <c r="CK169" s="805"/>
      <c r="CL169" s="805"/>
    </row>
    <row r="170" spans="1:91" s="554" customFormat="1" ht="36">
      <c r="A170" s="15">
        <v>9</v>
      </c>
      <c r="B170" s="349" t="s">
        <v>3918</v>
      </c>
      <c r="C170" s="348" t="s">
        <v>3973</v>
      </c>
      <c r="D170" s="14" t="s">
        <v>3974</v>
      </c>
      <c r="E170" s="15" t="s">
        <v>3824</v>
      </c>
      <c r="F170" s="15">
        <v>2023</v>
      </c>
      <c r="G170" s="15">
        <v>2023</v>
      </c>
      <c r="H170" s="221">
        <v>12</v>
      </c>
      <c r="I170" s="15" t="s">
        <v>3953</v>
      </c>
      <c r="J170" s="350">
        <v>17000000</v>
      </c>
      <c r="K170" s="15" t="s">
        <v>3091</v>
      </c>
      <c r="L170" s="15">
        <v>4</v>
      </c>
      <c r="M170" s="15" t="s">
        <v>3222</v>
      </c>
      <c r="N170" s="15" t="s">
        <v>3223</v>
      </c>
      <c r="O170" s="15" t="s">
        <v>3215</v>
      </c>
      <c r="P170" s="15" t="s">
        <v>3923</v>
      </c>
      <c r="Q170" s="15">
        <v>6681051</v>
      </c>
      <c r="R170" s="15" t="s">
        <v>6</v>
      </c>
      <c r="S170" s="334" t="s">
        <v>1657</v>
      </c>
      <c r="T170" s="608">
        <f t="shared" si="22"/>
        <v>5666666.666666667</v>
      </c>
      <c r="U170" s="15" t="s">
        <v>160</v>
      </c>
      <c r="V170" s="15"/>
      <c r="W170" s="15"/>
      <c r="X170" s="15" t="s">
        <v>3281</v>
      </c>
      <c r="Y170" s="15" t="s">
        <v>3216</v>
      </c>
      <c r="Z170" s="15">
        <v>8140</v>
      </c>
      <c r="AA170" s="333">
        <v>72019</v>
      </c>
      <c r="AB170" s="15">
        <v>6826739</v>
      </c>
      <c r="AC170" s="340" t="s">
        <v>2307</v>
      </c>
      <c r="AD170" s="15" t="s">
        <v>50</v>
      </c>
      <c r="AE170" s="583">
        <f t="shared" si="21"/>
        <v>5666666.666666667</v>
      </c>
      <c r="AF170" s="15" t="s">
        <v>160</v>
      </c>
      <c r="AG170" s="15"/>
      <c r="AH170" s="15"/>
      <c r="AI170" s="15" t="s">
        <v>3281</v>
      </c>
      <c r="AJ170" s="15" t="s">
        <v>3216</v>
      </c>
      <c r="AK170" s="15">
        <v>6680648</v>
      </c>
      <c r="AL170" s="334" t="s">
        <v>1036</v>
      </c>
      <c r="AM170" s="15" t="s">
        <v>17</v>
      </c>
      <c r="AN170" s="583">
        <f>T170</f>
        <v>5666666.666666667</v>
      </c>
      <c r="AO170" s="15" t="s">
        <v>166</v>
      </c>
      <c r="AP170" s="15"/>
      <c r="AQ170" s="15"/>
      <c r="AR170" s="15" t="s">
        <v>3286</v>
      </c>
      <c r="AS170" s="15" t="s">
        <v>3216</v>
      </c>
      <c r="AT170" s="23"/>
      <c r="AU170" s="23"/>
      <c r="AV170" s="23"/>
      <c r="AW170" s="534"/>
      <c r="AX170" s="23"/>
      <c r="AY170" s="23"/>
      <c r="AZ170" s="23"/>
      <c r="BA170" s="23"/>
      <c r="BB170" s="23"/>
      <c r="BC170" s="23"/>
      <c r="BD170" s="23"/>
      <c r="BE170" s="534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348" t="s">
        <v>3190</v>
      </c>
      <c r="BR170" s="348" t="s">
        <v>3191</v>
      </c>
      <c r="BS170" s="23" t="s">
        <v>2168</v>
      </c>
      <c r="BT170" s="14" t="s">
        <v>3958</v>
      </c>
      <c r="BU170" s="23" t="s">
        <v>3975</v>
      </c>
      <c r="BV170" s="14" t="s">
        <v>3958</v>
      </c>
      <c r="BW170" s="23" t="s">
        <v>2306</v>
      </c>
      <c r="BX170" s="14" t="s">
        <v>3958</v>
      </c>
      <c r="BY170" s="23"/>
      <c r="BZ170" s="23"/>
      <c r="CA170" s="23"/>
      <c r="CB170" s="23"/>
      <c r="CC170" s="23"/>
      <c r="CD170" s="23"/>
      <c r="CE170" s="23"/>
      <c r="CF170" s="23"/>
      <c r="CG170" s="23" t="s">
        <v>3063</v>
      </c>
      <c r="CH170" s="345" t="s">
        <v>3976</v>
      </c>
      <c r="CI170" s="471" t="s">
        <v>277</v>
      </c>
      <c r="CJ170" s="23" t="s">
        <v>3420</v>
      </c>
    </row>
    <row r="171" spans="1:91" s="554" customFormat="1" ht="72">
      <c r="A171" s="15">
        <v>10</v>
      </c>
      <c r="B171" s="349" t="s">
        <v>3918</v>
      </c>
      <c r="C171" s="348" t="s">
        <v>3977</v>
      </c>
      <c r="D171" s="14" t="s">
        <v>3978</v>
      </c>
      <c r="E171" s="15" t="s">
        <v>3921</v>
      </c>
      <c r="F171" s="15">
        <v>2023</v>
      </c>
      <c r="G171" s="15">
        <v>2023</v>
      </c>
      <c r="H171" s="15">
        <v>6</v>
      </c>
      <c r="I171" s="15" t="s">
        <v>3922</v>
      </c>
      <c r="J171" s="350">
        <v>6995000</v>
      </c>
      <c r="K171" s="15" t="s">
        <v>3091</v>
      </c>
      <c r="L171" s="15">
        <v>3</v>
      </c>
      <c r="M171" s="15" t="s">
        <v>3222</v>
      </c>
      <c r="N171" s="15" t="s">
        <v>3223</v>
      </c>
      <c r="O171" s="15" t="s">
        <v>3215</v>
      </c>
      <c r="P171" s="15" t="s">
        <v>3923</v>
      </c>
      <c r="Q171" s="204" t="s">
        <v>3979</v>
      </c>
      <c r="R171" s="15" t="s">
        <v>36</v>
      </c>
      <c r="S171" s="334" t="s">
        <v>2671</v>
      </c>
      <c r="T171" s="608">
        <f t="shared" si="22"/>
        <v>2331666.6666666665</v>
      </c>
      <c r="U171" s="15" t="s">
        <v>171</v>
      </c>
      <c r="V171" s="15"/>
      <c r="W171" s="15"/>
      <c r="X171" s="15" t="s">
        <v>3286</v>
      </c>
      <c r="Y171" s="15" t="s">
        <v>3216</v>
      </c>
      <c r="Z171" s="15">
        <v>8140</v>
      </c>
      <c r="AA171" s="333">
        <v>72019</v>
      </c>
      <c r="AB171" s="15" t="s">
        <v>3980</v>
      </c>
      <c r="AC171" s="340" t="s">
        <v>2698</v>
      </c>
      <c r="AD171" s="15" t="s">
        <v>185</v>
      </c>
      <c r="AE171" s="583">
        <f t="shared" si="21"/>
        <v>2331666.6666666665</v>
      </c>
      <c r="AF171" s="15" t="s">
        <v>166</v>
      </c>
      <c r="AG171" s="15"/>
      <c r="AH171" s="15"/>
      <c r="AI171" s="15" t="s">
        <v>3286</v>
      </c>
      <c r="AJ171" s="15" t="s">
        <v>3216</v>
      </c>
      <c r="AK171" s="15">
        <v>6778837</v>
      </c>
      <c r="AL171" s="334" t="s">
        <v>979</v>
      </c>
      <c r="AM171" s="15" t="s">
        <v>71</v>
      </c>
      <c r="AN171" s="583">
        <f>T171</f>
        <v>2331666.6666666665</v>
      </c>
      <c r="AO171" s="15" t="s">
        <v>171</v>
      </c>
      <c r="AP171" s="15"/>
      <c r="AQ171" s="15"/>
      <c r="AR171" s="15" t="s">
        <v>3286</v>
      </c>
      <c r="AS171" s="15" t="s">
        <v>3216</v>
      </c>
      <c r="AT171" s="23"/>
      <c r="AU171" s="23"/>
      <c r="AV171" s="23"/>
      <c r="AW171" s="534"/>
      <c r="AX171" s="23"/>
      <c r="AY171" s="23"/>
      <c r="AZ171" s="23"/>
      <c r="BA171" s="23"/>
      <c r="BB171" s="23"/>
      <c r="BC171" s="23"/>
      <c r="BD171" s="23"/>
      <c r="BE171" s="534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348" t="s">
        <v>3190</v>
      </c>
      <c r="BR171" s="348" t="s">
        <v>3191</v>
      </c>
      <c r="BS171" s="23" t="s">
        <v>2689</v>
      </c>
      <c r="BT171" s="14" t="s">
        <v>3862</v>
      </c>
      <c r="BU171" s="23" t="s">
        <v>2691</v>
      </c>
      <c r="BV171" s="14" t="s">
        <v>3862</v>
      </c>
      <c r="BW171" s="23" t="s">
        <v>2690</v>
      </c>
      <c r="BX171" s="14" t="s">
        <v>3862</v>
      </c>
      <c r="BY171" s="23"/>
      <c r="BZ171" s="23"/>
      <c r="CA171" s="23"/>
      <c r="CB171" s="23"/>
      <c r="CC171" s="23"/>
      <c r="CD171" s="23"/>
      <c r="CE171" s="23"/>
      <c r="CF171" s="23"/>
      <c r="CG171" s="23" t="s">
        <v>3981</v>
      </c>
      <c r="CH171" s="345" t="s">
        <v>3982</v>
      </c>
      <c r="CI171" s="471"/>
      <c r="CJ171" s="23"/>
    </row>
    <row r="172" spans="1:91" s="4" customFormat="1" ht="60">
      <c r="A172" s="15">
        <v>11</v>
      </c>
      <c r="B172" s="349" t="s">
        <v>3918</v>
      </c>
      <c r="C172" s="348" t="s">
        <v>3983</v>
      </c>
      <c r="D172" s="14" t="s">
        <v>3984</v>
      </c>
      <c r="E172" s="15" t="s">
        <v>3921</v>
      </c>
      <c r="F172" s="15">
        <v>2023</v>
      </c>
      <c r="G172" s="15">
        <v>2023</v>
      </c>
      <c r="H172" s="15">
        <v>7</v>
      </c>
      <c r="I172" s="15" t="s">
        <v>3922</v>
      </c>
      <c r="J172" s="350">
        <v>6648000</v>
      </c>
      <c r="K172" s="15" t="s">
        <v>3091</v>
      </c>
      <c r="L172" s="15">
        <v>6</v>
      </c>
      <c r="M172" s="15" t="s">
        <v>3222</v>
      </c>
      <c r="N172" s="15" t="s">
        <v>3223</v>
      </c>
      <c r="O172" s="15" t="s">
        <v>3215</v>
      </c>
      <c r="P172" s="15" t="s">
        <v>3923</v>
      </c>
      <c r="Q172" s="204" t="s">
        <v>3985</v>
      </c>
      <c r="R172" s="15" t="s">
        <v>42</v>
      </c>
      <c r="S172" s="334" t="s">
        <v>2730</v>
      </c>
      <c r="T172" s="608">
        <f t="shared" si="22"/>
        <v>2216000</v>
      </c>
      <c r="U172" s="15" t="s">
        <v>3093</v>
      </c>
      <c r="V172" s="15" t="s">
        <v>166</v>
      </c>
      <c r="W172" s="15"/>
      <c r="X172" s="15" t="s">
        <v>3286</v>
      </c>
      <c r="Y172" s="15" t="s">
        <v>3216</v>
      </c>
      <c r="Z172" s="15">
        <v>8140</v>
      </c>
      <c r="AA172" s="333">
        <v>72019</v>
      </c>
      <c r="AB172" s="15">
        <v>6768348</v>
      </c>
      <c r="AC172" s="340" t="s">
        <v>2044</v>
      </c>
      <c r="AD172" s="15" t="s">
        <v>53</v>
      </c>
      <c r="AE172" s="583">
        <f t="shared" si="21"/>
        <v>2216000</v>
      </c>
      <c r="AF172" s="15" t="s">
        <v>171</v>
      </c>
      <c r="AG172" s="15"/>
      <c r="AH172" s="15"/>
      <c r="AI172" s="15" t="s">
        <v>3286</v>
      </c>
      <c r="AJ172" s="15" t="s">
        <v>3216</v>
      </c>
      <c r="AK172" s="204" t="s">
        <v>3986</v>
      </c>
      <c r="AL172" s="334" t="s">
        <v>2031</v>
      </c>
      <c r="AM172" s="15" t="s">
        <v>139</v>
      </c>
      <c r="AN172" s="583">
        <f>T172</f>
        <v>2216000</v>
      </c>
      <c r="AO172" s="15" t="s">
        <v>3093</v>
      </c>
      <c r="AP172" s="15"/>
      <c r="AQ172" s="15"/>
      <c r="AR172" s="15" t="s">
        <v>3286</v>
      </c>
      <c r="AS172" s="15" t="s">
        <v>3216</v>
      </c>
      <c r="AT172" s="23"/>
      <c r="AU172" s="23"/>
      <c r="AV172" s="23"/>
      <c r="AW172" s="534"/>
      <c r="AX172" s="23"/>
      <c r="AY172" s="23"/>
      <c r="AZ172" s="23"/>
      <c r="BA172" s="23"/>
      <c r="BB172" s="23"/>
      <c r="BC172" s="23"/>
      <c r="BD172" s="23"/>
      <c r="BE172" s="534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348" t="s">
        <v>3190</v>
      </c>
      <c r="BR172" s="348" t="s">
        <v>3191</v>
      </c>
      <c r="BS172" s="23" t="s">
        <v>3987</v>
      </c>
      <c r="BT172" s="14"/>
      <c r="BU172" s="23" t="s">
        <v>3104</v>
      </c>
      <c r="BV172" s="23"/>
      <c r="BW172" s="23"/>
      <c r="BX172" s="14"/>
      <c r="BY172" s="23"/>
      <c r="BZ172" s="23"/>
      <c r="CA172" s="23"/>
      <c r="CB172" s="23"/>
      <c r="CC172" s="23"/>
      <c r="CD172" s="23"/>
      <c r="CE172" s="23"/>
      <c r="CF172" s="23"/>
      <c r="CG172" s="23" t="s">
        <v>3063</v>
      </c>
      <c r="CH172" s="345" t="s">
        <v>3739</v>
      </c>
      <c r="CI172" s="471"/>
      <c r="CJ172" s="23"/>
    </row>
    <row r="173" spans="1:91" s="4" customFormat="1" ht="72">
      <c r="A173" s="15">
        <v>12</v>
      </c>
      <c r="B173" s="349" t="s">
        <v>3918</v>
      </c>
      <c r="C173" s="348" t="s">
        <v>3988</v>
      </c>
      <c r="D173" s="14" t="s">
        <v>3989</v>
      </c>
      <c r="E173" s="15" t="s">
        <v>3824</v>
      </c>
      <c r="F173" s="15">
        <v>2023</v>
      </c>
      <c r="G173" s="15">
        <v>2023</v>
      </c>
      <c r="H173" s="15">
        <v>7</v>
      </c>
      <c r="I173" s="15" t="s">
        <v>3953</v>
      </c>
      <c r="J173" s="350">
        <v>15500000</v>
      </c>
      <c r="K173" s="15" t="s">
        <v>3091</v>
      </c>
      <c r="L173" s="15">
        <v>3</v>
      </c>
      <c r="M173" s="15" t="s">
        <v>3222</v>
      </c>
      <c r="N173" s="15" t="s">
        <v>3223</v>
      </c>
      <c r="O173" s="15" t="s">
        <v>3215</v>
      </c>
      <c r="P173" s="15" t="s">
        <v>3923</v>
      </c>
      <c r="Q173" s="15">
        <v>6727245</v>
      </c>
      <c r="R173" s="15" t="s">
        <v>96</v>
      </c>
      <c r="S173" s="334" t="s">
        <v>1889</v>
      </c>
      <c r="T173" s="608">
        <f t="shared" ref="T173:T174" si="24">J173/2</f>
        <v>7750000</v>
      </c>
      <c r="U173" s="15" t="s">
        <v>3093</v>
      </c>
      <c r="V173" s="15"/>
      <c r="W173" s="15"/>
      <c r="X173" s="15" t="s">
        <v>3286</v>
      </c>
      <c r="Y173" s="15" t="s">
        <v>3216</v>
      </c>
      <c r="Z173" s="15">
        <v>8140</v>
      </c>
      <c r="AA173" s="333">
        <v>72019</v>
      </c>
      <c r="AB173" s="15">
        <v>6663582</v>
      </c>
      <c r="AC173" s="340" t="s">
        <v>1668</v>
      </c>
      <c r="AD173" s="15" t="s">
        <v>94</v>
      </c>
      <c r="AE173" s="583">
        <f t="shared" si="21"/>
        <v>7750000</v>
      </c>
      <c r="AF173" s="15" t="s">
        <v>151</v>
      </c>
      <c r="AG173" s="15"/>
      <c r="AH173" s="15"/>
      <c r="AI173" s="15" t="s">
        <v>3281</v>
      </c>
      <c r="AJ173" s="15" t="s">
        <v>3216</v>
      </c>
      <c r="AK173" s="15"/>
      <c r="AL173" s="341"/>
      <c r="AM173" s="15"/>
      <c r="AN173" s="583"/>
      <c r="AO173" s="23"/>
      <c r="AP173" s="23"/>
      <c r="AQ173" s="23"/>
      <c r="AR173" s="23"/>
      <c r="AS173" s="23"/>
      <c r="AT173" s="23"/>
      <c r="AU173" s="23"/>
      <c r="AV173" s="23"/>
      <c r="AW173" s="534"/>
      <c r="AX173" s="23"/>
      <c r="AY173" s="23"/>
      <c r="AZ173" s="23"/>
      <c r="BA173" s="23"/>
      <c r="BB173" s="23"/>
      <c r="BC173" s="23"/>
      <c r="BD173" s="23"/>
      <c r="BE173" s="534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348" t="s">
        <v>3190</v>
      </c>
      <c r="BR173" s="348" t="s">
        <v>3191</v>
      </c>
      <c r="BS173" s="23" t="s">
        <v>2740</v>
      </c>
      <c r="BT173" s="14" t="s">
        <v>3990</v>
      </c>
      <c r="BU173" s="23" t="s">
        <v>3991</v>
      </c>
      <c r="BV173" s="14" t="s">
        <v>3990</v>
      </c>
      <c r="BW173" s="23" t="s">
        <v>3992</v>
      </c>
      <c r="BX173" s="14" t="s">
        <v>3990</v>
      </c>
      <c r="BY173" s="23"/>
      <c r="BZ173" s="23"/>
      <c r="CA173" s="23"/>
      <c r="CB173" s="23"/>
      <c r="CC173" s="23"/>
      <c r="CD173" s="23"/>
      <c r="CE173" s="23"/>
      <c r="CF173" s="23"/>
      <c r="CG173" s="23" t="s">
        <v>3942</v>
      </c>
      <c r="CH173" s="23"/>
      <c r="CI173" s="471" t="s">
        <v>3993</v>
      </c>
      <c r="CJ173" s="23"/>
    </row>
    <row r="174" spans="1:91" s="4" customFormat="1" ht="48">
      <c r="A174" s="15">
        <v>13</v>
      </c>
      <c r="B174" s="349" t="s">
        <v>3918</v>
      </c>
      <c r="C174" s="348" t="s">
        <v>3994</v>
      </c>
      <c r="D174" s="14" t="s">
        <v>3995</v>
      </c>
      <c r="E174" s="15" t="s">
        <v>3921</v>
      </c>
      <c r="F174" s="15">
        <v>2023</v>
      </c>
      <c r="G174" s="15">
        <v>2023</v>
      </c>
      <c r="H174" s="15">
        <v>7</v>
      </c>
      <c r="I174" s="15" t="s">
        <v>3931</v>
      </c>
      <c r="J174" s="350">
        <v>6700000</v>
      </c>
      <c r="K174" s="15" t="s">
        <v>3091</v>
      </c>
      <c r="L174" s="15">
        <v>3</v>
      </c>
      <c r="M174" s="15" t="s">
        <v>3222</v>
      </c>
      <c r="N174" s="15" t="s">
        <v>3223</v>
      </c>
      <c r="O174" s="15" t="s">
        <v>3215</v>
      </c>
      <c r="P174" s="15" t="s">
        <v>3923</v>
      </c>
      <c r="Q174" s="15">
        <v>6767777</v>
      </c>
      <c r="R174" s="15" t="s">
        <v>34</v>
      </c>
      <c r="S174" s="334" t="s">
        <v>2673</v>
      </c>
      <c r="T174" s="608">
        <f t="shared" si="24"/>
        <v>3350000</v>
      </c>
      <c r="U174" s="15" t="s">
        <v>171</v>
      </c>
      <c r="V174" s="15"/>
      <c r="W174" s="15"/>
      <c r="X174" s="15" t="s">
        <v>3286</v>
      </c>
      <c r="Y174" s="15" t="s">
        <v>3216</v>
      </c>
      <c r="Z174" s="15">
        <v>8140</v>
      </c>
      <c r="AA174" s="333">
        <v>72019</v>
      </c>
      <c r="AB174" s="204" t="s">
        <v>3924</v>
      </c>
      <c r="AC174" s="340" t="s">
        <v>2672</v>
      </c>
      <c r="AD174" s="15" t="s">
        <v>187</v>
      </c>
      <c r="AE174" s="583">
        <f t="shared" si="21"/>
        <v>3350000</v>
      </c>
      <c r="AF174" s="15" t="s">
        <v>171</v>
      </c>
      <c r="AG174" s="15"/>
      <c r="AH174" s="15"/>
      <c r="AI174" s="15" t="s">
        <v>3286</v>
      </c>
      <c r="AJ174" s="15" t="s">
        <v>3216</v>
      </c>
      <c r="AK174" s="15"/>
      <c r="AL174" s="341"/>
      <c r="AM174" s="15"/>
      <c r="AN174" s="583"/>
      <c r="AO174" s="23"/>
      <c r="AP174" s="23"/>
      <c r="AQ174" s="23"/>
      <c r="AR174" s="23"/>
      <c r="AS174" s="23"/>
      <c r="AT174" s="23"/>
      <c r="AU174" s="23"/>
      <c r="AV174" s="23"/>
      <c r="AW174" s="534"/>
      <c r="AX174" s="23"/>
      <c r="AY174" s="23"/>
      <c r="AZ174" s="23"/>
      <c r="BA174" s="23"/>
      <c r="BB174" s="23"/>
      <c r="BC174" s="23"/>
      <c r="BD174" s="23"/>
      <c r="BE174" s="534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348" t="s">
        <v>3190</v>
      </c>
      <c r="BR174" s="348" t="s">
        <v>3191</v>
      </c>
      <c r="BS174" s="23" t="s">
        <v>2679</v>
      </c>
      <c r="BT174" s="14" t="s">
        <v>3862</v>
      </c>
      <c r="BU174" s="23" t="s">
        <v>2680</v>
      </c>
      <c r="BV174" s="14" t="s">
        <v>3862</v>
      </c>
      <c r="BW174" s="23" t="s">
        <v>2681</v>
      </c>
      <c r="BX174" s="14" t="s">
        <v>3862</v>
      </c>
      <c r="BY174" s="23"/>
      <c r="BZ174" s="23"/>
      <c r="CA174" s="23"/>
      <c r="CB174" s="23"/>
      <c r="CC174" s="23"/>
      <c r="CD174" s="23"/>
      <c r="CE174" s="23"/>
      <c r="CF174" s="23"/>
      <c r="CG174" s="261" t="s">
        <v>3996</v>
      </c>
      <c r="CH174" s="632" t="s">
        <v>3971</v>
      </c>
      <c r="CI174" s="631" t="s">
        <v>3309</v>
      </c>
      <c r="CJ174" s="23"/>
    </row>
    <row r="175" spans="1:91" s="558" customFormat="1" ht="72">
      <c r="A175" s="355">
        <v>14</v>
      </c>
      <c r="B175" s="349" t="s">
        <v>3918</v>
      </c>
      <c r="C175" s="348" t="s">
        <v>3997</v>
      </c>
      <c r="D175" s="331" t="s">
        <v>3998</v>
      </c>
      <c r="E175" s="355" t="s">
        <v>3921</v>
      </c>
      <c r="F175" s="355">
        <v>2023</v>
      </c>
      <c r="G175" s="355">
        <v>2023</v>
      </c>
      <c r="H175" s="355">
        <v>12</v>
      </c>
      <c r="I175" s="355" t="s">
        <v>3953</v>
      </c>
      <c r="J175" s="356">
        <v>6000000</v>
      </c>
      <c r="K175" s="355" t="s">
        <v>3091</v>
      </c>
      <c r="L175" s="355">
        <v>3</v>
      </c>
      <c r="M175" s="355" t="s">
        <v>3222</v>
      </c>
      <c r="N175" s="15" t="s">
        <v>3223</v>
      </c>
      <c r="O175" s="355" t="s">
        <v>3215</v>
      </c>
      <c r="P175" s="355" t="s">
        <v>3923</v>
      </c>
      <c r="Q175" s="653" t="s">
        <v>3999</v>
      </c>
      <c r="R175" s="355" t="s">
        <v>37</v>
      </c>
      <c r="S175" s="357" t="s">
        <v>2009</v>
      </c>
      <c r="T175" s="654">
        <f>J175/3</f>
        <v>2000000</v>
      </c>
      <c r="U175" s="355" t="s">
        <v>166</v>
      </c>
      <c r="V175" s="355"/>
      <c r="W175" s="355"/>
      <c r="X175" s="355" t="s">
        <v>3286</v>
      </c>
      <c r="Y175" s="355" t="s">
        <v>3216</v>
      </c>
      <c r="Z175" s="355">
        <v>8140</v>
      </c>
      <c r="AA175" s="655">
        <v>72019</v>
      </c>
      <c r="AB175" s="355">
        <v>6787771</v>
      </c>
      <c r="AC175" s="358" t="s">
        <v>1676</v>
      </c>
      <c r="AD175" s="355" t="s">
        <v>180</v>
      </c>
      <c r="AE175" s="656">
        <f t="shared" si="21"/>
        <v>2000000</v>
      </c>
      <c r="AF175" s="355" t="s">
        <v>166</v>
      </c>
      <c r="AG175" s="355"/>
      <c r="AH175" s="355"/>
      <c r="AI175" s="355" t="s">
        <v>3286</v>
      </c>
      <c r="AJ175" s="355" t="s">
        <v>3216</v>
      </c>
      <c r="AK175" s="653" t="s">
        <v>3954</v>
      </c>
      <c r="AL175" s="357" t="s">
        <v>2010</v>
      </c>
      <c r="AM175" s="355" t="s">
        <v>41</v>
      </c>
      <c r="AN175" s="656">
        <f>T175</f>
        <v>2000000</v>
      </c>
      <c r="AO175" s="355" t="s">
        <v>166</v>
      </c>
      <c r="AP175" s="355"/>
      <c r="AQ175" s="355"/>
      <c r="AR175" s="355" t="s">
        <v>3286</v>
      </c>
      <c r="AS175" s="355" t="s">
        <v>3216</v>
      </c>
      <c r="AT175" s="133"/>
      <c r="AU175" s="133"/>
      <c r="AV175" s="133"/>
      <c r="AW175" s="657"/>
      <c r="AX175" s="133"/>
      <c r="AY175" s="133"/>
      <c r="AZ175" s="133"/>
      <c r="BA175" s="133"/>
      <c r="BB175" s="133"/>
      <c r="BC175" s="133"/>
      <c r="BD175" s="133"/>
      <c r="BE175" s="657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348" t="s">
        <v>3190</v>
      </c>
      <c r="BR175" s="348" t="s">
        <v>3191</v>
      </c>
      <c r="BS175" s="133" t="s">
        <v>4000</v>
      </c>
      <c r="BT175" s="133" t="s">
        <v>3832</v>
      </c>
      <c r="BU175" s="133" t="s">
        <v>3006</v>
      </c>
      <c r="BV175" s="133" t="s">
        <v>3832</v>
      </c>
      <c r="BW175" s="133" t="s">
        <v>4001</v>
      </c>
      <c r="BX175" s="133" t="s">
        <v>3832</v>
      </c>
      <c r="BY175" s="133"/>
      <c r="BZ175" s="133"/>
      <c r="CA175" s="133"/>
      <c r="CB175" s="133"/>
      <c r="CC175" s="133"/>
      <c r="CD175" s="133"/>
      <c r="CE175" s="133"/>
      <c r="CF175" s="133"/>
      <c r="CG175" s="133" t="s">
        <v>4002</v>
      </c>
      <c r="CH175" s="133" t="s">
        <v>4003</v>
      </c>
      <c r="CI175" s="474"/>
      <c r="CJ175" s="133"/>
    </row>
    <row r="176" spans="1:91" s="4" customFormat="1" ht="36">
      <c r="A176" s="15">
        <v>15</v>
      </c>
      <c r="B176" s="349" t="s">
        <v>4004</v>
      </c>
      <c r="C176" s="348" t="s">
        <v>4005</v>
      </c>
      <c r="D176" s="14" t="s">
        <v>4006</v>
      </c>
      <c r="E176" s="15" t="s">
        <v>99</v>
      </c>
      <c r="F176" s="15">
        <v>2023</v>
      </c>
      <c r="G176" s="15">
        <v>2023</v>
      </c>
      <c r="H176" s="15">
        <v>7</v>
      </c>
      <c r="I176" s="15" t="s">
        <v>4007</v>
      </c>
      <c r="J176" s="350">
        <v>3000000</v>
      </c>
      <c r="K176" s="15" t="s">
        <v>3091</v>
      </c>
      <c r="L176" s="15" t="s">
        <v>942</v>
      </c>
      <c r="M176" s="15" t="s">
        <v>3222</v>
      </c>
      <c r="N176" s="15" t="s">
        <v>3223</v>
      </c>
      <c r="O176" s="15" t="s">
        <v>3215</v>
      </c>
      <c r="P176" s="15" t="s">
        <v>3923</v>
      </c>
      <c r="Q176" s="15">
        <v>6727245</v>
      </c>
      <c r="R176" s="15" t="s">
        <v>96</v>
      </c>
      <c r="S176" s="334" t="s">
        <v>1889</v>
      </c>
      <c r="T176" s="608">
        <f>J176/1</f>
        <v>3000000</v>
      </c>
      <c r="U176" s="15" t="s">
        <v>3093</v>
      </c>
      <c r="V176" s="15"/>
      <c r="W176" s="15"/>
      <c r="X176" s="15" t="s">
        <v>3286</v>
      </c>
      <c r="Y176" s="15" t="s">
        <v>3216</v>
      </c>
      <c r="Z176" s="15">
        <v>8140</v>
      </c>
      <c r="AA176" s="333">
        <v>72019</v>
      </c>
      <c r="AB176" s="15"/>
      <c r="AC176" s="333"/>
      <c r="AD176" s="15"/>
      <c r="AE176" s="583"/>
      <c r="AF176" s="15"/>
      <c r="AG176" s="15"/>
      <c r="AH176" s="15"/>
      <c r="AI176" s="15"/>
      <c r="AJ176" s="23"/>
      <c r="AK176" s="15"/>
      <c r="AL176" s="341"/>
      <c r="AM176" s="15"/>
      <c r="AN176" s="583"/>
      <c r="AO176" s="23"/>
      <c r="AP176" s="23"/>
      <c r="AQ176" s="23"/>
      <c r="AR176" s="23"/>
      <c r="AS176" s="23"/>
      <c r="AT176" s="23"/>
      <c r="AU176" s="23"/>
      <c r="AV176" s="23"/>
      <c r="AW176" s="534"/>
      <c r="AX176" s="23"/>
      <c r="AY176" s="23"/>
      <c r="AZ176" s="23"/>
      <c r="BA176" s="23"/>
      <c r="BB176" s="23"/>
      <c r="BC176" s="23"/>
      <c r="BD176" s="23"/>
      <c r="BE176" s="534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348" t="s">
        <v>3190</v>
      </c>
      <c r="BR176" s="348" t="s">
        <v>3191</v>
      </c>
      <c r="BS176" s="23"/>
      <c r="BT176" s="23"/>
      <c r="BU176" s="23"/>
      <c r="BV176" s="23"/>
      <c r="BW176" s="23"/>
      <c r="BX176" s="23"/>
      <c r="BY176" s="23"/>
      <c r="BZ176" s="23"/>
      <c r="CA176" s="23"/>
      <c r="CB176" s="23"/>
      <c r="CC176" s="23"/>
      <c r="CD176" s="23"/>
      <c r="CE176" s="23"/>
      <c r="CF176" s="23"/>
      <c r="CG176" s="23" t="s">
        <v>4008</v>
      </c>
      <c r="CH176" s="23"/>
      <c r="CI176" s="471"/>
      <c r="CJ176" s="23"/>
    </row>
    <row r="177" spans="1:88" s="554" customFormat="1" ht="38.25" customHeight="1">
      <c r="A177" s="15">
        <v>16</v>
      </c>
      <c r="B177" s="349" t="s">
        <v>4004</v>
      </c>
      <c r="C177" s="348" t="s">
        <v>4009</v>
      </c>
      <c r="D177" s="14" t="s">
        <v>4010</v>
      </c>
      <c r="E177" s="15" t="s">
        <v>99</v>
      </c>
      <c r="F177" s="15">
        <v>2023</v>
      </c>
      <c r="G177" s="15">
        <v>2023</v>
      </c>
      <c r="H177" s="15">
        <v>7</v>
      </c>
      <c r="I177" s="15" t="s">
        <v>4011</v>
      </c>
      <c r="J177" s="350">
        <v>3000000</v>
      </c>
      <c r="K177" s="15" t="s">
        <v>3091</v>
      </c>
      <c r="L177" s="15" t="s">
        <v>942</v>
      </c>
      <c r="M177" s="15" t="s">
        <v>3222</v>
      </c>
      <c r="N177" s="15" t="s">
        <v>3223</v>
      </c>
      <c r="O177" s="15" t="s">
        <v>3215</v>
      </c>
      <c r="P177" s="15" t="s">
        <v>3923</v>
      </c>
      <c r="Q177" s="15">
        <v>6680628</v>
      </c>
      <c r="R177" s="15" t="s">
        <v>89</v>
      </c>
      <c r="S177" s="334" t="s">
        <v>1007</v>
      </c>
      <c r="T177" s="608">
        <f>J177/5</f>
        <v>600000</v>
      </c>
      <c r="U177" s="15" t="s">
        <v>164</v>
      </c>
      <c r="V177" s="15"/>
      <c r="W177" s="15"/>
      <c r="X177" s="15" t="s">
        <v>3286</v>
      </c>
      <c r="Y177" s="15" t="s">
        <v>3216</v>
      </c>
      <c r="Z177" s="15">
        <v>8140</v>
      </c>
      <c r="AA177" s="333">
        <v>72019</v>
      </c>
      <c r="AB177" s="15">
        <v>6826699</v>
      </c>
      <c r="AC177" s="340" t="s">
        <v>1905</v>
      </c>
      <c r="AD177" s="15" t="s">
        <v>33</v>
      </c>
      <c r="AE177" s="583">
        <f t="shared" ref="AE177:AE182" si="25">T177</f>
        <v>600000</v>
      </c>
      <c r="AF177" s="15" t="s">
        <v>166</v>
      </c>
      <c r="AG177" s="15"/>
      <c r="AH177" s="15"/>
      <c r="AI177" s="15" t="s">
        <v>3286</v>
      </c>
      <c r="AJ177" s="15" t="s">
        <v>3216</v>
      </c>
      <c r="AK177" s="204" t="s">
        <v>4012</v>
      </c>
      <c r="AL177" s="334" t="s">
        <v>1904</v>
      </c>
      <c r="AM177" s="15" t="s">
        <v>775</v>
      </c>
      <c r="AN177" s="583">
        <f t="shared" ref="AN177:AN182" si="26">T177</f>
        <v>600000</v>
      </c>
      <c r="AO177" s="355" t="s">
        <v>166</v>
      </c>
      <c r="AP177" s="355"/>
      <c r="AQ177" s="355"/>
      <c r="AR177" s="15" t="s">
        <v>3286</v>
      </c>
      <c r="AS177" s="15" t="s">
        <v>3216</v>
      </c>
      <c r="AT177" s="617" t="s">
        <v>3954</v>
      </c>
      <c r="AU177" s="334" t="s">
        <v>2010</v>
      </c>
      <c r="AV177" s="15" t="s">
        <v>41</v>
      </c>
      <c r="AW177" s="583">
        <f>T177</f>
        <v>600000</v>
      </c>
      <c r="AX177" s="15" t="s">
        <v>166</v>
      </c>
      <c r="AY177" s="15"/>
      <c r="AZ177" s="15" t="s">
        <v>3286</v>
      </c>
      <c r="BA177" s="15" t="s">
        <v>3216</v>
      </c>
      <c r="BB177" s="204" t="s">
        <v>3999</v>
      </c>
      <c r="BC177" s="334" t="s">
        <v>2009</v>
      </c>
      <c r="BD177" s="15" t="s">
        <v>37</v>
      </c>
      <c r="BE177" s="583">
        <f>T177</f>
        <v>600000</v>
      </c>
      <c r="BF177" s="15" t="s">
        <v>166</v>
      </c>
      <c r="BG177" s="15"/>
      <c r="BH177" s="15" t="s">
        <v>3286</v>
      </c>
      <c r="BI177" s="15" t="s">
        <v>3216</v>
      </c>
      <c r="BJ177" s="23"/>
      <c r="BK177" s="23"/>
      <c r="BL177" s="23"/>
      <c r="BM177" s="23"/>
      <c r="BN177" s="23"/>
      <c r="BO177" s="23"/>
      <c r="BP177" s="23"/>
      <c r="BQ177" s="348" t="s">
        <v>3190</v>
      </c>
      <c r="BR177" s="348" t="s">
        <v>3191</v>
      </c>
      <c r="BS177" s="23"/>
      <c r="BT177" s="23"/>
      <c r="BU177" s="23"/>
      <c r="BV177" s="23"/>
      <c r="BW177" s="23"/>
      <c r="BX177" s="23"/>
      <c r="BY177" s="23"/>
      <c r="BZ177" s="23"/>
      <c r="CA177" s="23"/>
      <c r="CB177" s="23"/>
      <c r="CC177" s="23"/>
      <c r="CD177" s="23"/>
      <c r="CE177" s="23"/>
      <c r="CF177" s="23"/>
      <c r="CG177" s="23" t="s">
        <v>4008</v>
      </c>
      <c r="CH177" s="23"/>
      <c r="CI177" s="471"/>
      <c r="CJ177" s="23"/>
    </row>
    <row r="178" spans="1:88" s="554" customFormat="1" ht="36">
      <c r="A178" s="15">
        <v>17</v>
      </c>
      <c r="B178" s="349" t="s">
        <v>4004</v>
      </c>
      <c r="C178" s="348" t="s">
        <v>4013</v>
      </c>
      <c r="D178" s="14" t="s">
        <v>4014</v>
      </c>
      <c r="E178" s="15" t="s">
        <v>99</v>
      </c>
      <c r="F178" s="15">
        <v>2023</v>
      </c>
      <c r="G178" s="15">
        <v>2023</v>
      </c>
      <c r="H178" s="15">
        <v>7</v>
      </c>
      <c r="I178" s="15" t="s">
        <v>3922</v>
      </c>
      <c r="J178" s="350">
        <v>3000000</v>
      </c>
      <c r="K178" s="15" t="s">
        <v>3091</v>
      </c>
      <c r="L178" s="15" t="s">
        <v>942</v>
      </c>
      <c r="M178" s="15" t="s">
        <v>3222</v>
      </c>
      <c r="N178" s="15" t="s">
        <v>3223</v>
      </c>
      <c r="O178" s="15" t="s">
        <v>3215</v>
      </c>
      <c r="P178" s="15" t="s">
        <v>3923</v>
      </c>
      <c r="Q178" s="204" t="s">
        <v>4015</v>
      </c>
      <c r="R178" s="15" t="s">
        <v>67</v>
      </c>
      <c r="S178" s="204" t="s">
        <v>977</v>
      </c>
      <c r="T178" s="608">
        <f>J178/4</f>
        <v>750000</v>
      </c>
      <c r="U178" s="15" t="s">
        <v>166</v>
      </c>
      <c r="V178" s="15"/>
      <c r="W178" s="15"/>
      <c r="X178" s="15" t="s">
        <v>3286</v>
      </c>
      <c r="Y178" s="15" t="s">
        <v>3216</v>
      </c>
      <c r="Z178" s="15">
        <v>8140</v>
      </c>
      <c r="AA178" s="333">
        <v>72019</v>
      </c>
      <c r="AB178" s="204" t="s">
        <v>3954</v>
      </c>
      <c r="AC178" s="334" t="s">
        <v>2010</v>
      </c>
      <c r="AD178" s="15" t="s">
        <v>41</v>
      </c>
      <c r="AE178" s="583">
        <f t="shared" si="25"/>
        <v>750000</v>
      </c>
      <c r="AF178" s="15" t="s">
        <v>166</v>
      </c>
      <c r="AG178" s="15"/>
      <c r="AH178" s="15"/>
      <c r="AI178" s="15" t="s">
        <v>3286</v>
      </c>
      <c r="AJ178" s="15" t="s">
        <v>3216</v>
      </c>
      <c r="AK178" s="204" t="s">
        <v>3999</v>
      </c>
      <c r="AL178" s="334" t="s">
        <v>2009</v>
      </c>
      <c r="AM178" s="15" t="s">
        <v>37</v>
      </c>
      <c r="AN178" s="583">
        <f t="shared" si="26"/>
        <v>750000</v>
      </c>
      <c r="AO178" s="355" t="s">
        <v>166</v>
      </c>
      <c r="AP178" s="355"/>
      <c r="AQ178" s="355"/>
      <c r="AR178" s="15" t="s">
        <v>3286</v>
      </c>
      <c r="AS178" s="15" t="s">
        <v>3216</v>
      </c>
      <c r="AT178" s="15" t="s">
        <v>3980</v>
      </c>
      <c r="AU178" s="340" t="s">
        <v>2698</v>
      </c>
      <c r="AV178" s="15" t="s">
        <v>185</v>
      </c>
      <c r="AW178" s="583">
        <f>T178</f>
        <v>750000</v>
      </c>
      <c r="AX178" s="15" t="s">
        <v>166</v>
      </c>
      <c r="AY178" s="15"/>
      <c r="AZ178" s="15" t="s">
        <v>3286</v>
      </c>
      <c r="BA178" s="15" t="s">
        <v>3216</v>
      </c>
      <c r="BB178" s="23"/>
      <c r="BC178" s="23"/>
      <c r="BD178" s="23"/>
      <c r="BE178" s="534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348" t="s">
        <v>3190</v>
      </c>
      <c r="BR178" s="348" t="s">
        <v>3191</v>
      </c>
      <c r="BS178" s="23"/>
      <c r="BT178" s="23"/>
      <c r="BU178" s="23"/>
      <c r="BV178" s="23"/>
      <c r="BW178" s="23"/>
      <c r="BX178" s="23"/>
      <c r="BY178" s="23"/>
      <c r="BZ178" s="23"/>
      <c r="CA178" s="23"/>
      <c r="CB178" s="23"/>
      <c r="CC178" s="23"/>
      <c r="CD178" s="23"/>
      <c r="CE178" s="23"/>
      <c r="CF178" s="23"/>
      <c r="CG178" s="23" t="s">
        <v>4008</v>
      </c>
      <c r="CH178" s="23"/>
      <c r="CI178" s="471"/>
      <c r="CJ178" s="23"/>
    </row>
    <row r="179" spans="1:88" s="4" customFormat="1" ht="60">
      <c r="A179" s="15">
        <v>18</v>
      </c>
      <c r="B179" s="349" t="s">
        <v>4016</v>
      </c>
      <c r="C179" s="348" t="s">
        <v>4017</v>
      </c>
      <c r="D179" s="14" t="s">
        <v>4018</v>
      </c>
      <c r="E179" s="15" t="s">
        <v>90</v>
      </c>
      <c r="F179" s="15">
        <v>2023</v>
      </c>
      <c r="G179" s="15">
        <v>2023</v>
      </c>
      <c r="H179" s="15">
        <v>12</v>
      </c>
      <c r="I179" s="15" t="s">
        <v>4019</v>
      </c>
      <c r="J179" s="350">
        <v>100000000</v>
      </c>
      <c r="K179" s="15" t="s">
        <v>3091</v>
      </c>
      <c r="L179" s="15">
        <v>5</v>
      </c>
      <c r="M179" s="15" t="s">
        <v>4020</v>
      </c>
      <c r="N179" s="15" t="s">
        <v>3223</v>
      </c>
      <c r="O179" s="15" t="s">
        <v>3215</v>
      </c>
      <c r="P179" s="15" t="s">
        <v>3923</v>
      </c>
      <c r="Q179" s="15">
        <v>6680633</v>
      </c>
      <c r="R179" s="15" t="s">
        <v>18</v>
      </c>
      <c r="S179" s="334" t="s">
        <v>3322</v>
      </c>
      <c r="T179" s="608">
        <f>J179/3</f>
        <v>33333333.333333332</v>
      </c>
      <c r="U179" s="15" t="s">
        <v>156</v>
      </c>
      <c r="V179" s="15" t="s">
        <v>166</v>
      </c>
      <c r="W179" s="15"/>
      <c r="X179" s="15" t="s">
        <v>3286</v>
      </c>
      <c r="Y179" s="15" t="s">
        <v>3216</v>
      </c>
      <c r="Z179" s="15">
        <v>8140</v>
      </c>
      <c r="AA179" s="333">
        <v>72019</v>
      </c>
      <c r="AB179" s="204" t="s">
        <v>4021</v>
      </c>
      <c r="AC179" s="340" t="s">
        <v>1723</v>
      </c>
      <c r="AD179" s="15" t="s">
        <v>134</v>
      </c>
      <c r="AE179" s="583">
        <f t="shared" si="25"/>
        <v>33333333.333333332</v>
      </c>
      <c r="AF179" s="15" t="s">
        <v>4022</v>
      </c>
      <c r="AG179" s="15"/>
      <c r="AH179" s="15"/>
      <c r="AI179" s="15" t="s">
        <v>3286</v>
      </c>
      <c r="AJ179" s="15" t="s">
        <v>3216</v>
      </c>
      <c r="AK179" s="15">
        <v>6682174</v>
      </c>
      <c r="AL179" s="341" t="s">
        <v>2285</v>
      </c>
      <c r="AM179" s="15" t="s">
        <v>20</v>
      </c>
      <c r="AN179" s="583">
        <f t="shared" si="26"/>
        <v>33333333.333333332</v>
      </c>
      <c r="AO179" s="15" t="s">
        <v>156</v>
      </c>
      <c r="AP179" s="15"/>
      <c r="AQ179" s="15"/>
      <c r="AR179" s="15" t="s">
        <v>3286</v>
      </c>
      <c r="AS179" s="15" t="s">
        <v>3216</v>
      </c>
      <c r="AT179" s="23"/>
      <c r="AU179" s="23"/>
      <c r="AV179" s="15" t="s">
        <v>323</v>
      </c>
      <c r="AW179" s="583">
        <v>0</v>
      </c>
      <c r="AX179" s="23"/>
      <c r="AY179" s="23"/>
      <c r="AZ179" s="23"/>
      <c r="BA179" s="15"/>
      <c r="BB179" s="23"/>
      <c r="BC179" s="23"/>
      <c r="BD179" s="23"/>
      <c r="BE179" s="534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348" t="s">
        <v>3190</v>
      </c>
      <c r="BR179" s="348" t="s">
        <v>3191</v>
      </c>
      <c r="BS179" s="23" t="s">
        <v>4023</v>
      </c>
      <c r="BT179" s="23"/>
      <c r="BU179" s="23" t="s">
        <v>2231</v>
      </c>
      <c r="BV179" s="23"/>
      <c r="BW179" s="23"/>
      <c r="BX179" s="23"/>
      <c r="BY179" s="23"/>
      <c r="BZ179" s="23"/>
      <c r="CA179" s="23"/>
      <c r="CB179" s="23"/>
      <c r="CC179" s="23"/>
      <c r="CD179" s="23"/>
      <c r="CE179" s="23"/>
      <c r="CF179" s="23"/>
      <c r="CG179" s="23" t="s">
        <v>3397</v>
      </c>
      <c r="CH179" s="23"/>
      <c r="CI179" s="471" t="s">
        <v>4024</v>
      </c>
      <c r="CJ179" s="23" t="s">
        <v>4025</v>
      </c>
    </row>
    <row r="180" spans="1:88" s="132" customFormat="1" ht="48">
      <c r="A180" s="355">
        <v>19</v>
      </c>
      <c r="B180" s="349" t="s">
        <v>4016</v>
      </c>
      <c r="C180" s="348" t="s">
        <v>4026</v>
      </c>
      <c r="D180" s="331" t="s">
        <v>4027</v>
      </c>
      <c r="E180" s="355" t="s">
        <v>90</v>
      </c>
      <c r="F180" s="355">
        <v>2023</v>
      </c>
      <c r="G180" s="355">
        <v>2023</v>
      </c>
      <c r="H180" s="355">
        <v>12</v>
      </c>
      <c r="I180" s="355" t="s">
        <v>4028</v>
      </c>
      <c r="J180" s="356">
        <v>100000000</v>
      </c>
      <c r="K180" s="355" t="s">
        <v>3091</v>
      </c>
      <c r="L180" s="355">
        <v>6</v>
      </c>
      <c r="M180" s="15" t="s">
        <v>4020</v>
      </c>
      <c r="N180" s="15" t="s">
        <v>3223</v>
      </c>
      <c r="O180" s="355" t="s">
        <v>3215</v>
      </c>
      <c r="P180" s="355" t="s">
        <v>3923</v>
      </c>
      <c r="Q180" s="355">
        <v>6859016</v>
      </c>
      <c r="R180" s="355" t="s">
        <v>52</v>
      </c>
      <c r="S180" s="653" t="s">
        <v>2497</v>
      </c>
      <c r="T180" s="654">
        <f>J180/5</f>
        <v>20000000</v>
      </c>
      <c r="U180" s="355" t="s">
        <v>155</v>
      </c>
      <c r="V180" s="355"/>
      <c r="W180" s="355"/>
      <c r="X180" s="355" t="s">
        <v>3281</v>
      </c>
      <c r="Y180" s="355" t="s">
        <v>3216</v>
      </c>
      <c r="Z180" s="355">
        <v>8140</v>
      </c>
      <c r="AA180" s="655">
        <v>72019</v>
      </c>
      <c r="AB180" s="355">
        <v>6680618</v>
      </c>
      <c r="AC180" s="355" t="s">
        <v>1737</v>
      </c>
      <c r="AD180" s="355" t="s">
        <v>24</v>
      </c>
      <c r="AE180" s="656">
        <f t="shared" si="25"/>
        <v>20000000</v>
      </c>
      <c r="AF180" s="355" t="s">
        <v>160</v>
      </c>
      <c r="AG180" s="355"/>
      <c r="AH180" s="355"/>
      <c r="AI180" s="355" t="s">
        <v>3281</v>
      </c>
      <c r="AJ180" s="355" t="s">
        <v>3216</v>
      </c>
      <c r="AK180" s="653" t="s">
        <v>4029</v>
      </c>
      <c r="AL180" s="357" t="s">
        <v>3504</v>
      </c>
      <c r="AM180" s="355" t="s">
        <v>60</v>
      </c>
      <c r="AN180" s="656">
        <f t="shared" si="26"/>
        <v>20000000</v>
      </c>
      <c r="AO180" s="133" t="s">
        <v>155</v>
      </c>
      <c r="AP180" s="133"/>
      <c r="AQ180" s="133"/>
      <c r="AR180" s="355" t="s">
        <v>3281</v>
      </c>
      <c r="AS180" s="355" t="s">
        <v>3216</v>
      </c>
      <c r="AT180" s="133">
        <v>6680641</v>
      </c>
      <c r="AU180" s="658" t="s">
        <v>1794</v>
      </c>
      <c r="AV180" s="355" t="s">
        <v>92</v>
      </c>
      <c r="AW180" s="656">
        <f>T180</f>
        <v>20000000</v>
      </c>
      <c r="AX180" s="355" t="s">
        <v>151</v>
      </c>
      <c r="AY180" s="355"/>
      <c r="AZ180" s="355" t="s">
        <v>3281</v>
      </c>
      <c r="BA180" s="355" t="s">
        <v>3216</v>
      </c>
      <c r="BB180" s="355">
        <v>6680683</v>
      </c>
      <c r="BC180" s="358" t="s">
        <v>2454</v>
      </c>
      <c r="BD180" s="355" t="s">
        <v>10</v>
      </c>
      <c r="BE180" s="656">
        <f>T180</f>
        <v>20000000</v>
      </c>
      <c r="BF180" s="355" t="s">
        <v>3477</v>
      </c>
      <c r="BG180" s="355"/>
      <c r="BH180" s="355" t="s">
        <v>3281</v>
      </c>
      <c r="BI180" s="355" t="s">
        <v>3216</v>
      </c>
      <c r="BJ180" s="133"/>
      <c r="BK180" s="133"/>
      <c r="BL180" s="133"/>
      <c r="BM180" s="133"/>
      <c r="BN180" s="133"/>
      <c r="BO180" s="133"/>
      <c r="BP180" s="133"/>
      <c r="BQ180" s="348" t="s">
        <v>3190</v>
      </c>
      <c r="BR180" s="348" t="s">
        <v>3191</v>
      </c>
      <c r="BS180" s="133" t="s">
        <v>4030</v>
      </c>
      <c r="BT180" s="133"/>
      <c r="BU180" s="133" t="s">
        <v>3935</v>
      </c>
      <c r="BV180" s="133"/>
      <c r="BW180" s="133" t="s">
        <v>3934</v>
      </c>
      <c r="BX180" s="133"/>
      <c r="BY180" s="133" t="s">
        <v>4031</v>
      </c>
      <c r="BZ180" s="133"/>
      <c r="CA180" s="133" t="s">
        <v>3082</v>
      </c>
      <c r="CB180" s="133"/>
      <c r="CC180" s="133" t="s">
        <v>4032</v>
      </c>
      <c r="CD180" s="133"/>
      <c r="CE180" s="133" t="s">
        <v>2439</v>
      </c>
      <c r="CF180" s="133"/>
      <c r="CG180" s="133" t="s">
        <v>4033</v>
      </c>
      <c r="CH180" s="133" t="s">
        <v>3442</v>
      </c>
      <c r="CI180" s="474"/>
      <c r="CJ180" s="133"/>
    </row>
    <row r="181" spans="1:88" s="558" customFormat="1" ht="48">
      <c r="A181" s="355">
        <v>20</v>
      </c>
      <c r="B181" s="349" t="s">
        <v>4034</v>
      </c>
      <c r="C181" s="348" t="s">
        <v>4035</v>
      </c>
      <c r="D181" s="331" t="s">
        <v>4036</v>
      </c>
      <c r="E181" s="355" t="s">
        <v>68</v>
      </c>
      <c r="F181" s="355">
        <v>2023</v>
      </c>
      <c r="G181" s="355">
        <v>2023</v>
      </c>
      <c r="H181" s="355">
        <v>12</v>
      </c>
      <c r="I181" s="355" t="s">
        <v>3922</v>
      </c>
      <c r="J181" s="356">
        <v>40000000</v>
      </c>
      <c r="K181" s="355" t="s">
        <v>3091</v>
      </c>
      <c r="L181" s="355">
        <v>4</v>
      </c>
      <c r="M181" s="355" t="s">
        <v>4037</v>
      </c>
      <c r="N181" s="15" t="s">
        <v>3223</v>
      </c>
      <c r="O181" s="355" t="s">
        <v>3215</v>
      </c>
      <c r="P181" s="355" t="s">
        <v>4038</v>
      </c>
      <c r="Q181" s="653" t="s">
        <v>4039</v>
      </c>
      <c r="R181" s="355" t="s">
        <v>39</v>
      </c>
      <c r="S181" s="653" t="s">
        <v>1751</v>
      </c>
      <c r="T181" s="654">
        <f>J181/3</f>
        <v>13333333.333333334</v>
      </c>
      <c r="U181" s="355" t="s">
        <v>166</v>
      </c>
      <c r="V181" s="355"/>
      <c r="W181" s="355"/>
      <c r="X181" s="355" t="s">
        <v>3286</v>
      </c>
      <c r="Y181" s="355" t="s">
        <v>3216</v>
      </c>
      <c r="Z181" s="355">
        <v>8140</v>
      </c>
      <c r="AA181" s="655">
        <v>72019</v>
      </c>
      <c r="AB181" s="355">
        <v>6744406</v>
      </c>
      <c r="AC181" s="357" t="s">
        <v>985</v>
      </c>
      <c r="AD181" s="355" t="s">
        <v>352</v>
      </c>
      <c r="AE181" s="656">
        <f t="shared" si="25"/>
        <v>13333333.333333334</v>
      </c>
      <c r="AF181" s="355" t="s">
        <v>166</v>
      </c>
      <c r="AG181" s="355"/>
      <c r="AH181" s="355"/>
      <c r="AI181" s="355" t="s">
        <v>3286</v>
      </c>
      <c r="AJ181" s="355" t="s">
        <v>3216</v>
      </c>
      <c r="AK181" s="653" t="s">
        <v>4040</v>
      </c>
      <c r="AL181" s="357" t="s">
        <v>2023</v>
      </c>
      <c r="AM181" s="355" t="s">
        <v>188</v>
      </c>
      <c r="AN181" s="656">
        <f t="shared" si="26"/>
        <v>13333333.333333334</v>
      </c>
      <c r="AO181" s="355" t="s">
        <v>166</v>
      </c>
      <c r="AP181" s="355"/>
      <c r="AQ181" s="355"/>
      <c r="AR181" s="355" t="s">
        <v>3286</v>
      </c>
      <c r="AS181" s="355" t="s">
        <v>3216</v>
      </c>
      <c r="AT181" s="133"/>
      <c r="AU181" s="133"/>
      <c r="AV181" s="133"/>
      <c r="AW181" s="656"/>
      <c r="AX181" s="133"/>
      <c r="AY181" s="133"/>
      <c r="AZ181" s="133"/>
      <c r="BA181" s="133"/>
      <c r="BB181" s="133"/>
      <c r="BC181" s="133"/>
      <c r="BD181" s="133"/>
      <c r="BE181" s="657"/>
      <c r="BF181" s="133"/>
      <c r="BG181" s="133"/>
      <c r="BH181" s="133"/>
      <c r="BI181" s="133"/>
      <c r="BJ181" s="133"/>
      <c r="BK181" s="133"/>
      <c r="BL181" s="133"/>
      <c r="BM181" s="133"/>
      <c r="BN181" s="133"/>
      <c r="BO181" s="133"/>
      <c r="BP181" s="133"/>
      <c r="BQ181" s="348" t="s">
        <v>3190</v>
      </c>
      <c r="BR181" s="348" t="s">
        <v>3191</v>
      </c>
      <c r="BS181" s="133" t="s">
        <v>4041</v>
      </c>
      <c r="BT181" s="133"/>
      <c r="BU181" s="133" t="s">
        <v>4042</v>
      </c>
      <c r="BV181" s="133"/>
      <c r="BW181" s="133" t="s">
        <v>4043</v>
      </c>
      <c r="BX181" s="133"/>
      <c r="BY181" s="133"/>
      <c r="BZ181" s="133"/>
      <c r="CA181" s="133"/>
      <c r="CB181" s="133"/>
      <c r="CC181" s="133"/>
      <c r="CD181" s="133"/>
      <c r="CE181" s="133"/>
      <c r="CF181" s="133"/>
      <c r="CG181" s="133" t="s">
        <v>3287</v>
      </c>
      <c r="CH181" s="133"/>
      <c r="CI181" s="474" t="s">
        <v>3309</v>
      </c>
      <c r="CJ181" s="133"/>
    </row>
    <row r="182" spans="1:88" s="4" customFormat="1" ht="48">
      <c r="A182" s="15">
        <v>21</v>
      </c>
      <c r="B182" s="349" t="s">
        <v>4044</v>
      </c>
      <c r="C182" s="15" t="s">
        <v>4045</v>
      </c>
      <c r="D182" s="14" t="s">
        <v>4046</v>
      </c>
      <c r="E182" s="15" t="s">
        <v>3908</v>
      </c>
      <c r="F182" s="15">
        <v>2023</v>
      </c>
      <c r="G182" s="15">
        <v>2023</v>
      </c>
      <c r="H182" s="15">
        <v>8</v>
      </c>
      <c r="I182" s="15" t="s">
        <v>4047</v>
      </c>
      <c r="J182" s="350">
        <v>698056500</v>
      </c>
      <c r="K182" s="15" t="s">
        <v>3091</v>
      </c>
      <c r="L182" s="15" t="s">
        <v>942</v>
      </c>
      <c r="M182" s="15" t="s">
        <v>3909</v>
      </c>
      <c r="N182" s="15" t="s">
        <v>3342</v>
      </c>
      <c r="O182" s="15" t="s">
        <v>3215</v>
      </c>
      <c r="P182" s="15" t="s">
        <v>4048</v>
      </c>
      <c r="Q182" s="15">
        <v>6724784</v>
      </c>
      <c r="R182" s="15" t="s">
        <v>108</v>
      </c>
      <c r="S182" s="340" t="s">
        <v>1781</v>
      </c>
      <c r="T182" s="608">
        <f>J182/4</f>
        <v>174514125</v>
      </c>
      <c r="U182" s="15" t="s">
        <v>154</v>
      </c>
      <c r="V182" s="15"/>
      <c r="W182" s="15"/>
      <c r="X182" s="15" t="s">
        <v>3281</v>
      </c>
      <c r="Y182" s="15" t="s">
        <v>3216</v>
      </c>
      <c r="Z182" s="15">
        <v>8140</v>
      </c>
      <c r="AA182" s="333">
        <v>72019</v>
      </c>
      <c r="AB182" s="15">
        <v>6680741</v>
      </c>
      <c r="AC182" s="204" t="s">
        <v>1838</v>
      </c>
      <c r="AD182" s="15" t="s">
        <v>16</v>
      </c>
      <c r="AE182" s="583">
        <f t="shared" si="25"/>
        <v>174514125</v>
      </c>
      <c r="AF182" s="15" t="s">
        <v>154</v>
      </c>
      <c r="AG182" s="15"/>
      <c r="AH182" s="15"/>
      <c r="AI182" s="15" t="s">
        <v>3281</v>
      </c>
      <c r="AJ182" s="15" t="s">
        <v>3216</v>
      </c>
      <c r="AK182" s="15">
        <v>6829130</v>
      </c>
      <c r="AL182" s="334" t="s">
        <v>3020</v>
      </c>
      <c r="AM182" s="15" t="s">
        <v>173</v>
      </c>
      <c r="AN182" s="583">
        <f t="shared" si="26"/>
        <v>174514125</v>
      </c>
      <c r="AO182" s="23" t="s">
        <v>154</v>
      </c>
      <c r="AP182" s="23" t="s">
        <v>155</v>
      </c>
      <c r="AQ182" s="23"/>
      <c r="AR182" s="15" t="s">
        <v>3281</v>
      </c>
      <c r="AS182" s="15" t="s">
        <v>3216</v>
      </c>
      <c r="AT182" s="15" t="s">
        <v>3940</v>
      </c>
      <c r="AU182" s="333">
        <v>8950850022</v>
      </c>
      <c r="AV182" s="23" t="s">
        <v>190</v>
      </c>
      <c r="AW182" s="583">
        <f>T182</f>
        <v>174514125</v>
      </c>
      <c r="AX182" s="23" t="s">
        <v>151</v>
      </c>
      <c r="AY182" s="23"/>
      <c r="AZ182" s="15" t="s">
        <v>3281</v>
      </c>
      <c r="BA182" s="15" t="s">
        <v>3216</v>
      </c>
      <c r="BB182" s="23"/>
      <c r="BC182" s="23"/>
      <c r="BD182" s="23"/>
      <c r="BE182" s="534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348" t="s">
        <v>3190</v>
      </c>
      <c r="BR182" s="15" t="s">
        <v>3191</v>
      </c>
      <c r="BS182" s="23" t="s">
        <v>4049</v>
      </c>
      <c r="BT182" s="23"/>
      <c r="BU182" s="23" t="s">
        <v>4050</v>
      </c>
      <c r="BV182" s="23"/>
      <c r="BW182" s="23" t="s">
        <v>4051</v>
      </c>
      <c r="BX182" s="23"/>
      <c r="BY182" s="23" t="s">
        <v>4052</v>
      </c>
      <c r="BZ182" s="23"/>
      <c r="CA182" s="23" t="s">
        <v>4053</v>
      </c>
      <c r="CB182" s="23"/>
      <c r="CC182" s="23" t="s">
        <v>3075</v>
      </c>
      <c r="CD182" s="23"/>
      <c r="CE182" s="23"/>
      <c r="CF182" s="23"/>
      <c r="CG182" s="23"/>
      <c r="CH182" s="23"/>
      <c r="CI182" s="471"/>
      <c r="CJ182" s="23"/>
    </row>
    <row r="183" spans="1:88" s="132" customFormat="1" ht="60">
      <c r="A183" s="355">
        <v>22</v>
      </c>
      <c r="B183" s="349" t="s">
        <v>4054</v>
      </c>
      <c r="C183" s="348" t="s">
        <v>4055</v>
      </c>
      <c r="D183" s="331" t="s">
        <v>4056</v>
      </c>
      <c r="E183" s="355" t="s">
        <v>63</v>
      </c>
      <c r="F183" s="355">
        <v>2023</v>
      </c>
      <c r="G183" s="355">
        <v>2023</v>
      </c>
      <c r="H183" s="355">
        <v>7</v>
      </c>
      <c r="I183" s="355" t="s">
        <v>4011</v>
      </c>
      <c r="J183" s="356">
        <v>100000000</v>
      </c>
      <c r="K183" s="355" t="s">
        <v>3091</v>
      </c>
      <c r="L183" s="355">
        <v>5</v>
      </c>
      <c r="M183" s="355" t="s">
        <v>4057</v>
      </c>
      <c r="N183" s="15" t="s">
        <v>3223</v>
      </c>
      <c r="O183" s="355" t="s">
        <v>3215</v>
      </c>
      <c r="P183" s="355" t="s">
        <v>4058</v>
      </c>
      <c r="Q183" s="355"/>
      <c r="R183" s="355" t="s">
        <v>64</v>
      </c>
      <c r="S183" s="355"/>
      <c r="T183" s="659">
        <f>J183/1</f>
        <v>100000000</v>
      </c>
      <c r="U183" s="355"/>
      <c r="V183" s="355"/>
      <c r="W183" s="355"/>
      <c r="X183" s="355"/>
      <c r="Y183" s="355" t="s">
        <v>420</v>
      </c>
      <c r="Z183" s="133"/>
      <c r="AA183" s="359"/>
      <c r="AB183" s="355">
        <v>6724784</v>
      </c>
      <c r="AC183" s="358" t="s">
        <v>1781</v>
      </c>
      <c r="AD183" s="355" t="s">
        <v>108</v>
      </c>
      <c r="AE183" s="656"/>
      <c r="AF183" s="355" t="s">
        <v>154</v>
      </c>
      <c r="AG183" s="355"/>
      <c r="AH183" s="355"/>
      <c r="AI183" s="355" t="s">
        <v>3281</v>
      </c>
      <c r="AJ183" s="355" t="s">
        <v>3216</v>
      </c>
      <c r="AK183" s="355">
        <v>6843797</v>
      </c>
      <c r="AL183" s="530">
        <v>8950850022</v>
      </c>
      <c r="AM183" s="355" t="s">
        <v>190</v>
      </c>
      <c r="AN183" s="656"/>
      <c r="AO183" s="133" t="s">
        <v>151</v>
      </c>
      <c r="AP183" s="133"/>
      <c r="AQ183" s="133"/>
      <c r="AR183" s="355" t="s">
        <v>3281</v>
      </c>
      <c r="AS183" s="355" t="s">
        <v>3216</v>
      </c>
      <c r="AT183" s="133"/>
      <c r="AU183" s="133"/>
      <c r="AV183" s="133"/>
      <c r="AW183" s="657"/>
      <c r="AX183" s="133"/>
      <c r="AY183" s="133"/>
      <c r="AZ183" s="133"/>
      <c r="BA183" s="133"/>
      <c r="BB183" s="133"/>
      <c r="BC183" s="133"/>
      <c r="BD183" s="133"/>
      <c r="BE183" s="657"/>
      <c r="BF183" s="133"/>
      <c r="BG183" s="133"/>
      <c r="BH183" s="133"/>
      <c r="BI183" s="133"/>
      <c r="BJ183" s="133"/>
      <c r="BK183" s="133"/>
      <c r="BL183" s="133"/>
      <c r="BM183" s="133"/>
      <c r="BN183" s="133"/>
      <c r="BO183" s="133"/>
      <c r="BP183" s="133"/>
      <c r="BQ183" s="348" t="s">
        <v>3190</v>
      </c>
      <c r="BR183" s="348" t="s">
        <v>3191</v>
      </c>
      <c r="BS183" s="133" t="s">
        <v>4059</v>
      </c>
      <c r="BT183" s="133"/>
      <c r="BU183" s="133" t="s">
        <v>4060</v>
      </c>
      <c r="BV183" s="133"/>
      <c r="BW183" s="133" t="s">
        <v>4061</v>
      </c>
      <c r="BX183" s="133"/>
      <c r="BY183" s="133"/>
      <c r="BZ183" s="133"/>
      <c r="CA183" s="133"/>
      <c r="CB183" s="133"/>
      <c r="CC183" s="133"/>
      <c r="CD183" s="133"/>
      <c r="CE183" s="133"/>
      <c r="CF183" s="133"/>
      <c r="CG183" s="133" t="s">
        <v>3070</v>
      </c>
      <c r="CH183" s="133"/>
      <c r="CI183" s="474"/>
      <c r="CJ183" s="133"/>
    </row>
    <row r="184" spans="1:88" s="558" customFormat="1" ht="84">
      <c r="A184" s="355">
        <v>23</v>
      </c>
      <c r="B184" s="349" t="s">
        <v>4054</v>
      </c>
      <c r="C184" s="348" t="s">
        <v>4062</v>
      </c>
      <c r="D184" s="331" t="s">
        <v>4063</v>
      </c>
      <c r="E184" s="355" t="s">
        <v>63</v>
      </c>
      <c r="F184" s="355">
        <v>2023</v>
      </c>
      <c r="G184" s="355">
        <v>2023</v>
      </c>
      <c r="H184" s="355">
        <v>8</v>
      </c>
      <c r="I184" s="355" t="s">
        <v>4028</v>
      </c>
      <c r="J184" s="356">
        <v>56740000</v>
      </c>
      <c r="K184" s="355" t="s">
        <v>3091</v>
      </c>
      <c r="L184" s="355">
        <v>7</v>
      </c>
      <c r="M184" s="355" t="s">
        <v>4057</v>
      </c>
      <c r="N184" s="15" t="s">
        <v>3223</v>
      </c>
      <c r="O184" s="355" t="s">
        <v>3215</v>
      </c>
      <c r="P184" s="355" t="s">
        <v>4058</v>
      </c>
      <c r="Q184" s="355"/>
      <c r="R184" s="355"/>
      <c r="S184" s="355"/>
      <c r="T184" s="659">
        <f>J184/1</f>
        <v>56740000</v>
      </c>
      <c r="U184" s="355"/>
      <c r="V184" s="355"/>
      <c r="W184" s="355"/>
      <c r="X184" s="355"/>
      <c r="Y184" s="355" t="s">
        <v>420</v>
      </c>
      <c r="Z184" s="133"/>
      <c r="AA184" s="359"/>
      <c r="AB184" s="653" t="s">
        <v>4015</v>
      </c>
      <c r="AC184" s="653" t="s">
        <v>977</v>
      </c>
      <c r="AD184" s="355" t="s">
        <v>67</v>
      </c>
      <c r="AE184" s="656"/>
      <c r="AF184" s="355" t="s">
        <v>166</v>
      </c>
      <c r="AG184" s="355"/>
      <c r="AH184" s="355"/>
      <c r="AI184" s="355" t="s">
        <v>3286</v>
      </c>
      <c r="AJ184" s="355" t="s">
        <v>3216</v>
      </c>
      <c r="AK184" s="355">
        <v>6778519</v>
      </c>
      <c r="AL184" s="357" t="s">
        <v>1876</v>
      </c>
      <c r="AM184" s="355" t="s">
        <v>4064</v>
      </c>
      <c r="AN184" s="656"/>
      <c r="AO184" s="133" t="s">
        <v>172</v>
      </c>
      <c r="AP184" s="133"/>
      <c r="AQ184" s="133"/>
      <c r="AR184" s="133" t="s">
        <v>3281</v>
      </c>
      <c r="AS184" s="355" t="s">
        <v>3216</v>
      </c>
      <c r="AT184" s="133"/>
      <c r="AU184" s="133"/>
      <c r="AV184" s="133" t="s">
        <v>4065</v>
      </c>
      <c r="AW184" s="657"/>
      <c r="AX184" s="133"/>
      <c r="AY184" s="133"/>
      <c r="AZ184" s="133"/>
      <c r="BA184" s="133" t="s">
        <v>159</v>
      </c>
      <c r="BB184" s="133"/>
      <c r="BC184" s="133"/>
      <c r="BD184" s="133" t="s">
        <v>4066</v>
      </c>
      <c r="BE184" s="657"/>
      <c r="BF184" s="133"/>
      <c r="BG184" s="133"/>
      <c r="BH184" s="133"/>
      <c r="BI184" s="133" t="s">
        <v>4067</v>
      </c>
      <c r="BJ184" s="133"/>
      <c r="BK184" s="133"/>
      <c r="BL184" s="133"/>
      <c r="BM184" s="133"/>
      <c r="BN184" s="133"/>
      <c r="BO184" s="133"/>
      <c r="BP184" s="133"/>
      <c r="BQ184" s="348" t="s">
        <v>3190</v>
      </c>
      <c r="BR184" s="348" t="s">
        <v>3191</v>
      </c>
      <c r="BS184" s="133" t="s">
        <v>4068</v>
      </c>
      <c r="BT184" s="133"/>
      <c r="BU184" s="133" t="s">
        <v>4069</v>
      </c>
      <c r="BV184" s="133"/>
      <c r="BW184" s="133" t="s">
        <v>4070</v>
      </c>
      <c r="BX184" s="133"/>
      <c r="BY184" s="133" t="s">
        <v>4071</v>
      </c>
      <c r="BZ184" s="133"/>
      <c r="CA184" s="133"/>
      <c r="CB184" s="133"/>
      <c r="CC184" s="133"/>
      <c r="CD184" s="133"/>
      <c r="CE184" s="133"/>
      <c r="CF184" s="133"/>
      <c r="CG184" s="133" t="s">
        <v>4072</v>
      </c>
      <c r="CH184" s="660" t="s">
        <v>4073</v>
      </c>
      <c r="CI184" s="474" t="s">
        <v>3282</v>
      </c>
      <c r="CJ184" s="133"/>
    </row>
    <row r="185" spans="1:88" s="4" customFormat="1" ht="60">
      <c r="A185" s="15">
        <v>24</v>
      </c>
      <c r="B185" s="349" t="s">
        <v>4074</v>
      </c>
      <c r="C185" s="348" t="s">
        <v>4075</v>
      </c>
      <c r="D185" s="14" t="s">
        <v>4076</v>
      </c>
      <c r="E185" s="15" t="s">
        <v>4077</v>
      </c>
      <c r="F185" s="15">
        <v>2023</v>
      </c>
      <c r="G185" s="15">
        <v>2023</v>
      </c>
      <c r="H185" s="15">
        <v>12</v>
      </c>
      <c r="I185" s="15" t="s">
        <v>4078</v>
      </c>
      <c r="J185" s="350">
        <v>18200000</v>
      </c>
      <c r="K185" s="15" t="s">
        <v>3091</v>
      </c>
      <c r="L185" s="15">
        <v>3</v>
      </c>
      <c r="M185" s="15" t="s">
        <v>3341</v>
      </c>
      <c r="N185" s="15" t="s">
        <v>3077</v>
      </c>
      <c r="O185" s="15" t="s">
        <v>3215</v>
      </c>
      <c r="P185" s="15" t="s">
        <v>4079</v>
      </c>
      <c r="Q185" s="204" t="s">
        <v>3986</v>
      </c>
      <c r="R185" s="15" t="s">
        <v>139</v>
      </c>
      <c r="S185" s="204" t="s">
        <v>2031</v>
      </c>
      <c r="T185" s="661">
        <f>J185/2</f>
        <v>9100000</v>
      </c>
      <c r="U185" s="15" t="s">
        <v>3093</v>
      </c>
      <c r="V185" s="15"/>
      <c r="W185" s="15"/>
      <c r="X185" s="15" t="s">
        <v>3286</v>
      </c>
      <c r="Y185" s="15" t="s">
        <v>3216</v>
      </c>
      <c r="Z185" s="15">
        <v>8140</v>
      </c>
      <c r="AA185" s="333">
        <v>72019</v>
      </c>
      <c r="AB185" s="15">
        <v>6727245</v>
      </c>
      <c r="AC185" s="334" t="s">
        <v>1889</v>
      </c>
      <c r="AD185" s="15" t="s">
        <v>96</v>
      </c>
      <c r="AE185" s="583">
        <f t="shared" ref="AE185:AE190" si="27">T185</f>
        <v>9100000</v>
      </c>
      <c r="AF185" s="15" t="s">
        <v>3093</v>
      </c>
      <c r="AG185" s="15"/>
      <c r="AH185" s="15"/>
      <c r="AI185" s="15" t="s">
        <v>3286</v>
      </c>
      <c r="AJ185" s="15" t="s">
        <v>3216</v>
      </c>
      <c r="AK185" s="15"/>
      <c r="AL185" s="341"/>
      <c r="AM185" s="15"/>
      <c r="AN185" s="583"/>
      <c r="AO185" s="23"/>
      <c r="AP185" s="23"/>
      <c r="AQ185" s="23"/>
      <c r="AR185" s="23"/>
      <c r="AS185" s="23"/>
      <c r="AT185" s="23"/>
      <c r="AU185" s="23"/>
      <c r="AV185" s="23"/>
      <c r="AW185" s="534"/>
      <c r="AX185" s="23"/>
      <c r="AY185" s="23"/>
      <c r="AZ185" s="23"/>
      <c r="BA185" s="23"/>
      <c r="BB185" s="23"/>
      <c r="BC185" s="23"/>
      <c r="BD185" s="23"/>
      <c r="BE185" s="534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348" t="s">
        <v>3190</v>
      </c>
      <c r="BR185" s="15" t="s">
        <v>3191</v>
      </c>
      <c r="BS185" s="23" t="s">
        <v>4080</v>
      </c>
      <c r="BT185" s="14" t="s">
        <v>3990</v>
      </c>
      <c r="BU185" s="23" t="s">
        <v>4081</v>
      </c>
      <c r="BV185" s="14" t="s">
        <v>3990</v>
      </c>
      <c r="BW185" s="23"/>
      <c r="BX185" s="23"/>
      <c r="BY185" s="23"/>
      <c r="BZ185" s="23"/>
      <c r="CA185" s="23"/>
      <c r="CB185" s="23"/>
      <c r="CC185" s="23"/>
      <c r="CD185" s="23"/>
      <c r="CE185" s="23"/>
      <c r="CF185" s="23"/>
      <c r="CG185" s="23" t="s">
        <v>3063</v>
      </c>
      <c r="CH185" s="23" t="s">
        <v>4082</v>
      </c>
      <c r="CI185" s="471"/>
      <c r="CJ185" s="23"/>
    </row>
    <row r="186" spans="1:88" s="554" customFormat="1" ht="60">
      <c r="A186" s="15">
        <v>25</v>
      </c>
      <c r="B186" s="349" t="s">
        <v>4074</v>
      </c>
      <c r="C186" s="348" t="s">
        <v>4083</v>
      </c>
      <c r="D186" s="14" t="s">
        <v>4084</v>
      </c>
      <c r="E186" s="15" t="s">
        <v>4077</v>
      </c>
      <c r="F186" s="15">
        <v>2023</v>
      </c>
      <c r="G186" s="15">
        <v>2023</v>
      </c>
      <c r="H186" s="15">
        <v>12</v>
      </c>
      <c r="I186" s="15" t="s">
        <v>3214</v>
      </c>
      <c r="J186" s="350">
        <v>16300000</v>
      </c>
      <c r="K186" s="15" t="s">
        <v>3091</v>
      </c>
      <c r="L186" s="15">
        <v>3</v>
      </c>
      <c r="M186" s="15" t="s">
        <v>3341</v>
      </c>
      <c r="N186" s="15" t="s">
        <v>3077</v>
      </c>
      <c r="O186" s="15" t="s">
        <v>3215</v>
      </c>
      <c r="P186" s="15" t="s">
        <v>4079</v>
      </c>
      <c r="Q186" s="204" t="s">
        <v>4085</v>
      </c>
      <c r="R186" s="15" t="s">
        <v>32</v>
      </c>
      <c r="S186" s="204" t="s">
        <v>1901</v>
      </c>
      <c r="T186" s="661">
        <f>J186/3</f>
        <v>5433333.333333333</v>
      </c>
      <c r="U186" s="15" t="s">
        <v>164</v>
      </c>
      <c r="V186" s="15"/>
      <c r="W186" s="15"/>
      <c r="X186" s="15" t="s">
        <v>3286</v>
      </c>
      <c r="Y186" s="15" t="s">
        <v>3216</v>
      </c>
      <c r="Z186" s="15">
        <v>8140</v>
      </c>
      <c r="AA186" s="333">
        <v>72019</v>
      </c>
      <c r="AB186" s="15"/>
      <c r="AC186" s="333"/>
      <c r="AD186" s="15" t="s">
        <v>2369</v>
      </c>
      <c r="AE186" s="583">
        <f t="shared" si="27"/>
        <v>5433333.333333333</v>
      </c>
      <c r="AF186" s="15" t="s">
        <v>1865</v>
      </c>
      <c r="AG186" s="15"/>
      <c r="AH186" s="15"/>
      <c r="AI186" s="15"/>
      <c r="AJ186" s="23" t="s">
        <v>4086</v>
      </c>
      <c r="AK186" s="15">
        <v>6744406</v>
      </c>
      <c r="AL186" s="334" t="s">
        <v>985</v>
      </c>
      <c r="AM186" s="15" t="s">
        <v>352</v>
      </c>
      <c r="AN186" s="583">
        <f>T186</f>
        <v>5433333.333333333</v>
      </c>
      <c r="AO186" s="15" t="s">
        <v>166</v>
      </c>
      <c r="AP186" s="15"/>
      <c r="AQ186" s="15"/>
      <c r="AR186" s="23" t="s">
        <v>3286</v>
      </c>
      <c r="AS186" s="15" t="s">
        <v>3216</v>
      </c>
      <c r="AT186" s="23"/>
      <c r="AU186" s="23"/>
      <c r="AV186" s="23"/>
      <c r="AW186" s="534"/>
      <c r="AX186" s="23"/>
      <c r="AY186" s="23"/>
      <c r="AZ186" s="23"/>
      <c r="BA186" s="23"/>
      <c r="BB186" s="23"/>
      <c r="BC186" s="23"/>
      <c r="BD186" s="23"/>
      <c r="BE186" s="534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348" t="s">
        <v>3190</v>
      </c>
      <c r="BR186" s="15" t="s">
        <v>3191</v>
      </c>
      <c r="BS186" s="23" t="s">
        <v>4087</v>
      </c>
      <c r="BT186" s="14" t="s">
        <v>4088</v>
      </c>
      <c r="BU186" s="23" t="s">
        <v>4089</v>
      </c>
      <c r="BV186" s="14" t="s">
        <v>4088</v>
      </c>
      <c r="BW186" s="23"/>
      <c r="BX186" s="23"/>
      <c r="BY186" s="23"/>
      <c r="BZ186" s="23"/>
      <c r="CA186" s="23"/>
      <c r="CB186" s="23"/>
      <c r="CC186" s="23"/>
      <c r="CD186" s="23"/>
      <c r="CE186" s="23"/>
      <c r="CF186" s="23"/>
      <c r="CG186" s="23" t="s">
        <v>3062</v>
      </c>
      <c r="CH186" s="23" t="s">
        <v>3528</v>
      </c>
      <c r="CI186" s="471"/>
      <c r="CJ186" s="23"/>
    </row>
    <row r="187" spans="1:88" s="4" customFormat="1" ht="48">
      <c r="A187" s="15">
        <v>26</v>
      </c>
      <c r="B187" s="349" t="s">
        <v>4074</v>
      </c>
      <c r="C187" s="348" t="s">
        <v>4090</v>
      </c>
      <c r="D187" s="14" t="s">
        <v>4091</v>
      </c>
      <c r="E187" s="15" t="s">
        <v>4077</v>
      </c>
      <c r="F187" s="15">
        <v>2023</v>
      </c>
      <c r="G187" s="15">
        <v>2023</v>
      </c>
      <c r="H187" s="15">
        <v>12</v>
      </c>
      <c r="I187" s="15" t="s">
        <v>4092</v>
      </c>
      <c r="J187" s="350">
        <v>19000000</v>
      </c>
      <c r="K187" s="15" t="s">
        <v>3091</v>
      </c>
      <c r="L187" s="15">
        <v>3</v>
      </c>
      <c r="M187" s="15" t="s">
        <v>3341</v>
      </c>
      <c r="N187" s="15" t="s">
        <v>3077</v>
      </c>
      <c r="O187" s="15" t="s">
        <v>3215</v>
      </c>
      <c r="P187" s="15" t="s">
        <v>4079</v>
      </c>
      <c r="Q187" s="15">
        <v>6756318</v>
      </c>
      <c r="R187" s="15" t="s">
        <v>62</v>
      </c>
      <c r="S187" s="334" t="s">
        <v>950</v>
      </c>
      <c r="T187" s="661">
        <f>J187/2</f>
        <v>9500000</v>
      </c>
      <c r="U187" s="15" t="s">
        <v>175</v>
      </c>
      <c r="V187" s="15"/>
      <c r="W187" s="15"/>
      <c r="X187" s="15" t="s">
        <v>3286</v>
      </c>
      <c r="Y187" s="15" t="s">
        <v>3216</v>
      </c>
      <c r="Z187" s="15">
        <v>8140</v>
      </c>
      <c r="AA187" s="333">
        <v>72019</v>
      </c>
      <c r="AB187" s="15">
        <v>6778837</v>
      </c>
      <c r="AC187" s="204" t="s">
        <v>979</v>
      </c>
      <c r="AD187" s="15" t="s">
        <v>71</v>
      </c>
      <c r="AE187" s="583">
        <f t="shared" si="27"/>
        <v>9500000</v>
      </c>
      <c r="AF187" s="15" t="s">
        <v>171</v>
      </c>
      <c r="AG187" s="15"/>
      <c r="AH187" s="15"/>
      <c r="AI187" s="15" t="s">
        <v>3286</v>
      </c>
      <c r="AJ187" s="15" t="s">
        <v>3216</v>
      </c>
      <c r="AK187" s="15"/>
      <c r="AL187" s="341"/>
      <c r="AM187" s="15"/>
      <c r="AN187" s="583"/>
      <c r="AO187" s="23"/>
      <c r="AP187" s="23"/>
      <c r="AQ187" s="23"/>
      <c r="AR187" s="23"/>
      <c r="AS187" s="23"/>
      <c r="AT187" s="23"/>
      <c r="AU187" s="23"/>
      <c r="AV187" s="23"/>
      <c r="AW187" s="534"/>
      <c r="AX187" s="23"/>
      <c r="AY187" s="23"/>
      <c r="AZ187" s="23"/>
      <c r="BA187" s="23"/>
      <c r="BB187" s="23"/>
      <c r="BC187" s="23"/>
      <c r="BD187" s="23"/>
      <c r="BE187" s="534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348" t="s">
        <v>3190</v>
      </c>
      <c r="BR187" s="15" t="s">
        <v>3191</v>
      </c>
      <c r="BS187" s="23" t="s">
        <v>4093</v>
      </c>
      <c r="BT187" s="14" t="s">
        <v>4094</v>
      </c>
      <c r="BU187" s="23" t="s">
        <v>4095</v>
      </c>
      <c r="BV187" s="14" t="s">
        <v>4094</v>
      </c>
      <c r="BW187" s="23"/>
      <c r="BX187" s="23"/>
      <c r="BY187" s="23"/>
      <c r="BZ187" s="23"/>
      <c r="CA187" s="23"/>
      <c r="CB187" s="23"/>
      <c r="CC187" s="23"/>
      <c r="CD187" s="23"/>
      <c r="CE187" s="23"/>
      <c r="CF187" s="23"/>
      <c r="CG187" s="23" t="s">
        <v>3060</v>
      </c>
      <c r="CH187" s="23"/>
      <c r="CI187" s="471"/>
      <c r="CJ187" s="23"/>
    </row>
    <row r="188" spans="1:88" s="554" customFormat="1" ht="48">
      <c r="A188" s="15">
        <v>27</v>
      </c>
      <c r="B188" s="349" t="s">
        <v>4074</v>
      </c>
      <c r="C188" s="348" t="s">
        <v>4096</v>
      </c>
      <c r="D188" s="14" t="s">
        <v>4097</v>
      </c>
      <c r="E188" s="15" t="s">
        <v>4077</v>
      </c>
      <c r="F188" s="15">
        <v>2023</v>
      </c>
      <c r="G188" s="15">
        <v>2023</v>
      </c>
      <c r="H188" s="15">
        <v>12</v>
      </c>
      <c r="I188" s="15" t="s">
        <v>3214</v>
      </c>
      <c r="J188" s="350">
        <v>15200000</v>
      </c>
      <c r="K188" s="15" t="s">
        <v>3091</v>
      </c>
      <c r="L188" s="15">
        <v>3</v>
      </c>
      <c r="M188" s="15" t="s">
        <v>3341</v>
      </c>
      <c r="N188" s="15" t="s">
        <v>3077</v>
      </c>
      <c r="O188" s="15" t="s">
        <v>3215</v>
      </c>
      <c r="P188" s="15" t="s">
        <v>4079</v>
      </c>
      <c r="Q188" s="204" t="s">
        <v>4098</v>
      </c>
      <c r="R188" s="15" t="s">
        <v>2123</v>
      </c>
      <c r="S188" s="204" t="s">
        <v>4099</v>
      </c>
      <c r="T188" s="661">
        <f>J188/2</f>
        <v>7600000</v>
      </c>
      <c r="U188" s="15" t="s">
        <v>156</v>
      </c>
      <c r="V188" s="15"/>
      <c r="W188" s="15"/>
      <c r="X188" s="15" t="s">
        <v>3286</v>
      </c>
      <c r="Y188" s="15" t="s">
        <v>3216</v>
      </c>
      <c r="Z188" s="15">
        <v>8140</v>
      </c>
      <c r="AA188" s="333">
        <v>72019</v>
      </c>
      <c r="AB188" s="15" t="s">
        <v>4100</v>
      </c>
      <c r="AC188" s="204" t="s">
        <v>1904</v>
      </c>
      <c r="AD188" s="15" t="s">
        <v>775</v>
      </c>
      <c r="AE188" s="583">
        <f t="shared" si="27"/>
        <v>7600000</v>
      </c>
      <c r="AF188" s="15" t="s">
        <v>166</v>
      </c>
      <c r="AG188" s="15"/>
      <c r="AH188" s="15"/>
      <c r="AI188" s="15" t="s">
        <v>3286</v>
      </c>
      <c r="AJ188" s="15" t="s">
        <v>3216</v>
      </c>
      <c r="AK188" s="15"/>
      <c r="AL188" s="341"/>
      <c r="AM188" s="15"/>
      <c r="AN188" s="583"/>
      <c r="AO188" s="23"/>
      <c r="AP188" s="23"/>
      <c r="AQ188" s="23"/>
      <c r="AR188" s="23"/>
      <c r="AS188" s="23"/>
      <c r="AT188" s="23"/>
      <c r="AU188" s="23"/>
      <c r="AV188" s="23"/>
      <c r="AW188" s="534"/>
      <c r="AX188" s="23"/>
      <c r="AY188" s="23"/>
      <c r="AZ188" s="23"/>
      <c r="BA188" s="23"/>
      <c r="BB188" s="23"/>
      <c r="BC188" s="23"/>
      <c r="BD188" s="23"/>
      <c r="BE188" s="534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348" t="s">
        <v>3190</v>
      </c>
      <c r="BR188" s="15" t="s">
        <v>3191</v>
      </c>
      <c r="BS188" s="23"/>
      <c r="BT188" s="23"/>
      <c r="BU188" s="23"/>
      <c r="BV188" s="23"/>
      <c r="BW188" s="23"/>
      <c r="BX188" s="23"/>
      <c r="BY188" s="23"/>
      <c r="BZ188" s="23"/>
      <c r="CA188" s="23"/>
      <c r="CB188" s="23"/>
      <c r="CC188" s="23"/>
      <c r="CD188" s="23"/>
      <c r="CE188" s="23"/>
      <c r="CF188" s="23"/>
      <c r="CG188" s="23" t="s">
        <v>4101</v>
      </c>
      <c r="CH188" s="23"/>
      <c r="CI188" s="471"/>
      <c r="CJ188" s="23"/>
    </row>
    <row r="189" spans="1:88" s="4" customFormat="1" ht="48">
      <c r="A189" s="15">
        <v>28</v>
      </c>
      <c r="B189" s="349" t="s">
        <v>4074</v>
      </c>
      <c r="C189" s="348" t="s">
        <v>4102</v>
      </c>
      <c r="D189" s="14" t="s">
        <v>4103</v>
      </c>
      <c r="E189" s="15" t="s">
        <v>4077</v>
      </c>
      <c r="F189" s="15">
        <v>2023</v>
      </c>
      <c r="G189" s="15">
        <v>2023</v>
      </c>
      <c r="H189" s="15">
        <v>12</v>
      </c>
      <c r="I189" s="15" t="s">
        <v>4104</v>
      </c>
      <c r="J189" s="350">
        <v>15000000</v>
      </c>
      <c r="K189" s="15" t="s">
        <v>3091</v>
      </c>
      <c r="L189" s="15">
        <v>3</v>
      </c>
      <c r="M189" s="15" t="s">
        <v>3341</v>
      </c>
      <c r="N189" s="15" t="s">
        <v>3077</v>
      </c>
      <c r="O189" s="15" t="s">
        <v>3215</v>
      </c>
      <c r="P189" s="15" t="s">
        <v>4079</v>
      </c>
      <c r="Q189" s="204" t="s">
        <v>4105</v>
      </c>
      <c r="R189" s="15" t="s">
        <v>79</v>
      </c>
      <c r="S189" s="204" t="s">
        <v>947</v>
      </c>
      <c r="T189" s="661">
        <f>J189/3</f>
        <v>5000000</v>
      </c>
      <c r="U189" s="15" t="s">
        <v>175</v>
      </c>
      <c r="V189" s="15"/>
      <c r="W189" s="15"/>
      <c r="X189" s="15" t="s">
        <v>3286</v>
      </c>
      <c r="Y189" s="15" t="s">
        <v>3216</v>
      </c>
      <c r="Z189" s="15">
        <v>8140</v>
      </c>
      <c r="AA189" s="333">
        <v>72019</v>
      </c>
      <c r="AB189" s="15">
        <v>6760392</v>
      </c>
      <c r="AC189" s="334" t="s">
        <v>948</v>
      </c>
      <c r="AD189" s="15" t="s">
        <v>75</v>
      </c>
      <c r="AE189" s="583">
        <f t="shared" si="27"/>
        <v>5000000</v>
      </c>
      <c r="AF189" s="15" t="s">
        <v>175</v>
      </c>
      <c r="AG189" s="15"/>
      <c r="AH189" s="15"/>
      <c r="AI189" s="15" t="s">
        <v>3286</v>
      </c>
      <c r="AJ189" s="15" t="s">
        <v>3216</v>
      </c>
      <c r="AK189" s="204" t="s">
        <v>3924</v>
      </c>
      <c r="AL189" s="334" t="s">
        <v>2672</v>
      </c>
      <c r="AM189" s="15" t="s">
        <v>187</v>
      </c>
      <c r="AN189" s="583">
        <f>T189</f>
        <v>5000000</v>
      </c>
      <c r="AO189" s="23" t="s">
        <v>171</v>
      </c>
      <c r="AP189" s="23"/>
      <c r="AQ189" s="23"/>
      <c r="AR189" s="23" t="s">
        <v>3286</v>
      </c>
      <c r="AS189" s="15" t="s">
        <v>3216</v>
      </c>
      <c r="AT189" s="23"/>
      <c r="AU189" s="23"/>
      <c r="AV189" s="23"/>
      <c r="AW189" s="534"/>
      <c r="AX189" s="23"/>
      <c r="AY189" s="23"/>
      <c r="AZ189" s="23"/>
      <c r="BA189" s="23"/>
      <c r="BB189" s="23"/>
      <c r="BC189" s="23"/>
      <c r="BD189" s="23"/>
      <c r="BE189" s="534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348" t="s">
        <v>3190</v>
      </c>
      <c r="BR189" s="15" t="s">
        <v>3191</v>
      </c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 t="s">
        <v>3640</v>
      </c>
      <c r="CH189" s="23"/>
      <c r="CI189" s="471"/>
      <c r="CJ189" s="23"/>
    </row>
    <row r="190" spans="1:88" s="4" customFormat="1" ht="60">
      <c r="A190" s="15">
        <v>29</v>
      </c>
      <c r="B190" s="349" t="s">
        <v>4074</v>
      </c>
      <c r="C190" s="348" t="s">
        <v>4106</v>
      </c>
      <c r="D190" s="14" t="s">
        <v>4107</v>
      </c>
      <c r="E190" s="15" t="s">
        <v>4077</v>
      </c>
      <c r="F190" s="15">
        <v>2023</v>
      </c>
      <c r="G190" s="15">
        <v>2023</v>
      </c>
      <c r="H190" s="15">
        <v>12</v>
      </c>
      <c r="I190" s="15" t="s">
        <v>4078</v>
      </c>
      <c r="J190" s="350">
        <v>16900000</v>
      </c>
      <c r="K190" s="15" t="s">
        <v>3091</v>
      </c>
      <c r="L190" s="15">
        <v>3</v>
      </c>
      <c r="M190" s="15" t="s">
        <v>3341</v>
      </c>
      <c r="N190" s="15" t="s">
        <v>3077</v>
      </c>
      <c r="O190" s="15" t="s">
        <v>3215</v>
      </c>
      <c r="P190" s="15" t="s">
        <v>4079</v>
      </c>
      <c r="Q190" s="15">
        <v>6727245</v>
      </c>
      <c r="R190" s="15" t="s">
        <v>96</v>
      </c>
      <c r="S190" s="334" t="s">
        <v>1889</v>
      </c>
      <c r="T190" s="661">
        <f t="shared" ref="T190:T191" si="28">J190/2</f>
        <v>8450000</v>
      </c>
      <c r="U190" s="15" t="s">
        <v>3093</v>
      </c>
      <c r="V190" s="15"/>
      <c r="W190" s="15"/>
      <c r="X190" s="15" t="s">
        <v>3286</v>
      </c>
      <c r="Y190" s="15" t="s">
        <v>3216</v>
      </c>
      <c r="Z190" s="15">
        <v>8140</v>
      </c>
      <c r="AA190" s="333">
        <v>72019</v>
      </c>
      <c r="AB190" s="204" t="s">
        <v>3986</v>
      </c>
      <c r="AC190" s="204" t="s">
        <v>2031</v>
      </c>
      <c r="AD190" s="15" t="s">
        <v>139</v>
      </c>
      <c r="AE190" s="583">
        <f t="shared" si="27"/>
        <v>8450000</v>
      </c>
      <c r="AF190" s="15" t="s">
        <v>3093</v>
      </c>
      <c r="AG190" s="15"/>
      <c r="AH190" s="15"/>
      <c r="AI190" s="15" t="s">
        <v>3286</v>
      </c>
      <c r="AJ190" s="15" t="s">
        <v>3216</v>
      </c>
      <c r="AK190" s="15"/>
      <c r="AL190" s="341"/>
      <c r="AM190" s="15"/>
      <c r="AN190" s="583"/>
      <c r="AO190" s="23"/>
      <c r="AP190" s="23"/>
      <c r="AQ190" s="23"/>
      <c r="AR190" s="23"/>
      <c r="AS190" s="23"/>
      <c r="AT190" s="23"/>
      <c r="AU190" s="23"/>
      <c r="AV190" s="23"/>
      <c r="AW190" s="534"/>
      <c r="AX190" s="23"/>
      <c r="AY190" s="23"/>
      <c r="AZ190" s="23"/>
      <c r="BA190" s="23"/>
      <c r="BB190" s="23"/>
      <c r="BC190" s="23"/>
      <c r="BD190" s="23"/>
      <c r="BE190" s="534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348" t="s">
        <v>3190</v>
      </c>
      <c r="BR190" s="15" t="s">
        <v>3191</v>
      </c>
      <c r="BS190" s="23" t="s">
        <v>4108</v>
      </c>
      <c r="BT190" s="14" t="s">
        <v>3990</v>
      </c>
      <c r="BU190" s="23" t="s">
        <v>4109</v>
      </c>
      <c r="BV190" s="14" t="s">
        <v>3990</v>
      </c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 t="s">
        <v>3060</v>
      </c>
      <c r="CH190" s="23" t="s">
        <v>4082</v>
      </c>
      <c r="CI190" s="471"/>
      <c r="CJ190" s="23"/>
    </row>
    <row r="191" spans="1:88" s="4" customFormat="1" ht="72">
      <c r="A191" s="15">
        <v>30</v>
      </c>
      <c r="B191" s="349" t="s">
        <v>4074</v>
      </c>
      <c r="C191" s="348" t="s">
        <v>4110</v>
      </c>
      <c r="D191" s="14" t="s">
        <v>4111</v>
      </c>
      <c r="E191" s="15" t="s">
        <v>4077</v>
      </c>
      <c r="F191" s="15">
        <v>2023</v>
      </c>
      <c r="G191" s="15">
        <v>2023</v>
      </c>
      <c r="H191" s="15">
        <v>12</v>
      </c>
      <c r="I191" s="15" t="s">
        <v>3214</v>
      </c>
      <c r="J191" s="350">
        <v>18500000</v>
      </c>
      <c r="K191" s="15" t="s">
        <v>3091</v>
      </c>
      <c r="L191" s="15">
        <v>3</v>
      </c>
      <c r="M191" s="15" t="s">
        <v>3341</v>
      </c>
      <c r="N191" s="15" t="s">
        <v>3077</v>
      </c>
      <c r="O191" s="15" t="s">
        <v>3215</v>
      </c>
      <c r="P191" s="15" t="s">
        <v>4079</v>
      </c>
      <c r="Q191" s="204" t="s">
        <v>4112</v>
      </c>
      <c r="R191" s="15" t="s">
        <v>114</v>
      </c>
      <c r="S191" s="204" t="s">
        <v>2276</v>
      </c>
      <c r="T191" s="661">
        <f t="shared" si="28"/>
        <v>9250000</v>
      </c>
      <c r="U191" s="15" t="s">
        <v>156</v>
      </c>
      <c r="V191" s="15"/>
      <c r="W191" s="15"/>
      <c r="X191" s="15" t="s">
        <v>3286</v>
      </c>
      <c r="Y191" s="15" t="s">
        <v>3216</v>
      </c>
      <c r="Z191" s="15">
        <v>8140</v>
      </c>
      <c r="AA191" s="333">
        <v>72019</v>
      </c>
      <c r="AB191" s="15"/>
      <c r="AC191" s="333"/>
      <c r="AD191" s="15" t="s">
        <v>4113</v>
      </c>
      <c r="AE191" s="583">
        <v>0</v>
      </c>
      <c r="AF191" s="15" t="s">
        <v>4114</v>
      </c>
      <c r="AG191" s="15"/>
      <c r="AH191" s="15"/>
      <c r="AI191" s="15"/>
      <c r="AJ191" s="15" t="s">
        <v>4115</v>
      </c>
      <c r="AK191" s="15"/>
      <c r="AL191" s="341"/>
      <c r="AM191" s="15"/>
      <c r="AN191" s="583"/>
      <c r="AO191" s="23"/>
      <c r="AP191" s="23"/>
      <c r="AQ191" s="23"/>
      <c r="AR191" s="23"/>
      <c r="AS191" s="23"/>
      <c r="AT191" s="658" t="s">
        <v>3954</v>
      </c>
      <c r="AU191" s="357" t="s">
        <v>2010</v>
      </c>
      <c r="AV191" s="23" t="s">
        <v>4116</v>
      </c>
      <c r="AW191" s="534">
        <f>T191</f>
        <v>9250000</v>
      </c>
      <c r="AX191" s="23"/>
      <c r="AY191" s="23"/>
      <c r="AZ191" s="23"/>
      <c r="BA191" s="23"/>
      <c r="BB191" s="23"/>
      <c r="BC191" s="23"/>
      <c r="BD191" s="23"/>
      <c r="BE191" s="534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348" t="s">
        <v>3190</v>
      </c>
      <c r="BR191" s="15" t="s">
        <v>3191</v>
      </c>
      <c r="BS191" s="23" t="s">
        <v>4117</v>
      </c>
      <c r="BT191" s="14" t="s">
        <v>3857</v>
      </c>
      <c r="BU191" s="23" t="s">
        <v>4118</v>
      </c>
      <c r="BV191" s="14" t="s">
        <v>3857</v>
      </c>
      <c r="BW191" s="23" t="s">
        <v>4119</v>
      </c>
      <c r="BX191" s="14" t="s">
        <v>3857</v>
      </c>
      <c r="BY191" s="23"/>
      <c r="BZ191" s="23"/>
      <c r="CA191" s="23"/>
      <c r="CB191" s="23"/>
      <c r="CC191" s="23"/>
      <c r="CD191" s="23"/>
      <c r="CE191" s="23"/>
      <c r="CF191" s="23"/>
      <c r="CG191" s="23" t="s">
        <v>3060</v>
      </c>
      <c r="CH191" s="23"/>
      <c r="CI191" s="471"/>
      <c r="CJ191" s="23"/>
    </row>
    <row r="192" spans="1:88" s="4" customFormat="1" ht="48">
      <c r="A192" s="15">
        <v>31</v>
      </c>
      <c r="B192" s="349" t="s">
        <v>4074</v>
      </c>
      <c r="C192" s="348" t="s">
        <v>4120</v>
      </c>
      <c r="D192" s="14" t="s">
        <v>4121</v>
      </c>
      <c r="E192" s="15" t="s">
        <v>4077</v>
      </c>
      <c r="F192" s="15">
        <v>2023</v>
      </c>
      <c r="G192" s="15">
        <v>2023</v>
      </c>
      <c r="H192" s="15">
        <v>12</v>
      </c>
      <c r="I192" s="15" t="s">
        <v>3214</v>
      </c>
      <c r="J192" s="350">
        <v>18300000</v>
      </c>
      <c r="K192" s="15" t="s">
        <v>3091</v>
      </c>
      <c r="L192" s="15">
        <v>3</v>
      </c>
      <c r="M192" s="15" t="s">
        <v>3341</v>
      </c>
      <c r="N192" s="15" t="s">
        <v>3077</v>
      </c>
      <c r="O192" s="15" t="s">
        <v>3215</v>
      </c>
      <c r="P192" s="15" t="s">
        <v>4079</v>
      </c>
      <c r="Q192" s="15">
        <v>258471</v>
      </c>
      <c r="R192" s="15" t="s">
        <v>60</v>
      </c>
      <c r="S192" s="334" t="s">
        <v>3504</v>
      </c>
      <c r="T192" s="661">
        <f>J192/3</f>
        <v>6100000</v>
      </c>
      <c r="U192" s="15" t="s">
        <v>155</v>
      </c>
      <c r="V192" s="15"/>
      <c r="W192" s="15"/>
      <c r="X192" s="15" t="s">
        <v>3281</v>
      </c>
      <c r="Y192" s="15" t="s">
        <v>3216</v>
      </c>
      <c r="Z192" s="15">
        <v>8140</v>
      </c>
      <c r="AA192" s="333">
        <v>72019</v>
      </c>
      <c r="AB192" s="204" t="s">
        <v>4122</v>
      </c>
      <c r="AC192" s="204" t="s">
        <v>2673</v>
      </c>
      <c r="AD192" s="15" t="s">
        <v>34</v>
      </c>
      <c r="AE192" s="583">
        <f t="shared" ref="AE192:AE201" si="29">T192</f>
        <v>6100000</v>
      </c>
      <c r="AF192" s="15" t="s">
        <v>171</v>
      </c>
      <c r="AG192" s="15"/>
      <c r="AH192" s="15"/>
      <c r="AI192" s="15" t="s">
        <v>3286</v>
      </c>
      <c r="AJ192" s="15" t="s">
        <v>3216</v>
      </c>
      <c r="AK192" s="15">
        <v>6680626</v>
      </c>
      <c r="AL192" s="334" t="s">
        <v>1008</v>
      </c>
      <c r="AM192" s="15" t="s">
        <v>38</v>
      </c>
      <c r="AN192" s="583">
        <f>T192</f>
        <v>6100000</v>
      </c>
      <c r="AO192" s="15" t="s">
        <v>171</v>
      </c>
      <c r="AP192" s="15"/>
      <c r="AQ192" s="15"/>
      <c r="AR192" s="23" t="s">
        <v>3286</v>
      </c>
      <c r="AS192" s="15" t="s">
        <v>3216</v>
      </c>
      <c r="AT192" s="23"/>
      <c r="AU192" s="23"/>
      <c r="AV192" s="23"/>
      <c r="AW192" s="534"/>
      <c r="AX192" s="23"/>
      <c r="AY192" s="23"/>
      <c r="AZ192" s="23"/>
      <c r="BA192" s="23"/>
      <c r="BB192" s="23"/>
      <c r="BC192" s="23"/>
      <c r="BD192" s="23"/>
      <c r="BE192" s="534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348" t="s">
        <v>3190</v>
      </c>
      <c r="BR192" s="15" t="s">
        <v>3191</v>
      </c>
      <c r="BS192" s="23" t="s">
        <v>4123</v>
      </c>
      <c r="BT192" s="14" t="s">
        <v>3841</v>
      </c>
      <c r="BU192" s="23" t="s">
        <v>4124</v>
      </c>
      <c r="BV192" s="14" t="s">
        <v>3841</v>
      </c>
      <c r="BW192" s="23" t="s">
        <v>4125</v>
      </c>
      <c r="BX192" s="14" t="s">
        <v>3841</v>
      </c>
      <c r="BY192" s="23"/>
      <c r="BZ192" s="23"/>
      <c r="CA192" s="23"/>
      <c r="CB192" s="23"/>
      <c r="CC192" s="23"/>
      <c r="CD192" s="23"/>
      <c r="CE192" s="23"/>
      <c r="CF192" s="23"/>
      <c r="CG192" s="23" t="s">
        <v>3060</v>
      </c>
      <c r="CH192" s="23"/>
      <c r="CI192" s="471"/>
      <c r="CJ192" s="23"/>
    </row>
    <row r="193" spans="1:89" s="554" customFormat="1" ht="65.25" customHeight="1">
      <c r="A193" s="15">
        <v>32</v>
      </c>
      <c r="B193" s="349" t="s">
        <v>4074</v>
      </c>
      <c r="C193" s="348" t="s">
        <v>4126</v>
      </c>
      <c r="D193" s="14" t="s">
        <v>4127</v>
      </c>
      <c r="E193" s="15" t="s">
        <v>4077</v>
      </c>
      <c r="F193" s="15">
        <v>2023</v>
      </c>
      <c r="G193" s="15">
        <v>2023</v>
      </c>
      <c r="H193" s="15">
        <v>12</v>
      </c>
      <c r="I193" s="15" t="s">
        <v>3214</v>
      </c>
      <c r="J193" s="350">
        <v>17400000</v>
      </c>
      <c r="K193" s="15" t="s">
        <v>3091</v>
      </c>
      <c r="L193" s="15">
        <v>3</v>
      </c>
      <c r="M193" s="15" t="s">
        <v>3341</v>
      </c>
      <c r="N193" s="15" t="s">
        <v>3077</v>
      </c>
      <c r="O193" s="15" t="s">
        <v>3215</v>
      </c>
      <c r="P193" s="15" t="s">
        <v>4079</v>
      </c>
      <c r="Q193" s="204" t="s">
        <v>4128</v>
      </c>
      <c r="R193" s="15" t="s">
        <v>121</v>
      </c>
      <c r="S193" s="204" t="s">
        <v>2333</v>
      </c>
      <c r="T193" s="661">
        <f>J193/3</f>
        <v>5800000</v>
      </c>
      <c r="U193" s="15" t="s">
        <v>175</v>
      </c>
      <c r="V193" s="15"/>
      <c r="W193" s="15"/>
      <c r="X193" s="15" t="s">
        <v>3286</v>
      </c>
      <c r="Y193" s="15" t="s">
        <v>3216</v>
      </c>
      <c r="Z193" s="15">
        <v>8140</v>
      </c>
      <c r="AA193" s="333">
        <v>72019</v>
      </c>
      <c r="AB193" s="15"/>
      <c r="AC193" s="333"/>
      <c r="AD193" s="15" t="s">
        <v>1577</v>
      </c>
      <c r="AE193" s="583">
        <f t="shared" si="29"/>
        <v>5800000</v>
      </c>
      <c r="AF193" s="15"/>
      <c r="AG193" s="15"/>
      <c r="AH193" s="15"/>
      <c r="AI193" s="15"/>
      <c r="AJ193" s="15" t="s">
        <v>4129</v>
      </c>
      <c r="AK193" s="204" t="s">
        <v>4130</v>
      </c>
      <c r="AL193" s="334" t="s">
        <v>1676</v>
      </c>
      <c r="AM193" s="15" t="s">
        <v>180</v>
      </c>
      <c r="AN193" s="583">
        <f>T193</f>
        <v>5800000</v>
      </c>
      <c r="AO193" s="23" t="s">
        <v>166</v>
      </c>
      <c r="AP193" s="23"/>
      <c r="AQ193" s="23"/>
      <c r="AR193" s="23" t="s">
        <v>3286</v>
      </c>
      <c r="AS193" s="15" t="s">
        <v>3216</v>
      </c>
      <c r="AT193" s="23"/>
      <c r="AU193" s="23"/>
      <c r="AV193" s="23"/>
      <c r="AW193" s="534"/>
      <c r="AX193" s="23"/>
      <c r="AY193" s="23"/>
      <c r="AZ193" s="23"/>
      <c r="BA193" s="23"/>
      <c r="BB193" s="23"/>
      <c r="BC193" s="23"/>
      <c r="BD193" s="23"/>
      <c r="BE193" s="534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348" t="s">
        <v>3190</v>
      </c>
      <c r="BR193" s="15" t="s">
        <v>3191</v>
      </c>
      <c r="BS193" s="23" t="s">
        <v>4117</v>
      </c>
      <c r="BT193" s="14" t="s">
        <v>3857</v>
      </c>
      <c r="BU193" s="23" t="s">
        <v>4118</v>
      </c>
      <c r="BV193" s="14" t="s">
        <v>3857</v>
      </c>
      <c r="BW193" s="23" t="s">
        <v>4095</v>
      </c>
      <c r="BX193" s="14" t="s">
        <v>4094</v>
      </c>
      <c r="BY193" s="23"/>
      <c r="BZ193" s="23"/>
      <c r="CA193" s="23"/>
      <c r="CB193" s="23"/>
      <c r="CC193" s="23"/>
      <c r="CD193" s="23"/>
      <c r="CE193" s="23"/>
      <c r="CF193" s="23"/>
      <c r="CG193" s="23" t="s">
        <v>3060</v>
      </c>
      <c r="CH193" s="23"/>
      <c r="CI193" s="471"/>
      <c r="CJ193" s="23"/>
    </row>
    <row r="194" spans="1:89" s="554" customFormat="1" ht="48">
      <c r="A194" s="15">
        <v>33</v>
      </c>
      <c r="B194" s="349" t="s">
        <v>4074</v>
      </c>
      <c r="C194" s="348" t="s">
        <v>4131</v>
      </c>
      <c r="D194" s="14" t="s">
        <v>4132</v>
      </c>
      <c r="E194" s="15" t="s">
        <v>4077</v>
      </c>
      <c r="F194" s="15">
        <v>2023</v>
      </c>
      <c r="G194" s="15">
        <v>2023</v>
      </c>
      <c r="H194" s="15">
        <v>12</v>
      </c>
      <c r="I194" s="15" t="s">
        <v>3214</v>
      </c>
      <c r="J194" s="350">
        <v>18900000</v>
      </c>
      <c r="K194" s="15" t="s">
        <v>3091</v>
      </c>
      <c r="L194" s="15">
        <v>3</v>
      </c>
      <c r="M194" s="15" t="s">
        <v>3341</v>
      </c>
      <c r="N194" s="15" t="s">
        <v>3077</v>
      </c>
      <c r="O194" s="15" t="s">
        <v>3215</v>
      </c>
      <c r="P194" s="15" t="s">
        <v>4079</v>
      </c>
      <c r="Q194" s="662" t="s">
        <v>1723</v>
      </c>
      <c r="R194" s="15" t="s">
        <v>134</v>
      </c>
      <c r="S194" s="340" t="s">
        <v>1723</v>
      </c>
      <c r="T194" s="661">
        <f>J194/2</f>
        <v>9450000</v>
      </c>
      <c r="U194" s="15" t="s">
        <v>156</v>
      </c>
      <c r="V194" s="15"/>
      <c r="W194" s="15"/>
      <c r="X194" s="15" t="s">
        <v>3286</v>
      </c>
      <c r="Y194" s="15" t="s">
        <v>3216</v>
      </c>
      <c r="Z194" s="15">
        <v>8140</v>
      </c>
      <c r="AA194" s="333">
        <v>72019</v>
      </c>
      <c r="AB194" s="204" t="s">
        <v>4015</v>
      </c>
      <c r="AC194" s="340" t="s">
        <v>977</v>
      </c>
      <c r="AD194" s="15" t="s">
        <v>67</v>
      </c>
      <c r="AE194" s="583">
        <f t="shared" si="29"/>
        <v>9450000</v>
      </c>
      <c r="AF194" s="15" t="s">
        <v>166</v>
      </c>
      <c r="AG194" s="15"/>
      <c r="AH194" s="15"/>
      <c r="AI194" s="15" t="s">
        <v>3286</v>
      </c>
      <c r="AJ194" s="15" t="s">
        <v>3216</v>
      </c>
      <c r="AK194" s="15"/>
      <c r="AL194" s="341"/>
      <c r="AM194" s="15"/>
      <c r="AN194" s="583"/>
      <c r="AO194" s="23"/>
      <c r="AP194" s="23"/>
      <c r="AQ194" s="23"/>
      <c r="AR194" s="23"/>
      <c r="AS194" s="23"/>
      <c r="AT194" s="23"/>
      <c r="AU194" s="23"/>
      <c r="AV194" s="23"/>
      <c r="AW194" s="534"/>
      <c r="AX194" s="23"/>
      <c r="AY194" s="23"/>
      <c r="AZ194" s="23"/>
      <c r="BA194" s="23"/>
      <c r="BB194" s="23"/>
      <c r="BC194" s="23"/>
      <c r="BD194" s="23"/>
      <c r="BE194" s="534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348" t="s">
        <v>3190</v>
      </c>
      <c r="BR194" s="15" t="s">
        <v>3191</v>
      </c>
      <c r="BS194" s="23" t="s">
        <v>4133</v>
      </c>
      <c r="BT194" s="14" t="s">
        <v>3857</v>
      </c>
      <c r="BU194" s="23" t="s">
        <v>4134</v>
      </c>
      <c r="BV194" s="14" t="s">
        <v>3857</v>
      </c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 t="s">
        <v>3060</v>
      </c>
      <c r="CH194" s="23"/>
      <c r="CI194" s="471"/>
      <c r="CJ194" s="23"/>
    </row>
    <row r="195" spans="1:89" s="4" customFormat="1" ht="48">
      <c r="A195" s="15">
        <v>34</v>
      </c>
      <c r="B195" s="349" t="s">
        <v>4135</v>
      </c>
      <c r="C195" s="15" t="s">
        <v>4136</v>
      </c>
      <c r="D195" s="14" t="s">
        <v>4137</v>
      </c>
      <c r="E195" s="15" t="s">
        <v>3908</v>
      </c>
      <c r="F195" s="15">
        <v>2023</v>
      </c>
      <c r="G195" s="15">
        <v>2023</v>
      </c>
      <c r="H195" s="15">
        <v>8</v>
      </c>
      <c r="I195" s="15" t="s">
        <v>4047</v>
      </c>
      <c r="J195" s="350">
        <v>554749600</v>
      </c>
      <c r="K195" s="15" t="s">
        <v>3091</v>
      </c>
      <c r="L195" s="15">
        <v>3</v>
      </c>
      <c r="M195" s="15" t="s">
        <v>3341</v>
      </c>
      <c r="N195" s="15" t="s">
        <v>3077</v>
      </c>
      <c r="O195" s="15" t="s">
        <v>3215</v>
      </c>
      <c r="P195" s="15" t="s">
        <v>4079</v>
      </c>
      <c r="Q195" s="15">
        <v>6680641</v>
      </c>
      <c r="R195" s="15" t="s">
        <v>92</v>
      </c>
      <c r="S195" s="334" t="s">
        <v>1794</v>
      </c>
      <c r="T195" s="661">
        <f>J195/4</f>
        <v>138687400</v>
      </c>
      <c r="U195" s="15" t="s">
        <v>151</v>
      </c>
      <c r="V195" s="15"/>
      <c r="W195" s="15"/>
      <c r="X195" s="15" t="s">
        <v>3281</v>
      </c>
      <c r="Y195" s="15" t="s">
        <v>3216</v>
      </c>
      <c r="Z195" s="15">
        <v>8140</v>
      </c>
      <c r="AA195" s="333">
        <v>72019</v>
      </c>
      <c r="AB195" s="204" t="s">
        <v>4138</v>
      </c>
      <c r="AC195" s="342">
        <v>1001017601</v>
      </c>
      <c r="AD195" s="15" t="s">
        <v>97</v>
      </c>
      <c r="AE195" s="583">
        <f t="shared" si="29"/>
        <v>138687400</v>
      </c>
      <c r="AF195" s="15" t="s">
        <v>151</v>
      </c>
      <c r="AG195" s="15" t="s">
        <v>166</v>
      </c>
      <c r="AH195" s="15" t="s">
        <v>155</v>
      </c>
      <c r="AI195" s="15" t="s">
        <v>3281</v>
      </c>
      <c r="AJ195" s="15" t="s">
        <v>3216</v>
      </c>
      <c r="AK195" s="15">
        <v>6680708</v>
      </c>
      <c r="AL195" s="334" t="s">
        <v>2436</v>
      </c>
      <c r="AM195" s="14" t="s">
        <v>85</v>
      </c>
      <c r="AN195" s="622">
        <f>T195</f>
        <v>138687400</v>
      </c>
      <c r="AO195" s="23" t="s">
        <v>155</v>
      </c>
      <c r="AP195" s="23"/>
      <c r="AQ195" s="23"/>
      <c r="AR195" s="23" t="s">
        <v>3281</v>
      </c>
      <c r="AS195" s="15" t="s">
        <v>3216</v>
      </c>
      <c r="AT195" s="23">
        <v>6859016</v>
      </c>
      <c r="AU195" s="204" t="s">
        <v>2497</v>
      </c>
      <c r="AV195" s="15" t="s">
        <v>52</v>
      </c>
      <c r="AW195" s="583">
        <f>T195</f>
        <v>138687400</v>
      </c>
      <c r="AX195" s="23" t="s">
        <v>155</v>
      </c>
      <c r="AY195" s="23"/>
      <c r="AZ195" s="23" t="s">
        <v>3281</v>
      </c>
      <c r="BA195" s="15" t="s">
        <v>3216</v>
      </c>
      <c r="BB195" s="23"/>
      <c r="BC195" s="23"/>
      <c r="BD195" s="23"/>
      <c r="BE195" s="534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348" t="s">
        <v>3190</v>
      </c>
      <c r="BR195" s="15" t="s">
        <v>3191</v>
      </c>
      <c r="BS195" s="23" t="s">
        <v>3934</v>
      </c>
      <c r="BT195" s="14"/>
      <c r="BU195" s="23" t="s">
        <v>4139</v>
      </c>
      <c r="BV195" s="14"/>
      <c r="BW195" s="23" t="s">
        <v>3935</v>
      </c>
      <c r="BX195" s="23"/>
      <c r="BY195" s="23" t="s">
        <v>4140</v>
      </c>
      <c r="BZ195" s="23"/>
      <c r="CA195" s="23" t="s">
        <v>4141</v>
      </c>
      <c r="CB195" s="23"/>
      <c r="CC195" s="23" t="s">
        <v>4142</v>
      </c>
      <c r="CD195" s="23"/>
      <c r="CE195" s="23"/>
      <c r="CF195" s="23"/>
      <c r="CG195" s="23"/>
      <c r="CH195" s="23"/>
      <c r="CI195" s="471"/>
      <c r="CJ195" s="23"/>
    </row>
    <row r="196" spans="1:89" s="558" customFormat="1" ht="84">
      <c r="A196" s="355">
        <v>35</v>
      </c>
      <c r="B196" s="349" t="s">
        <v>4143</v>
      </c>
      <c r="C196" s="348" t="s">
        <v>4144</v>
      </c>
      <c r="D196" s="331" t="s">
        <v>4145</v>
      </c>
      <c r="E196" s="355" t="s">
        <v>91</v>
      </c>
      <c r="F196" s="355">
        <v>2023</v>
      </c>
      <c r="G196" s="355">
        <v>2023</v>
      </c>
      <c r="H196" s="355">
        <v>7</v>
      </c>
      <c r="I196" s="355" t="s">
        <v>3922</v>
      </c>
      <c r="J196" s="356">
        <v>17000000</v>
      </c>
      <c r="K196" s="355" t="s">
        <v>3091</v>
      </c>
      <c r="L196" s="355">
        <v>5</v>
      </c>
      <c r="M196" s="355" t="s">
        <v>3222</v>
      </c>
      <c r="N196" s="355" t="s">
        <v>3223</v>
      </c>
      <c r="O196" s="355" t="s">
        <v>3215</v>
      </c>
      <c r="P196" s="355" t="s">
        <v>3923</v>
      </c>
      <c r="Q196" s="355">
        <v>6756318</v>
      </c>
      <c r="R196" s="355" t="s">
        <v>62</v>
      </c>
      <c r="S196" s="357" t="s">
        <v>950</v>
      </c>
      <c r="T196" s="659">
        <f>J196/3</f>
        <v>5666666.666666667</v>
      </c>
      <c r="U196" s="355" t="s">
        <v>175</v>
      </c>
      <c r="V196" s="355"/>
      <c r="W196" s="355"/>
      <c r="X196" s="355" t="s">
        <v>3286</v>
      </c>
      <c r="Y196" s="355" t="s">
        <v>3216</v>
      </c>
      <c r="Z196" s="355">
        <v>8140</v>
      </c>
      <c r="AA196" s="655">
        <v>72019</v>
      </c>
      <c r="AB196" s="653" t="s">
        <v>4015</v>
      </c>
      <c r="AC196" s="358" t="s">
        <v>977</v>
      </c>
      <c r="AD196" s="355" t="s">
        <v>4146</v>
      </c>
      <c r="AE196" s="656">
        <f t="shared" si="29"/>
        <v>5666666.666666667</v>
      </c>
      <c r="AF196" s="355" t="s">
        <v>166</v>
      </c>
      <c r="AG196" s="355"/>
      <c r="AH196" s="355"/>
      <c r="AI196" s="355" t="s">
        <v>3286</v>
      </c>
      <c r="AJ196" s="355" t="s">
        <v>3216</v>
      </c>
      <c r="AK196" s="355">
        <v>6825598</v>
      </c>
      <c r="AL196" s="357" t="s">
        <v>1774</v>
      </c>
      <c r="AM196" s="355" t="s">
        <v>4147</v>
      </c>
      <c r="AN196" s="656">
        <f>AE196</f>
        <v>5666666.666666667</v>
      </c>
      <c r="AO196" s="355" t="s">
        <v>156</v>
      </c>
      <c r="AP196" s="355"/>
      <c r="AQ196" s="355"/>
      <c r="AR196" s="355" t="s">
        <v>3286</v>
      </c>
      <c r="AS196" s="355" t="s">
        <v>3216</v>
      </c>
      <c r="AT196" s="133"/>
      <c r="AU196" s="133"/>
      <c r="AV196" s="133"/>
      <c r="AW196" s="657"/>
      <c r="AX196" s="133"/>
      <c r="AY196" s="133"/>
      <c r="AZ196" s="133"/>
      <c r="BA196" s="133"/>
      <c r="BB196" s="133"/>
      <c r="BC196" s="133"/>
      <c r="BD196" s="133"/>
      <c r="BE196" s="657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348" t="s">
        <v>3190</v>
      </c>
      <c r="BR196" s="348" t="s">
        <v>3191</v>
      </c>
      <c r="BS196" s="133" t="s">
        <v>4148</v>
      </c>
      <c r="BT196" s="133" t="s">
        <v>3832</v>
      </c>
      <c r="BU196" s="133" t="s">
        <v>4149</v>
      </c>
      <c r="BV196" s="133" t="s">
        <v>3834</v>
      </c>
      <c r="BW196" s="133" t="s">
        <v>3118</v>
      </c>
      <c r="BX196" s="133" t="s">
        <v>3834</v>
      </c>
      <c r="BY196" s="133"/>
      <c r="BZ196" s="133"/>
      <c r="CA196" s="133"/>
      <c r="CB196" s="133"/>
      <c r="CC196" s="133"/>
      <c r="CD196" s="133"/>
      <c r="CE196" s="133"/>
      <c r="CF196" s="133"/>
      <c r="CG196" s="663" t="s">
        <v>4150</v>
      </c>
      <c r="CH196" s="133" t="s">
        <v>4151</v>
      </c>
      <c r="CI196" s="474" t="s">
        <v>4152</v>
      </c>
      <c r="CJ196" s="133"/>
    </row>
    <row r="197" spans="1:89" s="4" customFormat="1" ht="72">
      <c r="A197" s="15">
        <v>36</v>
      </c>
      <c r="B197" s="349" t="s">
        <v>4143</v>
      </c>
      <c r="C197" s="348" t="s">
        <v>4153</v>
      </c>
      <c r="D197" s="14" t="s">
        <v>4154</v>
      </c>
      <c r="E197" s="15" t="s">
        <v>91</v>
      </c>
      <c r="F197" s="15">
        <v>2023</v>
      </c>
      <c r="G197" s="15">
        <v>2023</v>
      </c>
      <c r="H197" s="15">
        <v>7</v>
      </c>
      <c r="I197" s="15" t="s">
        <v>4155</v>
      </c>
      <c r="J197" s="350">
        <v>17000000</v>
      </c>
      <c r="K197" s="15" t="s">
        <v>3091</v>
      </c>
      <c r="L197" s="15">
        <v>4</v>
      </c>
      <c r="M197" s="15" t="s">
        <v>3222</v>
      </c>
      <c r="N197" s="355" t="s">
        <v>3223</v>
      </c>
      <c r="O197" s="15" t="s">
        <v>3215</v>
      </c>
      <c r="P197" s="15" t="s">
        <v>3923</v>
      </c>
      <c r="Q197" s="15">
        <v>6680643</v>
      </c>
      <c r="R197" s="15" t="s">
        <v>8</v>
      </c>
      <c r="S197" s="334" t="s">
        <v>1017</v>
      </c>
      <c r="T197" s="661">
        <f>J197/3</f>
        <v>5666666.666666667</v>
      </c>
      <c r="U197" s="15" t="s">
        <v>172</v>
      </c>
      <c r="V197" s="15" t="s">
        <v>160</v>
      </c>
      <c r="W197" s="15"/>
      <c r="X197" s="15" t="s">
        <v>3281</v>
      </c>
      <c r="Y197" s="15" t="s">
        <v>3216</v>
      </c>
      <c r="Z197" s="15">
        <v>8140</v>
      </c>
      <c r="AA197" s="15">
        <v>72019</v>
      </c>
      <c r="AB197" s="204" t="s">
        <v>4021</v>
      </c>
      <c r="AC197" s="340" t="s">
        <v>1723</v>
      </c>
      <c r="AD197" s="15" t="s">
        <v>134</v>
      </c>
      <c r="AE197" s="583">
        <f t="shared" si="29"/>
        <v>5666666.666666667</v>
      </c>
      <c r="AF197" s="15" t="s">
        <v>156</v>
      </c>
      <c r="AG197" s="15"/>
      <c r="AH197" s="15"/>
      <c r="AI197" s="15" t="s">
        <v>3286</v>
      </c>
      <c r="AJ197" s="15" t="s">
        <v>3216</v>
      </c>
      <c r="AK197" s="15">
        <v>6680708</v>
      </c>
      <c r="AL197" s="334" t="s">
        <v>2436</v>
      </c>
      <c r="AM197" s="14" t="s">
        <v>85</v>
      </c>
      <c r="AN197" s="583">
        <f>AE197</f>
        <v>5666666.666666667</v>
      </c>
      <c r="AO197" s="23" t="s">
        <v>155</v>
      </c>
      <c r="AP197" s="23"/>
      <c r="AQ197" s="23"/>
      <c r="AR197" s="23" t="s">
        <v>3281</v>
      </c>
      <c r="AS197" s="15" t="s">
        <v>3216</v>
      </c>
      <c r="AT197" s="23"/>
      <c r="AU197" s="23"/>
      <c r="AV197" s="23"/>
      <c r="AW197" s="534"/>
      <c r="AX197" s="23"/>
      <c r="AY197" s="23"/>
      <c r="AZ197" s="23"/>
      <c r="BA197" s="23"/>
      <c r="BB197" s="23"/>
      <c r="BC197" s="23"/>
      <c r="BD197" s="23"/>
      <c r="BE197" s="534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348" t="s">
        <v>3190</v>
      </c>
      <c r="BR197" s="348" t="s">
        <v>3191</v>
      </c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 t="s">
        <v>3640</v>
      </c>
      <c r="CH197" s="23" t="s">
        <v>3528</v>
      </c>
      <c r="CI197" s="471" t="s">
        <v>3640</v>
      </c>
      <c r="CJ197" s="23"/>
    </row>
    <row r="198" spans="1:89" s="4" customFormat="1" ht="48">
      <c r="A198" s="15">
        <v>37</v>
      </c>
      <c r="B198" s="349" t="s">
        <v>4143</v>
      </c>
      <c r="C198" s="348" t="s">
        <v>4156</v>
      </c>
      <c r="D198" s="14" t="s">
        <v>4157</v>
      </c>
      <c r="E198" s="15" t="s">
        <v>91</v>
      </c>
      <c r="F198" s="15">
        <v>2023</v>
      </c>
      <c r="G198" s="15">
        <v>2023</v>
      </c>
      <c r="H198" s="15">
        <v>7</v>
      </c>
      <c r="I198" s="15" t="s">
        <v>4155</v>
      </c>
      <c r="J198" s="350">
        <v>17000000</v>
      </c>
      <c r="K198" s="15" t="s">
        <v>3091</v>
      </c>
      <c r="L198" s="15">
        <v>4</v>
      </c>
      <c r="M198" s="15" t="s">
        <v>3222</v>
      </c>
      <c r="N198" s="355" t="s">
        <v>3223</v>
      </c>
      <c r="O198" s="15" t="s">
        <v>3215</v>
      </c>
      <c r="P198" s="15" t="s">
        <v>3923</v>
      </c>
      <c r="Q198" s="204" t="s">
        <v>4138</v>
      </c>
      <c r="R198" s="15" t="s">
        <v>97</v>
      </c>
      <c r="S198" s="342">
        <v>1001017601</v>
      </c>
      <c r="T198" s="661">
        <f>J198/3</f>
        <v>5666666.666666667</v>
      </c>
      <c r="U198" s="15" t="s">
        <v>151</v>
      </c>
      <c r="V198" s="15" t="s">
        <v>166</v>
      </c>
      <c r="W198" s="15" t="s">
        <v>155</v>
      </c>
      <c r="X198" s="15" t="s">
        <v>3281</v>
      </c>
      <c r="Y198" s="15" t="s">
        <v>3216</v>
      </c>
      <c r="Z198" s="15">
        <v>8140</v>
      </c>
      <c r="AA198" s="15">
        <v>72019</v>
      </c>
      <c r="AB198" s="15">
        <v>6680633</v>
      </c>
      <c r="AC198" s="204" t="s">
        <v>3322</v>
      </c>
      <c r="AD198" s="15" t="s">
        <v>18</v>
      </c>
      <c r="AE198" s="583">
        <f t="shared" si="29"/>
        <v>5666666.666666667</v>
      </c>
      <c r="AF198" s="15" t="s">
        <v>4022</v>
      </c>
      <c r="AG198" s="15" t="s">
        <v>166</v>
      </c>
      <c r="AH198" s="15"/>
      <c r="AI198" s="15" t="s">
        <v>3286</v>
      </c>
      <c r="AJ198" s="15" t="s">
        <v>3216</v>
      </c>
      <c r="AK198" s="15">
        <v>6680678</v>
      </c>
      <c r="AL198" s="341" t="s">
        <v>1725</v>
      </c>
      <c r="AM198" s="15" t="s">
        <v>14</v>
      </c>
      <c r="AN198" s="583">
        <f>T198</f>
        <v>5666666.666666667</v>
      </c>
      <c r="AO198" s="15" t="s">
        <v>151</v>
      </c>
      <c r="AP198" s="15"/>
      <c r="AQ198" s="15"/>
      <c r="AR198" s="15" t="s">
        <v>3281</v>
      </c>
      <c r="AS198" s="15" t="s">
        <v>3216</v>
      </c>
      <c r="AT198" s="23"/>
      <c r="AU198" s="23"/>
      <c r="AV198" s="23"/>
      <c r="AW198" s="534"/>
      <c r="AX198" s="23"/>
      <c r="AY198" s="23"/>
      <c r="AZ198" s="23"/>
      <c r="BA198" s="23"/>
      <c r="BB198" s="23"/>
      <c r="BC198" s="23"/>
      <c r="BD198" s="23"/>
      <c r="BE198" s="534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353" t="s">
        <v>3190</v>
      </c>
      <c r="BR198" s="348" t="s">
        <v>3191</v>
      </c>
      <c r="BS198" s="23" t="s">
        <v>4158</v>
      </c>
      <c r="BT198" s="23" t="s">
        <v>3848</v>
      </c>
      <c r="BU198" s="23" t="s">
        <v>4159</v>
      </c>
      <c r="BV198" s="23" t="s">
        <v>3848</v>
      </c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3" t="s">
        <v>4160</v>
      </c>
      <c r="CI198" s="471" t="s">
        <v>4161</v>
      </c>
      <c r="CJ198" s="23"/>
    </row>
    <row r="199" spans="1:89" s="4" customFormat="1" ht="48">
      <c r="A199" s="15">
        <v>38</v>
      </c>
      <c r="B199" s="349" t="s">
        <v>4143</v>
      </c>
      <c r="C199" s="348" t="s">
        <v>4162</v>
      </c>
      <c r="D199" s="14" t="s">
        <v>4163</v>
      </c>
      <c r="E199" s="15" t="s">
        <v>31</v>
      </c>
      <c r="F199" s="15">
        <v>2023</v>
      </c>
      <c r="G199" s="15">
        <v>2023</v>
      </c>
      <c r="H199" s="15">
        <v>7</v>
      </c>
      <c r="I199" s="15" t="s">
        <v>3922</v>
      </c>
      <c r="J199" s="350">
        <v>6490000</v>
      </c>
      <c r="K199" s="15" t="s">
        <v>3091</v>
      </c>
      <c r="L199" s="15">
        <v>3</v>
      </c>
      <c r="M199" s="15" t="s">
        <v>3222</v>
      </c>
      <c r="N199" s="355" t="s">
        <v>3223</v>
      </c>
      <c r="O199" s="15" t="s">
        <v>3215</v>
      </c>
      <c r="P199" s="15" t="s">
        <v>3923</v>
      </c>
      <c r="Q199" s="204" t="s">
        <v>4164</v>
      </c>
      <c r="R199" s="15" t="s">
        <v>51</v>
      </c>
      <c r="S199" s="204" t="s">
        <v>1897</v>
      </c>
      <c r="T199" s="661">
        <f>J199/2</f>
        <v>3245000</v>
      </c>
      <c r="U199" s="15" t="s">
        <v>175</v>
      </c>
      <c r="V199" s="15"/>
      <c r="W199" s="15"/>
      <c r="X199" s="15" t="s">
        <v>3286</v>
      </c>
      <c r="Y199" s="15" t="s">
        <v>3216</v>
      </c>
      <c r="Z199" s="15">
        <v>8140</v>
      </c>
      <c r="AA199" s="15">
        <v>72019</v>
      </c>
      <c r="AB199" s="204" t="s">
        <v>4128</v>
      </c>
      <c r="AC199" s="204" t="s">
        <v>2333</v>
      </c>
      <c r="AD199" s="15" t="s">
        <v>121</v>
      </c>
      <c r="AE199" s="583">
        <f t="shared" si="29"/>
        <v>3245000</v>
      </c>
      <c r="AF199" s="15" t="s">
        <v>175</v>
      </c>
      <c r="AG199" s="15"/>
      <c r="AH199" s="15"/>
      <c r="AI199" s="15" t="s">
        <v>3286</v>
      </c>
      <c r="AJ199" s="15" t="s">
        <v>3216</v>
      </c>
      <c r="AK199" s="15"/>
      <c r="AL199" s="341"/>
      <c r="AM199" s="15"/>
      <c r="AN199" s="583"/>
      <c r="AO199" s="23"/>
      <c r="AP199" s="23"/>
      <c r="AQ199" s="23"/>
      <c r="AR199" s="23"/>
      <c r="AS199" s="23"/>
      <c r="AT199" s="23"/>
      <c r="AU199" s="23"/>
      <c r="AV199" s="23"/>
      <c r="AW199" s="534"/>
      <c r="AX199" s="23"/>
      <c r="AY199" s="23"/>
      <c r="AZ199" s="23"/>
      <c r="BA199" s="23"/>
      <c r="BB199" s="23"/>
      <c r="BC199" s="23"/>
      <c r="BD199" s="23"/>
      <c r="BE199" s="534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348" t="s">
        <v>3190</v>
      </c>
      <c r="BR199" s="348" t="s">
        <v>3191</v>
      </c>
      <c r="BS199" s="23" t="s">
        <v>4165</v>
      </c>
      <c r="BT199" s="23" t="s">
        <v>3834</v>
      </c>
      <c r="BU199" s="23" t="s">
        <v>4166</v>
      </c>
      <c r="BV199" s="23" t="s">
        <v>3834</v>
      </c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 t="s">
        <v>3060</v>
      </c>
      <c r="CH199" s="23"/>
      <c r="CI199" s="471"/>
      <c r="CJ199" s="23"/>
    </row>
    <row r="200" spans="1:89" ht="48">
      <c r="A200" s="15">
        <v>39</v>
      </c>
      <c r="B200" s="349" t="s">
        <v>4143</v>
      </c>
      <c r="C200" s="348" t="s">
        <v>4167</v>
      </c>
      <c r="D200" s="14" t="s">
        <v>4168</v>
      </c>
      <c r="E200" s="15" t="s">
        <v>31</v>
      </c>
      <c r="F200" s="15">
        <v>2023</v>
      </c>
      <c r="G200" s="15">
        <v>2023</v>
      </c>
      <c r="H200" s="15">
        <v>7</v>
      </c>
      <c r="I200" s="15" t="s">
        <v>3931</v>
      </c>
      <c r="J200" s="350">
        <v>5470000</v>
      </c>
      <c r="K200" s="15" t="s">
        <v>3091</v>
      </c>
      <c r="L200" s="15">
        <v>2</v>
      </c>
      <c r="M200" s="15" t="s">
        <v>3222</v>
      </c>
      <c r="N200" s="355" t="s">
        <v>3223</v>
      </c>
      <c r="O200" s="15" t="s">
        <v>3215</v>
      </c>
      <c r="P200" s="15" t="s">
        <v>3923</v>
      </c>
      <c r="Q200" s="15">
        <v>6787821</v>
      </c>
      <c r="R200" s="15" t="s">
        <v>43</v>
      </c>
      <c r="S200" s="334" t="s">
        <v>1756</v>
      </c>
      <c r="T200" s="661">
        <f>J200/3</f>
        <v>1823333.3333333333</v>
      </c>
      <c r="U200" s="15" t="s">
        <v>172</v>
      </c>
      <c r="V200" s="15"/>
      <c r="W200" s="15"/>
      <c r="X200" s="15" t="s">
        <v>3281</v>
      </c>
      <c r="Y200" s="15" t="s">
        <v>3216</v>
      </c>
      <c r="Z200" s="15">
        <v>8140</v>
      </c>
      <c r="AA200" s="15">
        <v>72019</v>
      </c>
      <c r="AB200" s="15">
        <v>6784457</v>
      </c>
      <c r="AC200" s="204" t="s">
        <v>1754</v>
      </c>
      <c r="AD200" s="15" t="s">
        <v>44</v>
      </c>
      <c r="AE200" s="583">
        <f t="shared" si="29"/>
        <v>1823333.3333333333</v>
      </c>
      <c r="AF200" s="15" t="s">
        <v>172</v>
      </c>
      <c r="AG200" s="15"/>
      <c r="AH200" s="15"/>
      <c r="AI200" s="15" t="s">
        <v>3281</v>
      </c>
      <c r="AJ200" s="15" t="s">
        <v>3216</v>
      </c>
      <c r="AK200" s="15">
        <v>6778837</v>
      </c>
      <c r="AL200" s="334" t="s">
        <v>979</v>
      </c>
      <c r="AM200" s="15" t="s">
        <v>71</v>
      </c>
      <c r="AN200" s="583">
        <f>T200</f>
        <v>1823333.3333333333</v>
      </c>
      <c r="AO200" s="15" t="s">
        <v>171</v>
      </c>
      <c r="AP200" s="15"/>
      <c r="AQ200" s="15"/>
      <c r="AR200" s="15" t="s">
        <v>3286</v>
      </c>
      <c r="AS200" s="15" t="s">
        <v>3216</v>
      </c>
      <c r="AT200" s="23"/>
      <c r="AU200" s="23"/>
      <c r="AV200" s="23"/>
      <c r="AW200" s="534"/>
      <c r="AX200" s="23"/>
      <c r="AY200" s="23"/>
      <c r="AZ200" s="23"/>
      <c r="BA200" s="23"/>
      <c r="BB200" s="23"/>
      <c r="BC200" s="23"/>
      <c r="BD200" s="23"/>
      <c r="BE200" s="534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348" t="s">
        <v>3190</v>
      </c>
      <c r="BR200" s="348" t="s">
        <v>3191</v>
      </c>
      <c r="BS200" s="23" t="s">
        <v>4169</v>
      </c>
      <c r="BT200" s="23" t="s">
        <v>3862</v>
      </c>
      <c r="BU200" s="23" t="s">
        <v>4170</v>
      </c>
      <c r="BV200" s="23" t="s">
        <v>3862</v>
      </c>
      <c r="BW200" s="23" t="s">
        <v>4171</v>
      </c>
      <c r="BX200" s="23" t="s">
        <v>3862</v>
      </c>
      <c r="BY200" s="23"/>
      <c r="BZ200" s="36"/>
      <c r="CA200" s="23"/>
      <c r="CB200" s="23"/>
      <c r="CC200" s="23"/>
      <c r="CD200" s="23"/>
      <c r="CE200" s="23"/>
      <c r="CF200" s="23"/>
      <c r="CG200" s="23" t="s">
        <v>3981</v>
      </c>
      <c r="CH200" s="23"/>
      <c r="CI200" s="471"/>
      <c r="CJ200" s="36"/>
    </row>
    <row r="201" spans="1:89" s="550" customFormat="1" ht="48">
      <c r="A201" s="15">
        <v>40</v>
      </c>
      <c r="B201" s="349" t="s">
        <v>4143</v>
      </c>
      <c r="C201" s="348" t="s">
        <v>4172</v>
      </c>
      <c r="D201" s="14" t="s">
        <v>4173</v>
      </c>
      <c r="E201" s="15" t="s">
        <v>31</v>
      </c>
      <c r="F201" s="15">
        <v>2023</v>
      </c>
      <c r="G201" s="15">
        <v>2023</v>
      </c>
      <c r="H201" s="15">
        <v>7</v>
      </c>
      <c r="I201" s="15" t="s">
        <v>3922</v>
      </c>
      <c r="J201" s="350">
        <v>6995000</v>
      </c>
      <c r="K201" s="15" t="s">
        <v>3091</v>
      </c>
      <c r="L201" s="15">
        <v>6</v>
      </c>
      <c r="M201" s="15" t="s">
        <v>3222</v>
      </c>
      <c r="N201" s="355" t="s">
        <v>3223</v>
      </c>
      <c r="O201" s="15" t="s">
        <v>3215</v>
      </c>
      <c r="P201" s="15" t="s">
        <v>3923</v>
      </c>
      <c r="Q201" s="204" t="s">
        <v>4085</v>
      </c>
      <c r="R201" s="15" t="s">
        <v>32</v>
      </c>
      <c r="S201" s="204" t="s">
        <v>1901</v>
      </c>
      <c r="T201" s="661">
        <f>J201/2</f>
        <v>3497500</v>
      </c>
      <c r="U201" s="15" t="s">
        <v>164</v>
      </c>
      <c r="V201" s="15"/>
      <c r="W201" s="15"/>
      <c r="X201" s="15" t="s">
        <v>3286</v>
      </c>
      <c r="Y201" s="15" t="s">
        <v>3216</v>
      </c>
      <c r="Z201" s="15">
        <v>8140</v>
      </c>
      <c r="AA201" s="15">
        <v>72019</v>
      </c>
      <c r="AB201" s="15">
        <v>6665306</v>
      </c>
      <c r="AC201" s="204" t="s">
        <v>1727</v>
      </c>
      <c r="AD201" s="15" t="s">
        <v>28</v>
      </c>
      <c r="AE201" s="583">
        <f t="shared" si="29"/>
        <v>3497500</v>
      </c>
      <c r="AF201" s="15" t="s">
        <v>166</v>
      </c>
      <c r="AG201" s="15"/>
      <c r="AH201" s="15"/>
      <c r="AI201" s="15" t="s">
        <v>3286</v>
      </c>
      <c r="AJ201" s="15" t="s">
        <v>3216</v>
      </c>
      <c r="AK201" s="15"/>
      <c r="AL201" s="341"/>
      <c r="AM201" s="15" t="s">
        <v>323</v>
      </c>
      <c r="AN201" s="583"/>
      <c r="AO201" s="23"/>
      <c r="AP201" s="23"/>
      <c r="AQ201" s="23"/>
      <c r="AR201" s="23"/>
      <c r="AS201" s="23"/>
      <c r="AT201" s="23"/>
      <c r="AU201" s="23"/>
      <c r="AV201" s="23"/>
      <c r="AW201" s="534"/>
      <c r="AX201" s="23"/>
      <c r="AY201" s="23"/>
      <c r="AZ201" s="23"/>
      <c r="BA201" s="23"/>
      <c r="BB201" s="23"/>
      <c r="BC201" s="23"/>
      <c r="BD201" s="23"/>
      <c r="BE201" s="534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348" t="s">
        <v>3190</v>
      </c>
      <c r="BR201" s="348" t="s">
        <v>3191</v>
      </c>
      <c r="BS201" s="23" t="s">
        <v>4174</v>
      </c>
      <c r="BT201" s="23" t="s">
        <v>4088</v>
      </c>
      <c r="BU201" s="23" t="s">
        <v>4175</v>
      </c>
      <c r="BV201" s="23" t="s">
        <v>3832</v>
      </c>
      <c r="BW201" s="23"/>
      <c r="BX201" s="36"/>
      <c r="BY201" s="23"/>
      <c r="BZ201" s="36"/>
      <c r="CA201" s="23"/>
      <c r="CB201" s="23"/>
      <c r="CC201" s="23"/>
      <c r="CD201" s="23"/>
      <c r="CE201" s="23"/>
      <c r="CF201" s="23"/>
      <c r="CG201" s="23" t="s">
        <v>3981</v>
      </c>
      <c r="CH201" s="23" t="s">
        <v>4176</v>
      </c>
      <c r="CI201" s="471" t="s">
        <v>4177</v>
      </c>
      <c r="CJ201" s="36"/>
    </row>
    <row r="202" spans="1:89" s="553" customFormat="1" ht="48" customHeight="1">
      <c r="A202" s="355">
        <v>41</v>
      </c>
      <c r="B202" s="349" t="s">
        <v>4143</v>
      </c>
      <c r="C202" s="348" t="s">
        <v>4178</v>
      </c>
      <c r="D202" s="331" t="s">
        <v>4179</v>
      </c>
      <c r="E202" s="355" t="s">
        <v>31</v>
      </c>
      <c r="F202" s="355">
        <v>2023</v>
      </c>
      <c r="G202" s="355">
        <v>2023</v>
      </c>
      <c r="H202" s="355">
        <v>7</v>
      </c>
      <c r="I202" s="355" t="s">
        <v>3922</v>
      </c>
      <c r="J202" s="356">
        <v>5000000</v>
      </c>
      <c r="K202" s="355" t="s">
        <v>3091</v>
      </c>
      <c r="L202" s="355">
        <v>3</v>
      </c>
      <c r="M202" s="355" t="s">
        <v>3222</v>
      </c>
      <c r="N202" s="355" t="s">
        <v>3223</v>
      </c>
      <c r="O202" s="355" t="s">
        <v>3215</v>
      </c>
      <c r="P202" s="355" t="s">
        <v>3923</v>
      </c>
      <c r="Q202" s="653" t="s">
        <v>4180</v>
      </c>
      <c r="R202" s="355" t="s">
        <v>54</v>
      </c>
      <c r="S202" s="653" t="s">
        <v>2949</v>
      </c>
      <c r="T202" s="659">
        <f>J202/3</f>
        <v>1666666.6666666667</v>
      </c>
      <c r="U202" s="355" t="s">
        <v>166</v>
      </c>
      <c r="V202" s="355"/>
      <c r="W202" s="355"/>
      <c r="X202" s="355" t="s">
        <v>3286</v>
      </c>
      <c r="Y202" s="355" t="s">
        <v>3216</v>
      </c>
      <c r="Z202" s="355">
        <v>8140</v>
      </c>
      <c r="AA202" s="355">
        <v>72019</v>
      </c>
      <c r="AB202" s="355">
        <v>6665306</v>
      </c>
      <c r="AC202" s="653" t="s">
        <v>1727</v>
      </c>
      <c r="AD202" s="355" t="s">
        <v>28</v>
      </c>
      <c r="AE202" s="656">
        <f>J202/3</f>
        <v>1666666.6666666667</v>
      </c>
      <c r="AF202" s="355" t="s">
        <v>166</v>
      </c>
      <c r="AG202" s="355"/>
      <c r="AH202" s="355"/>
      <c r="AI202" s="355" t="s">
        <v>3286</v>
      </c>
      <c r="AJ202" s="355" t="s">
        <v>3216</v>
      </c>
      <c r="AK202" s="653" t="s">
        <v>4181</v>
      </c>
      <c r="AL202" s="357" t="s">
        <v>1917</v>
      </c>
      <c r="AM202" s="355" t="s">
        <v>179</v>
      </c>
      <c r="AN202" s="656">
        <f>J202/3</f>
        <v>1666666.6666666667</v>
      </c>
      <c r="AO202" s="355" t="s">
        <v>166</v>
      </c>
      <c r="AP202" s="355"/>
      <c r="AQ202" s="355"/>
      <c r="AR202" s="355" t="s">
        <v>3286</v>
      </c>
      <c r="AS202" s="355" t="s">
        <v>3216</v>
      </c>
      <c r="AT202" s="133"/>
      <c r="AU202" s="133"/>
      <c r="AV202" s="133"/>
      <c r="AW202" s="657"/>
      <c r="AX202" s="133"/>
      <c r="AY202" s="133"/>
      <c r="AZ202" s="133"/>
      <c r="BA202" s="133"/>
      <c r="BB202" s="133"/>
      <c r="BC202" s="133"/>
      <c r="BD202" s="133"/>
      <c r="BE202" s="657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348" t="s">
        <v>3190</v>
      </c>
      <c r="BR202" s="348" t="s">
        <v>3191</v>
      </c>
      <c r="BS202" s="133" t="s">
        <v>4182</v>
      </c>
      <c r="BT202" s="133" t="s">
        <v>3832</v>
      </c>
      <c r="BU202" s="133" t="s">
        <v>4183</v>
      </c>
      <c r="BV202" s="133" t="s">
        <v>3832</v>
      </c>
      <c r="BW202" s="133" t="s">
        <v>4184</v>
      </c>
      <c r="BX202" s="133" t="s">
        <v>3832</v>
      </c>
      <c r="BY202" s="133"/>
      <c r="BZ202" s="134"/>
      <c r="CA202" s="133"/>
      <c r="CB202" s="133"/>
      <c r="CC202" s="133"/>
      <c r="CD202" s="133"/>
      <c r="CE202" s="133"/>
      <c r="CF202" s="133"/>
      <c r="CG202" s="23" t="s">
        <v>3981</v>
      </c>
      <c r="CH202" s="133" t="s">
        <v>4176</v>
      </c>
      <c r="CI202" s="474"/>
      <c r="CJ202" s="134"/>
    </row>
    <row r="203" spans="1:89" s="553" customFormat="1" ht="48">
      <c r="A203" s="355">
        <v>42</v>
      </c>
      <c r="B203" s="349" t="s">
        <v>4143</v>
      </c>
      <c r="C203" s="348" t="s">
        <v>4185</v>
      </c>
      <c r="D203" s="331" t="s">
        <v>4186</v>
      </c>
      <c r="E203" s="355" t="s">
        <v>31</v>
      </c>
      <c r="F203" s="355">
        <v>2023</v>
      </c>
      <c r="G203" s="355">
        <v>2023</v>
      </c>
      <c r="H203" s="355">
        <v>7</v>
      </c>
      <c r="I203" s="355" t="s">
        <v>3968</v>
      </c>
      <c r="J203" s="356">
        <v>6000000</v>
      </c>
      <c r="K203" s="355" t="s">
        <v>3091</v>
      </c>
      <c r="L203" s="355">
        <v>6</v>
      </c>
      <c r="M203" s="355" t="s">
        <v>3222</v>
      </c>
      <c r="N203" s="355" t="s">
        <v>3223</v>
      </c>
      <c r="O203" s="355" t="s">
        <v>3215</v>
      </c>
      <c r="P203" s="355" t="s">
        <v>3923</v>
      </c>
      <c r="Q203" s="355">
        <v>6826699</v>
      </c>
      <c r="R203" s="355" t="s">
        <v>33</v>
      </c>
      <c r="S203" s="653" t="s">
        <v>1905</v>
      </c>
      <c r="T203" s="659">
        <f>J203/3</f>
        <v>2000000</v>
      </c>
      <c r="U203" s="355" t="s">
        <v>166</v>
      </c>
      <c r="V203" s="355"/>
      <c r="W203" s="355"/>
      <c r="X203" s="355" t="s">
        <v>3286</v>
      </c>
      <c r="Y203" s="355" t="s">
        <v>3216</v>
      </c>
      <c r="Z203" s="355">
        <v>8140</v>
      </c>
      <c r="AA203" s="355">
        <v>72019</v>
      </c>
      <c r="AB203" s="653" t="s">
        <v>3999</v>
      </c>
      <c r="AC203" s="357" t="s">
        <v>2009</v>
      </c>
      <c r="AD203" s="355" t="s">
        <v>37</v>
      </c>
      <c r="AE203" s="656">
        <f>J203/3</f>
        <v>2000000</v>
      </c>
      <c r="AF203" s="355" t="s">
        <v>166</v>
      </c>
      <c r="AG203" s="355"/>
      <c r="AH203" s="355"/>
      <c r="AI203" s="355" t="s">
        <v>3286</v>
      </c>
      <c r="AJ203" s="355" t="s">
        <v>3216</v>
      </c>
      <c r="AK203" s="653" t="s">
        <v>4181</v>
      </c>
      <c r="AL203" s="357" t="s">
        <v>1917</v>
      </c>
      <c r="AM203" s="355" t="s">
        <v>179</v>
      </c>
      <c r="AN203" s="656">
        <f>J203/3</f>
        <v>2000000</v>
      </c>
      <c r="AO203" s="355" t="s">
        <v>166</v>
      </c>
      <c r="AP203" s="355"/>
      <c r="AQ203" s="355"/>
      <c r="AR203" s="355" t="s">
        <v>3286</v>
      </c>
      <c r="AS203" s="355" t="s">
        <v>3216</v>
      </c>
      <c r="AT203" s="133"/>
      <c r="AU203" s="133"/>
      <c r="AV203" s="133"/>
      <c r="AW203" s="657"/>
      <c r="AX203" s="133"/>
      <c r="AY203" s="133"/>
      <c r="AZ203" s="133"/>
      <c r="BA203" s="133"/>
      <c r="BB203" s="133"/>
      <c r="BC203" s="133"/>
      <c r="BD203" s="133"/>
      <c r="BE203" s="657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348" t="s">
        <v>3190</v>
      </c>
      <c r="BR203" s="15" t="s">
        <v>3191</v>
      </c>
      <c r="BS203" s="133" t="s">
        <v>4187</v>
      </c>
      <c r="BT203" s="133" t="s">
        <v>3832</v>
      </c>
      <c r="BU203" s="133" t="s">
        <v>4188</v>
      </c>
      <c r="BV203" s="133" t="s">
        <v>3832</v>
      </c>
      <c r="BW203" s="133" t="s">
        <v>4189</v>
      </c>
      <c r="BX203" s="133" t="s">
        <v>3832</v>
      </c>
      <c r="BY203" s="133"/>
      <c r="BZ203" s="134"/>
      <c r="CA203" s="133"/>
      <c r="CB203" s="133"/>
      <c r="CC203" s="133"/>
      <c r="CD203" s="133"/>
      <c r="CE203" s="133"/>
      <c r="CF203" s="133"/>
      <c r="CG203" s="133" t="s">
        <v>3981</v>
      </c>
      <c r="CH203" s="133" t="s">
        <v>4176</v>
      </c>
      <c r="CI203" s="474" t="s">
        <v>277</v>
      </c>
      <c r="CJ203" s="134"/>
    </row>
    <row r="204" spans="1:89" s="146" customFormat="1" ht="72">
      <c r="A204" s="15">
        <v>43</v>
      </c>
      <c r="B204" s="15" t="s">
        <v>4143</v>
      </c>
      <c r="C204" s="15" t="s">
        <v>4190</v>
      </c>
      <c r="D204" s="15" t="s">
        <v>4191</v>
      </c>
      <c r="E204" s="15" t="s">
        <v>31</v>
      </c>
      <c r="F204" s="15">
        <v>2023</v>
      </c>
      <c r="G204" s="15">
        <v>2023</v>
      </c>
      <c r="H204" s="15">
        <v>7</v>
      </c>
      <c r="I204" s="15" t="s">
        <v>3953</v>
      </c>
      <c r="J204" s="15">
        <v>7000000</v>
      </c>
      <c r="K204" s="15" t="s">
        <v>3091</v>
      </c>
      <c r="L204" s="15">
        <v>2</v>
      </c>
      <c r="M204" s="15" t="s">
        <v>3222</v>
      </c>
      <c r="N204" s="355" t="s">
        <v>3223</v>
      </c>
      <c r="O204" s="15" t="s">
        <v>3215</v>
      </c>
      <c r="P204" s="15" t="s">
        <v>3923</v>
      </c>
      <c r="Q204" s="15" t="s">
        <v>4192</v>
      </c>
      <c r="R204" s="15" t="s">
        <v>35</v>
      </c>
      <c r="S204" s="15" t="s">
        <v>2022</v>
      </c>
      <c r="T204" s="15">
        <f>J204/3</f>
        <v>2333333.3333333335</v>
      </c>
      <c r="U204" s="15" t="s">
        <v>166</v>
      </c>
      <c r="V204" s="15"/>
      <c r="W204" s="15"/>
      <c r="X204" s="15" t="s">
        <v>3286</v>
      </c>
      <c r="Y204" s="15" t="s">
        <v>3216</v>
      </c>
      <c r="Z204" s="15">
        <v>8140</v>
      </c>
      <c r="AA204" s="15">
        <v>72019</v>
      </c>
      <c r="AB204" s="15" t="s">
        <v>4039</v>
      </c>
      <c r="AC204" s="15" t="s">
        <v>1751</v>
      </c>
      <c r="AD204" s="15" t="s">
        <v>39</v>
      </c>
      <c r="AE204" s="15">
        <f>J204/3</f>
        <v>2333333.3333333335</v>
      </c>
      <c r="AF204" s="15" t="s">
        <v>166</v>
      </c>
      <c r="AG204" s="15"/>
      <c r="AH204" s="15"/>
      <c r="AI204" s="15" t="s">
        <v>3286</v>
      </c>
      <c r="AJ204" s="15" t="s">
        <v>3216</v>
      </c>
      <c r="AK204" s="15">
        <v>6787771</v>
      </c>
      <c r="AL204" s="341" t="s">
        <v>1676</v>
      </c>
      <c r="AM204" s="15" t="s">
        <v>180</v>
      </c>
      <c r="AN204" s="15">
        <f>J204/3</f>
        <v>2333333.3333333335</v>
      </c>
      <c r="AO204" s="15" t="s">
        <v>166</v>
      </c>
      <c r="AP204" s="15"/>
      <c r="AQ204" s="15"/>
      <c r="AR204" s="15" t="s">
        <v>3286</v>
      </c>
      <c r="AS204" s="15" t="s">
        <v>3216</v>
      </c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 t="s">
        <v>3190</v>
      </c>
      <c r="BR204" s="348" t="s">
        <v>3191</v>
      </c>
      <c r="BS204" s="15" t="s">
        <v>4193</v>
      </c>
      <c r="BT204" s="15" t="s">
        <v>3832</v>
      </c>
      <c r="BU204" s="15" t="s">
        <v>4194</v>
      </c>
      <c r="BV204" s="15" t="s">
        <v>3832</v>
      </c>
      <c r="BW204" s="15" t="s">
        <v>4195</v>
      </c>
      <c r="BX204" s="15" t="s">
        <v>3832</v>
      </c>
      <c r="BY204" s="15"/>
      <c r="BZ204" s="15"/>
      <c r="CA204" s="15"/>
      <c r="CB204" s="15"/>
      <c r="CC204" s="15"/>
      <c r="CD204" s="15"/>
      <c r="CE204" s="15"/>
      <c r="CF204" s="15"/>
      <c r="CG204" s="15" t="s">
        <v>3627</v>
      </c>
      <c r="CH204" s="15" t="s">
        <v>3442</v>
      </c>
      <c r="CI204" s="664" t="s">
        <v>3062</v>
      </c>
      <c r="CJ204" s="15"/>
      <c r="CK204" s="562"/>
    </row>
    <row r="205" spans="1:89" s="128" customFormat="1" ht="96">
      <c r="A205" s="221">
        <v>44</v>
      </c>
      <c r="B205" s="349" t="s">
        <v>4143</v>
      </c>
      <c r="C205" s="348" t="s">
        <v>4196</v>
      </c>
      <c r="D205" s="336" t="s">
        <v>4197</v>
      </c>
      <c r="E205" s="221" t="s">
        <v>84</v>
      </c>
      <c r="F205" s="221">
        <v>2023</v>
      </c>
      <c r="G205" s="221">
        <v>2023</v>
      </c>
      <c r="H205" s="221">
        <v>7</v>
      </c>
      <c r="I205" s="221" t="s">
        <v>4198</v>
      </c>
      <c r="J205" s="566">
        <v>25000000</v>
      </c>
      <c r="K205" s="221" t="s">
        <v>3091</v>
      </c>
      <c r="L205" s="221">
        <v>8</v>
      </c>
      <c r="M205" s="221" t="s">
        <v>3222</v>
      </c>
      <c r="N205" s="355" t="s">
        <v>3223</v>
      </c>
      <c r="O205" s="221" t="s">
        <v>3215</v>
      </c>
      <c r="P205" s="221" t="s">
        <v>3923</v>
      </c>
      <c r="Q205" s="221">
        <v>6680651</v>
      </c>
      <c r="R205" s="221" t="s">
        <v>12</v>
      </c>
      <c r="S205" s="221" t="s">
        <v>1016</v>
      </c>
      <c r="T205" s="665">
        <f>J205/3</f>
        <v>8333333.333333333</v>
      </c>
      <c r="U205" s="221" t="s">
        <v>155</v>
      </c>
      <c r="V205" s="221"/>
      <c r="W205" s="221"/>
      <c r="X205" s="221" t="s">
        <v>3281</v>
      </c>
      <c r="Y205" s="221" t="s">
        <v>3216</v>
      </c>
      <c r="Z205" s="221">
        <v>8140</v>
      </c>
      <c r="AA205" s="221">
        <v>72019</v>
      </c>
      <c r="AB205" s="221">
        <v>6680683</v>
      </c>
      <c r="AC205" s="360" t="s">
        <v>2454</v>
      </c>
      <c r="AD205" s="221" t="s">
        <v>10</v>
      </c>
      <c r="AE205" s="618">
        <f>T205</f>
        <v>8333333.333333333</v>
      </c>
      <c r="AF205" s="221" t="s">
        <v>3477</v>
      </c>
      <c r="AG205" s="221"/>
      <c r="AH205" s="221"/>
      <c r="AI205" s="221" t="s">
        <v>3281</v>
      </c>
      <c r="AJ205" s="221" t="s">
        <v>3216</v>
      </c>
      <c r="AK205" s="360" t="s">
        <v>4199</v>
      </c>
      <c r="AL205" s="337" t="s">
        <v>978</v>
      </c>
      <c r="AM205" s="221" t="s">
        <v>178</v>
      </c>
      <c r="AN205" s="618">
        <f>T205</f>
        <v>8333333.333333333</v>
      </c>
      <c r="AO205" s="221" t="str">
        <f>U205</f>
        <v>Teknik Elektro</v>
      </c>
      <c r="AP205" s="221"/>
      <c r="AQ205" s="221"/>
      <c r="AR205" s="221" t="str">
        <f>X205</f>
        <v>FTEIC</v>
      </c>
      <c r="AS205" s="221" t="str">
        <f>Y205</f>
        <v>ITTelkom Surabaya</v>
      </c>
      <c r="AT205" s="127"/>
      <c r="AU205" s="127"/>
      <c r="AV205" s="127"/>
      <c r="AW205" s="619"/>
      <c r="AX205" s="127"/>
      <c r="AY205" s="127"/>
      <c r="AZ205" s="127"/>
      <c r="BA205" s="127"/>
      <c r="BB205" s="127"/>
      <c r="BC205" s="127"/>
      <c r="BD205" s="127"/>
      <c r="BE205" s="619"/>
      <c r="BF205" s="127"/>
      <c r="BG205" s="127"/>
      <c r="BH205" s="127"/>
      <c r="BI205" s="127"/>
      <c r="BJ205" s="127"/>
      <c r="BK205" s="127"/>
      <c r="BL205" s="127"/>
      <c r="BM205" s="127"/>
      <c r="BN205" s="127"/>
      <c r="BO205" s="127"/>
      <c r="BP205" s="127"/>
      <c r="BQ205" s="348" t="s">
        <v>3190</v>
      </c>
      <c r="BR205" s="348" t="s">
        <v>3191</v>
      </c>
      <c r="BS205" s="127" t="s">
        <v>3479</v>
      </c>
      <c r="BT205" s="127" t="s">
        <v>3841</v>
      </c>
      <c r="BU205" s="127" t="s">
        <v>4200</v>
      </c>
      <c r="BV205" s="127" t="s">
        <v>3841</v>
      </c>
      <c r="BW205" s="127" t="s">
        <v>4201</v>
      </c>
      <c r="BX205" s="127" t="s">
        <v>3832</v>
      </c>
      <c r="BY205" s="127"/>
      <c r="BZ205" s="127"/>
      <c r="CA205" s="127"/>
      <c r="CB205" s="127"/>
      <c r="CC205" s="127"/>
      <c r="CD205" s="127"/>
      <c r="CE205" s="127"/>
      <c r="CF205" s="127"/>
      <c r="CG205" s="127" t="s">
        <v>4202</v>
      </c>
      <c r="CH205" s="127" t="s">
        <v>4203</v>
      </c>
      <c r="CI205" s="666" t="s">
        <v>3096</v>
      </c>
      <c r="CJ205" s="126" t="s">
        <v>4204</v>
      </c>
    </row>
    <row r="206" spans="1:89" ht="84">
      <c r="A206" s="15">
        <v>45</v>
      </c>
      <c r="B206" s="349" t="s">
        <v>4143</v>
      </c>
      <c r="C206" s="348" t="s">
        <v>4205</v>
      </c>
      <c r="D206" s="14" t="s">
        <v>4206</v>
      </c>
      <c r="E206" s="15" t="s">
        <v>84</v>
      </c>
      <c r="F206" s="15">
        <v>2023</v>
      </c>
      <c r="G206" s="15">
        <v>2023</v>
      </c>
      <c r="H206" s="15">
        <v>7</v>
      </c>
      <c r="I206" s="15" t="s">
        <v>3931</v>
      </c>
      <c r="J206" s="350">
        <v>25000000</v>
      </c>
      <c r="K206" s="15" t="s">
        <v>3091</v>
      </c>
      <c r="L206" s="15">
        <v>6</v>
      </c>
      <c r="M206" s="15" t="s">
        <v>3222</v>
      </c>
      <c r="N206" s="355" t="s">
        <v>3223</v>
      </c>
      <c r="O206" s="15" t="s">
        <v>3215</v>
      </c>
      <c r="P206" s="15" t="s">
        <v>3923</v>
      </c>
      <c r="Q206" s="15">
        <v>6680708</v>
      </c>
      <c r="R206" s="15" t="s">
        <v>85</v>
      </c>
      <c r="S206" s="334" t="s">
        <v>2436</v>
      </c>
      <c r="T206" s="583">
        <f>J206/2</f>
        <v>12500000</v>
      </c>
      <c r="U206" s="15" t="s">
        <v>155</v>
      </c>
      <c r="V206" s="15"/>
      <c r="W206" s="15"/>
      <c r="X206" s="15" t="s">
        <v>3281</v>
      </c>
      <c r="Y206" s="15" t="s">
        <v>3216</v>
      </c>
      <c r="Z206" s="15">
        <v>8140</v>
      </c>
      <c r="AA206" s="15">
        <v>72019</v>
      </c>
      <c r="AB206" s="15">
        <v>6658545</v>
      </c>
      <c r="AC206" s="204" t="s">
        <v>984</v>
      </c>
      <c r="AD206" s="15" t="s">
        <v>40</v>
      </c>
      <c r="AE206" s="583">
        <f>J206/2</f>
        <v>12500000</v>
      </c>
      <c r="AF206" s="15" t="s">
        <v>160</v>
      </c>
      <c r="AG206" s="15"/>
      <c r="AH206" s="15"/>
      <c r="AI206" s="15" t="s">
        <v>3286</v>
      </c>
      <c r="AJ206" s="15" t="s">
        <v>3216</v>
      </c>
      <c r="AK206" s="15"/>
      <c r="AL206" s="341"/>
      <c r="AM206" s="15"/>
      <c r="AN206" s="583"/>
      <c r="AO206" s="15"/>
      <c r="AP206" s="15"/>
      <c r="AQ206" s="15"/>
      <c r="AR206" s="15"/>
      <c r="AS206" s="15"/>
      <c r="AT206" s="23"/>
      <c r="AU206" s="23"/>
      <c r="AV206" s="23"/>
      <c r="AW206" s="534"/>
      <c r="AX206" s="23"/>
      <c r="AY206" s="23"/>
      <c r="AZ206" s="23"/>
      <c r="BA206" s="23"/>
      <c r="BB206" s="23"/>
      <c r="BC206" s="23"/>
      <c r="BD206" s="23"/>
      <c r="BE206" s="534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348" t="s">
        <v>3190</v>
      </c>
      <c r="BR206" s="348" t="s">
        <v>3191</v>
      </c>
      <c r="BS206" s="23" t="s">
        <v>3479</v>
      </c>
      <c r="BT206" s="14" t="s">
        <v>3841</v>
      </c>
      <c r="BU206" s="23" t="s">
        <v>4207</v>
      </c>
      <c r="BV206" s="14" t="s">
        <v>3841</v>
      </c>
      <c r="BW206" s="14" t="s">
        <v>4208</v>
      </c>
      <c r="BX206" s="23" t="s">
        <v>3958</v>
      </c>
      <c r="BY206" s="23"/>
      <c r="BZ206" s="36"/>
      <c r="CA206" s="23"/>
      <c r="CB206" s="23"/>
      <c r="CC206" s="23"/>
      <c r="CD206" s="23"/>
      <c r="CE206" s="23"/>
      <c r="CF206" s="23"/>
      <c r="CG206" s="663" t="s">
        <v>4150</v>
      </c>
      <c r="CH206" s="23" t="s">
        <v>4176</v>
      </c>
      <c r="CI206" s="471" t="s">
        <v>3060</v>
      </c>
      <c r="CJ206" s="36"/>
    </row>
    <row r="207" spans="1:89" ht="48">
      <c r="A207" s="15">
        <v>46</v>
      </c>
      <c r="B207" s="349" t="s">
        <v>4209</v>
      </c>
      <c r="C207" s="348" t="s">
        <v>4210</v>
      </c>
      <c r="D207" s="14" t="s">
        <v>4211</v>
      </c>
      <c r="E207" s="15" t="s">
        <v>86</v>
      </c>
      <c r="F207" s="15">
        <v>2023</v>
      </c>
      <c r="G207" s="15">
        <v>2023</v>
      </c>
      <c r="H207" s="15">
        <v>4</v>
      </c>
      <c r="I207" s="15" t="s">
        <v>3294</v>
      </c>
      <c r="J207" s="350">
        <v>40000000</v>
      </c>
      <c r="K207" s="15" t="s">
        <v>3091</v>
      </c>
      <c r="L207" s="15">
        <v>7</v>
      </c>
      <c r="M207" s="15" t="s">
        <v>4212</v>
      </c>
      <c r="N207" s="355" t="s">
        <v>3223</v>
      </c>
      <c r="O207" s="15" t="s">
        <v>3215</v>
      </c>
      <c r="P207" s="15" t="s">
        <v>3923</v>
      </c>
      <c r="Q207" s="204" t="s">
        <v>4213</v>
      </c>
      <c r="R207" s="15" t="s">
        <v>87</v>
      </c>
      <c r="S207" s="334" t="s">
        <v>2471</v>
      </c>
      <c r="T207" s="583">
        <f>J207/3</f>
        <v>13333333.333333334</v>
      </c>
      <c r="U207" s="15" t="s">
        <v>4214</v>
      </c>
      <c r="V207" s="15"/>
      <c r="W207" s="15"/>
      <c r="X207" s="15" t="s">
        <v>3281</v>
      </c>
      <c r="Y207" s="15" t="s">
        <v>3216</v>
      </c>
      <c r="Z207" s="15">
        <v>8140</v>
      </c>
      <c r="AA207" s="15">
        <v>72019</v>
      </c>
      <c r="AB207" s="15">
        <v>6724784</v>
      </c>
      <c r="AC207" s="204" t="s">
        <v>1781</v>
      </c>
      <c r="AD207" s="15" t="s">
        <v>108</v>
      </c>
      <c r="AE207" s="583">
        <f>J207/3</f>
        <v>13333333.333333334</v>
      </c>
      <c r="AF207" s="15" t="s">
        <v>4214</v>
      </c>
      <c r="AG207" s="15"/>
      <c r="AH207" s="15"/>
      <c r="AI207" s="15" t="s">
        <v>3281</v>
      </c>
      <c r="AJ207" s="15" t="s">
        <v>3216</v>
      </c>
      <c r="AK207" s="15">
        <v>6680625</v>
      </c>
      <c r="AL207" s="341" t="s">
        <v>1782</v>
      </c>
      <c r="AM207" s="15" t="s">
        <v>23</v>
      </c>
      <c r="AN207" s="583">
        <f>J207/3</f>
        <v>13333333.333333334</v>
      </c>
      <c r="AO207" s="15" t="s">
        <v>4214</v>
      </c>
      <c r="AP207" s="15"/>
      <c r="AQ207" s="15"/>
      <c r="AR207" s="15" t="s">
        <v>3281</v>
      </c>
      <c r="AS207" s="15" t="s">
        <v>3216</v>
      </c>
      <c r="AT207" s="23"/>
      <c r="AU207" s="23"/>
      <c r="AV207" s="23"/>
      <c r="AW207" s="534"/>
      <c r="AX207" s="23"/>
      <c r="AY207" s="23"/>
      <c r="AZ207" s="23"/>
      <c r="BA207" s="23"/>
      <c r="BB207" s="23"/>
      <c r="BC207" s="23"/>
      <c r="BD207" s="23"/>
      <c r="BE207" s="534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348" t="s">
        <v>3190</v>
      </c>
      <c r="BR207" s="15" t="s">
        <v>3191</v>
      </c>
      <c r="BS207" s="23" t="s">
        <v>4215</v>
      </c>
      <c r="BT207" s="14" t="s">
        <v>4216</v>
      </c>
      <c r="BU207" s="23" t="s">
        <v>4217</v>
      </c>
      <c r="BV207" s="14" t="s">
        <v>4216</v>
      </c>
      <c r="BW207" s="23" t="s">
        <v>4218</v>
      </c>
      <c r="BX207" s="14" t="s">
        <v>4216</v>
      </c>
      <c r="BY207" s="23"/>
      <c r="BZ207" s="36"/>
      <c r="CA207" s="23"/>
      <c r="CB207" s="23"/>
      <c r="CC207" s="23"/>
      <c r="CD207" s="23"/>
      <c r="CE207" s="23"/>
      <c r="CF207" s="23"/>
      <c r="CG207" s="23"/>
      <c r="CH207" s="23"/>
      <c r="CI207" s="471"/>
      <c r="CJ207" s="36"/>
    </row>
    <row r="208" spans="1:89" s="553" customFormat="1" ht="48">
      <c r="A208" s="355">
        <v>47</v>
      </c>
      <c r="B208" s="349" t="s">
        <v>4219</v>
      </c>
      <c r="C208" s="348" t="s">
        <v>4220</v>
      </c>
      <c r="D208" s="331" t="s">
        <v>4221</v>
      </c>
      <c r="E208" s="355" t="s">
        <v>66</v>
      </c>
      <c r="F208" s="355">
        <v>2023</v>
      </c>
      <c r="G208" s="355">
        <v>2023</v>
      </c>
      <c r="H208" s="355">
        <v>7</v>
      </c>
      <c r="I208" s="355" t="s">
        <v>3922</v>
      </c>
      <c r="J208" s="356">
        <v>12120000</v>
      </c>
      <c r="K208" s="355" t="s">
        <v>3091</v>
      </c>
      <c r="L208" s="355">
        <v>3</v>
      </c>
      <c r="M208" s="133" t="s">
        <v>66</v>
      </c>
      <c r="N208" s="355" t="s">
        <v>3223</v>
      </c>
      <c r="O208" s="15" t="s">
        <v>3215</v>
      </c>
      <c r="P208" s="355" t="s">
        <v>4058</v>
      </c>
      <c r="Q208" s="15">
        <v>6099359</v>
      </c>
      <c r="R208" s="15" t="s">
        <v>67</v>
      </c>
      <c r="S208" s="334" t="s">
        <v>977</v>
      </c>
      <c r="T208" s="656"/>
      <c r="U208" s="15" t="s">
        <v>166</v>
      </c>
      <c r="V208" s="15"/>
      <c r="W208" s="15"/>
      <c r="X208" s="15" t="s">
        <v>3286</v>
      </c>
      <c r="Y208" s="15" t="s">
        <v>3216</v>
      </c>
      <c r="Z208" s="15">
        <v>8140</v>
      </c>
      <c r="AA208" s="15">
        <v>72019</v>
      </c>
      <c r="AB208" s="355">
        <v>6099359</v>
      </c>
      <c r="AC208" s="653" t="s">
        <v>977</v>
      </c>
      <c r="AD208" s="355" t="s">
        <v>148</v>
      </c>
      <c r="AE208" s="583">
        <f>J208/2</f>
        <v>6060000</v>
      </c>
      <c r="AF208" s="355" t="s">
        <v>166</v>
      </c>
      <c r="AG208" s="355"/>
      <c r="AH208" s="355"/>
      <c r="AI208" s="355" t="s">
        <v>3286</v>
      </c>
      <c r="AJ208" s="355" t="s">
        <v>3216</v>
      </c>
      <c r="AK208" s="355">
        <v>6802117</v>
      </c>
      <c r="AL208" s="530">
        <v>724098701</v>
      </c>
      <c r="AM208" s="355" t="s">
        <v>178</v>
      </c>
      <c r="AN208" s="583">
        <f>AE208</f>
        <v>6060000</v>
      </c>
      <c r="AO208" s="355" t="s">
        <v>166</v>
      </c>
      <c r="AP208" s="355"/>
      <c r="AQ208" s="355"/>
      <c r="AR208" s="355" t="s">
        <v>3286</v>
      </c>
      <c r="AS208" s="355" t="s">
        <v>3216</v>
      </c>
      <c r="AT208" s="133"/>
      <c r="AU208" s="133"/>
      <c r="AV208" s="133"/>
      <c r="AW208" s="534"/>
      <c r="AX208" s="133"/>
      <c r="AY208" s="133"/>
      <c r="AZ208" s="133"/>
      <c r="BA208" s="133"/>
      <c r="BB208" s="133"/>
      <c r="BC208" s="133"/>
      <c r="BD208" s="133"/>
      <c r="BE208" s="534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348" t="s">
        <v>3190</v>
      </c>
      <c r="BR208" s="348" t="s">
        <v>3191</v>
      </c>
      <c r="BS208" s="133" t="s">
        <v>4222</v>
      </c>
      <c r="BT208" s="133" t="s">
        <v>3832</v>
      </c>
      <c r="BU208" s="133" t="s">
        <v>4068</v>
      </c>
      <c r="BV208" s="133" t="s">
        <v>3832</v>
      </c>
      <c r="BW208" s="133" t="s">
        <v>4223</v>
      </c>
      <c r="BX208" s="134"/>
      <c r="BY208" s="133"/>
      <c r="BZ208" s="134"/>
      <c r="CA208" s="133"/>
      <c r="CB208" s="133"/>
      <c r="CC208" s="133"/>
      <c r="CD208" s="133"/>
      <c r="CE208" s="133"/>
      <c r="CF208" s="133"/>
      <c r="CG208" s="133"/>
      <c r="CH208" s="349" t="s">
        <v>3528</v>
      </c>
      <c r="CI208" s="474" t="s">
        <v>4224</v>
      </c>
      <c r="CJ208" s="134"/>
    </row>
    <row r="209" spans="1:91" ht="48">
      <c r="A209" s="15">
        <v>48</v>
      </c>
      <c r="B209" s="349" t="s">
        <v>4225</v>
      </c>
      <c r="C209" s="15"/>
      <c r="D209" s="14" t="s">
        <v>4226</v>
      </c>
      <c r="E209" s="15" t="s">
        <v>4227</v>
      </c>
      <c r="F209" s="15">
        <v>2023</v>
      </c>
      <c r="G209" s="15">
        <v>2023</v>
      </c>
      <c r="H209" s="15"/>
      <c r="I209" s="15" t="s">
        <v>4019</v>
      </c>
      <c r="J209" s="361">
        <v>99130000</v>
      </c>
      <c r="K209" s="15" t="s">
        <v>3091</v>
      </c>
      <c r="L209" s="15"/>
      <c r="M209" s="23"/>
      <c r="N209" s="15" t="s">
        <v>4228</v>
      </c>
      <c r="O209" s="15" t="s">
        <v>3215</v>
      </c>
      <c r="P209" s="15" t="s">
        <v>4079</v>
      </c>
      <c r="Q209" s="15">
        <v>6680633</v>
      </c>
      <c r="R209" s="15" t="s">
        <v>18</v>
      </c>
      <c r="S209" s="341">
        <v>717017902</v>
      </c>
      <c r="T209" s="583">
        <f>J209/4</f>
        <v>24782500</v>
      </c>
      <c r="U209" s="15" t="s">
        <v>156</v>
      </c>
      <c r="V209" s="15" t="s">
        <v>166</v>
      </c>
      <c r="W209" s="15"/>
      <c r="X209" s="15" t="s">
        <v>3286</v>
      </c>
      <c r="Y209" s="15" t="s">
        <v>3216</v>
      </c>
      <c r="Z209" s="15">
        <v>8140</v>
      </c>
      <c r="AA209" s="15">
        <v>72019</v>
      </c>
      <c r="AB209" s="15">
        <v>6682174</v>
      </c>
      <c r="AC209" s="15">
        <v>708069202</v>
      </c>
      <c r="AD209" s="15" t="s">
        <v>20</v>
      </c>
      <c r="AE209" s="583">
        <f t="shared" ref="AE209:AE217" si="30">T209</f>
        <v>24782500</v>
      </c>
      <c r="AF209" s="15" t="s">
        <v>156</v>
      </c>
      <c r="AG209" s="15"/>
      <c r="AH209" s="15"/>
      <c r="AI209" s="15" t="s">
        <v>3286</v>
      </c>
      <c r="AJ209" s="15" t="s">
        <v>3216</v>
      </c>
      <c r="AK209" s="15"/>
      <c r="AL209" s="341"/>
      <c r="AM209" s="15" t="s">
        <v>323</v>
      </c>
      <c r="AN209" s="583">
        <v>0</v>
      </c>
      <c r="AO209" s="15"/>
      <c r="AP209" s="15"/>
      <c r="AQ209" s="15"/>
      <c r="AR209" s="15"/>
      <c r="AS209" s="15"/>
      <c r="AT209" s="23">
        <v>6767777</v>
      </c>
      <c r="AU209" s="23">
        <v>713059501</v>
      </c>
      <c r="AV209" s="23" t="s">
        <v>34</v>
      </c>
      <c r="AW209" s="534">
        <f>T209</f>
        <v>24782500</v>
      </c>
      <c r="AX209" s="15" t="s">
        <v>156</v>
      </c>
      <c r="AY209" s="15"/>
      <c r="AZ209" s="15" t="s">
        <v>3286</v>
      </c>
      <c r="BA209" s="15" t="s">
        <v>3216</v>
      </c>
      <c r="BB209" s="23">
        <v>6801945</v>
      </c>
      <c r="BC209" s="23">
        <v>713029701</v>
      </c>
      <c r="BD209" s="23" t="s">
        <v>134</v>
      </c>
      <c r="BE209" s="534">
        <f>T209</f>
        <v>24782500</v>
      </c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348" t="s">
        <v>3190</v>
      </c>
      <c r="BR209" s="15" t="s">
        <v>3191</v>
      </c>
      <c r="BS209" s="23" t="s">
        <v>1818</v>
      </c>
      <c r="BT209" s="23" t="s">
        <v>3857</v>
      </c>
      <c r="BU209" s="23" t="s">
        <v>3106</v>
      </c>
      <c r="BV209" s="23" t="s">
        <v>3862</v>
      </c>
      <c r="BW209" s="23" t="s">
        <v>4229</v>
      </c>
      <c r="BX209" s="23" t="s">
        <v>3857</v>
      </c>
      <c r="BY209" s="23" t="s">
        <v>1421</v>
      </c>
      <c r="BZ209" s="23" t="s">
        <v>3857</v>
      </c>
      <c r="CA209" s="23" t="s">
        <v>4230</v>
      </c>
      <c r="CB209" s="23"/>
      <c r="CC209" s="23" t="s">
        <v>4231</v>
      </c>
      <c r="CD209" s="23"/>
      <c r="CE209" s="23"/>
      <c r="CF209" s="23"/>
      <c r="CG209" s="23"/>
      <c r="CH209" s="23"/>
      <c r="CI209" s="471"/>
      <c r="CJ209" s="36"/>
    </row>
    <row r="210" spans="1:91" s="145" customFormat="1" ht="48">
      <c r="A210" s="15">
        <v>49</v>
      </c>
      <c r="B210" s="15" t="s">
        <v>4232</v>
      </c>
      <c r="C210" s="15" t="s">
        <v>4233</v>
      </c>
      <c r="D210" s="15" t="s">
        <v>4234</v>
      </c>
      <c r="E210" s="15" t="s">
        <v>86</v>
      </c>
      <c r="F210" s="15">
        <v>2023</v>
      </c>
      <c r="G210" s="15">
        <v>2023</v>
      </c>
      <c r="H210" s="15">
        <v>3</v>
      </c>
      <c r="I210" s="15" t="s">
        <v>3532</v>
      </c>
      <c r="J210" s="362">
        <v>45000000</v>
      </c>
      <c r="K210" s="15" t="s">
        <v>3091</v>
      </c>
      <c r="L210" s="15">
        <v>7</v>
      </c>
      <c r="M210" s="15" t="s">
        <v>3222</v>
      </c>
      <c r="N210" s="355" t="s">
        <v>3223</v>
      </c>
      <c r="O210" s="15" t="s">
        <v>3215</v>
      </c>
      <c r="P210" s="15" t="s">
        <v>3923</v>
      </c>
      <c r="Q210" s="15">
        <v>6859016</v>
      </c>
      <c r="R210" s="15" t="s">
        <v>52</v>
      </c>
      <c r="S210" s="204" t="s">
        <v>2497</v>
      </c>
      <c r="T210" s="362">
        <f>J210/3</f>
        <v>15000000</v>
      </c>
      <c r="U210" s="15" t="s">
        <v>155</v>
      </c>
      <c r="V210" s="15"/>
      <c r="W210" s="15"/>
      <c r="X210" s="15" t="s">
        <v>3281</v>
      </c>
      <c r="Y210" s="15" t="s">
        <v>3216</v>
      </c>
      <c r="Z210" s="15">
        <v>8140</v>
      </c>
      <c r="AA210" s="15">
        <v>72019</v>
      </c>
      <c r="AB210" s="15">
        <v>6680612</v>
      </c>
      <c r="AC210" s="15" t="s">
        <v>960</v>
      </c>
      <c r="AD210" s="15" t="s">
        <v>19</v>
      </c>
      <c r="AE210" s="15">
        <f t="shared" si="30"/>
        <v>15000000</v>
      </c>
      <c r="AF210" s="15" t="s">
        <v>160</v>
      </c>
      <c r="AG210" s="15"/>
      <c r="AH210" s="15"/>
      <c r="AI210" s="15" t="s">
        <v>3281</v>
      </c>
      <c r="AJ210" s="15" t="s">
        <v>3216</v>
      </c>
      <c r="AK210" s="15">
        <v>258471</v>
      </c>
      <c r="AL210" s="341" t="s">
        <v>3504</v>
      </c>
      <c r="AM210" s="15" t="s">
        <v>60</v>
      </c>
      <c r="AN210" s="15">
        <f t="shared" ref="AN210:AN217" si="31">AE210</f>
        <v>15000000</v>
      </c>
      <c r="AO210" s="15" t="s">
        <v>155</v>
      </c>
      <c r="AP210" s="15"/>
      <c r="AQ210" s="15"/>
      <c r="AR210" s="15" t="s">
        <v>3281</v>
      </c>
      <c r="AS210" s="15" t="s">
        <v>3216</v>
      </c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 t="s">
        <v>3190</v>
      </c>
      <c r="BR210" s="15" t="s">
        <v>3191</v>
      </c>
      <c r="BS210" s="15" t="s">
        <v>4235</v>
      </c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61"/>
      <c r="CJ210" s="15"/>
      <c r="CK210" s="95"/>
      <c r="CL210" s="21"/>
      <c r="CM210" s="21"/>
    </row>
    <row r="211" spans="1:91" s="145" customFormat="1" ht="102" customHeight="1">
      <c r="A211" s="15">
        <v>50</v>
      </c>
      <c r="B211" s="349" t="s">
        <v>4236</v>
      </c>
      <c r="C211" s="348" t="s">
        <v>942</v>
      </c>
      <c r="D211" s="14" t="s">
        <v>4237</v>
      </c>
      <c r="E211" s="15" t="s">
        <v>4037</v>
      </c>
      <c r="F211" s="15">
        <v>2023</v>
      </c>
      <c r="G211" s="15">
        <v>2023</v>
      </c>
      <c r="H211" s="15">
        <v>9</v>
      </c>
      <c r="I211" s="15"/>
      <c r="J211" s="363">
        <v>333397618</v>
      </c>
      <c r="K211" s="15" t="s">
        <v>3091</v>
      </c>
      <c r="L211" s="15"/>
      <c r="M211" s="15" t="s">
        <v>4238</v>
      </c>
      <c r="N211" s="15" t="s">
        <v>3342</v>
      </c>
      <c r="O211" s="15" t="s">
        <v>3215</v>
      </c>
      <c r="P211" s="15" t="s">
        <v>4239</v>
      </c>
      <c r="Q211" s="15">
        <v>258471</v>
      </c>
      <c r="R211" s="15" t="s">
        <v>60</v>
      </c>
      <c r="S211" s="334" t="s">
        <v>3504</v>
      </c>
      <c r="T211" s="362">
        <f t="shared" ref="T211:T217" si="32">J211/6</f>
        <v>55566269.666666664</v>
      </c>
      <c r="U211" s="15" t="s">
        <v>155</v>
      </c>
      <c r="V211" s="15"/>
      <c r="W211" s="15"/>
      <c r="X211" s="15" t="s">
        <v>3281</v>
      </c>
      <c r="Y211" s="15" t="s">
        <v>3216</v>
      </c>
      <c r="Z211" s="15">
        <v>8140</v>
      </c>
      <c r="AA211" s="15">
        <v>72019</v>
      </c>
      <c r="AB211" s="15">
        <v>6680612</v>
      </c>
      <c r="AC211" s="204" t="s">
        <v>960</v>
      </c>
      <c r="AD211" s="15" t="s">
        <v>19</v>
      </c>
      <c r="AE211" s="583">
        <f t="shared" si="30"/>
        <v>55566269.666666664</v>
      </c>
      <c r="AF211" s="15" t="s">
        <v>155</v>
      </c>
      <c r="AG211" s="15"/>
      <c r="AH211" s="15"/>
      <c r="AI211" s="15" t="s">
        <v>3281</v>
      </c>
      <c r="AJ211" s="15" t="s">
        <v>3216</v>
      </c>
      <c r="AK211" s="15">
        <v>6680651</v>
      </c>
      <c r="AL211" s="334" t="s">
        <v>1016</v>
      </c>
      <c r="AM211" s="15" t="s">
        <v>12</v>
      </c>
      <c r="AN211" s="583">
        <f t="shared" si="31"/>
        <v>55566269.666666664</v>
      </c>
      <c r="AO211" s="15" t="s">
        <v>155</v>
      </c>
      <c r="AP211" s="15"/>
      <c r="AQ211" s="15"/>
      <c r="AR211" s="15" t="s">
        <v>3281</v>
      </c>
      <c r="AS211" s="15" t="s">
        <v>3216</v>
      </c>
      <c r="AT211" s="15">
        <v>6680631</v>
      </c>
      <c r="AU211" s="204" t="s">
        <v>1770</v>
      </c>
      <c r="AV211" s="15" t="s">
        <v>77</v>
      </c>
      <c r="AW211" s="534">
        <f t="shared" ref="AW211:AW217" si="33">T211</f>
        <v>55566269.666666664</v>
      </c>
      <c r="AX211" s="15" t="s">
        <v>155</v>
      </c>
      <c r="AY211" s="15"/>
      <c r="AZ211" s="15" t="s">
        <v>3281</v>
      </c>
      <c r="BA211" s="15" t="s">
        <v>3216</v>
      </c>
      <c r="BB211" s="15">
        <v>6898606</v>
      </c>
      <c r="BC211" s="204" t="s">
        <v>2460</v>
      </c>
      <c r="BD211" s="15" t="s">
        <v>198</v>
      </c>
      <c r="BE211" s="534">
        <f t="shared" ref="BE211:BE217" si="34">T211</f>
        <v>55566269.666666664</v>
      </c>
      <c r="BF211" s="23" t="s">
        <v>151</v>
      </c>
      <c r="BG211" s="23"/>
      <c r="BH211" s="23" t="s">
        <v>3281</v>
      </c>
      <c r="BI211" s="15" t="s">
        <v>3216</v>
      </c>
      <c r="BJ211" s="23"/>
      <c r="BK211" s="204" t="s">
        <v>1963</v>
      </c>
      <c r="BL211" s="23" t="s">
        <v>140</v>
      </c>
      <c r="BM211" s="23" t="s">
        <v>155</v>
      </c>
      <c r="BN211" s="23" t="s">
        <v>3281</v>
      </c>
      <c r="BO211" s="23"/>
      <c r="BP211" s="23"/>
      <c r="BQ211" s="348"/>
      <c r="BR211" s="15"/>
      <c r="BS211" s="23"/>
      <c r="BT211" s="15"/>
      <c r="BU211" s="23"/>
      <c r="BV211" s="15"/>
      <c r="BW211" s="15"/>
      <c r="BX211" s="15"/>
      <c r="BY211" s="15"/>
      <c r="BZ211" s="15"/>
      <c r="CA211" s="15"/>
      <c r="CB211" s="15"/>
      <c r="CC211" s="15"/>
      <c r="CD211" s="23"/>
      <c r="CE211" s="23"/>
      <c r="CF211" s="23"/>
      <c r="CG211" s="23"/>
      <c r="CH211" s="15"/>
      <c r="CI211" s="61"/>
      <c r="CJ211" s="15"/>
    </row>
    <row r="212" spans="1:91" s="145" customFormat="1" ht="85.5" customHeight="1">
      <c r="A212" s="15">
        <v>51</v>
      </c>
      <c r="B212" s="349" t="s">
        <v>4240</v>
      </c>
      <c r="C212" s="348" t="s">
        <v>942</v>
      </c>
      <c r="D212" s="14" t="s">
        <v>4241</v>
      </c>
      <c r="E212" s="15" t="s">
        <v>4037</v>
      </c>
      <c r="F212" s="15">
        <v>2023</v>
      </c>
      <c r="G212" s="15">
        <v>2023</v>
      </c>
      <c r="H212" s="15">
        <v>9</v>
      </c>
      <c r="I212" s="15"/>
      <c r="J212" s="350">
        <v>29205200</v>
      </c>
      <c r="K212" s="15" t="s">
        <v>3091</v>
      </c>
      <c r="L212" s="15"/>
      <c r="M212" s="15" t="s">
        <v>4238</v>
      </c>
      <c r="N212" s="15" t="s">
        <v>3342</v>
      </c>
      <c r="O212" s="15" t="s">
        <v>3215</v>
      </c>
      <c r="P212" s="15" t="s">
        <v>4239</v>
      </c>
      <c r="Q212" s="15">
        <v>6898606</v>
      </c>
      <c r="R212" s="15" t="s">
        <v>198</v>
      </c>
      <c r="S212" s="204" t="s">
        <v>2460</v>
      </c>
      <c r="T212" s="362">
        <f t="shared" si="32"/>
        <v>4867533.333333333</v>
      </c>
      <c r="U212" s="15" t="s">
        <v>151</v>
      </c>
      <c r="V212" s="15"/>
      <c r="W212" s="15"/>
      <c r="X212" s="15" t="s">
        <v>3281</v>
      </c>
      <c r="Y212" s="15" t="s">
        <v>3216</v>
      </c>
      <c r="Z212" s="15">
        <v>8140</v>
      </c>
      <c r="AA212" s="15">
        <v>72019</v>
      </c>
      <c r="AB212" s="15" t="s">
        <v>3940</v>
      </c>
      <c r="AC212" s="333">
        <v>8950850022</v>
      </c>
      <c r="AD212" s="15" t="s">
        <v>190</v>
      </c>
      <c r="AE212" s="583">
        <f t="shared" si="30"/>
        <v>4867533.333333333</v>
      </c>
      <c r="AF212" s="15" t="s">
        <v>151</v>
      </c>
      <c r="AG212" s="15"/>
      <c r="AH212" s="15"/>
      <c r="AI212" s="15" t="s">
        <v>3281</v>
      </c>
      <c r="AJ212" s="15" t="s">
        <v>3216</v>
      </c>
      <c r="AK212" s="204" t="s">
        <v>4138</v>
      </c>
      <c r="AL212" s="334">
        <v>1001017601</v>
      </c>
      <c r="AM212" s="15" t="s">
        <v>97</v>
      </c>
      <c r="AN212" s="583">
        <f t="shared" si="31"/>
        <v>4867533.333333333</v>
      </c>
      <c r="AO212" s="15" t="s">
        <v>151</v>
      </c>
      <c r="AP212" s="15" t="s">
        <v>166</v>
      </c>
      <c r="AQ212" s="15" t="s">
        <v>155</v>
      </c>
      <c r="AR212" s="15" t="s">
        <v>3281</v>
      </c>
      <c r="AS212" s="15" t="s">
        <v>3216</v>
      </c>
      <c r="AT212" s="15"/>
      <c r="AU212" s="204" t="s">
        <v>1963</v>
      </c>
      <c r="AV212" s="15" t="s">
        <v>140</v>
      </c>
      <c r="AW212" s="534">
        <f t="shared" si="33"/>
        <v>4867533.333333333</v>
      </c>
      <c r="AX212" s="15" t="s">
        <v>155</v>
      </c>
      <c r="AY212" s="15"/>
      <c r="AZ212" s="15" t="s">
        <v>3281</v>
      </c>
      <c r="BA212" s="15" t="s">
        <v>3216</v>
      </c>
      <c r="BB212" s="15">
        <v>258471</v>
      </c>
      <c r="BC212" s="334" t="s">
        <v>3504</v>
      </c>
      <c r="BD212" s="15" t="s">
        <v>60</v>
      </c>
      <c r="BE212" s="534">
        <f t="shared" si="34"/>
        <v>4867533.333333333</v>
      </c>
      <c r="BF212" s="23" t="s">
        <v>155</v>
      </c>
      <c r="BG212" s="23"/>
      <c r="BH212" s="23" t="s">
        <v>3281</v>
      </c>
      <c r="BI212" s="15" t="s">
        <v>3216</v>
      </c>
      <c r="BJ212" s="23">
        <v>6868847</v>
      </c>
      <c r="BK212" s="204" t="s">
        <v>2393</v>
      </c>
      <c r="BL212" s="23" t="s">
        <v>195</v>
      </c>
      <c r="BM212" s="23" t="s">
        <v>164</v>
      </c>
      <c r="BN212" s="23" t="s">
        <v>3286</v>
      </c>
      <c r="BO212" s="23"/>
      <c r="BP212" s="23"/>
      <c r="BQ212" s="348"/>
      <c r="BR212" s="15"/>
      <c r="BS212" s="23"/>
      <c r="BT212" s="15"/>
      <c r="BU212" s="23"/>
      <c r="BV212" s="15"/>
      <c r="BW212" s="15"/>
      <c r="BX212" s="15"/>
      <c r="BY212" s="15"/>
      <c r="BZ212" s="15"/>
      <c r="CA212" s="15"/>
      <c r="CB212" s="15"/>
      <c r="CC212" s="15"/>
      <c r="CD212" s="23"/>
      <c r="CE212" s="23"/>
      <c r="CF212" s="23"/>
      <c r="CG212" s="23"/>
      <c r="CH212" s="15"/>
      <c r="CI212" s="61"/>
      <c r="CJ212" s="15"/>
    </row>
    <row r="213" spans="1:91" s="145" customFormat="1" ht="107.25" customHeight="1">
      <c r="A213" s="15">
        <v>52</v>
      </c>
      <c r="B213" s="349" t="s">
        <v>4242</v>
      </c>
      <c r="C213" s="348" t="s">
        <v>942</v>
      </c>
      <c r="D213" s="14" t="s">
        <v>4243</v>
      </c>
      <c r="E213" s="15" t="s">
        <v>4037</v>
      </c>
      <c r="F213" s="15">
        <v>2023</v>
      </c>
      <c r="G213" s="15">
        <v>2023</v>
      </c>
      <c r="H213" s="15">
        <v>9</v>
      </c>
      <c r="I213" s="15"/>
      <c r="J213" s="350">
        <v>333397618</v>
      </c>
      <c r="K213" s="15" t="s">
        <v>3091</v>
      </c>
      <c r="L213" s="15"/>
      <c r="M213" s="15" t="s">
        <v>4238</v>
      </c>
      <c r="N213" s="15" t="s">
        <v>3342</v>
      </c>
      <c r="O213" s="15" t="s">
        <v>3215</v>
      </c>
      <c r="P213" s="15" t="s">
        <v>4239</v>
      </c>
      <c r="Q213" s="15">
        <v>6680633</v>
      </c>
      <c r="R213" s="15" t="s">
        <v>18</v>
      </c>
      <c r="S213" s="334" t="s">
        <v>3322</v>
      </c>
      <c r="T213" s="362">
        <f t="shared" si="32"/>
        <v>55566269.666666664</v>
      </c>
      <c r="U213" s="15" t="s">
        <v>156</v>
      </c>
      <c r="V213" s="15" t="s">
        <v>166</v>
      </c>
      <c r="W213" s="15"/>
      <c r="X213" s="15" t="s">
        <v>3286</v>
      </c>
      <c r="Y213" s="15" t="s">
        <v>3216</v>
      </c>
      <c r="Z213" s="15">
        <v>8140</v>
      </c>
      <c r="AA213" s="15">
        <v>72019</v>
      </c>
      <c r="AB213" s="204" t="s">
        <v>4021</v>
      </c>
      <c r="AC213" s="340" t="s">
        <v>1723</v>
      </c>
      <c r="AD213" s="15" t="s">
        <v>134</v>
      </c>
      <c r="AE213" s="583">
        <f t="shared" si="30"/>
        <v>55566269.666666664</v>
      </c>
      <c r="AF213" s="15" t="s">
        <v>156</v>
      </c>
      <c r="AG213" s="15"/>
      <c r="AH213" s="15"/>
      <c r="AI213" s="15" t="s">
        <v>3286</v>
      </c>
      <c r="AJ213" s="15" t="s">
        <v>3216</v>
      </c>
      <c r="AK213" s="204" t="s">
        <v>3986</v>
      </c>
      <c r="AL213" s="334" t="s">
        <v>2031</v>
      </c>
      <c r="AM213" s="15" t="s">
        <v>139</v>
      </c>
      <c r="AN213" s="583">
        <f t="shared" si="31"/>
        <v>55566269.666666664</v>
      </c>
      <c r="AO213" s="15" t="s">
        <v>3093</v>
      </c>
      <c r="AP213" s="15"/>
      <c r="AQ213" s="15"/>
      <c r="AR213" s="15" t="s">
        <v>3286</v>
      </c>
      <c r="AS213" s="15" t="s">
        <v>3216</v>
      </c>
      <c r="AT213" s="15">
        <v>6793410</v>
      </c>
      <c r="AU213" s="15" t="s">
        <v>947</v>
      </c>
      <c r="AV213" s="15" t="s">
        <v>79</v>
      </c>
      <c r="AW213" s="534">
        <f t="shared" si="33"/>
        <v>55566269.666666664</v>
      </c>
      <c r="AX213" s="15" t="s">
        <v>175</v>
      </c>
      <c r="AY213" s="15"/>
      <c r="AZ213" s="15" t="s">
        <v>3286</v>
      </c>
      <c r="BA213" s="15" t="s">
        <v>3216</v>
      </c>
      <c r="BB213" s="15">
        <v>6859016</v>
      </c>
      <c r="BC213" s="204" t="s">
        <v>2497</v>
      </c>
      <c r="BD213" s="15" t="s">
        <v>52</v>
      </c>
      <c r="BE213" s="534">
        <f t="shared" si="34"/>
        <v>55566269.666666664</v>
      </c>
      <c r="BF213" s="23" t="s">
        <v>155</v>
      </c>
      <c r="BG213" s="23"/>
      <c r="BH213" s="23" t="s">
        <v>3281</v>
      </c>
      <c r="BI213" s="15" t="s">
        <v>3216</v>
      </c>
      <c r="BJ213" s="23"/>
      <c r="BK213" s="204" t="s">
        <v>1963</v>
      </c>
      <c r="BL213" s="23" t="s">
        <v>140</v>
      </c>
      <c r="BM213" s="23" t="s">
        <v>155</v>
      </c>
      <c r="BN213" s="23" t="s">
        <v>3281</v>
      </c>
      <c r="BO213" s="23"/>
      <c r="BP213" s="23"/>
      <c r="BQ213" s="348"/>
      <c r="BR213" s="15"/>
      <c r="BS213" s="23"/>
      <c r="BT213" s="15"/>
      <c r="BU213" s="23"/>
      <c r="BV213" s="15"/>
      <c r="BW213" s="15"/>
      <c r="BX213" s="15"/>
      <c r="BY213" s="15"/>
      <c r="BZ213" s="15"/>
      <c r="CA213" s="15"/>
      <c r="CB213" s="15"/>
      <c r="CC213" s="15"/>
      <c r="CD213" s="23"/>
      <c r="CE213" s="23"/>
      <c r="CF213" s="23"/>
      <c r="CG213" s="23"/>
      <c r="CH213" s="15"/>
      <c r="CI213" s="61"/>
      <c r="CJ213" s="15"/>
    </row>
    <row r="214" spans="1:91" s="145" customFormat="1" ht="87" customHeight="1">
      <c r="A214" s="15">
        <v>53</v>
      </c>
      <c r="B214" s="349" t="s">
        <v>4244</v>
      </c>
      <c r="C214" s="348" t="s">
        <v>942</v>
      </c>
      <c r="D214" s="14" t="s">
        <v>4245</v>
      </c>
      <c r="E214" s="15" t="s">
        <v>4037</v>
      </c>
      <c r="F214" s="15">
        <v>2023</v>
      </c>
      <c r="G214" s="15">
        <v>2023</v>
      </c>
      <c r="H214" s="15">
        <v>9</v>
      </c>
      <c r="I214" s="15"/>
      <c r="J214" s="350">
        <v>100000000</v>
      </c>
      <c r="K214" s="15" t="s">
        <v>3091</v>
      </c>
      <c r="L214" s="15"/>
      <c r="M214" s="15" t="s">
        <v>4238</v>
      </c>
      <c r="N214" s="15" t="s">
        <v>3342</v>
      </c>
      <c r="O214" s="15" t="s">
        <v>3215</v>
      </c>
      <c r="P214" s="15" t="s">
        <v>4239</v>
      </c>
      <c r="Q214" s="15">
        <v>6680633</v>
      </c>
      <c r="R214" s="15" t="s">
        <v>18</v>
      </c>
      <c r="S214" s="334" t="s">
        <v>3322</v>
      </c>
      <c r="T214" s="362">
        <f t="shared" si="32"/>
        <v>16666666.666666666</v>
      </c>
      <c r="U214" s="15" t="s">
        <v>156</v>
      </c>
      <c r="V214" s="15" t="s">
        <v>166</v>
      </c>
      <c r="W214" s="15"/>
      <c r="X214" s="15" t="s">
        <v>3286</v>
      </c>
      <c r="Y214" s="15" t="s">
        <v>3216</v>
      </c>
      <c r="Z214" s="15">
        <v>8140</v>
      </c>
      <c r="AA214" s="15">
        <v>72019</v>
      </c>
      <c r="AB214" s="15">
        <v>6679083</v>
      </c>
      <c r="AC214" s="204" t="s">
        <v>2292</v>
      </c>
      <c r="AD214" s="15" t="s">
        <v>163</v>
      </c>
      <c r="AE214" s="583">
        <f t="shared" si="30"/>
        <v>16666666.666666666</v>
      </c>
      <c r="AF214" s="15" t="s">
        <v>156</v>
      </c>
      <c r="AG214" s="15"/>
      <c r="AH214" s="15"/>
      <c r="AI214" s="15" t="s">
        <v>3286</v>
      </c>
      <c r="AJ214" s="15" t="s">
        <v>3216</v>
      </c>
      <c r="AK214" s="15">
        <v>6760392</v>
      </c>
      <c r="AL214" s="334" t="s">
        <v>948</v>
      </c>
      <c r="AM214" s="15" t="s">
        <v>75</v>
      </c>
      <c r="AN214" s="583">
        <f t="shared" si="31"/>
        <v>16666666.666666666</v>
      </c>
      <c r="AO214" s="15" t="s">
        <v>175</v>
      </c>
      <c r="AP214" s="15"/>
      <c r="AQ214" s="15"/>
      <c r="AR214" s="15" t="s">
        <v>3286</v>
      </c>
      <c r="AS214" s="15" t="s">
        <v>3216</v>
      </c>
      <c r="AT214" s="15">
        <v>6680680</v>
      </c>
      <c r="AU214" s="204" t="s">
        <v>959</v>
      </c>
      <c r="AV214" s="15" t="s">
        <v>9</v>
      </c>
      <c r="AW214" s="534">
        <f t="shared" si="33"/>
        <v>16666666.666666666</v>
      </c>
      <c r="AX214" s="15" t="s">
        <v>156</v>
      </c>
      <c r="AY214" s="15"/>
      <c r="AZ214" s="15" t="s">
        <v>3286</v>
      </c>
      <c r="BA214" s="15" t="s">
        <v>3216</v>
      </c>
      <c r="BB214" s="15">
        <v>6843087</v>
      </c>
      <c r="BC214" s="334" t="s">
        <v>2010</v>
      </c>
      <c r="BD214" s="15" t="s">
        <v>41</v>
      </c>
      <c r="BE214" s="534">
        <f t="shared" si="34"/>
        <v>16666666.666666666</v>
      </c>
      <c r="BF214" s="23" t="s">
        <v>166</v>
      </c>
      <c r="BG214" s="23"/>
      <c r="BH214" s="23" t="s">
        <v>3286</v>
      </c>
      <c r="BI214" s="15" t="s">
        <v>3216</v>
      </c>
      <c r="BJ214" s="23"/>
      <c r="BK214" s="204" t="s">
        <v>1963</v>
      </c>
      <c r="BL214" s="23" t="s">
        <v>140</v>
      </c>
      <c r="BM214" s="23" t="s">
        <v>155</v>
      </c>
      <c r="BN214" s="23" t="s">
        <v>3281</v>
      </c>
      <c r="BO214" s="23"/>
      <c r="BP214" s="23"/>
      <c r="BQ214" s="348"/>
      <c r="BR214" s="15"/>
      <c r="BS214" s="23"/>
      <c r="BT214" s="15"/>
      <c r="BU214" s="23"/>
      <c r="BV214" s="15"/>
      <c r="BW214" s="15"/>
      <c r="BX214" s="15"/>
      <c r="BY214" s="15"/>
      <c r="BZ214" s="15"/>
      <c r="CA214" s="15"/>
      <c r="CB214" s="15"/>
      <c r="CC214" s="15"/>
      <c r="CD214" s="23"/>
      <c r="CE214" s="23"/>
      <c r="CF214" s="23"/>
      <c r="CG214" s="23"/>
      <c r="CH214" s="15"/>
      <c r="CI214" s="61"/>
      <c r="CJ214" s="15"/>
    </row>
    <row r="215" spans="1:91" s="145" customFormat="1" ht="105.75" customHeight="1">
      <c r="A215" s="15">
        <v>54</v>
      </c>
      <c r="B215" s="349" t="s">
        <v>4246</v>
      </c>
      <c r="C215" s="348" t="s">
        <v>942</v>
      </c>
      <c r="D215" s="14" t="s">
        <v>4247</v>
      </c>
      <c r="E215" s="15" t="s">
        <v>4037</v>
      </c>
      <c r="F215" s="15">
        <v>2023</v>
      </c>
      <c r="G215" s="15">
        <v>2023</v>
      </c>
      <c r="H215" s="15">
        <v>9</v>
      </c>
      <c r="I215" s="15"/>
      <c r="J215" s="350">
        <v>1314334700</v>
      </c>
      <c r="K215" s="15" t="s">
        <v>3091</v>
      </c>
      <c r="L215" s="15"/>
      <c r="M215" s="15" t="s">
        <v>4238</v>
      </c>
      <c r="N215" s="15" t="s">
        <v>3342</v>
      </c>
      <c r="O215" s="15" t="s">
        <v>3215</v>
      </c>
      <c r="P215" s="15" t="s">
        <v>4239</v>
      </c>
      <c r="Q215" s="15">
        <v>6859016</v>
      </c>
      <c r="R215" s="15" t="s">
        <v>52</v>
      </c>
      <c r="S215" s="204" t="s">
        <v>2497</v>
      </c>
      <c r="T215" s="362">
        <f t="shared" si="32"/>
        <v>219055783.33333334</v>
      </c>
      <c r="U215" s="15" t="s">
        <v>166</v>
      </c>
      <c r="V215" s="15"/>
      <c r="W215" s="15"/>
      <c r="X215" s="15" t="s">
        <v>3286</v>
      </c>
      <c r="Y215" s="15" t="s">
        <v>3216</v>
      </c>
      <c r="Z215" s="15">
        <v>8140</v>
      </c>
      <c r="AA215" s="15">
        <v>72019</v>
      </c>
      <c r="AB215" s="15">
        <v>6099359</v>
      </c>
      <c r="AC215" s="204" t="s">
        <v>977</v>
      </c>
      <c r="AD215" s="15" t="s">
        <v>67</v>
      </c>
      <c r="AE215" s="583">
        <f t="shared" si="30"/>
        <v>219055783.33333334</v>
      </c>
      <c r="AF215" s="15" t="s">
        <v>166</v>
      </c>
      <c r="AG215" s="15"/>
      <c r="AH215" s="15"/>
      <c r="AI215" s="15" t="s">
        <v>3286</v>
      </c>
      <c r="AJ215" s="15" t="s">
        <v>3216</v>
      </c>
      <c r="AK215" s="15">
        <v>6886510</v>
      </c>
      <c r="AL215" s="334" t="s">
        <v>4248</v>
      </c>
      <c r="AM215" s="15" t="s">
        <v>202</v>
      </c>
      <c r="AN215" s="583">
        <f t="shared" si="31"/>
        <v>219055783.33333334</v>
      </c>
      <c r="AO215" s="15" t="s">
        <v>156</v>
      </c>
      <c r="AP215" s="15"/>
      <c r="AQ215" s="15"/>
      <c r="AR215" s="15" t="s">
        <v>3286</v>
      </c>
      <c r="AS215" s="15" t="s">
        <v>3216</v>
      </c>
      <c r="AT215" s="15">
        <v>6680618</v>
      </c>
      <c r="AU215" s="204" t="s">
        <v>1737</v>
      </c>
      <c r="AV215" s="15" t="s">
        <v>24</v>
      </c>
      <c r="AW215" s="534">
        <f t="shared" si="33"/>
        <v>219055783.33333334</v>
      </c>
      <c r="AX215" s="15" t="s">
        <v>160</v>
      </c>
      <c r="AY215" s="15"/>
      <c r="AZ215" s="15" t="s">
        <v>3281</v>
      </c>
      <c r="BA215" s="15" t="s">
        <v>3216</v>
      </c>
      <c r="BB215" s="15"/>
      <c r="BC215" s="204" t="s">
        <v>1963</v>
      </c>
      <c r="BD215" s="15" t="s">
        <v>140</v>
      </c>
      <c r="BE215" s="534">
        <f t="shared" si="34"/>
        <v>219055783.33333334</v>
      </c>
      <c r="BF215" s="23" t="s">
        <v>155</v>
      </c>
      <c r="BG215" s="23"/>
      <c r="BH215" s="23" t="s">
        <v>3281</v>
      </c>
      <c r="BI215" s="15" t="s">
        <v>3216</v>
      </c>
      <c r="BJ215" s="23"/>
      <c r="BK215" s="23"/>
      <c r="BL215" s="23" t="s">
        <v>60</v>
      </c>
      <c r="BM215" s="23" t="s">
        <v>155</v>
      </c>
      <c r="BN215" s="23" t="s">
        <v>3281</v>
      </c>
      <c r="BO215" s="23"/>
      <c r="BP215" s="23"/>
      <c r="BQ215" s="348"/>
      <c r="BR215" s="15"/>
      <c r="BS215" s="23"/>
      <c r="BT215" s="15"/>
      <c r="BU215" s="23"/>
      <c r="BV215" s="15"/>
      <c r="BW215" s="15"/>
      <c r="BX215" s="15"/>
      <c r="BY215" s="15"/>
      <c r="BZ215" s="15"/>
      <c r="CA215" s="15"/>
      <c r="CB215" s="15"/>
      <c r="CC215" s="15"/>
      <c r="CD215" s="23"/>
      <c r="CE215" s="23"/>
      <c r="CF215" s="23"/>
      <c r="CG215" s="23"/>
      <c r="CH215" s="15"/>
      <c r="CI215" s="61"/>
      <c r="CJ215" s="15"/>
    </row>
    <row r="216" spans="1:91" s="145" customFormat="1" ht="96.75" customHeight="1">
      <c r="A216" s="15">
        <v>55</v>
      </c>
      <c r="B216" s="349" t="s">
        <v>4249</v>
      </c>
      <c r="C216" s="348" t="s">
        <v>942</v>
      </c>
      <c r="D216" s="14" t="s">
        <v>4250</v>
      </c>
      <c r="E216" s="15" t="s">
        <v>4037</v>
      </c>
      <c r="F216" s="15">
        <v>2023</v>
      </c>
      <c r="G216" s="15">
        <v>2023</v>
      </c>
      <c r="H216" s="15">
        <v>9</v>
      </c>
      <c r="I216" s="15"/>
      <c r="J216" s="350">
        <v>100000000</v>
      </c>
      <c r="K216" s="15" t="s">
        <v>3091</v>
      </c>
      <c r="L216" s="15"/>
      <c r="M216" s="15" t="s">
        <v>4238</v>
      </c>
      <c r="N216" s="15" t="s">
        <v>3342</v>
      </c>
      <c r="O216" s="15" t="s">
        <v>3215</v>
      </c>
      <c r="P216" s="15" t="s">
        <v>4239</v>
      </c>
      <c r="Q216" s="15">
        <v>6859016</v>
      </c>
      <c r="R216" s="15" t="s">
        <v>52</v>
      </c>
      <c r="S216" s="204" t="s">
        <v>2497</v>
      </c>
      <c r="T216" s="362">
        <f t="shared" si="32"/>
        <v>16666666.666666666</v>
      </c>
      <c r="U216" s="15" t="s">
        <v>166</v>
      </c>
      <c r="V216" s="15"/>
      <c r="W216" s="15"/>
      <c r="X216" s="15" t="s">
        <v>3286</v>
      </c>
      <c r="Y216" s="15" t="s">
        <v>3216</v>
      </c>
      <c r="Z216" s="15">
        <v>8140</v>
      </c>
      <c r="AA216" s="15">
        <v>72019</v>
      </c>
      <c r="AB216" s="15">
        <v>6859382</v>
      </c>
      <c r="AC216" s="204" t="s">
        <v>2343</v>
      </c>
      <c r="AD216" s="15" t="s">
        <v>184</v>
      </c>
      <c r="AE216" s="583">
        <f t="shared" si="30"/>
        <v>16666666.666666666</v>
      </c>
      <c r="AF216" s="15" t="s">
        <v>166</v>
      </c>
      <c r="AG216" s="15"/>
      <c r="AH216" s="15"/>
      <c r="AI216" s="15" t="s">
        <v>3286</v>
      </c>
      <c r="AJ216" s="15" t="s">
        <v>3216</v>
      </c>
      <c r="AK216" s="15">
        <v>6865379</v>
      </c>
      <c r="AL216" s="334" t="s">
        <v>2696</v>
      </c>
      <c r="AM216" s="15" t="s">
        <v>193</v>
      </c>
      <c r="AN216" s="583">
        <f t="shared" si="31"/>
        <v>16666666.666666666</v>
      </c>
      <c r="AO216" s="15" t="s">
        <v>166</v>
      </c>
      <c r="AP216" s="15"/>
      <c r="AQ216" s="15"/>
      <c r="AR216" s="15" t="s">
        <v>3286</v>
      </c>
      <c r="AS216" s="15" t="s">
        <v>3216</v>
      </c>
      <c r="AT216" s="15">
        <v>6839500</v>
      </c>
      <c r="AU216" s="204" t="s">
        <v>2671</v>
      </c>
      <c r="AV216" s="15" t="s">
        <v>36</v>
      </c>
      <c r="AW216" s="534">
        <f t="shared" si="33"/>
        <v>16666666.666666666</v>
      </c>
      <c r="AX216" s="15" t="s">
        <v>171</v>
      </c>
      <c r="AY216" s="15"/>
      <c r="AZ216" s="15" t="s">
        <v>3286</v>
      </c>
      <c r="BA216" s="15" t="s">
        <v>3216</v>
      </c>
      <c r="BB216" s="15">
        <v>6843087</v>
      </c>
      <c r="BC216" s="334" t="s">
        <v>2010</v>
      </c>
      <c r="BD216" s="15" t="s">
        <v>41</v>
      </c>
      <c r="BE216" s="534">
        <f t="shared" si="34"/>
        <v>16666666.666666666</v>
      </c>
      <c r="BF216" s="23" t="s">
        <v>166</v>
      </c>
      <c r="BG216" s="23"/>
      <c r="BH216" s="23" t="s">
        <v>3286</v>
      </c>
      <c r="BI216" s="15" t="s">
        <v>3216</v>
      </c>
      <c r="BJ216" s="23"/>
      <c r="BK216" s="204" t="s">
        <v>1963</v>
      </c>
      <c r="BL216" s="23" t="s">
        <v>140</v>
      </c>
      <c r="BM216" s="23" t="s">
        <v>155</v>
      </c>
      <c r="BN216" s="23" t="s">
        <v>3281</v>
      </c>
      <c r="BO216" s="600"/>
      <c r="BP216" s="600"/>
      <c r="BQ216" s="348"/>
      <c r="BR216" s="15"/>
      <c r="BS216" s="23"/>
      <c r="BT216" s="15"/>
      <c r="BU216" s="23"/>
      <c r="BV216" s="15"/>
      <c r="BW216" s="15"/>
      <c r="BX216" s="15"/>
      <c r="BY216" s="15"/>
      <c r="BZ216" s="15"/>
      <c r="CA216" s="15"/>
      <c r="CB216" s="15"/>
      <c r="CC216" s="15"/>
      <c r="CD216" s="23"/>
      <c r="CE216" s="23"/>
      <c r="CF216" s="23"/>
      <c r="CG216" s="23"/>
      <c r="CH216" s="15"/>
      <c r="CI216" s="61"/>
      <c r="CJ216" s="15"/>
    </row>
    <row r="217" spans="1:91" s="145" customFormat="1" ht="108" customHeight="1">
      <c r="A217" s="15">
        <v>56</v>
      </c>
      <c r="B217" s="349" t="s">
        <v>4251</v>
      </c>
      <c r="C217" s="348" t="s">
        <v>942</v>
      </c>
      <c r="D217" s="14" t="s">
        <v>4252</v>
      </c>
      <c r="E217" s="15" t="s">
        <v>4037</v>
      </c>
      <c r="F217" s="15">
        <v>2023</v>
      </c>
      <c r="G217" s="15">
        <v>2023</v>
      </c>
      <c r="H217" s="15">
        <v>9</v>
      </c>
      <c r="I217" s="15"/>
      <c r="J217" s="350">
        <v>100000000</v>
      </c>
      <c r="K217" s="15" t="s">
        <v>3091</v>
      </c>
      <c r="L217" s="15"/>
      <c r="M217" s="15" t="s">
        <v>4238</v>
      </c>
      <c r="N217" s="15" t="s">
        <v>3342</v>
      </c>
      <c r="O217" s="15" t="s">
        <v>3215</v>
      </c>
      <c r="P217" s="15" t="s">
        <v>4239</v>
      </c>
      <c r="Q217" s="15">
        <v>6843087</v>
      </c>
      <c r="R217" s="15" t="s">
        <v>41</v>
      </c>
      <c r="S217" s="334" t="s">
        <v>2010</v>
      </c>
      <c r="T217" s="362">
        <f t="shared" si="32"/>
        <v>16666666.666666666</v>
      </c>
      <c r="U217" s="15" t="s">
        <v>166</v>
      </c>
      <c r="V217" s="15"/>
      <c r="W217" s="15"/>
      <c r="X217" s="15" t="s">
        <v>3286</v>
      </c>
      <c r="Y217" s="15" t="s">
        <v>3216</v>
      </c>
      <c r="Z217" s="15">
        <v>8140</v>
      </c>
      <c r="AA217" s="15">
        <v>72019</v>
      </c>
      <c r="AB217" s="15">
        <v>6789028</v>
      </c>
      <c r="AC217" s="204" t="s">
        <v>1917</v>
      </c>
      <c r="AD217" s="15" t="s">
        <v>179</v>
      </c>
      <c r="AE217" s="583">
        <f t="shared" si="30"/>
        <v>16666666.666666666</v>
      </c>
      <c r="AF217" s="15" t="s">
        <v>166</v>
      </c>
      <c r="AG217" s="15"/>
      <c r="AH217" s="15"/>
      <c r="AI217" s="15" t="s">
        <v>3286</v>
      </c>
      <c r="AJ217" s="15" t="s">
        <v>3216</v>
      </c>
      <c r="AK217" s="15">
        <v>683440</v>
      </c>
      <c r="AL217" s="334" t="s">
        <v>2698</v>
      </c>
      <c r="AM217" s="15" t="s">
        <v>185</v>
      </c>
      <c r="AN217" s="583">
        <f t="shared" si="31"/>
        <v>16666666.666666666</v>
      </c>
      <c r="AO217" s="15" t="s">
        <v>166</v>
      </c>
      <c r="AP217" s="15"/>
      <c r="AQ217" s="15"/>
      <c r="AR217" s="15" t="s">
        <v>3286</v>
      </c>
      <c r="AS217" s="15" t="s">
        <v>3216</v>
      </c>
      <c r="AT217" s="15">
        <v>6835039</v>
      </c>
      <c r="AU217" s="204" t="s">
        <v>2009</v>
      </c>
      <c r="AV217" s="15" t="s">
        <v>37</v>
      </c>
      <c r="AW217" s="534">
        <f t="shared" si="33"/>
        <v>16666666.666666666</v>
      </c>
      <c r="AX217" s="15" t="s">
        <v>166</v>
      </c>
      <c r="AY217" s="15"/>
      <c r="AZ217" s="15" t="s">
        <v>3286</v>
      </c>
      <c r="BA217" s="15" t="s">
        <v>3216</v>
      </c>
      <c r="BB217" s="15">
        <v>6680633</v>
      </c>
      <c r="BC217" s="334" t="s">
        <v>3322</v>
      </c>
      <c r="BD217" s="15" t="s">
        <v>18</v>
      </c>
      <c r="BE217" s="534">
        <f t="shared" si="34"/>
        <v>16666666.666666666</v>
      </c>
      <c r="BF217" s="23" t="s">
        <v>156</v>
      </c>
      <c r="BG217" s="23" t="s">
        <v>166</v>
      </c>
      <c r="BH217" s="23" t="s">
        <v>3286</v>
      </c>
      <c r="BI217" s="15" t="s">
        <v>3216</v>
      </c>
      <c r="BJ217" s="23"/>
      <c r="BK217" s="204" t="s">
        <v>1963</v>
      </c>
      <c r="BL217" s="23" t="s">
        <v>140</v>
      </c>
      <c r="BM217" s="23" t="s">
        <v>155</v>
      </c>
      <c r="BN217" s="23" t="s">
        <v>3281</v>
      </c>
      <c r="BO217" s="23"/>
      <c r="BP217" s="23"/>
      <c r="BQ217" s="348"/>
      <c r="BR217" s="15"/>
      <c r="BS217" s="23"/>
      <c r="BT217" s="15"/>
      <c r="BU217" s="23"/>
      <c r="BV217" s="15"/>
      <c r="BW217" s="15"/>
      <c r="BX217" s="15"/>
      <c r="BY217" s="15"/>
      <c r="BZ217" s="15"/>
      <c r="CA217" s="15"/>
      <c r="CB217" s="15"/>
      <c r="CC217" s="15"/>
      <c r="CD217" s="23"/>
      <c r="CE217" s="23"/>
      <c r="CF217" s="23"/>
      <c r="CG217" s="23"/>
      <c r="CH217" s="15"/>
      <c r="CI217" s="61"/>
      <c r="CJ217" s="15"/>
    </row>
    <row r="218" spans="1:91" s="706" customFormat="1" ht="15" customHeight="1">
      <c r="A218" s="689"/>
      <c r="B218" s="707"/>
      <c r="C218" s="708"/>
      <c r="D218" s="691"/>
      <c r="E218" s="689"/>
      <c r="F218" s="689"/>
      <c r="G218" s="689"/>
      <c r="H218" s="689"/>
      <c r="I218" s="689"/>
      <c r="J218" s="693"/>
      <c r="K218" s="689"/>
      <c r="L218" s="689"/>
      <c r="M218" s="689"/>
      <c r="N218" s="689"/>
      <c r="O218" s="689"/>
      <c r="P218" s="689"/>
      <c r="Q218" s="689"/>
      <c r="R218" s="689"/>
      <c r="S218" s="694"/>
      <c r="T218" s="698"/>
      <c r="U218" s="689"/>
      <c r="V218" s="689"/>
      <c r="W218" s="689"/>
      <c r="X218" s="689"/>
      <c r="Y218" s="689"/>
      <c r="Z218" s="689"/>
      <c r="AA218" s="689"/>
      <c r="AB218" s="689"/>
      <c r="AC218" s="704"/>
      <c r="AD218" s="689"/>
      <c r="AE218" s="698"/>
      <c r="AF218" s="689"/>
      <c r="AG218" s="689"/>
      <c r="AH218" s="689"/>
      <c r="AI218" s="689"/>
      <c r="AJ218" s="689"/>
      <c r="AK218" s="689"/>
      <c r="AL218" s="694"/>
      <c r="AM218" s="689"/>
      <c r="AN218" s="698"/>
      <c r="AO218" s="689"/>
      <c r="AP218" s="689"/>
      <c r="AQ218" s="689"/>
      <c r="AR218" s="689"/>
      <c r="AS218" s="689"/>
      <c r="AT218" s="689"/>
      <c r="AU218" s="704"/>
      <c r="AV218" s="689"/>
      <c r="AW218" s="700"/>
      <c r="AX218" s="689"/>
      <c r="AY218" s="689"/>
      <c r="AZ218" s="689"/>
      <c r="BA218" s="689"/>
      <c r="BB218" s="689"/>
      <c r="BC218" s="694"/>
      <c r="BD218" s="689"/>
      <c r="BE218" s="700"/>
      <c r="BF218" s="690"/>
      <c r="BG218" s="690"/>
      <c r="BH218" s="690"/>
      <c r="BI218" s="690"/>
      <c r="BJ218" s="690"/>
      <c r="BK218" s="705"/>
      <c r="BL218" s="690"/>
      <c r="BM218" s="690"/>
      <c r="BN218" s="690"/>
      <c r="BO218" s="690"/>
      <c r="BP218" s="690"/>
      <c r="BQ218" s="708"/>
      <c r="BR218" s="689"/>
      <c r="BS218" s="690"/>
      <c r="BT218" s="689"/>
      <c r="BU218" s="690"/>
      <c r="BV218" s="689"/>
      <c r="BW218" s="689"/>
      <c r="BX218" s="689"/>
      <c r="BY218" s="689"/>
      <c r="BZ218" s="689"/>
      <c r="CA218" s="689"/>
      <c r="CB218" s="689"/>
      <c r="CC218" s="689"/>
      <c r="CD218" s="690"/>
      <c r="CE218" s="690"/>
      <c r="CF218" s="690"/>
      <c r="CG218" s="690"/>
      <c r="CH218" s="689"/>
      <c r="CI218" s="689"/>
      <c r="CJ218" s="689"/>
    </row>
    <row r="219" spans="1:91" s="157" customFormat="1" ht="48">
      <c r="A219" s="15">
        <v>49</v>
      </c>
      <c r="B219" s="349" t="s">
        <v>4253</v>
      </c>
      <c r="C219" s="348" t="s">
        <v>4254</v>
      </c>
      <c r="D219" s="14" t="s">
        <v>4255</v>
      </c>
      <c r="E219" s="15" t="s">
        <v>4256</v>
      </c>
      <c r="F219" s="15">
        <v>2024</v>
      </c>
      <c r="G219" s="15"/>
      <c r="H219" s="15"/>
      <c r="I219" s="344"/>
      <c r="J219" s="350">
        <v>1242919162</v>
      </c>
      <c r="K219" s="582"/>
      <c r="L219" s="15"/>
      <c r="M219" s="15"/>
      <c r="N219" s="15" t="s">
        <v>3342</v>
      </c>
      <c r="O219" s="15"/>
      <c r="P219" s="15"/>
      <c r="Q219" s="333"/>
      <c r="R219" s="15" t="s">
        <v>60</v>
      </c>
      <c r="S219" s="341"/>
      <c r="T219" s="583"/>
      <c r="U219" s="15" t="s">
        <v>155</v>
      </c>
      <c r="V219" s="15"/>
      <c r="W219" s="15"/>
      <c r="X219" s="15" t="s">
        <v>152</v>
      </c>
      <c r="Y219" s="15" t="s">
        <v>4257</v>
      </c>
      <c r="Z219" s="15"/>
      <c r="AA219" s="204"/>
      <c r="AB219" s="333"/>
      <c r="AC219" s="333"/>
      <c r="AD219" s="15"/>
      <c r="AE219" s="583"/>
      <c r="AF219" s="15"/>
      <c r="AG219" s="15"/>
      <c r="AH219" s="15"/>
      <c r="AI219" s="15"/>
      <c r="AJ219" s="15"/>
      <c r="AK219" s="333"/>
      <c r="AL219" s="341"/>
      <c r="AM219" s="15"/>
      <c r="AN219" s="583"/>
      <c r="AO219" s="23"/>
      <c r="AP219" s="23"/>
      <c r="AQ219" s="23"/>
      <c r="AR219" s="23"/>
      <c r="AS219" s="23"/>
      <c r="AT219" s="23"/>
      <c r="AU219" s="23"/>
      <c r="AV219" s="23"/>
      <c r="AW219" s="534"/>
      <c r="AX219" s="23"/>
      <c r="AY219" s="23"/>
      <c r="AZ219" s="23"/>
      <c r="BA219" s="23"/>
      <c r="BB219" s="23"/>
      <c r="BC219" s="23"/>
      <c r="BD219" s="23"/>
      <c r="BE219" s="534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15">
        <v>7</v>
      </c>
      <c r="BQ219" s="348"/>
      <c r="BR219" s="15"/>
      <c r="BS219" s="23"/>
      <c r="BT219" s="36"/>
      <c r="BU219" s="23"/>
      <c r="BV219" s="36"/>
      <c r="BW219" s="23"/>
      <c r="BX219" s="36"/>
      <c r="BY219" s="23"/>
      <c r="BZ219" s="36"/>
      <c r="CA219" s="23"/>
      <c r="CB219" s="23"/>
      <c r="CC219" s="23"/>
      <c r="CD219" s="23"/>
      <c r="CE219" s="23"/>
      <c r="CF219" s="23"/>
      <c r="CG219" s="23"/>
      <c r="CH219" s="23"/>
      <c r="CI219" s="23"/>
      <c r="CJ219" s="551"/>
    </row>
    <row r="220" spans="1:91" s="145" customFormat="1" ht="60">
      <c r="A220" s="15">
        <v>48</v>
      </c>
      <c r="B220" s="349" t="s">
        <v>4253</v>
      </c>
      <c r="C220" s="348" t="s">
        <v>4258</v>
      </c>
      <c r="D220" s="14" t="s">
        <v>4259</v>
      </c>
      <c r="E220" s="15" t="s">
        <v>4256</v>
      </c>
      <c r="F220" s="15">
        <v>2024</v>
      </c>
      <c r="G220" s="15"/>
      <c r="H220" s="15"/>
      <c r="I220" s="344"/>
      <c r="J220" s="350">
        <v>1130400752</v>
      </c>
      <c r="K220" s="582"/>
      <c r="L220" s="15"/>
      <c r="M220" s="15"/>
      <c r="N220" s="15" t="s">
        <v>3342</v>
      </c>
      <c r="O220" s="15"/>
      <c r="P220" s="15"/>
      <c r="Q220" s="333"/>
      <c r="R220" s="15" t="s">
        <v>18</v>
      </c>
      <c r="S220" s="341"/>
      <c r="T220" s="583"/>
      <c r="U220" s="15" t="s">
        <v>156</v>
      </c>
      <c r="V220" s="15" t="s">
        <v>166</v>
      </c>
      <c r="W220" s="15"/>
      <c r="X220" s="15" t="s">
        <v>157</v>
      </c>
      <c r="Y220" s="15" t="s">
        <v>4257</v>
      </c>
      <c r="Z220" s="15"/>
      <c r="AA220" s="204"/>
      <c r="AB220" s="333"/>
      <c r="AC220" s="333"/>
      <c r="AD220" s="15"/>
      <c r="AE220" s="583"/>
      <c r="AF220" s="15"/>
      <c r="AG220" s="15"/>
      <c r="AH220" s="15"/>
      <c r="AI220" s="15"/>
      <c r="AJ220" s="15"/>
      <c r="AK220" s="333"/>
      <c r="AL220" s="341"/>
      <c r="AM220" s="15"/>
      <c r="AN220" s="583"/>
      <c r="AO220" s="23"/>
      <c r="AP220" s="23"/>
      <c r="AQ220" s="23"/>
      <c r="AR220" s="23"/>
      <c r="AS220" s="23"/>
      <c r="AT220" s="23"/>
      <c r="AU220" s="23"/>
      <c r="AV220" s="23"/>
      <c r="AW220" s="534"/>
      <c r="AX220" s="23"/>
      <c r="AY220" s="23"/>
      <c r="AZ220" s="23"/>
      <c r="BA220" s="23"/>
      <c r="BB220" s="23"/>
      <c r="BC220" s="23"/>
      <c r="BD220" s="23"/>
      <c r="BE220" s="534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15">
        <v>7</v>
      </c>
      <c r="BQ220" s="348"/>
      <c r="BR220" s="15"/>
      <c r="BS220" s="23"/>
      <c r="BT220" s="36"/>
      <c r="BU220" s="23"/>
      <c r="BV220" s="36"/>
      <c r="BW220" s="23"/>
      <c r="BX220" s="36"/>
      <c r="BY220" s="23"/>
      <c r="BZ220" s="36"/>
      <c r="CA220" s="23"/>
      <c r="CB220" s="23"/>
      <c r="CC220" s="23"/>
      <c r="CD220" s="23"/>
      <c r="CE220" s="23"/>
      <c r="CF220" s="23"/>
      <c r="CG220" s="23"/>
      <c r="CH220" s="23"/>
      <c r="CI220" s="23"/>
      <c r="CJ220" s="15"/>
    </row>
    <row r="221" spans="1:91" s="145" customFormat="1" ht="48">
      <c r="A221" s="15">
        <v>51</v>
      </c>
      <c r="B221" s="349" t="s">
        <v>4253</v>
      </c>
      <c r="C221" s="348" t="s">
        <v>4260</v>
      </c>
      <c r="D221" s="14" t="s">
        <v>4261</v>
      </c>
      <c r="E221" s="15" t="s">
        <v>4256</v>
      </c>
      <c r="F221" s="15">
        <v>2024</v>
      </c>
      <c r="G221" s="15"/>
      <c r="H221" s="15"/>
      <c r="I221" s="344"/>
      <c r="J221" s="350">
        <v>778854838</v>
      </c>
      <c r="K221" s="582"/>
      <c r="L221" s="15"/>
      <c r="M221" s="15"/>
      <c r="N221" s="15" t="s">
        <v>3342</v>
      </c>
      <c r="O221" s="15"/>
      <c r="P221" s="15"/>
      <c r="Q221" s="333"/>
      <c r="R221" s="15" t="s">
        <v>3126</v>
      </c>
      <c r="S221" s="15" t="s">
        <v>4262</v>
      </c>
      <c r="T221" s="15" t="s">
        <v>152</v>
      </c>
      <c r="U221" s="15" t="s">
        <v>155</v>
      </c>
      <c r="V221" s="15"/>
      <c r="W221" s="15"/>
      <c r="X221" s="15" t="s">
        <v>152</v>
      </c>
      <c r="Y221" s="15" t="s">
        <v>4257</v>
      </c>
      <c r="Z221" s="15"/>
      <c r="AA221" s="204"/>
      <c r="AB221" s="333"/>
      <c r="AC221" s="333"/>
      <c r="AD221" s="15"/>
      <c r="AE221" s="583"/>
      <c r="AF221" s="15"/>
      <c r="AG221" s="15"/>
      <c r="AH221" s="15"/>
      <c r="AI221" s="15"/>
      <c r="AJ221" s="15"/>
      <c r="AK221" s="333"/>
      <c r="AL221" s="341"/>
      <c r="AM221" s="15"/>
      <c r="AN221" s="583"/>
      <c r="AO221" s="23"/>
      <c r="AP221" s="23"/>
      <c r="AQ221" s="23"/>
      <c r="AR221" s="23"/>
      <c r="AS221" s="23"/>
      <c r="AT221" s="23"/>
      <c r="AU221" s="23"/>
      <c r="AV221" s="23"/>
      <c r="AW221" s="534"/>
      <c r="AX221" s="23"/>
      <c r="AY221" s="23"/>
      <c r="AZ221" s="23"/>
      <c r="BA221" s="23"/>
      <c r="BB221" s="23"/>
      <c r="BC221" s="23"/>
      <c r="BD221" s="23"/>
      <c r="BE221" s="534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  <c r="BP221" s="15">
        <v>7</v>
      </c>
      <c r="BQ221" s="348"/>
      <c r="BR221" s="15"/>
      <c r="BS221" s="23"/>
      <c r="BT221" s="36"/>
      <c r="BU221" s="23"/>
      <c r="BV221" s="36"/>
      <c r="BW221" s="23"/>
      <c r="BX221" s="36"/>
      <c r="BY221" s="23"/>
      <c r="BZ221" s="36"/>
      <c r="CA221" s="23"/>
      <c r="CB221" s="23"/>
      <c r="CC221" s="23"/>
      <c r="CD221" s="23"/>
      <c r="CE221" s="23"/>
      <c r="CF221" s="23"/>
      <c r="CG221" s="23"/>
      <c r="CH221" s="23"/>
      <c r="CI221" s="23"/>
      <c r="CJ221" s="15"/>
    </row>
    <row r="222" spans="1:91" s="145" customFormat="1" ht="48">
      <c r="A222" s="15">
        <v>50</v>
      </c>
      <c r="B222" s="349" t="s">
        <v>4253</v>
      </c>
      <c r="C222" s="348" t="s">
        <v>4263</v>
      </c>
      <c r="D222" s="14" t="s">
        <v>4264</v>
      </c>
      <c r="E222" s="15" t="s">
        <v>4256</v>
      </c>
      <c r="F222" s="15">
        <v>2024</v>
      </c>
      <c r="G222" s="15"/>
      <c r="H222" s="15"/>
      <c r="I222" s="344"/>
      <c r="J222" s="350">
        <v>583933248</v>
      </c>
      <c r="K222" s="582"/>
      <c r="L222" s="15"/>
      <c r="M222" s="15"/>
      <c r="N222" s="15" t="s">
        <v>3342</v>
      </c>
      <c r="O222" s="15"/>
      <c r="P222" s="15"/>
      <c r="Q222" s="333"/>
      <c r="R222" s="15" t="s">
        <v>4265</v>
      </c>
      <c r="S222" s="341"/>
      <c r="T222" s="583"/>
      <c r="U222" s="15" t="s">
        <v>166</v>
      </c>
      <c r="V222" s="15"/>
      <c r="W222" s="15"/>
      <c r="X222" s="15" t="s">
        <v>161</v>
      </c>
      <c r="Y222" s="15" t="s">
        <v>4257</v>
      </c>
      <c r="Z222" s="15"/>
      <c r="AA222" s="204"/>
      <c r="AB222" s="333"/>
      <c r="AC222" s="333"/>
      <c r="AD222" s="15"/>
      <c r="AE222" s="583"/>
      <c r="AF222" s="15"/>
      <c r="AG222" s="15"/>
      <c r="AH222" s="15"/>
      <c r="AI222" s="15"/>
      <c r="AJ222" s="15"/>
      <c r="AK222" s="333"/>
      <c r="AL222" s="341"/>
      <c r="AM222" s="15"/>
      <c r="AN222" s="583"/>
      <c r="AO222" s="23"/>
      <c r="AP222" s="23"/>
      <c r="AQ222" s="23"/>
      <c r="AR222" s="23"/>
      <c r="AS222" s="23"/>
      <c r="AT222" s="23"/>
      <c r="AU222" s="23"/>
      <c r="AV222" s="23"/>
      <c r="AW222" s="534"/>
      <c r="AX222" s="23"/>
      <c r="AY222" s="23"/>
      <c r="AZ222" s="23"/>
      <c r="BA222" s="23"/>
      <c r="BB222" s="23"/>
      <c r="BC222" s="23"/>
      <c r="BD222" s="23"/>
      <c r="BE222" s="534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  <c r="BP222" s="15">
        <v>7</v>
      </c>
      <c r="BQ222" s="348"/>
      <c r="BR222" s="15"/>
      <c r="BS222" s="23"/>
      <c r="BT222" s="36"/>
      <c r="BU222" s="23"/>
      <c r="BV222" s="36"/>
      <c r="BW222" s="23"/>
      <c r="BX222" s="36"/>
      <c r="BY222" s="23"/>
      <c r="BZ222" s="36"/>
      <c r="CA222" s="23"/>
      <c r="CB222" s="23"/>
      <c r="CC222" s="23"/>
      <c r="CD222" s="23"/>
      <c r="CE222" s="23"/>
      <c r="CF222" s="23"/>
      <c r="CG222" s="23"/>
      <c r="CH222" s="23"/>
      <c r="CI222" s="23"/>
      <c r="CJ222" s="15"/>
    </row>
    <row r="223" spans="1:91" s="559" customFormat="1" ht="60">
      <c r="A223" s="15">
        <v>44</v>
      </c>
      <c r="B223" s="349"/>
      <c r="C223" s="348" t="s">
        <v>4266</v>
      </c>
      <c r="D223" s="14" t="s">
        <v>4267</v>
      </c>
      <c r="E223" s="15" t="s">
        <v>4268</v>
      </c>
      <c r="F223" s="15">
        <v>2024</v>
      </c>
      <c r="G223" s="15" t="s">
        <v>212</v>
      </c>
      <c r="H223" s="15">
        <v>12</v>
      </c>
      <c r="I223" s="14"/>
      <c r="J223" s="350">
        <v>307000000</v>
      </c>
      <c r="K223" s="582" t="s">
        <v>4269</v>
      </c>
      <c r="L223" s="15">
        <v>7</v>
      </c>
      <c r="M223" s="15"/>
      <c r="N223" s="15" t="s">
        <v>3077</v>
      </c>
      <c r="O223" s="15" t="s">
        <v>3215</v>
      </c>
      <c r="P223" s="15" t="s">
        <v>4270</v>
      </c>
      <c r="Q223" s="15">
        <v>6680651</v>
      </c>
      <c r="R223" s="15" t="s">
        <v>12</v>
      </c>
      <c r="S223" s="334" t="s">
        <v>1016</v>
      </c>
      <c r="T223" s="583">
        <f>J223/3</f>
        <v>102333333.33333333</v>
      </c>
      <c r="U223" s="15" t="s">
        <v>155</v>
      </c>
      <c r="V223" s="15"/>
      <c r="W223" s="15"/>
      <c r="X223" s="15" t="s">
        <v>3224</v>
      </c>
      <c r="Y223" s="15" t="s">
        <v>4257</v>
      </c>
      <c r="Z223" s="15">
        <v>1093</v>
      </c>
      <c r="AA223" s="204" t="s">
        <v>4271</v>
      </c>
      <c r="AB223" s="15">
        <v>6793410</v>
      </c>
      <c r="AC223" s="334" t="s">
        <v>947</v>
      </c>
      <c r="AD223" s="15" t="s">
        <v>79</v>
      </c>
      <c r="AE223" s="583"/>
      <c r="AF223" s="15" t="s">
        <v>175</v>
      </c>
      <c r="AG223" s="15"/>
      <c r="AH223" s="15"/>
      <c r="AI223" s="15" t="s">
        <v>4272</v>
      </c>
      <c r="AJ223" s="15" t="s">
        <v>4269</v>
      </c>
      <c r="AK223" s="15"/>
      <c r="AL223" s="341"/>
      <c r="AM223" s="15" t="s">
        <v>168</v>
      </c>
      <c r="AN223" s="583"/>
      <c r="AO223" s="14"/>
      <c r="AP223" s="14"/>
      <c r="AQ223" s="14"/>
      <c r="AR223" s="14"/>
      <c r="AS223" s="14"/>
      <c r="AT223" s="14"/>
      <c r="AU223" s="14"/>
      <c r="AV223" s="14" t="s">
        <v>4273</v>
      </c>
      <c r="AW223" s="534"/>
      <c r="AX223" s="14"/>
      <c r="AY223" s="14"/>
      <c r="AZ223" s="14"/>
      <c r="BA223" s="14"/>
      <c r="BB223" s="14"/>
      <c r="BC223" s="14"/>
      <c r="BD223" s="14" t="s">
        <v>4274</v>
      </c>
      <c r="BE223" s="534"/>
      <c r="BF223" s="23"/>
      <c r="BG223" s="23"/>
      <c r="BH223" s="23"/>
      <c r="BI223" s="23"/>
      <c r="BJ223" s="23"/>
      <c r="BK223" s="23"/>
      <c r="BL223" s="23" t="s">
        <v>4275</v>
      </c>
      <c r="BM223" s="23"/>
      <c r="BN223" s="23"/>
      <c r="BO223" s="23"/>
      <c r="BP223" s="15">
        <v>3</v>
      </c>
      <c r="BQ223" s="348" t="s">
        <v>4276</v>
      </c>
      <c r="BR223" s="15"/>
      <c r="BS223" s="23"/>
      <c r="BT223" s="14"/>
      <c r="BU223" s="23"/>
      <c r="BV223" s="14"/>
      <c r="BW223" s="14"/>
      <c r="BX223" s="14"/>
      <c r="BY223" s="14"/>
      <c r="BZ223" s="14"/>
      <c r="CA223" s="14"/>
      <c r="CB223" s="14"/>
      <c r="CC223" s="14"/>
      <c r="CD223" s="23"/>
      <c r="CE223" s="23"/>
      <c r="CF223" s="23"/>
      <c r="CG223" s="23"/>
      <c r="CH223" s="14"/>
      <c r="CI223" s="14"/>
      <c r="CJ223" s="335"/>
    </row>
    <row r="224" spans="1:91" s="559" customFormat="1" ht="36">
      <c r="A224" s="15">
        <v>43</v>
      </c>
      <c r="B224" s="349"/>
      <c r="C224" s="348"/>
      <c r="D224" s="14" t="s">
        <v>4277</v>
      </c>
      <c r="E224" s="15" t="s">
        <v>4278</v>
      </c>
      <c r="F224" s="15">
        <v>2024</v>
      </c>
      <c r="G224" s="15">
        <v>2024</v>
      </c>
      <c r="H224" s="15"/>
      <c r="I224" s="15"/>
      <c r="J224" s="350">
        <v>103470000</v>
      </c>
      <c r="K224" s="582" t="s">
        <v>4269</v>
      </c>
      <c r="L224" s="15"/>
      <c r="M224" s="15"/>
      <c r="N224" s="15" t="s">
        <v>3077</v>
      </c>
      <c r="O224" s="15" t="s">
        <v>3215</v>
      </c>
      <c r="P224" s="15" t="s">
        <v>4079</v>
      </c>
      <c r="Q224" s="15">
        <v>210955</v>
      </c>
      <c r="R224" s="15" t="s">
        <v>97</v>
      </c>
      <c r="S224" s="334" t="s">
        <v>2404</v>
      </c>
      <c r="T224" s="583">
        <f>J224/3</f>
        <v>34490000</v>
      </c>
      <c r="U224" s="15" t="s">
        <v>151</v>
      </c>
      <c r="V224" s="15" t="s">
        <v>166</v>
      </c>
      <c r="W224" s="15" t="s">
        <v>155</v>
      </c>
      <c r="X224" s="15" t="s">
        <v>3224</v>
      </c>
      <c r="Y224" s="15" t="s">
        <v>4257</v>
      </c>
      <c r="Z224" s="15">
        <v>1093</v>
      </c>
      <c r="AA224" s="204" t="s">
        <v>4271</v>
      </c>
      <c r="AB224" s="15"/>
      <c r="AC224" s="15"/>
      <c r="AD224" s="15" t="s">
        <v>18</v>
      </c>
      <c r="AE224" s="583"/>
      <c r="AF224" s="15" t="s">
        <v>156</v>
      </c>
      <c r="AG224" s="15" t="s">
        <v>166</v>
      </c>
      <c r="AH224" s="15"/>
      <c r="AI224" s="15"/>
      <c r="AJ224" s="15" t="s">
        <v>4269</v>
      </c>
      <c r="AK224" s="15"/>
      <c r="AL224" s="341"/>
      <c r="AM224" s="15" t="s">
        <v>67</v>
      </c>
      <c r="AN224" s="583"/>
      <c r="AO224" s="15" t="s">
        <v>166</v>
      </c>
      <c r="AP224" s="15"/>
      <c r="AQ224" s="15"/>
      <c r="AR224" s="15"/>
      <c r="AS224" s="15"/>
      <c r="AT224" s="23"/>
      <c r="AU224" s="23"/>
      <c r="AV224" s="23"/>
      <c r="AW224" s="534"/>
      <c r="AX224" s="15"/>
      <c r="AY224" s="15"/>
      <c r="AZ224" s="15"/>
      <c r="BA224" s="15"/>
      <c r="BB224" s="23"/>
      <c r="BC224" s="23"/>
      <c r="BD224" s="23"/>
      <c r="BE224" s="534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  <c r="BP224" s="15">
        <v>9</v>
      </c>
      <c r="BQ224" s="348"/>
      <c r="BR224" s="15"/>
      <c r="BS224" s="23"/>
      <c r="BT224" s="23"/>
      <c r="BU224" s="23"/>
      <c r="BV224" s="23"/>
      <c r="BW224" s="23"/>
      <c r="BX224" s="23"/>
      <c r="BY224" s="23"/>
      <c r="BZ224" s="23"/>
      <c r="CA224" s="23"/>
      <c r="CB224" s="23"/>
      <c r="CC224" s="23"/>
      <c r="CD224" s="23"/>
      <c r="CE224" s="23"/>
      <c r="CF224" s="23"/>
      <c r="CG224" s="23"/>
      <c r="CH224" s="23"/>
      <c r="CI224" s="23"/>
      <c r="CJ224" s="335"/>
    </row>
    <row r="225" spans="1:88" s="145" customFormat="1" ht="48">
      <c r="A225" s="15">
        <v>42</v>
      </c>
      <c r="B225" s="349"/>
      <c r="C225" s="348"/>
      <c r="D225" s="14" t="s">
        <v>4279</v>
      </c>
      <c r="E225" s="15" t="s">
        <v>4278</v>
      </c>
      <c r="F225" s="15">
        <v>2024</v>
      </c>
      <c r="G225" s="15">
        <v>2024</v>
      </c>
      <c r="H225" s="15"/>
      <c r="I225" s="15"/>
      <c r="J225" s="350">
        <v>100580000</v>
      </c>
      <c r="K225" s="15" t="s">
        <v>4269</v>
      </c>
      <c r="L225" s="15"/>
      <c r="M225" s="15"/>
      <c r="N225" s="15" t="s">
        <v>3077</v>
      </c>
      <c r="O225" s="15" t="s">
        <v>3215</v>
      </c>
      <c r="P225" s="15" t="s">
        <v>4079</v>
      </c>
      <c r="Q225" s="15">
        <v>6680651</v>
      </c>
      <c r="R225" s="15" t="s">
        <v>4280</v>
      </c>
      <c r="S225" s="334" t="s">
        <v>1016</v>
      </c>
      <c r="T225" s="583">
        <f>J225/3</f>
        <v>33526666.666666668</v>
      </c>
      <c r="U225" s="15" t="s">
        <v>155</v>
      </c>
      <c r="V225" s="15"/>
      <c r="W225" s="15"/>
      <c r="X225" s="15" t="s">
        <v>3224</v>
      </c>
      <c r="Y225" s="15" t="s">
        <v>4257</v>
      </c>
      <c r="Z225" s="15">
        <v>1093</v>
      </c>
      <c r="AA225" s="204" t="s">
        <v>4271</v>
      </c>
      <c r="AB225" s="15"/>
      <c r="AC225" s="15"/>
      <c r="AD225" s="15"/>
      <c r="AE225" s="583"/>
      <c r="AF225" s="15"/>
      <c r="AG225" s="15"/>
      <c r="AH225" s="15"/>
      <c r="AI225" s="15"/>
      <c r="AJ225" s="15" t="s">
        <v>4269</v>
      </c>
      <c r="AK225" s="15"/>
      <c r="AL225" s="341"/>
      <c r="AM225" s="15"/>
      <c r="AN225" s="583"/>
      <c r="AO225" s="14"/>
      <c r="AP225" s="14"/>
      <c r="AQ225" s="14"/>
      <c r="AR225" s="14"/>
      <c r="AS225" s="14"/>
      <c r="AT225" s="14"/>
      <c r="AU225" s="14"/>
      <c r="AV225" s="14"/>
      <c r="AW225" s="534"/>
      <c r="AX225" s="14"/>
      <c r="AY225" s="14"/>
      <c r="AZ225" s="14"/>
      <c r="BA225" s="14"/>
      <c r="BB225" s="14"/>
      <c r="BC225" s="14"/>
      <c r="BD225" s="14"/>
      <c r="BE225" s="534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  <c r="BP225" s="15">
        <v>3</v>
      </c>
      <c r="BQ225" s="348"/>
      <c r="BR225" s="15"/>
      <c r="BS225" s="23"/>
      <c r="BT225" s="14"/>
      <c r="BU225" s="23"/>
      <c r="BV225" s="14"/>
      <c r="BW225" s="14"/>
      <c r="BX225" s="14"/>
      <c r="BY225" s="14"/>
      <c r="BZ225" s="14"/>
      <c r="CA225" s="14"/>
      <c r="CB225" s="14"/>
      <c r="CC225" s="14"/>
      <c r="CD225" s="23"/>
      <c r="CE225" s="23"/>
      <c r="CF225" s="23"/>
      <c r="CG225" s="23"/>
      <c r="CH225" s="14"/>
      <c r="CI225" s="14"/>
      <c r="CJ225" s="15"/>
    </row>
    <row r="226" spans="1:88" s="145" customFormat="1" ht="48">
      <c r="A226" s="15">
        <v>41</v>
      </c>
      <c r="B226" s="349"/>
      <c r="C226" s="348"/>
      <c r="D226" s="14" t="s">
        <v>4281</v>
      </c>
      <c r="E226" s="15" t="s">
        <v>4278</v>
      </c>
      <c r="F226" s="15">
        <v>2024</v>
      </c>
      <c r="G226" s="15">
        <v>2024</v>
      </c>
      <c r="H226" s="15"/>
      <c r="I226" s="15"/>
      <c r="J226" s="350">
        <v>99490000</v>
      </c>
      <c r="K226" s="15" t="s">
        <v>4269</v>
      </c>
      <c r="L226" s="15"/>
      <c r="M226" s="15"/>
      <c r="N226" s="15" t="s">
        <v>3077</v>
      </c>
      <c r="O226" s="15" t="s">
        <v>3215</v>
      </c>
      <c r="P226" s="15" t="s">
        <v>4079</v>
      </c>
      <c r="Q226" s="15">
        <v>6680643</v>
      </c>
      <c r="R226" s="15" t="s">
        <v>8</v>
      </c>
      <c r="S226" s="334" t="s">
        <v>1017</v>
      </c>
      <c r="T226" s="583">
        <f>J226/3</f>
        <v>33163333.333333332</v>
      </c>
      <c r="U226" s="15" t="s">
        <v>172</v>
      </c>
      <c r="V226" s="15" t="s">
        <v>160</v>
      </c>
      <c r="W226" s="15"/>
      <c r="X226" s="15" t="s">
        <v>4282</v>
      </c>
      <c r="Y226" s="15" t="s">
        <v>4257</v>
      </c>
      <c r="Z226" s="15">
        <v>1093</v>
      </c>
      <c r="AA226" s="204" t="s">
        <v>4271</v>
      </c>
      <c r="AB226" s="15"/>
      <c r="AC226" s="15"/>
      <c r="AD226" s="15" t="s">
        <v>4283</v>
      </c>
      <c r="AE226" s="583"/>
      <c r="AF226" s="15" t="s">
        <v>175</v>
      </c>
      <c r="AG226" s="15"/>
      <c r="AH226" s="15"/>
      <c r="AI226" s="15"/>
      <c r="AJ226" s="15" t="s">
        <v>4269</v>
      </c>
      <c r="AK226" s="15"/>
      <c r="AL226" s="341"/>
      <c r="AM226" s="15" t="s">
        <v>192</v>
      </c>
      <c r="AN226" s="583"/>
      <c r="AO226" s="15" t="s">
        <v>4284</v>
      </c>
      <c r="AP226" s="15"/>
      <c r="AQ226" s="15"/>
      <c r="AR226" s="15"/>
      <c r="AS226" s="15"/>
      <c r="AT226" s="23"/>
      <c r="AU226" s="23"/>
      <c r="AV226" s="23"/>
      <c r="AW226" s="534"/>
      <c r="AX226" s="15"/>
      <c r="AY226" s="15"/>
      <c r="AZ226" s="15"/>
      <c r="BA226" s="15"/>
      <c r="BB226" s="23"/>
      <c r="BC226" s="23"/>
      <c r="BD226" s="23"/>
      <c r="BE226" s="534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  <c r="BP226" s="15">
        <v>9</v>
      </c>
      <c r="BQ226" s="348"/>
      <c r="BR226" s="15"/>
      <c r="BS226" s="23"/>
      <c r="BT226" s="23"/>
      <c r="BU226" s="23"/>
      <c r="BV226" s="23"/>
      <c r="BW226" s="23"/>
      <c r="BX226" s="23"/>
      <c r="BY226" s="23"/>
      <c r="BZ226" s="23"/>
      <c r="CA226" s="23"/>
      <c r="CB226" s="23"/>
      <c r="CC226" s="23"/>
      <c r="CD226" s="23"/>
      <c r="CE226" s="23"/>
      <c r="CF226" s="23"/>
      <c r="CG226" s="23"/>
      <c r="CH226" s="23"/>
      <c r="CI226" s="23"/>
      <c r="CJ226" s="15"/>
    </row>
    <row r="227" spans="1:88" s="145" customFormat="1" ht="48">
      <c r="A227" s="15">
        <v>35</v>
      </c>
      <c r="B227" s="349" t="s">
        <v>4285</v>
      </c>
      <c r="C227" s="348" t="s">
        <v>4286</v>
      </c>
      <c r="D227" s="14" t="s">
        <v>4287</v>
      </c>
      <c r="E227" s="15" t="s">
        <v>131</v>
      </c>
      <c r="F227" s="15">
        <v>2024</v>
      </c>
      <c r="G227" s="15">
        <v>2024</v>
      </c>
      <c r="H227" s="15">
        <v>6</v>
      </c>
      <c r="I227" s="15" t="s">
        <v>3214</v>
      </c>
      <c r="J227" s="350">
        <v>80000000</v>
      </c>
      <c r="K227" s="15" t="s">
        <v>4269</v>
      </c>
      <c r="L227" s="15">
        <v>4</v>
      </c>
      <c r="M227" s="15" t="s">
        <v>3222</v>
      </c>
      <c r="N227" s="15" t="s">
        <v>3223</v>
      </c>
      <c r="O227" s="15" t="s">
        <v>3215</v>
      </c>
      <c r="P227" s="15" t="s">
        <v>3923</v>
      </c>
      <c r="Q227" s="15">
        <v>6680633</v>
      </c>
      <c r="R227" s="15" t="s">
        <v>18</v>
      </c>
      <c r="S227" s="334" t="s">
        <v>3322</v>
      </c>
      <c r="T227" s="583">
        <f>$J$253/6</f>
        <v>1500000</v>
      </c>
      <c r="U227" s="15" t="s">
        <v>156</v>
      </c>
      <c r="V227" s="15" t="s">
        <v>166</v>
      </c>
      <c r="W227" s="15"/>
      <c r="X227" s="15" t="s">
        <v>4272</v>
      </c>
      <c r="Y227" s="15" t="s">
        <v>4257</v>
      </c>
      <c r="Z227" s="15">
        <v>1093</v>
      </c>
      <c r="AA227" s="204" t="s">
        <v>4271</v>
      </c>
      <c r="AB227" s="15" t="s">
        <v>4021</v>
      </c>
      <c r="AC227" s="15" t="s">
        <v>1723</v>
      </c>
      <c r="AD227" s="15" t="s">
        <v>3124</v>
      </c>
      <c r="AE227" s="583">
        <f>$J$253/6</f>
        <v>1500000</v>
      </c>
      <c r="AF227" s="15" t="s">
        <v>156</v>
      </c>
      <c r="AG227" s="15"/>
      <c r="AH227" s="15"/>
      <c r="AI227" s="15" t="s">
        <v>4272</v>
      </c>
      <c r="AJ227" s="15" t="s">
        <v>4269</v>
      </c>
      <c r="AK227" s="15">
        <v>210955</v>
      </c>
      <c r="AL227" s="334" t="s">
        <v>2404</v>
      </c>
      <c r="AM227" s="15" t="s">
        <v>4288</v>
      </c>
      <c r="AN227" s="583">
        <v>13333333.333333334</v>
      </c>
      <c r="AO227" s="15" t="s">
        <v>151</v>
      </c>
      <c r="AP227" s="15" t="s">
        <v>166</v>
      </c>
      <c r="AQ227" s="15" t="s">
        <v>155</v>
      </c>
      <c r="AR227" s="15" t="s">
        <v>3224</v>
      </c>
      <c r="AS227" s="15" t="s">
        <v>4269</v>
      </c>
      <c r="AT227" s="15">
        <v>6843087</v>
      </c>
      <c r="AU227" s="334" t="s">
        <v>2010</v>
      </c>
      <c r="AV227" s="15" t="s">
        <v>3114</v>
      </c>
      <c r="AW227" s="534">
        <v>13333333.333333334</v>
      </c>
      <c r="AX227" s="15" t="s">
        <v>166</v>
      </c>
      <c r="AY227" s="15"/>
      <c r="AZ227" s="15" t="s">
        <v>4282</v>
      </c>
      <c r="BA227" s="15" t="s">
        <v>4269</v>
      </c>
      <c r="BB227" s="15" t="s">
        <v>4289</v>
      </c>
      <c r="BC227" s="15" t="s">
        <v>4289</v>
      </c>
      <c r="BD227" s="15" t="s">
        <v>4290</v>
      </c>
      <c r="BE227" s="534">
        <f>$J$253/6</f>
        <v>1500000</v>
      </c>
      <c r="BF227" s="23" t="s">
        <v>154</v>
      </c>
      <c r="BG227" s="23"/>
      <c r="BH227" s="23" t="s">
        <v>3224</v>
      </c>
      <c r="BI227" s="23" t="s">
        <v>4269</v>
      </c>
      <c r="BJ227" s="133">
        <v>6826699</v>
      </c>
      <c r="BK227" s="658" t="s">
        <v>1905</v>
      </c>
      <c r="BL227" s="23" t="s">
        <v>4291</v>
      </c>
      <c r="BM227" s="534" t="s">
        <v>166</v>
      </c>
      <c r="BN227" s="23" t="s">
        <v>4282</v>
      </c>
      <c r="BO227" s="534">
        <f>$J$253/6</f>
        <v>1500000</v>
      </c>
      <c r="BP227" s="15">
        <v>2</v>
      </c>
      <c r="BQ227" s="348" t="s">
        <v>3190</v>
      </c>
      <c r="BR227" s="348" t="s">
        <v>3191</v>
      </c>
      <c r="BS227" s="23" t="s">
        <v>4292</v>
      </c>
      <c r="BT227" s="15" t="s">
        <v>156</v>
      </c>
      <c r="BU227" s="23" t="s">
        <v>4293</v>
      </c>
      <c r="BV227" s="15" t="s">
        <v>156</v>
      </c>
      <c r="BW227" s="15" t="s">
        <v>4294</v>
      </c>
      <c r="BX227" s="15" t="s">
        <v>171</v>
      </c>
      <c r="BY227" s="15"/>
      <c r="BZ227" s="15"/>
      <c r="CA227" s="15"/>
      <c r="CB227" s="15"/>
      <c r="CC227" s="15"/>
      <c r="CD227" s="23"/>
      <c r="CE227" s="23"/>
      <c r="CF227" s="23"/>
      <c r="CG227" s="23" t="s">
        <v>4295</v>
      </c>
      <c r="CH227" s="15"/>
      <c r="CI227" s="15"/>
      <c r="CJ227" s="15"/>
    </row>
    <row r="228" spans="1:88" s="145" customFormat="1" ht="60">
      <c r="A228" s="15">
        <v>36</v>
      </c>
      <c r="B228" s="349" t="s">
        <v>4285</v>
      </c>
      <c r="C228" s="348" t="s">
        <v>4296</v>
      </c>
      <c r="D228" s="14" t="s">
        <v>4297</v>
      </c>
      <c r="E228" s="15" t="s">
        <v>131</v>
      </c>
      <c r="F228" s="15">
        <v>2024</v>
      </c>
      <c r="G228" s="15">
        <v>2024</v>
      </c>
      <c r="H228" s="15">
        <v>6</v>
      </c>
      <c r="I228" s="15" t="s">
        <v>4298</v>
      </c>
      <c r="J228" s="350">
        <v>80000000</v>
      </c>
      <c r="K228" s="15" t="s">
        <v>4269</v>
      </c>
      <c r="L228" s="15">
        <v>6</v>
      </c>
      <c r="M228" s="15" t="s">
        <v>3222</v>
      </c>
      <c r="N228" s="15" t="s">
        <v>3223</v>
      </c>
      <c r="O228" s="15" t="s">
        <v>3215</v>
      </c>
      <c r="P228" s="15" t="s">
        <v>3923</v>
      </c>
      <c r="Q228" s="15">
        <v>258471</v>
      </c>
      <c r="R228" s="15" t="s">
        <v>60</v>
      </c>
      <c r="S228" s="334" t="s">
        <v>3504</v>
      </c>
      <c r="T228" s="583">
        <f>$J$254/6</f>
        <v>1500000</v>
      </c>
      <c r="U228" s="15" t="s">
        <v>155</v>
      </c>
      <c r="V228" s="15"/>
      <c r="W228" s="15"/>
      <c r="X228" s="15" t="s">
        <v>3224</v>
      </c>
      <c r="Y228" s="15" t="s">
        <v>4257</v>
      </c>
      <c r="Z228" s="15">
        <v>1093</v>
      </c>
      <c r="AA228" s="204" t="s">
        <v>4271</v>
      </c>
      <c r="AB228" s="15">
        <v>6778837</v>
      </c>
      <c r="AC228" s="15" t="s">
        <v>979</v>
      </c>
      <c r="AD228" s="15" t="s">
        <v>3119</v>
      </c>
      <c r="AE228" s="583">
        <f>$J$254/6</f>
        <v>1500000</v>
      </c>
      <c r="AF228" s="15" t="s">
        <v>171</v>
      </c>
      <c r="AG228" s="15"/>
      <c r="AH228" s="15"/>
      <c r="AI228" s="15" t="s">
        <v>4272</v>
      </c>
      <c r="AJ228" s="15" t="s">
        <v>4269</v>
      </c>
      <c r="AK228" s="15">
        <v>6767777</v>
      </c>
      <c r="AL228" s="334" t="s">
        <v>2673</v>
      </c>
      <c r="AM228" s="15" t="s">
        <v>3116</v>
      </c>
      <c r="AN228" s="583">
        <f>$J$254/6</f>
        <v>1500000</v>
      </c>
      <c r="AO228" s="15" t="s">
        <v>171</v>
      </c>
      <c r="AP228" s="15"/>
      <c r="AQ228" s="15"/>
      <c r="AR228" s="15" t="s">
        <v>4272</v>
      </c>
      <c r="AS228" s="15" t="s">
        <v>4269</v>
      </c>
      <c r="AT228" s="15">
        <v>6898606</v>
      </c>
      <c r="AU228" s="341" t="s">
        <v>2460</v>
      </c>
      <c r="AV228" s="15" t="s">
        <v>3109</v>
      </c>
      <c r="AW228" s="534">
        <f>$J$254/6</f>
        <v>1500000</v>
      </c>
      <c r="AX228" s="15" t="s">
        <v>151</v>
      </c>
      <c r="AY228" s="15"/>
      <c r="AZ228" s="15" t="s">
        <v>3224</v>
      </c>
      <c r="BA228" s="15" t="s">
        <v>4269</v>
      </c>
      <c r="BB228" s="15">
        <v>6889068</v>
      </c>
      <c r="BC228" s="204" t="s">
        <v>4299</v>
      </c>
      <c r="BD228" s="15" t="s">
        <v>3111</v>
      </c>
      <c r="BE228" s="534">
        <f>$J$254/6</f>
        <v>1500000</v>
      </c>
      <c r="BF228" s="23" t="s">
        <v>171</v>
      </c>
      <c r="BG228" s="23"/>
      <c r="BH228" s="23" t="s">
        <v>4272</v>
      </c>
      <c r="BI228" s="23" t="s">
        <v>4269</v>
      </c>
      <c r="BJ228" s="23">
        <v>6837723</v>
      </c>
      <c r="BK228" s="23" t="s">
        <v>2672</v>
      </c>
      <c r="BL228" s="23" t="s">
        <v>142</v>
      </c>
      <c r="BM228" s="534" t="s">
        <v>171</v>
      </c>
      <c r="BN228" s="23" t="s">
        <v>4272</v>
      </c>
      <c r="BO228" s="534">
        <f>$J$254/6</f>
        <v>1500000</v>
      </c>
      <c r="BP228" s="15">
        <v>3</v>
      </c>
      <c r="BQ228" s="348" t="s">
        <v>3190</v>
      </c>
      <c r="BR228" s="348" t="s">
        <v>3191</v>
      </c>
      <c r="BS228" s="23" t="s">
        <v>4300</v>
      </c>
      <c r="BT228" s="15" t="s">
        <v>151</v>
      </c>
      <c r="BU228" s="23" t="s">
        <v>4301</v>
      </c>
      <c r="BV228" s="15" t="s">
        <v>151</v>
      </c>
      <c r="BW228" s="15" t="s">
        <v>4294</v>
      </c>
      <c r="BX228" s="15" t="s">
        <v>171</v>
      </c>
      <c r="BY228" s="15"/>
      <c r="BZ228" s="15"/>
      <c r="CA228" s="15"/>
      <c r="CB228" s="15"/>
      <c r="CC228" s="15"/>
      <c r="CD228" s="23"/>
      <c r="CE228" s="23"/>
      <c r="CF228" s="23"/>
      <c r="CG228" s="23" t="s">
        <v>4295</v>
      </c>
      <c r="CH228" s="15"/>
      <c r="CI228" s="15" t="s">
        <v>3397</v>
      </c>
      <c r="CJ228" s="15"/>
    </row>
    <row r="229" spans="1:88" s="559" customFormat="1" ht="72">
      <c r="A229" s="15">
        <v>37</v>
      </c>
      <c r="B229" s="349" t="s">
        <v>4285</v>
      </c>
      <c r="C229" s="348" t="s">
        <v>4302</v>
      </c>
      <c r="D229" s="14" t="s">
        <v>4303</v>
      </c>
      <c r="E229" s="15" t="s">
        <v>131</v>
      </c>
      <c r="F229" s="15">
        <v>2024</v>
      </c>
      <c r="G229" s="15">
        <v>2024</v>
      </c>
      <c r="H229" s="15">
        <v>6</v>
      </c>
      <c r="I229" s="15" t="s">
        <v>3307</v>
      </c>
      <c r="J229" s="350">
        <v>80000000</v>
      </c>
      <c r="K229" s="15" t="s">
        <v>4269</v>
      </c>
      <c r="L229" s="15">
        <v>4</v>
      </c>
      <c r="M229" s="15" t="s">
        <v>3222</v>
      </c>
      <c r="N229" s="15" t="s">
        <v>3223</v>
      </c>
      <c r="O229" s="15" t="s">
        <v>3215</v>
      </c>
      <c r="P229" s="15" t="s">
        <v>3923</v>
      </c>
      <c r="Q229" s="15">
        <v>6859016</v>
      </c>
      <c r="R229" s="15" t="s">
        <v>52</v>
      </c>
      <c r="S229" s="341" t="s">
        <v>2497</v>
      </c>
      <c r="T229" s="583">
        <f>$J$255/4</f>
        <v>2250000</v>
      </c>
      <c r="U229" s="15" t="s">
        <v>155</v>
      </c>
      <c r="V229" s="15"/>
      <c r="W229" s="15"/>
      <c r="X229" s="15" t="s">
        <v>3224</v>
      </c>
      <c r="Y229" s="15" t="s">
        <v>4257</v>
      </c>
      <c r="Z229" s="15">
        <v>1093</v>
      </c>
      <c r="AA229" s="204" t="s">
        <v>4271</v>
      </c>
      <c r="AB229" s="15">
        <v>6680618</v>
      </c>
      <c r="AC229" s="15" t="s">
        <v>1737</v>
      </c>
      <c r="AD229" s="15" t="s">
        <v>4304</v>
      </c>
      <c r="AE229" s="583">
        <f>$J$255/4</f>
        <v>2250000</v>
      </c>
      <c r="AF229" s="15" t="s">
        <v>160</v>
      </c>
      <c r="AG229" s="15"/>
      <c r="AH229" s="15"/>
      <c r="AI229" s="15" t="s">
        <v>4282</v>
      </c>
      <c r="AJ229" s="15" t="s">
        <v>4269</v>
      </c>
      <c r="AK229" s="15">
        <v>6879158</v>
      </c>
      <c r="AL229" s="334" t="s">
        <v>2540</v>
      </c>
      <c r="AM229" s="15" t="s">
        <v>4305</v>
      </c>
      <c r="AN229" s="583">
        <v>20000000</v>
      </c>
      <c r="AO229" s="15" t="s">
        <v>160</v>
      </c>
      <c r="AP229" s="15"/>
      <c r="AQ229" s="15"/>
      <c r="AR229" s="15" t="s">
        <v>4282</v>
      </c>
      <c r="AS229" s="15" t="s">
        <v>4269</v>
      </c>
      <c r="AT229" s="15">
        <v>6778519</v>
      </c>
      <c r="AU229" s="204" t="s">
        <v>1876</v>
      </c>
      <c r="AV229" s="15" t="s">
        <v>137</v>
      </c>
      <c r="AW229" s="534">
        <v>20000000</v>
      </c>
      <c r="AX229" s="15" t="s">
        <v>172</v>
      </c>
      <c r="AY229" s="15"/>
      <c r="AZ229" s="15" t="s">
        <v>4282</v>
      </c>
      <c r="BA229" s="15" t="s">
        <v>4269</v>
      </c>
      <c r="BB229" s="15"/>
      <c r="BC229" s="15"/>
      <c r="BD229" s="15"/>
      <c r="BE229" s="534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  <c r="BP229" s="15">
        <v>7</v>
      </c>
      <c r="BQ229" s="348" t="s">
        <v>3190</v>
      </c>
      <c r="BR229" s="15"/>
      <c r="BS229" s="23" t="s">
        <v>4306</v>
      </c>
      <c r="BT229" s="15" t="s">
        <v>155</v>
      </c>
      <c r="BU229" s="23" t="s">
        <v>3582</v>
      </c>
      <c r="BV229" s="15" t="s">
        <v>155</v>
      </c>
      <c r="BW229" s="15" t="s">
        <v>4307</v>
      </c>
      <c r="BX229" s="15" t="s">
        <v>155</v>
      </c>
      <c r="BY229" s="15" t="s">
        <v>4308</v>
      </c>
      <c r="BZ229" s="15" t="s">
        <v>155</v>
      </c>
      <c r="CA229" s="15" t="s">
        <v>4309</v>
      </c>
      <c r="CB229" s="15" t="s">
        <v>155</v>
      </c>
      <c r="CC229" s="15" t="s">
        <v>4310</v>
      </c>
      <c r="CD229" s="23" t="s">
        <v>155</v>
      </c>
      <c r="CE229" s="23" t="s">
        <v>4311</v>
      </c>
      <c r="CF229" s="23" t="s">
        <v>155</v>
      </c>
      <c r="CG229" s="23" t="s">
        <v>4312</v>
      </c>
      <c r="CH229" s="15"/>
      <c r="CI229" s="15" t="s">
        <v>3397</v>
      </c>
      <c r="CJ229" s="335"/>
    </row>
    <row r="230" spans="1:88" s="145" customFormat="1" ht="84">
      <c r="A230" s="15">
        <v>34</v>
      </c>
      <c r="B230" s="349" t="s">
        <v>4313</v>
      </c>
      <c r="C230" s="348" t="s">
        <v>4314</v>
      </c>
      <c r="D230" s="14" t="s">
        <v>4315</v>
      </c>
      <c r="E230" s="15" t="s">
        <v>130</v>
      </c>
      <c r="F230" s="15">
        <v>2024</v>
      </c>
      <c r="G230" s="15">
        <v>2024</v>
      </c>
      <c r="H230" s="15">
        <v>7</v>
      </c>
      <c r="I230" s="15" t="s">
        <v>4298</v>
      </c>
      <c r="J230" s="350">
        <v>67500000</v>
      </c>
      <c r="K230" s="15" t="s">
        <v>4269</v>
      </c>
      <c r="L230" s="15">
        <v>3</v>
      </c>
      <c r="M230" s="15" t="s">
        <v>3222</v>
      </c>
      <c r="N230" s="15" t="s">
        <v>3223</v>
      </c>
      <c r="O230" s="15" t="s">
        <v>3215</v>
      </c>
      <c r="P230" s="15" t="s">
        <v>4058</v>
      </c>
      <c r="Q230" s="15">
        <v>6793410</v>
      </c>
      <c r="R230" s="15" t="s">
        <v>4316</v>
      </c>
      <c r="S230" s="334" t="s">
        <v>947</v>
      </c>
      <c r="T230" s="583">
        <f>J230/2</f>
        <v>33750000</v>
      </c>
      <c r="U230" s="15" t="s">
        <v>4317</v>
      </c>
      <c r="V230" s="15"/>
      <c r="W230" s="15"/>
      <c r="X230" s="15" t="s">
        <v>4272</v>
      </c>
      <c r="Y230" s="15" t="s">
        <v>4257</v>
      </c>
      <c r="Z230" s="15">
        <v>1093</v>
      </c>
      <c r="AA230" s="204" t="s">
        <v>4271</v>
      </c>
      <c r="AB230" s="15">
        <v>6806662</v>
      </c>
      <c r="AC230" s="15" t="s">
        <v>1897</v>
      </c>
      <c r="AD230" s="15" t="s">
        <v>4318</v>
      </c>
      <c r="AE230" s="583">
        <f>T230</f>
        <v>33750000</v>
      </c>
      <c r="AF230" s="15" t="s">
        <v>175</v>
      </c>
      <c r="AG230" s="15"/>
      <c r="AH230" s="15"/>
      <c r="AI230" s="15" t="s">
        <v>4272</v>
      </c>
      <c r="AJ230" s="15" t="s">
        <v>4269</v>
      </c>
      <c r="AK230" s="15"/>
      <c r="AL230" s="341"/>
      <c r="AM230" s="15"/>
      <c r="AN230" s="583"/>
      <c r="AO230" s="15"/>
      <c r="AP230" s="15"/>
      <c r="AQ230" s="15"/>
      <c r="AR230" s="15"/>
      <c r="AS230" s="15"/>
      <c r="AT230" s="15"/>
      <c r="AU230" s="15"/>
      <c r="AV230" s="15"/>
      <c r="AW230" s="534"/>
      <c r="AX230" s="15"/>
      <c r="AY230" s="15"/>
      <c r="AZ230" s="15"/>
      <c r="BA230" s="15"/>
      <c r="BB230" s="15"/>
      <c r="BC230" s="15"/>
      <c r="BD230" s="15"/>
      <c r="BE230" s="534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  <c r="BP230" s="15">
        <v>3</v>
      </c>
      <c r="BQ230" s="348" t="s">
        <v>3190</v>
      </c>
      <c r="BR230" s="348" t="s">
        <v>3191</v>
      </c>
      <c r="BS230" s="23" t="s">
        <v>4319</v>
      </c>
      <c r="BT230" s="15" t="s">
        <v>4320</v>
      </c>
      <c r="BU230" s="23" t="s">
        <v>4321</v>
      </c>
      <c r="BV230" s="15" t="s">
        <v>4322</v>
      </c>
      <c r="BW230" s="15" t="s">
        <v>4323</v>
      </c>
      <c r="BX230" s="15" t="s">
        <v>4320</v>
      </c>
      <c r="BY230" s="15"/>
      <c r="BZ230" s="15"/>
      <c r="CA230" s="15"/>
      <c r="CB230" s="15"/>
      <c r="CC230" s="15"/>
      <c r="CD230" s="23"/>
      <c r="CE230" s="23"/>
      <c r="CF230" s="23"/>
      <c r="CG230" s="23" t="s">
        <v>4324</v>
      </c>
      <c r="CH230" s="15"/>
      <c r="CI230" s="15"/>
      <c r="CJ230" s="15"/>
    </row>
    <row r="231" spans="1:88" s="559" customFormat="1" ht="48">
      <c r="A231" s="15">
        <v>33</v>
      </c>
      <c r="B231" s="349" t="s">
        <v>4325</v>
      </c>
      <c r="C231" s="348" t="s">
        <v>4326</v>
      </c>
      <c r="D231" s="14" t="s">
        <v>4327</v>
      </c>
      <c r="E231" s="15" t="s">
        <v>129</v>
      </c>
      <c r="F231" s="15">
        <v>2024</v>
      </c>
      <c r="G231" s="15">
        <v>2024</v>
      </c>
      <c r="H231" s="15">
        <v>7</v>
      </c>
      <c r="I231" s="15" t="s">
        <v>4298</v>
      </c>
      <c r="J231" s="350">
        <v>20250000</v>
      </c>
      <c r="K231" s="15" t="s">
        <v>4269</v>
      </c>
      <c r="L231" s="15">
        <v>6</v>
      </c>
      <c r="M231" s="15" t="s">
        <v>3222</v>
      </c>
      <c r="N231" s="15" t="s">
        <v>3223</v>
      </c>
      <c r="O231" s="15" t="s">
        <v>3215</v>
      </c>
      <c r="P231" s="15" t="s">
        <v>4058</v>
      </c>
      <c r="Q231" s="15">
        <v>6680651</v>
      </c>
      <c r="R231" s="15" t="s">
        <v>4280</v>
      </c>
      <c r="S231" s="334" t="s">
        <v>1016</v>
      </c>
      <c r="T231" s="583">
        <f>J231/4</f>
        <v>5062500</v>
      </c>
      <c r="U231" s="15" t="s">
        <v>4328</v>
      </c>
      <c r="V231" s="15"/>
      <c r="W231" s="15"/>
      <c r="X231" s="15" t="s">
        <v>3224</v>
      </c>
      <c r="Y231" s="15" t="s">
        <v>4257</v>
      </c>
      <c r="Z231" s="15">
        <v>1093</v>
      </c>
      <c r="AA231" s="204" t="s">
        <v>4271</v>
      </c>
      <c r="AB231" s="15">
        <v>6665306</v>
      </c>
      <c r="AC231" s="15" t="s">
        <v>1727</v>
      </c>
      <c r="AD231" s="15" t="s">
        <v>4329</v>
      </c>
      <c r="AE231" s="583">
        <f>T231</f>
        <v>5062500</v>
      </c>
      <c r="AF231" s="15" t="s">
        <v>166</v>
      </c>
      <c r="AG231" s="15"/>
      <c r="AH231" s="15"/>
      <c r="AI231" s="15" t="s">
        <v>4282</v>
      </c>
      <c r="AJ231" s="15" t="s">
        <v>4269</v>
      </c>
      <c r="AK231" s="15">
        <v>6793410</v>
      </c>
      <c r="AL231" s="341" t="s">
        <v>947</v>
      </c>
      <c r="AM231" s="15" t="s">
        <v>4330</v>
      </c>
      <c r="AN231" s="583">
        <f>T231</f>
        <v>5062500</v>
      </c>
      <c r="AO231" s="15" t="s">
        <v>4317</v>
      </c>
      <c r="AP231" s="15"/>
      <c r="AQ231" s="15"/>
      <c r="AR231" s="15" t="s">
        <v>4272</v>
      </c>
      <c r="AS231" s="15" t="s">
        <v>4269</v>
      </c>
      <c r="AT231" s="15">
        <v>6806662</v>
      </c>
      <c r="AU231" s="15" t="s">
        <v>1897</v>
      </c>
      <c r="AV231" s="15" t="s">
        <v>4331</v>
      </c>
      <c r="AW231" s="534">
        <f>T231</f>
        <v>5062500</v>
      </c>
      <c r="AX231" s="15" t="s">
        <v>175</v>
      </c>
      <c r="AY231" s="15"/>
      <c r="AZ231" s="15" t="s">
        <v>4272</v>
      </c>
      <c r="BA231" s="15" t="s">
        <v>4269</v>
      </c>
      <c r="BB231" s="15"/>
      <c r="BC231" s="15"/>
      <c r="BD231" s="15"/>
      <c r="BE231" s="534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  <c r="BP231" s="15">
        <v>3</v>
      </c>
      <c r="BQ231" s="348" t="s">
        <v>3190</v>
      </c>
      <c r="BR231" s="348" t="s">
        <v>3191</v>
      </c>
      <c r="BS231" s="23" t="s">
        <v>4332</v>
      </c>
      <c r="BT231" s="15" t="s">
        <v>4320</v>
      </c>
      <c r="BU231" s="23" t="s">
        <v>4319</v>
      </c>
      <c r="BV231" s="15" t="s">
        <v>4320</v>
      </c>
      <c r="BW231" s="15" t="s">
        <v>4323</v>
      </c>
      <c r="BX231" s="15" t="s">
        <v>4320</v>
      </c>
      <c r="BY231" s="15" t="s">
        <v>4333</v>
      </c>
      <c r="BZ231" s="15"/>
      <c r="CA231" s="15"/>
      <c r="CB231" s="15"/>
      <c r="CC231" s="15"/>
      <c r="CD231" s="23"/>
      <c r="CE231" s="23"/>
      <c r="CF231" s="23"/>
      <c r="CG231" s="23" t="s">
        <v>4334</v>
      </c>
      <c r="CH231" s="15"/>
      <c r="CI231" s="15" t="s">
        <v>4335</v>
      </c>
      <c r="CJ231" s="335"/>
    </row>
    <row r="232" spans="1:88" s="145" customFormat="1" ht="60">
      <c r="A232" s="15">
        <v>41</v>
      </c>
      <c r="B232" s="349"/>
      <c r="C232" s="348" t="s">
        <v>4336</v>
      </c>
      <c r="D232" s="14" t="s">
        <v>4337</v>
      </c>
      <c r="E232" s="15" t="s">
        <v>133</v>
      </c>
      <c r="F232" s="15">
        <v>2024</v>
      </c>
      <c r="G232" s="15">
        <v>2024</v>
      </c>
      <c r="H232" s="15"/>
      <c r="I232" s="15"/>
      <c r="J232" s="350">
        <v>10100000</v>
      </c>
      <c r="K232" s="582" t="s">
        <v>4269</v>
      </c>
      <c r="L232" s="15"/>
      <c r="M232" s="15"/>
      <c r="N232" s="15" t="s">
        <v>3223</v>
      </c>
      <c r="O232" s="15" t="s">
        <v>3215</v>
      </c>
      <c r="P232" s="15" t="s">
        <v>3923</v>
      </c>
      <c r="Q232" s="333" t="s">
        <v>4338</v>
      </c>
      <c r="R232" s="15" t="s">
        <v>3126</v>
      </c>
      <c r="S232" s="341" t="s">
        <v>2497</v>
      </c>
      <c r="T232" s="583">
        <f>J232/4</f>
        <v>2525000</v>
      </c>
      <c r="U232" s="15" t="s">
        <v>155</v>
      </c>
      <c r="V232" s="15"/>
      <c r="W232" s="15"/>
      <c r="X232" s="15" t="s">
        <v>152</v>
      </c>
      <c r="Y232" s="15" t="s">
        <v>4257</v>
      </c>
      <c r="Z232" s="15">
        <v>1093</v>
      </c>
      <c r="AA232" s="204" t="s">
        <v>4339</v>
      </c>
      <c r="AB232" s="333" t="s">
        <v>4340</v>
      </c>
      <c r="AC232" s="333" t="s">
        <v>960</v>
      </c>
      <c r="AD232" s="15" t="s">
        <v>4341</v>
      </c>
      <c r="AE232" s="583"/>
      <c r="AF232" s="15" t="s">
        <v>4262</v>
      </c>
      <c r="AG232" s="15"/>
      <c r="AH232" s="15"/>
      <c r="AI232" s="15" t="s">
        <v>152</v>
      </c>
      <c r="AJ232" s="15" t="s">
        <v>4269</v>
      </c>
      <c r="AK232" s="333" t="s">
        <v>4342</v>
      </c>
      <c r="AL232" s="341" t="s">
        <v>1770</v>
      </c>
      <c r="AM232" s="15" t="s">
        <v>3112</v>
      </c>
      <c r="AN232" s="583"/>
      <c r="AO232" s="15" t="s">
        <v>155</v>
      </c>
      <c r="AP232" s="15"/>
      <c r="AQ232" s="15"/>
      <c r="AR232" s="15" t="s">
        <v>152</v>
      </c>
      <c r="AS232" s="15"/>
      <c r="AT232" s="23"/>
      <c r="AU232" s="23"/>
      <c r="AV232" s="23"/>
      <c r="AW232" s="534"/>
      <c r="AX232" s="15"/>
      <c r="AY232" s="15"/>
      <c r="AZ232" s="15"/>
      <c r="BA232" s="15"/>
      <c r="BB232" s="23"/>
      <c r="BC232" s="23"/>
      <c r="BD232" s="23"/>
      <c r="BE232" s="534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  <c r="BP232" s="15">
        <v>7</v>
      </c>
      <c r="BQ232" s="348" t="s">
        <v>3190</v>
      </c>
      <c r="BR232" s="348" t="s">
        <v>3191</v>
      </c>
      <c r="BS232" s="23" t="s">
        <v>4343</v>
      </c>
      <c r="BT232" s="23" t="s">
        <v>4262</v>
      </c>
      <c r="BU232" s="23" t="s">
        <v>4344</v>
      </c>
      <c r="BV232" s="23" t="s">
        <v>4262</v>
      </c>
      <c r="BW232" s="23" t="s">
        <v>4345</v>
      </c>
      <c r="BX232" s="23" t="s">
        <v>4262</v>
      </c>
      <c r="BY232" s="23"/>
      <c r="BZ232" s="23"/>
      <c r="CA232" s="23"/>
      <c r="CB232" s="23"/>
      <c r="CC232" s="23"/>
      <c r="CD232" s="23"/>
      <c r="CE232" s="23"/>
      <c r="CF232" s="23"/>
      <c r="CG232" s="23"/>
      <c r="CH232" s="23"/>
      <c r="CI232" s="23"/>
      <c r="CJ232" s="15"/>
    </row>
    <row r="233" spans="1:88" s="145" customFormat="1" ht="60">
      <c r="A233" s="15">
        <v>43</v>
      </c>
      <c r="B233" s="349"/>
      <c r="C233" s="348" t="s">
        <v>4346</v>
      </c>
      <c r="D233" s="14" t="s">
        <v>4347</v>
      </c>
      <c r="E233" s="15" t="s">
        <v>133</v>
      </c>
      <c r="F233" s="15">
        <v>2024</v>
      </c>
      <c r="G233" s="15">
        <v>2024</v>
      </c>
      <c r="H233" s="15"/>
      <c r="I233" s="344"/>
      <c r="J233" s="350">
        <v>10000000</v>
      </c>
      <c r="K233" s="582" t="s">
        <v>4269</v>
      </c>
      <c r="L233" s="15"/>
      <c r="M233" s="15"/>
      <c r="N233" s="15" t="s">
        <v>3223</v>
      </c>
      <c r="O233" s="15" t="s">
        <v>3215</v>
      </c>
      <c r="P233" s="15" t="s">
        <v>3923</v>
      </c>
      <c r="Q233" s="333" t="s">
        <v>4021</v>
      </c>
      <c r="R233" s="15" t="s">
        <v>3124</v>
      </c>
      <c r="S233" s="341" t="s">
        <v>1723</v>
      </c>
      <c r="T233" s="583">
        <f>J233/4</f>
        <v>2500000</v>
      </c>
      <c r="U233" s="15" t="s">
        <v>156</v>
      </c>
      <c r="V233" s="15"/>
      <c r="W233" s="15"/>
      <c r="X233" s="15" t="s">
        <v>157</v>
      </c>
      <c r="Y233" s="15" t="s">
        <v>4257</v>
      </c>
      <c r="Z233" s="15">
        <v>1093</v>
      </c>
      <c r="AA233" s="204" t="s">
        <v>4348</v>
      </c>
      <c r="AB233" s="333" t="s">
        <v>4349</v>
      </c>
      <c r="AC233" s="333" t="s">
        <v>959</v>
      </c>
      <c r="AD233" s="15" t="s">
        <v>4350</v>
      </c>
      <c r="AE233" s="583"/>
      <c r="AF233" s="15" t="s">
        <v>4351</v>
      </c>
      <c r="AG233" s="15"/>
      <c r="AH233" s="15"/>
      <c r="AI233" s="15" t="s">
        <v>157</v>
      </c>
      <c r="AJ233" s="15" t="s">
        <v>4269</v>
      </c>
      <c r="AK233" s="333" t="s">
        <v>4352</v>
      </c>
      <c r="AL233" s="341" t="s">
        <v>948</v>
      </c>
      <c r="AM233" s="15" t="s">
        <v>3081</v>
      </c>
      <c r="AN233" s="583"/>
      <c r="AO233" s="23" t="s">
        <v>156</v>
      </c>
      <c r="AP233" s="23"/>
      <c r="AQ233" s="23"/>
      <c r="AR233" s="23" t="s">
        <v>157</v>
      </c>
      <c r="AS233" s="23"/>
      <c r="AT233" s="23" t="s">
        <v>4353</v>
      </c>
      <c r="AU233" s="23">
        <v>717017902</v>
      </c>
      <c r="AV233" s="23" t="s">
        <v>1211</v>
      </c>
      <c r="AW233" s="534"/>
      <c r="AX233" s="23" t="s">
        <v>156</v>
      </c>
      <c r="AY233" s="23" t="s">
        <v>166</v>
      </c>
      <c r="AZ233" s="23" t="s">
        <v>157</v>
      </c>
      <c r="BA233" s="23"/>
      <c r="BB233" s="23"/>
      <c r="BC233" s="23"/>
      <c r="BD233" s="23"/>
      <c r="BE233" s="534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  <c r="BP233" s="15">
        <v>9</v>
      </c>
      <c r="BQ233" s="348" t="s">
        <v>3190</v>
      </c>
      <c r="BR233" s="348" t="s">
        <v>3191</v>
      </c>
      <c r="BS233" s="23" t="s">
        <v>4354</v>
      </c>
      <c r="BT233" s="36" t="s">
        <v>4351</v>
      </c>
      <c r="BU233" s="23" t="s">
        <v>4355</v>
      </c>
      <c r="BV233" s="36" t="s">
        <v>4351</v>
      </c>
      <c r="BW233" s="23" t="s">
        <v>4356</v>
      </c>
      <c r="BX233" s="36" t="s">
        <v>4351</v>
      </c>
      <c r="BY233" s="23"/>
      <c r="BZ233" s="36"/>
      <c r="CA233" s="23"/>
      <c r="CB233" s="23"/>
      <c r="CC233" s="23"/>
      <c r="CD233" s="23"/>
      <c r="CE233" s="23"/>
      <c r="CF233" s="23"/>
      <c r="CG233" s="23"/>
      <c r="CH233" s="23"/>
      <c r="CI233" s="23"/>
      <c r="CJ233" s="15"/>
    </row>
    <row r="234" spans="1:88" s="145" customFormat="1" ht="36">
      <c r="A234" s="15">
        <v>44</v>
      </c>
      <c r="B234" s="349"/>
      <c r="C234" s="348" t="s">
        <v>4357</v>
      </c>
      <c r="D234" s="14" t="s">
        <v>4358</v>
      </c>
      <c r="E234" s="15" t="s">
        <v>133</v>
      </c>
      <c r="F234" s="15">
        <v>2024</v>
      </c>
      <c r="G234" s="15">
        <v>2024</v>
      </c>
      <c r="H234" s="15"/>
      <c r="I234" s="344"/>
      <c r="J234" s="350">
        <v>10000000</v>
      </c>
      <c r="K234" s="582" t="s">
        <v>4269</v>
      </c>
      <c r="L234" s="15"/>
      <c r="M234" s="15"/>
      <c r="N234" s="15" t="s">
        <v>3223</v>
      </c>
      <c r="O234" s="15" t="s">
        <v>3215</v>
      </c>
      <c r="P234" s="15" t="s">
        <v>3923</v>
      </c>
      <c r="Q234" s="333" t="s">
        <v>2798</v>
      </c>
      <c r="R234" s="15" t="s">
        <v>136</v>
      </c>
      <c r="S234" s="341" t="s">
        <v>2799</v>
      </c>
      <c r="T234" s="583">
        <f t="shared" ref="T234:T239" si="35">J234/3</f>
        <v>3333333.3333333335</v>
      </c>
      <c r="U234" s="15" t="s">
        <v>4359</v>
      </c>
      <c r="V234" s="15"/>
      <c r="W234" s="15"/>
      <c r="X234" s="15" t="s">
        <v>157</v>
      </c>
      <c r="Y234" s="15" t="s">
        <v>4257</v>
      </c>
      <c r="Z234" s="15">
        <v>1093</v>
      </c>
      <c r="AA234" s="204" t="s">
        <v>4360</v>
      </c>
      <c r="AB234" s="333" t="s">
        <v>4361</v>
      </c>
      <c r="AC234" s="333" t="s">
        <v>4299</v>
      </c>
      <c r="AD234" s="15" t="s">
        <v>3111</v>
      </c>
      <c r="AE234" s="583"/>
      <c r="AF234" s="15" t="s">
        <v>4359</v>
      </c>
      <c r="AG234" s="15"/>
      <c r="AH234" s="15"/>
      <c r="AI234" s="15" t="s">
        <v>157</v>
      </c>
      <c r="AJ234" s="15" t="s">
        <v>4269</v>
      </c>
      <c r="AK234" s="333" t="s">
        <v>4362</v>
      </c>
      <c r="AL234" s="341" t="s">
        <v>2700</v>
      </c>
      <c r="AM234" s="15" t="s">
        <v>4363</v>
      </c>
      <c r="AN234" s="583"/>
      <c r="AO234" s="23" t="s">
        <v>171</v>
      </c>
      <c r="AP234" s="23"/>
      <c r="AQ234" s="23"/>
      <c r="AR234" s="23" t="s">
        <v>157</v>
      </c>
      <c r="AS234" s="23"/>
      <c r="AT234" s="23"/>
      <c r="AU234" s="23"/>
      <c r="AV234" s="23"/>
      <c r="AW234" s="534"/>
      <c r="AX234" s="23"/>
      <c r="AY234" s="23"/>
      <c r="AZ234" s="23"/>
      <c r="BA234" s="23"/>
      <c r="BB234" s="23"/>
      <c r="BC234" s="23"/>
      <c r="BD234" s="23"/>
      <c r="BE234" s="534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  <c r="BP234" s="15">
        <v>5</v>
      </c>
      <c r="BQ234" s="348" t="s">
        <v>3190</v>
      </c>
      <c r="BR234" s="348" t="s">
        <v>3191</v>
      </c>
      <c r="BS234" s="23" t="s">
        <v>4364</v>
      </c>
      <c r="BT234" s="36" t="s">
        <v>4359</v>
      </c>
      <c r="BU234" s="23" t="s">
        <v>4365</v>
      </c>
      <c r="BV234" s="36" t="s">
        <v>4366</v>
      </c>
      <c r="BW234" s="23" t="s">
        <v>4367</v>
      </c>
      <c r="BX234" s="36" t="s">
        <v>4359</v>
      </c>
      <c r="BY234" s="23"/>
      <c r="BZ234" s="36"/>
      <c r="CA234" s="23"/>
      <c r="CB234" s="23"/>
      <c r="CC234" s="23"/>
      <c r="CD234" s="23"/>
      <c r="CE234" s="23"/>
      <c r="CF234" s="23"/>
      <c r="CG234" s="23"/>
      <c r="CH234" s="23"/>
      <c r="CI234" s="23"/>
      <c r="CJ234" s="15"/>
    </row>
    <row r="235" spans="1:88" s="559" customFormat="1" ht="57.6">
      <c r="A235" s="15">
        <v>45</v>
      </c>
      <c r="B235" s="349"/>
      <c r="C235" s="348" t="s">
        <v>4368</v>
      </c>
      <c r="D235" s="14" t="s">
        <v>4369</v>
      </c>
      <c r="E235" s="15" t="s">
        <v>133</v>
      </c>
      <c r="F235" s="15">
        <v>2024</v>
      </c>
      <c r="G235" s="15">
        <v>2024</v>
      </c>
      <c r="H235" s="15"/>
      <c r="I235" s="344"/>
      <c r="J235" s="350">
        <v>10000000</v>
      </c>
      <c r="K235" s="582" t="s">
        <v>4269</v>
      </c>
      <c r="L235" s="15"/>
      <c r="M235" s="15"/>
      <c r="N235" s="15" t="s">
        <v>3223</v>
      </c>
      <c r="O235" s="15" t="s">
        <v>3215</v>
      </c>
      <c r="P235" s="15" t="s">
        <v>3923</v>
      </c>
      <c r="Q235" s="333" t="s">
        <v>2954</v>
      </c>
      <c r="R235" s="15" t="s">
        <v>3114</v>
      </c>
      <c r="S235" s="341" t="s">
        <v>2010</v>
      </c>
      <c r="T235" s="583">
        <f t="shared" si="35"/>
        <v>3333333.3333333335</v>
      </c>
      <c r="U235" s="15" t="s">
        <v>166</v>
      </c>
      <c r="V235" s="15"/>
      <c r="W235" s="15"/>
      <c r="X235" s="15" t="s">
        <v>161</v>
      </c>
      <c r="Y235" s="15" t="s">
        <v>4257</v>
      </c>
      <c r="Z235" s="15">
        <v>1093</v>
      </c>
      <c r="AA235" s="204" t="s">
        <v>4370</v>
      </c>
      <c r="AB235" s="333" t="s">
        <v>4371</v>
      </c>
      <c r="AC235" s="333" t="s">
        <v>1905</v>
      </c>
      <c r="AD235" s="15" t="s">
        <v>4291</v>
      </c>
      <c r="AE235" s="583"/>
      <c r="AF235" s="15" t="s">
        <v>4372</v>
      </c>
      <c r="AG235" s="15"/>
      <c r="AH235" s="15"/>
      <c r="AI235" s="15" t="s">
        <v>161</v>
      </c>
      <c r="AJ235" s="15" t="s">
        <v>4269</v>
      </c>
      <c r="AK235" s="333" t="s">
        <v>4353</v>
      </c>
      <c r="AL235" s="341" t="s">
        <v>1703</v>
      </c>
      <c r="AM235" s="15" t="s">
        <v>1211</v>
      </c>
      <c r="AN235" s="583"/>
      <c r="AO235" s="23" t="s">
        <v>156</v>
      </c>
      <c r="AP235" s="23" t="s">
        <v>166</v>
      </c>
      <c r="AQ235" s="23"/>
      <c r="AR235" s="23" t="s">
        <v>157</v>
      </c>
      <c r="AS235" s="23"/>
      <c r="AT235" s="23"/>
      <c r="AU235" s="23"/>
      <c r="AV235" s="23"/>
      <c r="AW235" s="534"/>
      <c r="AX235" s="23"/>
      <c r="AY235" s="23"/>
      <c r="AZ235" s="23"/>
      <c r="BA235" s="23"/>
      <c r="BB235" s="23"/>
      <c r="BC235" s="23"/>
      <c r="BD235" s="23"/>
      <c r="BE235" s="534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  <c r="BP235" s="15">
        <v>11</v>
      </c>
      <c r="BQ235" s="348" t="s">
        <v>3190</v>
      </c>
      <c r="BR235" s="348" t="s">
        <v>3191</v>
      </c>
      <c r="BS235" s="23" t="s">
        <v>4373</v>
      </c>
      <c r="BT235" s="36" t="s">
        <v>4372</v>
      </c>
      <c r="BU235" s="23" t="s">
        <v>4374</v>
      </c>
      <c r="BV235" s="36" t="s">
        <v>4372</v>
      </c>
      <c r="BW235" s="23" t="s">
        <v>4375</v>
      </c>
      <c r="BX235" s="36" t="s">
        <v>4372</v>
      </c>
      <c r="BY235" s="23"/>
      <c r="BZ235" s="36"/>
      <c r="CA235" s="23"/>
      <c r="CB235" s="23"/>
      <c r="CC235" s="23"/>
      <c r="CD235" s="23"/>
      <c r="CE235" s="23"/>
      <c r="CF235" s="23"/>
      <c r="CG235" s="23"/>
      <c r="CH235" s="23"/>
      <c r="CI235" s="23"/>
      <c r="CJ235" s="335"/>
    </row>
    <row r="236" spans="1:88" s="145" customFormat="1" ht="57.6">
      <c r="A236" s="15">
        <v>47</v>
      </c>
      <c r="B236" s="349"/>
      <c r="C236" s="348" t="s">
        <v>4376</v>
      </c>
      <c r="D236" s="14" t="s">
        <v>4377</v>
      </c>
      <c r="E236" s="15" t="s">
        <v>133</v>
      </c>
      <c r="F236" s="15">
        <v>2024</v>
      </c>
      <c r="G236" s="15">
        <v>2024</v>
      </c>
      <c r="H236" s="15"/>
      <c r="I236" s="344"/>
      <c r="J236" s="350">
        <v>10000000</v>
      </c>
      <c r="K236" s="582" t="s">
        <v>4269</v>
      </c>
      <c r="L236" s="15"/>
      <c r="M236" s="15"/>
      <c r="N236" s="15" t="s">
        <v>3223</v>
      </c>
      <c r="O236" s="15" t="s">
        <v>3215</v>
      </c>
      <c r="P236" s="15" t="s">
        <v>3923</v>
      </c>
      <c r="Q236" s="333" t="s">
        <v>4378</v>
      </c>
      <c r="R236" s="15" t="s">
        <v>4379</v>
      </c>
      <c r="S236" s="341" t="s">
        <v>2730</v>
      </c>
      <c r="T236" s="583">
        <f t="shared" si="35"/>
        <v>3333333.3333333335</v>
      </c>
      <c r="U236" s="15" t="s">
        <v>3093</v>
      </c>
      <c r="V236" s="15" t="s">
        <v>166</v>
      </c>
      <c r="W236" s="15"/>
      <c r="X236" s="15" t="s">
        <v>170</v>
      </c>
      <c r="Y236" s="15" t="s">
        <v>4257</v>
      </c>
      <c r="Z236" s="15">
        <v>1093</v>
      </c>
      <c r="AA236" s="204" t="s">
        <v>4380</v>
      </c>
      <c r="AB236" s="333" t="s">
        <v>3986</v>
      </c>
      <c r="AC236" s="333" t="s">
        <v>2031</v>
      </c>
      <c r="AD236" s="15" t="s">
        <v>4381</v>
      </c>
      <c r="AE236" s="583"/>
      <c r="AF236" s="15" t="s">
        <v>4382</v>
      </c>
      <c r="AG236" s="15"/>
      <c r="AH236" s="15"/>
      <c r="AI236" s="15" t="s">
        <v>170</v>
      </c>
      <c r="AJ236" s="15" t="s">
        <v>4269</v>
      </c>
      <c r="AK236" s="333" t="s">
        <v>3980</v>
      </c>
      <c r="AL236" s="341" t="s">
        <v>2698</v>
      </c>
      <c r="AM236" s="15" t="s">
        <v>4383</v>
      </c>
      <c r="AN236" s="583"/>
      <c r="AO236" s="23" t="s">
        <v>166</v>
      </c>
      <c r="AP236" s="23"/>
      <c r="AQ236" s="23"/>
      <c r="AR236" s="23" t="s">
        <v>161</v>
      </c>
      <c r="AS236" s="23"/>
      <c r="AT236" s="23"/>
      <c r="AU236" s="23"/>
      <c r="AV236" s="23"/>
      <c r="AW236" s="534"/>
      <c r="AX236" s="23"/>
      <c r="AY236" s="23"/>
      <c r="AZ236" s="23"/>
      <c r="BA236" s="23"/>
      <c r="BB236" s="23"/>
      <c r="BC236" s="23"/>
      <c r="BD236" s="23"/>
      <c r="BE236" s="534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  <c r="BP236" s="15" t="s">
        <v>4384</v>
      </c>
      <c r="BQ236" s="348" t="s">
        <v>3190</v>
      </c>
      <c r="BR236" s="348" t="s">
        <v>3191</v>
      </c>
      <c r="BS236" s="23" t="s">
        <v>4385</v>
      </c>
      <c r="BT236" s="36" t="s">
        <v>4372</v>
      </c>
      <c r="BU236" s="23" t="s">
        <v>4386</v>
      </c>
      <c r="BV236" s="36" t="s">
        <v>4387</v>
      </c>
      <c r="BW236" s="23" t="s">
        <v>4388</v>
      </c>
      <c r="BX236" s="36" t="s">
        <v>4382</v>
      </c>
      <c r="BY236" s="23"/>
      <c r="BZ236" s="36"/>
      <c r="CA236" s="23"/>
      <c r="CB236" s="23"/>
      <c r="CC236" s="23"/>
      <c r="CD236" s="23"/>
      <c r="CE236" s="23"/>
      <c r="CF236" s="23"/>
      <c r="CG236" s="23"/>
      <c r="CH236" s="23"/>
      <c r="CI236" s="23"/>
      <c r="CJ236" s="15"/>
    </row>
    <row r="237" spans="1:88" s="559" customFormat="1" ht="60">
      <c r="A237" s="15">
        <v>20</v>
      </c>
      <c r="B237" s="349" t="s">
        <v>4389</v>
      </c>
      <c r="C237" s="348" t="s">
        <v>4390</v>
      </c>
      <c r="D237" s="14" t="s">
        <v>4391</v>
      </c>
      <c r="E237" s="15" t="s">
        <v>100</v>
      </c>
      <c r="F237" s="15">
        <v>2024</v>
      </c>
      <c r="G237" s="15">
        <v>2024</v>
      </c>
      <c r="H237" s="15">
        <v>7</v>
      </c>
      <c r="I237" s="15" t="s">
        <v>4298</v>
      </c>
      <c r="J237" s="350">
        <v>9900000</v>
      </c>
      <c r="K237" s="15" t="s">
        <v>4269</v>
      </c>
      <c r="L237" s="15">
        <v>3</v>
      </c>
      <c r="M237" s="15" t="s">
        <v>3222</v>
      </c>
      <c r="N237" s="15" t="s">
        <v>3223</v>
      </c>
      <c r="O237" s="15" t="s">
        <v>3215</v>
      </c>
      <c r="P237" s="15" t="s">
        <v>3923</v>
      </c>
      <c r="Q237" s="15">
        <v>6773159</v>
      </c>
      <c r="R237" s="15" t="s">
        <v>111</v>
      </c>
      <c r="S237" s="334" t="s">
        <v>3683</v>
      </c>
      <c r="T237" s="583">
        <f t="shared" si="35"/>
        <v>3300000</v>
      </c>
      <c r="U237" s="15" t="s">
        <v>4392</v>
      </c>
      <c r="V237" s="15"/>
      <c r="W237" s="15"/>
      <c r="X237" s="15" t="s">
        <v>4272</v>
      </c>
      <c r="Y237" s="15" t="s">
        <v>4257</v>
      </c>
      <c r="Z237" s="15">
        <v>1093</v>
      </c>
      <c r="AA237" s="204" t="s">
        <v>4271</v>
      </c>
      <c r="AB237" s="15">
        <v>6680651</v>
      </c>
      <c r="AC237" s="15" t="s">
        <v>1016</v>
      </c>
      <c r="AD237" s="15" t="s">
        <v>4280</v>
      </c>
      <c r="AE237" s="583">
        <f t="shared" ref="AE237:AE254" si="36">T237</f>
        <v>3300000</v>
      </c>
      <c r="AF237" s="15" t="s">
        <v>155</v>
      </c>
      <c r="AG237" s="15"/>
      <c r="AH237" s="15"/>
      <c r="AI237" s="15" t="s">
        <v>3224</v>
      </c>
      <c r="AJ237" s="15" t="s">
        <v>4269</v>
      </c>
      <c r="AK237" s="15">
        <v>6744406</v>
      </c>
      <c r="AL237" s="341" t="s">
        <v>985</v>
      </c>
      <c r="AM237" s="15" t="s">
        <v>4393</v>
      </c>
      <c r="AN237" s="583">
        <f>T237</f>
        <v>3300000</v>
      </c>
      <c r="AO237" s="15" t="s">
        <v>166</v>
      </c>
      <c r="AP237" s="15"/>
      <c r="AQ237" s="15"/>
      <c r="AR237" s="15" t="s">
        <v>4282</v>
      </c>
      <c r="AS237" s="15" t="s">
        <v>4269</v>
      </c>
      <c r="AT237" s="15"/>
      <c r="AU237" s="15"/>
      <c r="AV237" s="15"/>
      <c r="AW237" s="534"/>
      <c r="AX237" s="15"/>
      <c r="AY237" s="15"/>
      <c r="AZ237" s="15"/>
      <c r="BA237" s="15"/>
      <c r="BB237" s="15"/>
      <c r="BC237" s="15"/>
      <c r="BD237" s="15"/>
      <c r="BE237" s="534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  <c r="BP237" s="15">
        <v>3</v>
      </c>
      <c r="BQ237" s="348" t="s">
        <v>3190</v>
      </c>
      <c r="BR237" s="348" t="s">
        <v>3191</v>
      </c>
      <c r="BS237" s="23" t="s">
        <v>4394</v>
      </c>
      <c r="BT237" s="15" t="s">
        <v>4320</v>
      </c>
      <c r="BU237" s="23" t="s">
        <v>4395</v>
      </c>
      <c r="BV237" s="15" t="s">
        <v>4396</v>
      </c>
      <c r="BW237" s="15" t="s">
        <v>4397</v>
      </c>
      <c r="BX237" s="15" t="s">
        <v>4396</v>
      </c>
      <c r="BY237" s="15"/>
      <c r="BZ237" s="15"/>
      <c r="CA237" s="15"/>
      <c r="CB237" s="15"/>
      <c r="CC237" s="15"/>
      <c r="CD237" s="23"/>
      <c r="CE237" s="23"/>
      <c r="CF237" s="23"/>
      <c r="CG237" s="23" t="s">
        <v>4295</v>
      </c>
      <c r="CH237" s="15"/>
      <c r="CI237" s="15"/>
      <c r="CJ237" s="335"/>
    </row>
    <row r="238" spans="1:88" s="559" customFormat="1" ht="60">
      <c r="A238" s="15">
        <v>7</v>
      </c>
      <c r="B238" s="349" t="s">
        <v>4389</v>
      </c>
      <c r="C238" s="348" t="s">
        <v>4398</v>
      </c>
      <c r="D238" s="14" t="s">
        <v>4399</v>
      </c>
      <c r="E238" s="15" t="s">
        <v>100</v>
      </c>
      <c r="F238" s="15">
        <v>2024</v>
      </c>
      <c r="G238" s="15">
        <v>2024</v>
      </c>
      <c r="H238" s="15">
        <v>7</v>
      </c>
      <c r="I238" s="15" t="s">
        <v>4400</v>
      </c>
      <c r="J238" s="350">
        <v>9877700</v>
      </c>
      <c r="K238" s="15" t="s">
        <v>4269</v>
      </c>
      <c r="L238" s="15">
        <v>1</v>
      </c>
      <c r="M238" s="15" t="s">
        <v>3222</v>
      </c>
      <c r="N238" s="15" t="s">
        <v>3223</v>
      </c>
      <c r="O238" s="15" t="s">
        <v>3215</v>
      </c>
      <c r="P238" s="15" t="s">
        <v>3923</v>
      </c>
      <c r="Q238" s="15">
        <v>6680631</v>
      </c>
      <c r="R238" s="15" t="s">
        <v>103</v>
      </c>
      <c r="S238" s="334" t="s">
        <v>1770</v>
      </c>
      <c r="T238" s="583">
        <f t="shared" si="35"/>
        <v>3292566.6666666665</v>
      </c>
      <c r="U238" s="15" t="s">
        <v>4328</v>
      </c>
      <c r="V238" s="15"/>
      <c r="W238" s="15"/>
      <c r="X238" s="15" t="s">
        <v>3224</v>
      </c>
      <c r="Y238" s="15" t="s">
        <v>4257</v>
      </c>
      <c r="Z238" s="15">
        <v>1093</v>
      </c>
      <c r="AA238" s="204" t="s">
        <v>4271</v>
      </c>
      <c r="AB238" s="15">
        <v>6680612</v>
      </c>
      <c r="AC238" s="15" t="s">
        <v>960</v>
      </c>
      <c r="AD238" s="15" t="s">
        <v>110</v>
      </c>
      <c r="AE238" s="583">
        <f t="shared" si="36"/>
        <v>3292566.6666666665</v>
      </c>
      <c r="AF238" s="15" t="s">
        <v>155</v>
      </c>
      <c r="AG238" s="15"/>
      <c r="AH238" s="15"/>
      <c r="AI238" s="15" t="s">
        <v>3224</v>
      </c>
      <c r="AJ238" s="15" t="s">
        <v>4269</v>
      </c>
      <c r="AK238" s="15">
        <v>6853203</v>
      </c>
      <c r="AL238" s="341" t="s">
        <v>3905</v>
      </c>
      <c r="AM238" s="15" t="s">
        <v>106</v>
      </c>
      <c r="AN238" s="583">
        <f>T238</f>
        <v>3292566.6666666665</v>
      </c>
      <c r="AO238" s="15" t="s">
        <v>155</v>
      </c>
      <c r="AP238" s="15"/>
      <c r="AQ238" s="15"/>
      <c r="AR238" s="15" t="s">
        <v>3224</v>
      </c>
      <c r="AS238" s="15" t="s">
        <v>4269</v>
      </c>
      <c r="AT238" s="15"/>
      <c r="AU238" s="15"/>
      <c r="AV238" s="15"/>
      <c r="AW238" s="534"/>
      <c r="AX238" s="15"/>
      <c r="AY238" s="15"/>
      <c r="AZ238" s="15"/>
      <c r="BA238" s="15"/>
      <c r="BB238" s="15"/>
      <c r="BC238" s="15"/>
      <c r="BD238" s="15"/>
      <c r="BE238" s="534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  <c r="BP238" s="15" t="s">
        <v>4401</v>
      </c>
      <c r="BQ238" s="348" t="s">
        <v>3190</v>
      </c>
      <c r="BR238" s="348" t="s">
        <v>3191</v>
      </c>
      <c r="BS238" s="23" t="s">
        <v>4402</v>
      </c>
      <c r="BT238" s="15" t="s">
        <v>4320</v>
      </c>
      <c r="BU238" s="23" t="s">
        <v>4403</v>
      </c>
      <c r="BV238" s="15" t="s">
        <v>4320</v>
      </c>
      <c r="BW238" s="15" t="s">
        <v>4404</v>
      </c>
      <c r="BX238" s="15" t="s">
        <v>4320</v>
      </c>
      <c r="BY238" s="15"/>
      <c r="BZ238" s="15"/>
      <c r="CA238" s="15"/>
      <c r="CB238" s="15"/>
      <c r="CC238" s="15"/>
      <c r="CD238" s="23"/>
      <c r="CE238" s="23"/>
      <c r="CF238" s="23"/>
      <c r="CG238" s="23" t="s">
        <v>4295</v>
      </c>
      <c r="CH238" s="15"/>
      <c r="CI238" s="15"/>
      <c r="CJ238" s="335"/>
    </row>
    <row r="239" spans="1:88" s="559" customFormat="1" ht="48">
      <c r="A239" s="15">
        <v>32</v>
      </c>
      <c r="B239" s="349" t="s">
        <v>4405</v>
      </c>
      <c r="C239" s="348" t="s">
        <v>4406</v>
      </c>
      <c r="D239" s="14" t="s">
        <v>4407</v>
      </c>
      <c r="E239" s="15" t="s">
        <v>128</v>
      </c>
      <c r="F239" s="15">
        <v>2024</v>
      </c>
      <c r="G239" s="15">
        <v>2024</v>
      </c>
      <c r="H239" s="15">
        <v>7</v>
      </c>
      <c r="I239" s="15" t="s">
        <v>3214</v>
      </c>
      <c r="J239" s="350">
        <v>9865350</v>
      </c>
      <c r="K239" s="15" t="s">
        <v>4269</v>
      </c>
      <c r="L239" s="15">
        <v>1</v>
      </c>
      <c r="M239" s="15" t="s">
        <v>3222</v>
      </c>
      <c r="N239" s="15" t="s">
        <v>3223</v>
      </c>
      <c r="O239" s="15" t="s">
        <v>3215</v>
      </c>
      <c r="P239" s="15" t="s">
        <v>3923</v>
      </c>
      <c r="Q239" s="15">
        <v>6658755</v>
      </c>
      <c r="R239" s="15" t="s">
        <v>4408</v>
      </c>
      <c r="S239" s="334" t="s">
        <v>1901</v>
      </c>
      <c r="T239" s="583">
        <f t="shared" si="35"/>
        <v>3288450</v>
      </c>
      <c r="U239" s="15" t="s">
        <v>4409</v>
      </c>
      <c r="V239" s="15"/>
      <c r="W239" s="15"/>
      <c r="X239" s="15" t="s">
        <v>4272</v>
      </c>
      <c r="Y239" s="15" t="s">
        <v>4257</v>
      </c>
      <c r="Z239" s="15">
        <v>1093</v>
      </c>
      <c r="AA239" s="204" t="s">
        <v>4271</v>
      </c>
      <c r="AB239" s="15">
        <v>6865379</v>
      </c>
      <c r="AC239" s="15" t="s">
        <v>2696</v>
      </c>
      <c r="AD239" s="15" t="s">
        <v>4410</v>
      </c>
      <c r="AE239" s="583">
        <f t="shared" si="36"/>
        <v>3288450</v>
      </c>
      <c r="AF239" s="15" t="s">
        <v>166</v>
      </c>
      <c r="AG239" s="15"/>
      <c r="AH239" s="15"/>
      <c r="AI239" s="15" t="s">
        <v>4282</v>
      </c>
      <c r="AJ239" s="15" t="s">
        <v>4269</v>
      </c>
      <c r="AK239" s="15">
        <v>6868847</v>
      </c>
      <c r="AL239" s="341" t="s">
        <v>2393</v>
      </c>
      <c r="AM239" s="15" t="s">
        <v>4411</v>
      </c>
      <c r="AN239" s="583">
        <f>T239</f>
        <v>3288450</v>
      </c>
      <c r="AO239" s="15" t="s">
        <v>164</v>
      </c>
      <c r="AP239" s="15"/>
      <c r="AQ239" s="15"/>
      <c r="AR239" s="15" t="s">
        <v>4272</v>
      </c>
      <c r="AS239" s="15" t="s">
        <v>4269</v>
      </c>
      <c r="AT239" s="15"/>
      <c r="AU239" s="15"/>
      <c r="AV239" s="15"/>
      <c r="AW239" s="534"/>
      <c r="AX239" s="15"/>
      <c r="AY239" s="15"/>
      <c r="AZ239" s="15"/>
      <c r="BA239" s="15"/>
      <c r="BB239" s="15"/>
      <c r="BC239" s="15"/>
      <c r="BD239" s="15"/>
      <c r="BE239" s="534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  <c r="BP239" s="15">
        <v>9</v>
      </c>
      <c r="BQ239" s="348" t="s">
        <v>3190</v>
      </c>
      <c r="BR239" s="348" t="s">
        <v>3191</v>
      </c>
      <c r="BS239" s="23" t="s">
        <v>4412</v>
      </c>
      <c r="BT239" s="15" t="s">
        <v>4413</v>
      </c>
      <c r="BU239" s="23" t="s">
        <v>4414</v>
      </c>
      <c r="BV239" s="15" t="s">
        <v>4320</v>
      </c>
      <c r="BW239" s="15"/>
      <c r="BX239" s="15"/>
      <c r="BY239" s="15"/>
      <c r="BZ239" s="15"/>
      <c r="CA239" s="15"/>
      <c r="CB239" s="15"/>
      <c r="CC239" s="15"/>
      <c r="CD239" s="23"/>
      <c r="CE239" s="23"/>
      <c r="CF239" s="23"/>
      <c r="CG239" s="23" t="s">
        <v>4295</v>
      </c>
      <c r="CH239" s="15"/>
      <c r="CI239" s="15" t="s">
        <v>3397</v>
      </c>
      <c r="CJ239" s="335"/>
    </row>
    <row r="240" spans="1:88" s="145" customFormat="1" ht="48">
      <c r="A240" s="15">
        <v>4</v>
      </c>
      <c r="B240" s="349" t="s">
        <v>4389</v>
      </c>
      <c r="C240" s="348" t="s">
        <v>4415</v>
      </c>
      <c r="D240" s="14" t="s">
        <v>4416</v>
      </c>
      <c r="E240" s="15" t="s">
        <v>100</v>
      </c>
      <c r="F240" s="15">
        <v>2024</v>
      </c>
      <c r="G240" s="15">
        <v>2024</v>
      </c>
      <c r="H240" s="15">
        <v>7</v>
      </c>
      <c r="I240" s="15" t="s">
        <v>4417</v>
      </c>
      <c r="J240" s="350">
        <v>9450000</v>
      </c>
      <c r="K240" s="15" t="s">
        <v>4269</v>
      </c>
      <c r="L240" s="15">
        <v>4</v>
      </c>
      <c r="M240" s="15" t="s">
        <v>3222</v>
      </c>
      <c r="N240" s="15" t="s">
        <v>3223</v>
      </c>
      <c r="O240" s="15" t="s">
        <v>3215</v>
      </c>
      <c r="P240" s="15" t="s">
        <v>3923</v>
      </c>
      <c r="Q240" s="15">
        <v>6680612</v>
      </c>
      <c r="R240" s="15" t="s">
        <v>110</v>
      </c>
      <c r="S240" s="334" t="s">
        <v>960</v>
      </c>
      <c r="T240" s="583">
        <f>J240/2</f>
        <v>4725000</v>
      </c>
      <c r="U240" s="15" t="s">
        <v>4418</v>
      </c>
      <c r="V240" s="15"/>
      <c r="W240" s="15"/>
      <c r="X240" s="15" t="s">
        <v>3224</v>
      </c>
      <c r="Y240" s="15" t="s">
        <v>4257</v>
      </c>
      <c r="Z240" s="15">
        <v>1093</v>
      </c>
      <c r="AA240" s="204" t="s">
        <v>4271</v>
      </c>
      <c r="AB240" s="15">
        <v>6859016</v>
      </c>
      <c r="AC240" s="15" t="s">
        <v>2497</v>
      </c>
      <c r="AD240" s="15" t="s">
        <v>4419</v>
      </c>
      <c r="AE240" s="583">
        <f t="shared" si="36"/>
        <v>4725000</v>
      </c>
      <c r="AF240" s="15" t="s">
        <v>155</v>
      </c>
      <c r="AG240" s="15"/>
      <c r="AH240" s="15"/>
      <c r="AI240" s="15" t="s">
        <v>3224</v>
      </c>
      <c r="AJ240" s="15" t="s">
        <v>4269</v>
      </c>
      <c r="AK240" s="15"/>
      <c r="AL240" s="341"/>
      <c r="AM240" s="15"/>
      <c r="AN240" s="583"/>
      <c r="AO240" s="15"/>
      <c r="AP240" s="15"/>
      <c r="AQ240" s="15"/>
      <c r="AR240" s="15"/>
      <c r="AS240" s="15"/>
      <c r="AT240" s="15"/>
      <c r="AU240" s="15"/>
      <c r="AV240" s="15"/>
      <c r="AW240" s="534"/>
      <c r="AX240" s="15"/>
      <c r="AY240" s="15"/>
      <c r="AZ240" s="15"/>
      <c r="BA240" s="15"/>
      <c r="BB240" s="15"/>
      <c r="BC240" s="15"/>
      <c r="BD240" s="15"/>
      <c r="BE240" s="534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  <c r="BP240" s="15" t="s">
        <v>4420</v>
      </c>
      <c r="BQ240" s="348" t="s">
        <v>3190</v>
      </c>
      <c r="BR240" s="15" t="s">
        <v>3191</v>
      </c>
      <c r="BS240" s="23" t="s">
        <v>4421</v>
      </c>
      <c r="BT240" s="15" t="s">
        <v>4320</v>
      </c>
      <c r="BU240" s="23" t="s">
        <v>4422</v>
      </c>
      <c r="BV240" s="15" t="s">
        <v>4320</v>
      </c>
      <c r="BW240" s="15" t="s">
        <v>4423</v>
      </c>
      <c r="BX240" s="15" t="s">
        <v>4320</v>
      </c>
      <c r="BY240" s="15"/>
      <c r="BZ240" s="15"/>
      <c r="CA240" s="15"/>
      <c r="CB240" s="15"/>
      <c r="CC240" s="15"/>
      <c r="CD240" s="23"/>
      <c r="CE240" s="23"/>
      <c r="CF240" s="23"/>
      <c r="CG240" s="23" t="s">
        <v>4295</v>
      </c>
      <c r="CH240" s="15"/>
      <c r="CI240" s="15"/>
      <c r="CJ240" s="15"/>
    </row>
    <row r="241" spans="1:88" s="145" customFormat="1" ht="48">
      <c r="A241" s="15">
        <v>8</v>
      </c>
      <c r="B241" s="349" t="s">
        <v>4389</v>
      </c>
      <c r="C241" s="348" t="s">
        <v>4424</v>
      </c>
      <c r="D241" s="14" t="s">
        <v>4425</v>
      </c>
      <c r="E241" s="15" t="s">
        <v>100</v>
      </c>
      <c r="F241" s="15">
        <v>2024</v>
      </c>
      <c r="G241" s="15">
        <v>2024</v>
      </c>
      <c r="H241" s="15">
        <v>7</v>
      </c>
      <c r="I241" s="15" t="s">
        <v>3214</v>
      </c>
      <c r="J241" s="350">
        <v>9450000</v>
      </c>
      <c r="K241" s="15" t="s">
        <v>4269</v>
      </c>
      <c r="L241" s="15">
        <v>3</v>
      </c>
      <c r="M241" s="15" t="s">
        <v>3222</v>
      </c>
      <c r="N241" s="15" t="s">
        <v>3223</v>
      </c>
      <c r="O241" s="15" t="s">
        <v>3215</v>
      </c>
      <c r="P241" s="15" t="s">
        <v>3923</v>
      </c>
      <c r="Q241" s="15">
        <v>6829130</v>
      </c>
      <c r="R241" s="15" t="s">
        <v>122</v>
      </c>
      <c r="S241" s="334" t="s">
        <v>3020</v>
      </c>
      <c r="T241" s="583">
        <f>J241/3</f>
        <v>3150000</v>
      </c>
      <c r="U241" s="15" t="s">
        <v>4426</v>
      </c>
      <c r="V241" s="15" t="s">
        <v>155</v>
      </c>
      <c r="W241" s="15"/>
      <c r="X241" s="15" t="s">
        <v>3224</v>
      </c>
      <c r="Y241" s="15" t="s">
        <v>4257</v>
      </c>
      <c r="Z241" s="15">
        <v>1093</v>
      </c>
      <c r="AA241" s="204" t="s">
        <v>4271</v>
      </c>
      <c r="AB241" s="15">
        <v>6724784</v>
      </c>
      <c r="AC241" s="15" t="s">
        <v>1781</v>
      </c>
      <c r="AD241" s="15" t="s">
        <v>4427</v>
      </c>
      <c r="AE241" s="583">
        <f t="shared" si="36"/>
        <v>3150000</v>
      </c>
      <c r="AF241" s="15" t="s">
        <v>4426</v>
      </c>
      <c r="AG241" s="15"/>
      <c r="AH241" s="15"/>
      <c r="AI241" s="15" t="s">
        <v>3224</v>
      </c>
      <c r="AJ241" s="15" t="s">
        <v>4269</v>
      </c>
      <c r="AK241" s="15">
        <v>6680625</v>
      </c>
      <c r="AL241" s="341" t="s">
        <v>1782</v>
      </c>
      <c r="AM241" s="15" t="s">
        <v>4428</v>
      </c>
      <c r="AN241" s="583">
        <f t="shared" ref="AN241:AN254" si="37">T241</f>
        <v>3150000</v>
      </c>
      <c r="AO241" s="15" t="s">
        <v>4426</v>
      </c>
      <c r="AP241" s="15"/>
      <c r="AQ241" s="15"/>
      <c r="AR241" s="15" t="s">
        <v>3224</v>
      </c>
      <c r="AS241" s="15" t="s">
        <v>4269</v>
      </c>
      <c r="AT241" s="15"/>
      <c r="AU241" s="15"/>
      <c r="AV241" s="15"/>
      <c r="AW241" s="534"/>
      <c r="AX241" s="15"/>
      <c r="AY241" s="15"/>
      <c r="AZ241" s="15"/>
      <c r="BA241" s="15"/>
      <c r="BB241" s="15"/>
      <c r="BC241" s="15"/>
      <c r="BD241" s="15"/>
      <c r="BE241" s="534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  <c r="BP241" s="15">
        <v>9</v>
      </c>
      <c r="BQ241" s="348" t="s">
        <v>3190</v>
      </c>
      <c r="BR241" s="348" t="s">
        <v>3191</v>
      </c>
      <c r="BS241" s="23" t="s">
        <v>4429</v>
      </c>
      <c r="BT241" s="15" t="s">
        <v>4430</v>
      </c>
      <c r="BU241" s="23" t="s">
        <v>4431</v>
      </c>
      <c r="BV241" s="15" t="s">
        <v>4430</v>
      </c>
      <c r="BW241" s="15" t="s">
        <v>4432</v>
      </c>
      <c r="BX241" s="15" t="s">
        <v>4430</v>
      </c>
      <c r="BY241" s="15"/>
      <c r="BZ241" s="15"/>
      <c r="CA241" s="15"/>
      <c r="CB241" s="15"/>
      <c r="CC241" s="15"/>
      <c r="CD241" s="23"/>
      <c r="CE241" s="23"/>
      <c r="CF241" s="23"/>
      <c r="CG241" s="23" t="s">
        <v>4433</v>
      </c>
      <c r="CH241" s="15"/>
      <c r="CI241" s="15"/>
      <c r="CJ241" s="15"/>
    </row>
    <row r="242" spans="1:88" s="559" customFormat="1" ht="36">
      <c r="A242" s="15">
        <v>12</v>
      </c>
      <c r="B242" s="349" t="s">
        <v>4389</v>
      </c>
      <c r="C242" s="348" t="s">
        <v>4434</v>
      </c>
      <c r="D242" s="14" t="s">
        <v>4435</v>
      </c>
      <c r="E242" s="15" t="s">
        <v>100</v>
      </c>
      <c r="F242" s="15">
        <v>2024</v>
      </c>
      <c r="G242" s="15">
        <v>2024</v>
      </c>
      <c r="H242" s="15">
        <v>7</v>
      </c>
      <c r="I242" s="15" t="s">
        <v>3214</v>
      </c>
      <c r="J242" s="350">
        <v>9450000</v>
      </c>
      <c r="K242" s="15" t="s">
        <v>4269</v>
      </c>
      <c r="L242" s="15">
        <v>1</v>
      </c>
      <c r="M242" s="15" t="s">
        <v>3222</v>
      </c>
      <c r="N242" s="15" t="s">
        <v>3223</v>
      </c>
      <c r="O242" s="15" t="s">
        <v>3215</v>
      </c>
      <c r="P242" s="15" t="s">
        <v>3923</v>
      </c>
      <c r="Q242" s="15">
        <v>6892129</v>
      </c>
      <c r="R242" s="15" t="s">
        <v>115</v>
      </c>
      <c r="S242" s="334" t="s">
        <v>2557</v>
      </c>
      <c r="T242" s="583">
        <f>J242/4</f>
        <v>2362500</v>
      </c>
      <c r="U242" s="15" t="s">
        <v>4436</v>
      </c>
      <c r="V242" s="15"/>
      <c r="W242" s="15"/>
      <c r="X242" s="15" t="s">
        <v>4282</v>
      </c>
      <c r="Y242" s="15" t="s">
        <v>4257</v>
      </c>
      <c r="Z242" s="15">
        <v>1093</v>
      </c>
      <c r="AA242" s="204" t="s">
        <v>4271</v>
      </c>
      <c r="AB242" s="15">
        <v>6680618</v>
      </c>
      <c r="AC242" s="15" t="s">
        <v>1737</v>
      </c>
      <c r="AD242" s="15" t="s">
        <v>120</v>
      </c>
      <c r="AE242" s="583">
        <f t="shared" si="36"/>
        <v>2362500</v>
      </c>
      <c r="AF242" s="15" t="s">
        <v>4436</v>
      </c>
      <c r="AG242" s="15"/>
      <c r="AH242" s="15"/>
      <c r="AI242" s="15" t="s">
        <v>4282</v>
      </c>
      <c r="AJ242" s="15" t="s">
        <v>4269</v>
      </c>
      <c r="AK242" s="15">
        <v>6680643</v>
      </c>
      <c r="AL242" s="341" t="s">
        <v>1017</v>
      </c>
      <c r="AM242" s="15" t="s">
        <v>4437</v>
      </c>
      <c r="AN242" s="583">
        <f t="shared" si="37"/>
        <v>2362500</v>
      </c>
      <c r="AO242" s="15" t="s">
        <v>4438</v>
      </c>
      <c r="AP242" s="15" t="s">
        <v>160</v>
      </c>
      <c r="AQ242" s="15"/>
      <c r="AR242" s="15" t="s">
        <v>4282</v>
      </c>
      <c r="AS242" s="15" t="s">
        <v>4269</v>
      </c>
      <c r="AT242" s="15">
        <v>6658545</v>
      </c>
      <c r="AU242" s="15" t="s">
        <v>984</v>
      </c>
      <c r="AV242" s="15" t="s">
        <v>4439</v>
      </c>
      <c r="AW242" s="534">
        <f>T242</f>
        <v>2362500</v>
      </c>
      <c r="AX242" s="15" t="s">
        <v>160</v>
      </c>
      <c r="AY242" s="15"/>
      <c r="AZ242" s="15" t="s">
        <v>4282</v>
      </c>
      <c r="BA242" s="15" t="s">
        <v>4269</v>
      </c>
      <c r="BB242" s="15"/>
      <c r="BC242" s="15"/>
      <c r="BD242" s="15"/>
      <c r="BE242" s="534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  <c r="BP242" s="15">
        <v>14</v>
      </c>
      <c r="BQ242" s="348" t="s">
        <v>3190</v>
      </c>
      <c r="BR242" s="348" t="s">
        <v>3191</v>
      </c>
      <c r="BS242" s="23" t="s">
        <v>4440</v>
      </c>
      <c r="BT242" s="15" t="s">
        <v>4441</v>
      </c>
      <c r="BU242" s="23" t="s">
        <v>4442</v>
      </c>
      <c r="BV242" s="15" t="s">
        <v>4441</v>
      </c>
      <c r="BW242" s="15" t="s">
        <v>4443</v>
      </c>
      <c r="BX242" s="15" t="s">
        <v>4444</v>
      </c>
      <c r="BY242" s="15"/>
      <c r="BZ242" s="15"/>
      <c r="CA242" s="15"/>
      <c r="CB242" s="15"/>
      <c r="CC242" s="15"/>
      <c r="CD242" s="23"/>
      <c r="CE242" s="23"/>
      <c r="CF242" s="23"/>
      <c r="CG242" s="23" t="s">
        <v>4295</v>
      </c>
      <c r="CH242" s="15"/>
      <c r="CI242" s="15" t="s">
        <v>4445</v>
      </c>
      <c r="CJ242" s="335"/>
    </row>
    <row r="243" spans="1:88" s="559" customFormat="1" ht="48">
      <c r="A243" s="15">
        <v>15</v>
      </c>
      <c r="B243" s="349" t="s">
        <v>4389</v>
      </c>
      <c r="C243" s="348" t="s">
        <v>4446</v>
      </c>
      <c r="D243" s="14" t="s">
        <v>4447</v>
      </c>
      <c r="E243" s="15" t="s">
        <v>100</v>
      </c>
      <c r="F243" s="15">
        <v>2024</v>
      </c>
      <c r="G243" s="15">
        <v>2024</v>
      </c>
      <c r="H243" s="15">
        <v>7</v>
      </c>
      <c r="I243" s="15" t="s">
        <v>3214</v>
      </c>
      <c r="J243" s="350">
        <v>9450000</v>
      </c>
      <c r="K243" s="15" t="s">
        <v>4269</v>
      </c>
      <c r="L243" s="15">
        <v>3</v>
      </c>
      <c r="M243" s="15" t="s">
        <v>3222</v>
      </c>
      <c r="N243" s="15" t="s">
        <v>3223</v>
      </c>
      <c r="O243" s="15" t="s">
        <v>3215</v>
      </c>
      <c r="P243" s="15" t="s">
        <v>3923</v>
      </c>
      <c r="Q243" s="15">
        <v>259781</v>
      </c>
      <c r="R243" s="15" t="s">
        <v>124</v>
      </c>
      <c r="S243" s="334" t="s">
        <v>982</v>
      </c>
      <c r="T243" s="583">
        <f>J243/3</f>
        <v>3150000</v>
      </c>
      <c r="U243" s="15" t="s">
        <v>4448</v>
      </c>
      <c r="V243" s="15" t="s">
        <v>166</v>
      </c>
      <c r="W243" s="15"/>
      <c r="X243" s="15" t="s">
        <v>4449</v>
      </c>
      <c r="Y243" s="15" t="s">
        <v>4257</v>
      </c>
      <c r="Z243" s="15">
        <v>1093</v>
      </c>
      <c r="AA243" s="204" t="s">
        <v>4271</v>
      </c>
      <c r="AB243" s="15">
        <v>6785861</v>
      </c>
      <c r="AC243" s="15" t="s">
        <v>1904</v>
      </c>
      <c r="AD243" s="15" t="s">
        <v>4450</v>
      </c>
      <c r="AE243" s="583">
        <f t="shared" si="36"/>
        <v>3150000</v>
      </c>
      <c r="AF243" s="15" t="s">
        <v>3093</v>
      </c>
      <c r="AG243" s="15"/>
      <c r="AH243" s="15"/>
      <c r="AI243" s="15" t="s">
        <v>4449</v>
      </c>
      <c r="AJ243" s="15" t="s">
        <v>4269</v>
      </c>
      <c r="AK243" s="15">
        <v>6826727</v>
      </c>
      <c r="AL243" s="341" t="s">
        <v>2276</v>
      </c>
      <c r="AM243" s="15" t="s">
        <v>4451</v>
      </c>
      <c r="AN243" s="583">
        <f t="shared" si="37"/>
        <v>3150000</v>
      </c>
      <c r="AO243" s="15" t="s">
        <v>4452</v>
      </c>
      <c r="AP243" s="15"/>
      <c r="AQ243" s="15"/>
      <c r="AR243" s="15" t="s">
        <v>4272</v>
      </c>
      <c r="AS243" s="15" t="s">
        <v>4269</v>
      </c>
      <c r="AT243" s="15"/>
      <c r="AU243" s="15"/>
      <c r="AV243" s="15"/>
      <c r="AW243" s="534"/>
      <c r="AX243" s="15"/>
      <c r="AY243" s="15"/>
      <c r="AZ243" s="15"/>
      <c r="BA243" s="15"/>
      <c r="BB243" s="15"/>
      <c r="BC243" s="15"/>
      <c r="BD243" s="15"/>
      <c r="BE243" s="534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  <c r="BP243" s="15">
        <v>8</v>
      </c>
      <c r="BQ243" s="348" t="s">
        <v>3190</v>
      </c>
      <c r="BR243" s="348" t="s">
        <v>3191</v>
      </c>
      <c r="BS243" s="23" t="s">
        <v>4453</v>
      </c>
      <c r="BT243" s="15" t="s">
        <v>4454</v>
      </c>
      <c r="BU243" s="23" t="s">
        <v>4455</v>
      </c>
      <c r="BV243" s="15" t="s">
        <v>4454</v>
      </c>
      <c r="BW243" s="15" t="s">
        <v>4456</v>
      </c>
      <c r="BX243" s="15" t="s">
        <v>4454</v>
      </c>
      <c r="BY243" s="15"/>
      <c r="BZ243" s="15"/>
      <c r="CA243" s="15"/>
      <c r="CB243" s="15"/>
      <c r="CC243" s="15"/>
      <c r="CD243" s="23"/>
      <c r="CE243" s="23"/>
      <c r="CF243" s="23"/>
      <c r="CG243" s="23" t="s">
        <v>4295</v>
      </c>
      <c r="CH243" s="15"/>
      <c r="CI243" s="15" t="s">
        <v>4445</v>
      </c>
      <c r="CJ243" s="335"/>
    </row>
    <row r="244" spans="1:88" s="145" customFormat="1" ht="48">
      <c r="A244" s="15">
        <v>25</v>
      </c>
      <c r="B244" s="349" t="s">
        <v>4389</v>
      </c>
      <c r="C244" s="348" t="s">
        <v>4457</v>
      </c>
      <c r="D244" s="14" t="s">
        <v>4458</v>
      </c>
      <c r="E244" s="15" t="s">
        <v>100</v>
      </c>
      <c r="F244" s="15">
        <v>2024</v>
      </c>
      <c r="G244" s="15">
        <v>2024</v>
      </c>
      <c r="H244" s="15">
        <v>7</v>
      </c>
      <c r="I244" s="15" t="s">
        <v>3214</v>
      </c>
      <c r="J244" s="350">
        <v>9450000</v>
      </c>
      <c r="K244" s="15" t="s">
        <v>4269</v>
      </c>
      <c r="L244" s="15">
        <v>2</v>
      </c>
      <c r="M244" s="15" t="s">
        <v>3222</v>
      </c>
      <c r="N244" s="15" t="s">
        <v>3223</v>
      </c>
      <c r="O244" s="15" t="s">
        <v>3215</v>
      </c>
      <c r="P244" s="15" t="s">
        <v>3923</v>
      </c>
      <c r="Q244" s="15">
        <v>6865379</v>
      </c>
      <c r="R244" s="15" t="s">
        <v>112</v>
      </c>
      <c r="S244" s="334" t="s">
        <v>2696</v>
      </c>
      <c r="T244" s="583">
        <f>J244/3</f>
        <v>3150000</v>
      </c>
      <c r="U244" s="15" t="s">
        <v>4459</v>
      </c>
      <c r="V244" s="15"/>
      <c r="W244" s="15"/>
      <c r="X244" s="15" t="s">
        <v>4282</v>
      </c>
      <c r="Y244" s="15" t="s">
        <v>4257</v>
      </c>
      <c r="Z244" s="15">
        <v>1093</v>
      </c>
      <c r="AA244" s="204" t="s">
        <v>4271</v>
      </c>
      <c r="AB244" s="15">
        <v>6680648</v>
      </c>
      <c r="AC244" s="15" t="s">
        <v>1036</v>
      </c>
      <c r="AD244" s="15" t="s">
        <v>4460</v>
      </c>
      <c r="AE244" s="583">
        <f t="shared" si="36"/>
        <v>3150000</v>
      </c>
      <c r="AF244" s="15" t="s">
        <v>166</v>
      </c>
      <c r="AG244" s="15"/>
      <c r="AH244" s="15"/>
      <c r="AI244" s="15" t="s">
        <v>4282</v>
      </c>
      <c r="AJ244" s="15" t="s">
        <v>4269</v>
      </c>
      <c r="AK244" s="15">
        <v>6833033</v>
      </c>
      <c r="AL244" s="341" t="s">
        <v>2023</v>
      </c>
      <c r="AM244" s="15" t="s">
        <v>4461</v>
      </c>
      <c r="AN244" s="583">
        <f t="shared" si="37"/>
        <v>3150000</v>
      </c>
      <c r="AO244" s="15" t="s">
        <v>166</v>
      </c>
      <c r="AP244" s="15"/>
      <c r="AQ244" s="15"/>
      <c r="AR244" s="15" t="s">
        <v>4282</v>
      </c>
      <c r="AS244" s="15" t="s">
        <v>4269</v>
      </c>
      <c r="AT244" s="15"/>
      <c r="AU244" s="15"/>
      <c r="AV244" s="15"/>
      <c r="AW244" s="534"/>
      <c r="AX244" s="15"/>
      <c r="AY244" s="15"/>
      <c r="AZ244" s="15"/>
      <c r="BA244" s="15"/>
      <c r="BB244" s="15"/>
      <c r="BC244" s="15"/>
      <c r="BD244" s="15"/>
      <c r="BE244" s="534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  <c r="BP244" s="15" t="s">
        <v>4462</v>
      </c>
      <c r="BQ244" s="348" t="s">
        <v>3190</v>
      </c>
      <c r="BR244" s="348" t="s">
        <v>3191</v>
      </c>
      <c r="BS244" s="23" t="s">
        <v>4463</v>
      </c>
      <c r="BT244" s="15" t="s">
        <v>4413</v>
      </c>
      <c r="BU244" s="23" t="s">
        <v>4464</v>
      </c>
      <c r="BV244" s="15" t="s">
        <v>4413</v>
      </c>
      <c r="BW244" s="15" t="s">
        <v>4465</v>
      </c>
      <c r="BX244" s="15" t="s">
        <v>4413</v>
      </c>
      <c r="BY244" s="15"/>
      <c r="BZ244" s="15"/>
      <c r="CA244" s="15"/>
      <c r="CB244" s="15"/>
      <c r="CC244" s="15"/>
      <c r="CD244" s="23"/>
      <c r="CE244" s="23"/>
      <c r="CF244" s="23"/>
      <c r="CG244" s="23" t="s">
        <v>4295</v>
      </c>
      <c r="CH244" s="15"/>
      <c r="CI244" s="15"/>
      <c r="CJ244" s="15"/>
    </row>
    <row r="245" spans="1:88" s="145" customFormat="1" ht="36">
      <c r="A245" s="15">
        <v>26</v>
      </c>
      <c r="B245" s="349" t="s">
        <v>4389</v>
      </c>
      <c r="C245" s="348" t="s">
        <v>4466</v>
      </c>
      <c r="D245" s="14" t="s">
        <v>4467</v>
      </c>
      <c r="E245" s="15" t="s">
        <v>100</v>
      </c>
      <c r="F245" s="15">
        <v>2024</v>
      </c>
      <c r="G245" s="15">
        <v>2024</v>
      </c>
      <c r="H245" s="15">
        <v>7</v>
      </c>
      <c r="I245" s="15" t="s">
        <v>3214</v>
      </c>
      <c r="J245" s="350">
        <v>9450000</v>
      </c>
      <c r="K245" s="15" t="s">
        <v>4269</v>
      </c>
      <c r="L245" s="15">
        <v>3</v>
      </c>
      <c r="M245" s="15" t="s">
        <v>3222</v>
      </c>
      <c r="N245" s="15" t="s">
        <v>3223</v>
      </c>
      <c r="O245" s="15" t="s">
        <v>3215</v>
      </c>
      <c r="P245" s="15" t="s">
        <v>3923</v>
      </c>
      <c r="Q245" s="15">
        <v>6833162</v>
      </c>
      <c r="R245" s="15" t="s">
        <v>125</v>
      </c>
      <c r="S245" s="334" t="s">
        <v>2031</v>
      </c>
      <c r="T245" s="583">
        <f>J245/3</f>
        <v>3150000</v>
      </c>
      <c r="U245" s="15" t="s">
        <v>4448</v>
      </c>
      <c r="V245" s="15"/>
      <c r="W245" s="15"/>
      <c r="X245" s="15" t="s">
        <v>4449</v>
      </c>
      <c r="Y245" s="15" t="s">
        <v>4257</v>
      </c>
      <c r="Z245" s="15">
        <v>1093</v>
      </c>
      <c r="AA245" s="204" t="s">
        <v>4271</v>
      </c>
      <c r="AB245" s="15">
        <v>6843682</v>
      </c>
      <c r="AC245" s="15" t="s">
        <v>2730</v>
      </c>
      <c r="AD245" s="15" t="s">
        <v>4468</v>
      </c>
      <c r="AE245" s="583">
        <f t="shared" si="36"/>
        <v>3150000</v>
      </c>
      <c r="AF245" s="15" t="s">
        <v>4448</v>
      </c>
      <c r="AG245" s="15" t="s">
        <v>166</v>
      </c>
      <c r="AH245" s="15"/>
      <c r="AI245" s="15" t="s">
        <v>4449</v>
      </c>
      <c r="AJ245" s="15" t="s">
        <v>4269</v>
      </c>
      <c r="AK245" s="15">
        <v>6768348</v>
      </c>
      <c r="AL245" s="341" t="s">
        <v>2044</v>
      </c>
      <c r="AM245" s="15" t="s">
        <v>4469</v>
      </c>
      <c r="AN245" s="583">
        <f t="shared" si="37"/>
        <v>3150000</v>
      </c>
      <c r="AO245" s="15" t="s">
        <v>4470</v>
      </c>
      <c r="AP245" s="15"/>
      <c r="AQ245" s="15"/>
      <c r="AR245" s="15" t="s">
        <v>4272</v>
      </c>
      <c r="AS245" s="15" t="s">
        <v>4269</v>
      </c>
      <c r="AT245" s="15"/>
      <c r="AU245" s="15"/>
      <c r="AV245" s="15"/>
      <c r="AW245" s="534"/>
      <c r="AX245" s="15"/>
      <c r="AY245" s="15"/>
      <c r="AZ245" s="15"/>
      <c r="BA245" s="15"/>
      <c r="BB245" s="15"/>
      <c r="BC245" s="15"/>
      <c r="BD245" s="15"/>
      <c r="BE245" s="534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  <c r="BP245" s="15" t="s">
        <v>4471</v>
      </c>
      <c r="BQ245" s="348" t="s">
        <v>3190</v>
      </c>
      <c r="BR245" s="348" t="s">
        <v>3191</v>
      </c>
      <c r="BS245" s="23" t="s">
        <v>4385</v>
      </c>
      <c r="BT245" s="15" t="s">
        <v>4413</v>
      </c>
      <c r="BU245" s="23" t="s">
        <v>4386</v>
      </c>
      <c r="BV245" s="15" t="s">
        <v>4396</v>
      </c>
      <c r="BW245" s="15" t="s">
        <v>4472</v>
      </c>
      <c r="BX245" s="15" t="s">
        <v>4454</v>
      </c>
      <c r="BY245" s="15"/>
      <c r="BZ245" s="15"/>
      <c r="CA245" s="15"/>
      <c r="CB245" s="15"/>
      <c r="CC245" s="15"/>
      <c r="CD245" s="23"/>
      <c r="CE245" s="23"/>
      <c r="CF245" s="23"/>
      <c r="CG245" s="23" t="s">
        <v>4295</v>
      </c>
      <c r="CH245" s="15"/>
      <c r="CI245" s="15" t="s">
        <v>4473</v>
      </c>
      <c r="CJ245" s="15"/>
    </row>
    <row r="246" spans="1:88" s="145" customFormat="1" ht="36">
      <c r="A246" s="15">
        <v>30</v>
      </c>
      <c r="B246" s="349" t="s">
        <v>4405</v>
      </c>
      <c r="C246" s="348" t="s">
        <v>4474</v>
      </c>
      <c r="D246" s="14" t="s">
        <v>4475</v>
      </c>
      <c r="E246" s="15" t="s">
        <v>128</v>
      </c>
      <c r="F246" s="15">
        <v>2024</v>
      </c>
      <c r="G246" s="15">
        <v>2024</v>
      </c>
      <c r="H246" s="15">
        <v>7</v>
      </c>
      <c r="I246" s="15" t="s">
        <v>4476</v>
      </c>
      <c r="J246" s="350">
        <v>9450000</v>
      </c>
      <c r="K246" s="15" t="s">
        <v>4269</v>
      </c>
      <c r="L246" s="15">
        <v>4</v>
      </c>
      <c r="M246" s="15" t="s">
        <v>3222</v>
      </c>
      <c r="N246" s="15" t="s">
        <v>3223</v>
      </c>
      <c r="O246" s="15" t="s">
        <v>3215</v>
      </c>
      <c r="P246" s="15" t="s">
        <v>3923</v>
      </c>
      <c r="Q246" s="15">
        <v>6680708</v>
      </c>
      <c r="R246" s="15" t="s">
        <v>4477</v>
      </c>
      <c r="S246" s="334" t="s">
        <v>2436</v>
      </c>
      <c r="T246" s="583">
        <f>J246/3</f>
        <v>3150000</v>
      </c>
      <c r="U246" s="15" t="s">
        <v>4328</v>
      </c>
      <c r="V246" s="15"/>
      <c r="W246" s="15"/>
      <c r="X246" s="15" t="s">
        <v>3224</v>
      </c>
      <c r="Y246" s="15" t="s">
        <v>4257</v>
      </c>
      <c r="Z246" s="15">
        <v>1093</v>
      </c>
      <c r="AA246" s="204" t="s">
        <v>4271</v>
      </c>
      <c r="AB246" s="15">
        <v>6795859</v>
      </c>
      <c r="AC246" s="15" t="s">
        <v>1672</v>
      </c>
      <c r="AD246" s="15" t="s">
        <v>2056</v>
      </c>
      <c r="AE246" s="583">
        <f t="shared" si="36"/>
        <v>3150000</v>
      </c>
      <c r="AF246" s="15" t="s">
        <v>4478</v>
      </c>
      <c r="AG246" s="15"/>
      <c r="AH246" s="15"/>
      <c r="AI246" s="15" t="s">
        <v>4282</v>
      </c>
      <c r="AJ246" s="15" t="s">
        <v>4269</v>
      </c>
      <c r="AK246" s="15">
        <v>6826739</v>
      </c>
      <c r="AL246" s="341" t="s">
        <v>2307</v>
      </c>
      <c r="AM246" s="15" t="s">
        <v>4479</v>
      </c>
      <c r="AN246" s="583">
        <f t="shared" si="37"/>
        <v>3150000</v>
      </c>
      <c r="AO246" s="15" t="s">
        <v>160</v>
      </c>
      <c r="AP246" s="15"/>
      <c r="AQ246" s="15"/>
      <c r="AR246" s="15" t="s">
        <v>4282</v>
      </c>
      <c r="AS246" s="15" t="s">
        <v>4269</v>
      </c>
      <c r="AT246" s="15"/>
      <c r="AU246" s="15"/>
      <c r="AV246" s="15"/>
      <c r="AW246" s="534"/>
      <c r="AX246" s="15"/>
      <c r="AY246" s="15"/>
      <c r="AZ246" s="15"/>
      <c r="BA246" s="15"/>
      <c r="BB246" s="15"/>
      <c r="BC246" s="15"/>
      <c r="BD246" s="15"/>
      <c r="BE246" s="534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  <c r="BP246" s="15">
        <v>9</v>
      </c>
      <c r="BQ246" s="348" t="s">
        <v>3190</v>
      </c>
      <c r="BR246" s="348" t="s">
        <v>3191</v>
      </c>
      <c r="BS246" s="23" t="s">
        <v>4480</v>
      </c>
      <c r="BT246" s="15" t="s">
        <v>4320</v>
      </c>
      <c r="BU246" s="23" t="s">
        <v>4481</v>
      </c>
      <c r="BV246" s="15" t="s">
        <v>4320</v>
      </c>
      <c r="BW246" s="15" t="s">
        <v>4482</v>
      </c>
      <c r="BX246" s="15" t="s">
        <v>4441</v>
      </c>
      <c r="BY246" s="15"/>
      <c r="BZ246" s="15"/>
      <c r="CA246" s="15"/>
      <c r="CB246" s="15"/>
      <c r="CC246" s="15"/>
      <c r="CD246" s="23"/>
      <c r="CE246" s="23"/>
      <c r="CF246" s="23"/>
      <c r="CG246" s="23" t="s">
        <v>4295</v>
      </c>
      <c r="CH246" s="15"/>
      <c r="CI246" s="15"/>
      <c r="CJ246" s="15"/>
    </row>
    <row r="247" spans="1:88" s="145" customFormat="1" ht="60">
      <c r="A247" s="15">
        <v>5</v>
      </c>
      <c r="B247" s="349" t="s">
        <v>4389</v>
      </c>
      <c r="C247" s="348" t="s">
        <v>4483</v>
      </c>
      <c r="D247" s="14" t="s">
        <v>4484</v>
      </c>
      <c r="E247" s="15" t="s">
        <v>100</v>
      </c>
      <c r="F247" s="15">
        <v>2024</v>
      </c>
      <c r="G247" s="15">
        <v>2024</v>
      </c>
      <c r="H247" s="15">
        <v>7</v>
      </c>
      <c r="I247" s="15" t="s">
        <v>3214</v>
      </c>
      <c r="J247" s="350">
        <v>9445500</v>
      </c>
      <c r="K247" s="15" t="s">
        <v>4269</v>
      </c>
      <c r="L247" s="15">
        <v>1</v>
      </c>
      <c r="M247" s="15" t="s">
        <v>3222</v>
      </c>
      <c r="N247" s="15" t="s">
        <v>3223</v>
      </c>
      <c r="O247" s="15" t="s">
        <v>3215</v>
      </c>
      <c r="P247" s="15" t="s">
        <v>3923</v>
      </c>
      <c r="Q247" s="15">
        <v>6787771</v>
      </c>
      <c r="R247" s="15" t="s">
        <v>123</v>
      </c>
      <c r="S247" s="334" t="s">
        <v>1676</v>
      </c>
      <c r="T247" s="583">
        <f>J247/4</f>
        <v>2361375</v>
      </c>
      <c r="U247" s="15" t="s">
        <v>4459</v>
      </c>
      <c r="V247" s="15"/>
      <c r="W247" s="15"/>
      <c r="X247" s="15" t="s">
        <v>4282</v>
      </c>
      <c r="Y247" s="15" t="s">
        <v>4257</v>
      </c>
      <c r="Z247" s="15">
        <v>1093</v>
      </c>
      <c r="AA247" s="204" t="s">
        <v>4271</v>
      </c>
      <c r="AB247" s="15">
        <v>6867249</v>
      </c>
      <c r="AC247" s="15" t="s">
        <v>2598</v>
      </c>
      <c r="AD247" s="15" t="s">
        <v>4485</v>
      </c>
      <c r="AE247" s="583">
        <f t="shared" si="36"/>
        <v>2361375</v>
      </c>
      <c r="AF247" s="15" t="s">
        <v>171</v>
      </c>
      <c r="AG247" s="15"/>
      <c r="AH247" s="15"/>
      <c r="AI247" s="15" t="s">
        <v>4272</v>
      </c>
      <c r="AJ247" s="15" t="s">
        <v>4269</v>
      </c>
      <c r="AK247" s="15">
        <v>6892129</v>
      </c>
      <c r="AL247" s="341" t="s">
        <v>2557</v>
      </c>
      <c r="AM247" s="15" t="s">
        <v>4486</v>
      </c>
      <c r="AN247" s="583">
        <f t="shared" si="37"/>
        <v>2361375</v>
      </c>
      <c r="AO247" s="15" t="s">
        <v>160</v>
      </c>
      <c r="AP247" s="15"/>
      <c r="AQ247" s="15"/>
      <c r="AR247" s="15" t="s">
        <v>4282</v>
      </c>
      <c r="AS247" s="15" t="s">
        <v>4269</v>
      </c>
      <c r="AT247" s="15">
        <v>6767777</v>
      </c>
      <c r="AU247" s="15" t="s">
        <v>2673</v>
      </c>
      <c r="AV247" s="15" t="s">
        <v>102</v>
      </c>
      <c r="AW247" s="534">
        <f>T247</f>
        <v>2361375</v>
      </c>
      <c r="AX247" s="15" t="s">
        <v>171</v>
      </c>
      <c r="AY247" s="15"/>
      <c r="AZ247" s="15" t="s">
        <v>4272</v>
      </c>
      <c r="BA247" s="15" t="s">
        <v>4269</v>
      </c>
      <c r="BB247" s="15"/>
      <c r="BC247" s="15"/>
      <c r="BD247" s="15"/>
      <c r="BE247" s="534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  <c r="BP247" s="15">
        <v>4</v>
      </c>
      <c r="BQ247" s="348" t="s">
        <v>3190</v>
      </c>
      <c r="BR247" s="348" t="s">
        <v>3191</v>
      </c>
      <c r="BS247" s="23" t="s">
        <v>4487</v>
      </c>
      <c r="BT247" s="15" t="s">
        <v>4322</v>
      </c>
      <c r="BU247" s="23" t="s">
        <v>4488</v>
      </c>
      <c r="BV247" s="15" t="s">
        <v>4322</v>
      </c>
      <c r="BW247" s="15"/>
      <c r="BX247" s="15"/>
      <c r="BY247" s="15"/>
      <c r="BZ247" s="15"/>
      <c r="CA247" s="15"/>
      <c r="CB247" s="15"/>
      <c r="CC247" s="15"/>
      <c r="CD247" s="23"/>
      <c r="CE247" s="23"/>
      <c r="CF247" s="23"/>
      <c r="CG247" s="23" t="s">
        <v>4295</v>
      </c>
      <c r="CH247" s="15"/>
      <c r="CI247" s="15" t="s">
        <v>4445</v>
      </c>
      <c r="CJ247" s="15"/>
    </row>
    <row r="248" spans="1:88" s="145" customFormat="1" ht="60">
      <c r="A248" s="15">
        <v>17</v>
      </c>
      <c r="B248" s="349" t="s">
        <v>4389</v>
      </c>
      <c r="C248" s="348" t="s">
        <v>4489</v>
      </c>
      <c r="D248" s="14" t="s">
        <v>4490</v>
      </c>
      <c r="E248" s="15" t="s">
        <v>100</v>
      </c>
      <c r="F248" s="15">
        <v>2024</v>
      </c>
      <c r="G248" s="15">
        <v>2024</v>
      </c>
      <c r="H248" s="15">
        <v>7</v>
      </c>
      <c r="I248" s="15" t="s">
        <v>3214</v>
      </c>
      <c r="J248" s="350">
        <v>9418500</v>
      </c>
      <c r="K248" s="15" t="s">
        <v>4269</v>
      </c>
      <c r="L248" s="15">
        <v>3</v>
      </c>
      <c r="M248" s="15" t="s">
        <v>3222</v>
      </c>
      <c r="N248" s="15" t="s">
        <v>3223</v>
      </c>
      <c r="O248" s="15" t="s">
        <v>3215</v>
      </c>
      <c r="P248" s="15" t="s">
        <v>3923</v>
      </c>
      <c r="Q248" s="15">
        <v>6843797</v>
      </c>
      <c r="R248" s="15" t="s">
        <v>109</v>
      </c>
      <c r="S248" s="334" t="s">
        <v>2418</v>
      </c>
      <c r="T248" s="583">
        <f>J248/3</f>
        <v>3139500</v>
      </c>
      <c r="U248" s="15" t="s">
        <v>4491</v>
      </c>
      <c r="V248" s="15"/>
      <c r="W248" s="15"/>
      <c r="X248" s="15" t="s">
        <v>3224</v>
      </c>
      <c r="Y248" s="15" t="s">
        <v>4257</v>
      </c>
      <c r="Z248" s="15">
        <v>1093</v>
      </c>
      <c r="AA248" s="204" t="s">
        <v>4271</v>
      </c>
      <c r="AB248" s="15">
        <v>210955</v>
      </c>
      <c r="AC248" s="15" t="s">
        <v>2404</v>
      </c>
      <c r="AD248" s="15" t="s">
        <v>4492</v>
      </c>
      <c r="AE248" s="583">
        <f t="shared" si="36"/>
        <v>3139500</v>
      </c>
      <c r="AF248" s="15" t="s">
        <v>4491</v>
      </c>
      <c r="AG248" s="15" t="s">
        <v>166</v>
      </c>
      <c r="AH248" s="15" t="s">
        <v>155</v>
      </c>
      <c r="AI248" s="15" t="s">
        <v>3224</v>
      </c>
      <c r="AJ248" s="15" t="s">
        <v>4269</v>
      </c>
      <c r="AK248" s="15">
        <v>6764236</v>
      </c>
      <c r="AL248" s="341" t="s">
        <v>1684</v>
      </c>
      <c r="AM248" s="15" t="s">
        <v>4493</v>
      </c>
      <c r="AN248" s="583">
        <f t="shared" si="37"/>
        <v>3139500</v>
      </c>
      <c r="AO248" s="15" t="s">
        <v>166</v>
      </c>
      <c r="AP248" s="15"/>
      <c r="AQ248" s="15"/>
      <c r="AR248" s="15" t="s">
        <v>4282</v>
      </c>
      <c r="AS248" s="15" t="s">
        <v>4269</v>
      </c>
      <c r="AT248" s="15"/>
      <c r="AU248" s="15"/>
      <c r="AV248" s="15"/>
      <c r="AW248" s="534"/>
      <c r="AX248" s="15"/>
      <c r="AY248" s="15"/>
      <c r="AZ248" s="15"/>
      <c r="BA248" s="15"/>
      <c r="BB248" s="15"/>
      <c r="BC248" s="15"/>
      <c r="BD248" s="15"/>
      <c r="BE248" s="534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  <c r="BP248" s="15">
        <v>9</v>
      </c>
      <c r="BQ248" s="348" t="s">
        <v>3190</v>
      </c>
      <c r="BR248" s="348" t="s">
        <v>3191</v>
      </c>
      <c r="BS248" s="23" t="s">
        <v>4494</v>
      </c>
      <c r="BT248" s="15" t="s">
        <v>4495</v>
      </c>
      <c r="BU248" s="23" t="s">
        <v>4496</v>
      </c>
      <c r="BV248" s="15" t="s">
        <v>4495</v>
      </c>
      <c r="BW248" s="15" t="s">
        <v>4497</v>
      </c>
      <c r="BX248" s="15" t="s">
        <v>4495</v>
      </c>
      <c r="BY248" s="15"/>
      <c r="BZ248" s="15"/>
      <c r="CA248" s="15"/>
      <c r="CB248" s="15"/>
      <c r="CC248" s="15"/>
      <c r="CD248" s="23"/>
      <c r="CE248" s="23"/>
      <c r="CF248" s="23"/>
      <c r="CG248" s="23" t="s">
        <v>4295</v>
      </c>
      <c r="CH248" s="15"/>
      <c r="CI248" s="15" t="s">
        <v>3397</v>
      </c>
      <c r="CJ248" s="15"/>
    </row>
    <row r="249" spans="1:88" s="559" customFormat="1" ht="36">
      <c r="A249" s="15">
        <v>28</v>
      </c>
      <c r="B249" s="349" t="s">
        <v>4389</v>
      </c>
      <c r="C249" s="348" t="s">
        <v>4498</v>
      </c>
      <c r="D249" s="14" t="s">
        <v>4499</v>
      </c>
      <c r="E249" s="15" t="s">
        <v>100</v>
      </c>
      <c r="F249" s="15">
        <v>2024</v>
      </c>
      <c r="G249" s="15">
        <v>2024</v>
      </c>
      <c r="H249" s="15">
        <v>7</v>
      </c>
      <c r="I249" s="15" t="s">
        <v>3214</v>
      </c>
      <c r="J249" s="350">
        <v>9225000</v>
      </c>
      <c r="K249" s="15" t="s">
        <v>4269</v>
      </c>
      <c r="L249" s="15">
        <v>1</v>
      </c>
      <c r="M249" s="15" t="s">
        <v>3222</v>
      </c>
      <c r="N249" s="15" t="s">
        <v>3223</v>
      </c>
      <c r="O249" s="15" t="s">
        <v>3215</v>
      </c>
      <c r="P249" s="15" t="s">
        <v>3923</v>
      </c>
      <c r="Q249" s="15">
        <v>6898606</v>
      </c>
      <c r="R249" s="15" t="s">
        <v>107</v>
      </c>
      <c r="S249" s="341" t="s">
        <v>2460</v>
      </c>
      <c r="T249" s="583">
        <f>J249/4</f>
        <v>2306250</v>
      </c>
      <c r="U249" s="15" t="s">
        <v>4491</v>
      </c>
      <c r="V249" s="15"/>
      <c r="W249" s="15"/>
      <c r="X249" s="15" t="s">
        <v>3224</v>
      </c>
      <c r="Y249" s="15" t="s">
        <v>4257</v>
      </c>
      <c r="Z249" s="15">
        <v>1093</v>
      </c>
      <c r="AA249" s="204" t="s">
        <v>4271</v>
      </c>
      <c r="AB249" s="15">
        <v>258471</v>
      </c>
      <c r="AC249" s="15" t="s">
        <v>3504</v>
      </c>
      <c r="AD249" s="15" t="s">
        <v>4500</v>
      </c>
      <c r="AE249" s="583">
        <f t="shared" si="36"/>
        <v>2306250</v>
      </c>
      <c r="AF249" s="15" t="s">
        <v>155</v>
      </c>
      <c r="AG249" s="15"/>
      <c r="AH249" s="15"/>
      <c r="AI249" s="15" t="s">
        <v>3224</v>
      </c>
      <c r="AJ249" s="15" t="s">
        <v>4269</v>
      </c>
      <c r="AK249" s="15">
        <v>6663582</v>
      </c>
      <c r="AL249" s="341" t="s">
        <v>1668</v>
      </c>
      <c r="AM249" s="15" t="s">
        <v>4501</v>
      </c>
      <c r="AN249" s="583">
        <f t="shared" si="37"/>
        <v>2306250</v>
      </c>
      <c r="AO249" s="15" t="s">
        <v>4491</v>
      </c>
      <c r="AP249" s="15"/>
      <c r="AQ249" s="15"/>
      <c r="AR249" s="15" t="s">
        <v>3224</v>
      </c>
      <c r="AS249" s="15" t="s">
        <v>4269</v>
      </c>
      <c r="AT249" s="15" t="s">
        <v>942</v>
      </c>
      <c r="AU249" s="15" t="s">
        <v>942</v>
      </c>
      <c r="AV249" s="15" t="s">
        <v>3121</v>
      </c>
      <c r="AW249" s="534" t="s">
        <v>942</v>
      </c>
      <c r="AX249" s="15" t="s">
        <v>942</v>
      </c>
      <c r="AY249" s="15"/>
      <c r="AZ249" s="15" t="s">
        <v>942</v>
      </c>
      <c r="BA249" s="15" t="s">
        <v>942</v>
      </c>
      <c r="BB249" s="15"/>
      <c r="BC249" s="15"/>
      <c r="BD249" s="15"/>
      <c r="BE249" s="534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  <c r="BP249" s="15">
        <v>2</v>
      </c>
      <c r="BQ249" s="348" t="s">
        <v>3190</v>
      </c>
      <c r="BR249" s="348" t="s">
        <v>3191</v>
      </c>
      <c r="BS249" s="23" t="s">
        <v>4502</v>
      </c>
      <c r="BT249" s="15" t="s">
        <v>4495</v>
      </c>
      <c r="BU249" s="23" t="s">
        <v>4503</v>
      </c>
      <c r="BV249" s="15" t="s">
        <v>4495</v>
      </c>
      <c r="BW249" s="15" t="s">
        <v>4504</v>
      </c>
      <c r="BX249" s="15" t="s">
        <v>4413</v>
      </c>
      <c r="BY249" s="15"/>
      <c r="BZ249" s="15"/>
      <c r="CA249" s="15"/>
      <c r="CB249" s="15"/>
      <c r="CC249" s="15"/>
      <c r="CD249" s="23"/>
      <c r="CE249" s="23"/>
      <c r="CF249" s="23"/>
      <c r="CG249" s="23" t="s">
        <v>4295</v>
      </c>
      <c r="CH249" s="15"/>
      <c r="CI249" s="15" t="s">
        <v>3397</v>
      </c>
      <c r="CJ249" s="335"/>
    </row>
    <row r="250" spans="1:88" s="559" customFormat="1" ht="48">
      <c r="A250" s="15">
        <v>6</v>
      </c>
      <c r="B250" s="349" t="s">
        <v>4389</v>
      </c>
      <c r="C250" s="348" t="s">
        <v>4505</v>
      </c>
      <c r="D250" s="14" t="s">
        <v>4506</v>
      </c>
      <c r="E250" s="15" t="s">
        <v>100</v>
      </c>
      <c r="F250" s="15">
        <v>2024</v>
      </c>
      <c r="G250" s="15">
        <v>2024</v>
      </c>
      <c r="H250" s="15">
        <v>7</v>
      </c>
      <c r="I250" s="15" t="s">
        <v>3214</v>
      </c>
      <c r="J250" s="350">
        <v>9101250</v>
      </c>
      <c r="K250" s="15" t="s">
        <v>4269</v>
      </c>
      <c r="L250" s="15">
        <v>1</v>
      </c>
      <c r="M250" s="15" t="s">
        <v>3222</v>
      </c>
      <c r="N250" s="15" t="s">
        <v>3223</v>
      </c>
      <c r="O250" s="15" t="s">
        <v>3215</v>
      </c>
      <c r="P250" s="15" t="s">
        <v>3923</v>
      </c>
      <c r="Q250" s="15">
        <v>6802117</v>
      </c>
      <c r="R250" s="15" t="s">
        <v>119</v>
      </c>
      <c r="S250" s="334" t="s">
        <v>978</v>
      </c>
      <c r="T250" s="583">
        <f>J250/3</f>
        <v>3033750</v>
      </c>
      <c r="U250" s="15" t="s">
        <v>4507</v>
      </c>
      <c r="V250" s="15"/>
      <c r="W250" s="15"/>
      <c r="X250" s="15" t="s">
        <v>4282</v>
      </c>
      <c r="Y250" s="15" t="s">
        <v>4257</v>
      </c>
      <c r="Z250" s="15">
        <v>1093</v>
      </c>
      <c r="AA250" s="204" t="s">
        <v>4271</v>
      </c>
      <c r="AB250" s="15">
        <v>6680631</v>
      </c>
      <c r="AC250" s="15" t="s">
        <v>1770</v>
      </c>
      <c r="AD250" s="15" t="s">
        <v>103</v>
      </c>
      <c r="AE250" s="583">
        <f t="shared" si="36"/>
        <v>3033750</v>
      </c>
      <c r="AF250" s="15" t="s">
        <v>155</v>
      </c>
      <c r="AG250" s="15"/>
      <c r="AH250" s="15"/>
      <c r="AI250" s="15" t="s">
        <v>3224</v>
      </c>
      <c r="AJ250" s="15" t="s">
        <v>4269</v>
      </c>
      <c r="AK250" s="15">
        <v>6839112</v>
      </c>
      <c r="AL250" s="341" t="s">
        <v>2949</v>
      </c>
      <c r="AM250" s="15" t="s">
        <v>4508</v>
      </c>
      <c r="AN250" s="583">
        <f t="shared" si="37"/>
        <v>3033750</v>
      </c>
      <c r="AO250" s="15" t="s">
        <v>166</v>
      </c>
      <c r="AP250" s="15"/>
      <c r="AQ250" s="15"/>
      <c r="AR250" s="15" t="s">
        <v>4282</v>
      </c>
      <c r="AS250" s="15" t="s">
        <v>4269</v>
      </c>
      <c r="AT250" s="15"/>
      <c r="AU250" s="15"/>
      <c r="AV250" s="15"/>
      <c r="AW250" s="534"/>
      <c r="AX250" s="15"/>
      <c r="AY250" s="15"/>
      <c r="AZ250" s="15"/>
      <c r="BA250" s="15"/>
      <c r="BB250" s="15"/>
      <c r="BC250" s="15"/>
      <c r="BD250" s="15"/>
      <c r="BE250" s="534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  <c r="BP250" s="15" t="s">
        <v>4509</v>
      </c>
      <c r="BQ250" s="348" t="s">
        <v>3190</v>
      </c>
      <c r="BR250" s="348" t="s">
        <v>3191</v>
      </c>
      <c r="BS250" s="23" t="s">
        <v>4510</v>
      </c>
      <c r="BT250" s="15" t="s">
        <v>4511</v>
      </c>
      <c r="BU250" s="23" t="s">
        <v>4512</v>
      </c>
      <c r="BV250" s="15" t="s">
        <v>4511</v>
      </c>
      <c r="BW250" s="15" t="s">
        <v>4513</v>
      </c>
      <c r="BX250" s="15" t="s">
        <v>4413</v>
      </c>
      <c r="BY250" s="15"/>
      <c r="BZ250" s="15"/>
      <c r="CA250" s="15"/>
      <c r="CB250" s="15"/>
      <c r="CC250" s="15"/>
      <c r="CD250" s="23"/>
      <c r="CE250" s="23"/>
      <c r="CF250" s="23"/>
      <c r="CG250" s="23" t="s">
        <v>4295</v>
      </c>
      <c r="CH250" s="15"/>
      <c r="CI250" s="15"/>
      <c r="CJ250" s="335"/>
    </row>
    <row r="251" spans="1:88" s="559" customFormat="1" ht="48">
      <c r="A251" s="15">
        <v>10</v>
      </c>
      <c r="B251" s="349" t="s">
        <v>4389</v>
      </c>
      <c r="C251" s="348" t="s">
        <v>4514</v>
      </c>
      <c r="D251" s="14" t="s">
        <v>4515</v>
      </c>
      <c r="E251" s="15" t="s">
        <v>100</v>
      </c>
      <c r="F251" s="15">
        <v>2024</v>
      </c>
      <c r="G251" s="15">
        <v>2024</v>
      </c>
      <c r="H251" s="15">
        <v>7</v>
      </c>
      <c r="I251" s="15" t="s">
        <v>3214</v>
      </c>
      <c r="J251" s="350">
        <v>9000000</v>
      </c>
      <c r="K251" s="15" t="s">
        <v>4269</v>
      </c>
      <c r="L251" s="15">
        <v>3</v>
      </c>
      <c r="M251" s="15" t="s">
        <v>3222</v>
      </c>
      <c r="N251" s="15" t="s">
        <v>3223</v>
      </c>
      <c r="O251" s="15" t="s">
        <v>3215</v>
      </c>
      <c r="P251" s="15" t="s">
        <v>3923</v>
      </c>
      <c r="Q251" s="15">
        <v>6724784</v>
      </c>
      <c r="R251" s="15" t="s">
        <v>4516</v>
      </c>
      <c r="S251" s="334" t="s">
        <v>1781</v>
      </c>
      <c r="T251" s="583">
        <f>J251/3</f>
        <v>3000000</v>
      </c>
      <c r="U251" s="15" t="s">
        <v>4517</v>
      </c>
      <c r="V251" s="15"/>
      <c r="W251" s="15"/>
      <c r="X251" s="15" t="s">
        <v>3224</v>
      </c>
      <c r="Y251" s="15" t="s">
        <v>4257</v>
      </c>
      <c r="Z251" s="15">
        <v>1093</v>
      </c>
      <c r="AA251" s="204" t="s">
        <v>4271</v>
      </c>
      <c r="AB251" s="15">
        <v>6680615</v>
      </c>
      <c r="AC251" s="15" t="s">
        <v>2481</v>
      </c>
      <c r="AD251" s="15" t="s">
        <v>113</v>
      </c>
      <c r="AE251" s="583">
        <f t="shared" si="36"/>
        <v>3000000</v>
      </c>
      <c r="AF251" s="15" t="s">
        <v>4426</v>
      </c>
      <c r="AG251" s="15" t="s">
        <v>155</v>
      </c>
      <c r="AH251" s="15"/>
      <c r="AI251" s="15" t="s">
        <v>3224</v>
      </c>
      <c r="AJ251" s="15" t="s">
        <v>4269</v>
      </c>
      <c r="AK251" s="15" t="s">
        <v>4289</v>
      </c>
      <c r="AL251" s="341" t="s">
        <v>4289</v>
      </c>
      <c r="AM251" s="15" t="s">
        <v>4518</v>
      </c>
      <c r="AN251" s="583">
        <f t="shared" si="37"/>
        <v>3000000</v>
      </c>
      <c r="AO251" s="15" t="s">
        <v>4426</v>
      </c>
      <c r="AP251" s="15"/>
      <c r="AQ251" s="15"/>
      <c r="AR251" s="15" t="s">
        <v>3224</v>
      </c>
      <c r="AS251" s="15" t="s">
        <v>4269</v>
      </c>
      <c r="AT251" s="15"/>
      <c r="AU251" s="15"/>
      <c r="AV251" s="15"/>
      <c r="AW251" s="534"/>
      <c r="AX251" s="15"/>
      <c r="AY251" s="15"/>
      <c r="AZ251" s="15"/>
      <c r="BA251" s="15"/>
      <c r="BB251" s="15"/>
      <c r="BC251" s="15"/>
      <c r="BD251" s="15"/>
      <c r="BE251" s="534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  <c r="BP251" s="15" t="s">
        <v>4519</v>
      </c>
      <c r="BQ251" s="348" t="s">
        <v>3190</v>
      </c>
      <c r="BR251" s="15"/>
      <c r="BS251" s="23" t="s">
        <v>4520</v>
      </c>
      <c r="BT251" s="15" t="s">
        <v>4430</v>
      </c>
      <c r="BU251" s="23" t="s">
        <v>4521</v>
      </c>
      <c r="BV251" s="15" t="s">
        <v>4430</v>
      </c>
      <c r="BW251" s="15"/>
      <c r="BX251" s="15"/>
      <c r="BY251" s="15"/>
      <c r="BZ251" s="15"/>
      <c r="CA251" s="15"/>
      <c r="CB251" s="15"/>
      <c r="CC251" s="15"/>
      <c r="CD251" s="23"/>
      <c r="CE251" s="23"/>
      <c r="CF251" s="23"/>
      <c r="CG251" s="23" t="s">
        <v>4433</v>
      </c>
      <c r="CH251" s="15"/>
      <c r="CI251" s="15"/>
      <c r="CJ251" s="335"/>
    </row>
    <row r="252" spans="1:88" s="145" customFormat="1" ht="48">
      <c r="A252" s="15">
        <v>11</v>
      </c>
      <c r="B252" s="349" t="s">
        <v>4389</v>
      </c>
      <c r="C252" s="348" t="s">
        <v>4522</v>
      </c>
      <c r="D252" s="14" t="s">
        <v>4523</v>
      </c>
      <c r="E252" s="15" t="s">
        <v>100</v>
      </c>
      <c r="F252" s="15">
        <v>2024</v>
      </c>
      <c r="G252" s="15">
        <v>2024</v>
      </c>
      <c r="H252" s="15">
        <v>7</v>
      </c>
      <c r="I252" s="15" t="s">
        <v>3214</v>
      </c>
      <c r="J252" s="350">
        <v>9000000</v>
      </c>
      <c r="K252" s="15" t="s">
        <v>4269</v>
      </c>
      <c r="L252" s="15">
        <v>3</v>
      </c>
      <c r="M252" s="15" t="s">
        <v>3222</v>
      </c>
      <c r="N252" s="15" t="s">
        <v>3223</v>
      </c>
      <c r="O252" s="15" t="s">
        <v>3215</v>
      </c>
      <c r="P252" s="15" t="s">
        <v>3923</v>
      </c>
      <c r="Q252" s="15">
        <v>6801883</v>
      </c>
      <c r="R252" s="15" t="s">
        <v>4524</v>
      </c>
      <c r="S252" s="334" t="s">
        <v>1751</v>
      </c>
      <c r="T252" s="583">
        <f>J252/3</f>
        <v>3000000</v>
      </c>
      <c r="U252" s="15" t="s">
        <v>4507</v>
      </c>
      <c r="V252" s="15"/>
      <c r="W252" s="15"/>
      <c r="X252" s="15" t="s">
        <v>4282</v>
      </c>
      <c r="Y252" s="15" t="s">
        <v>4257</v>
      </c>
      <c r="Z252" s="15">
        <v>1093</v>
      </c>
      <c r="AA252" s="204" t="s">
        <v>4271</v>
      </c>
      <c r="AB252" s="15">
        <v>6680623</v>
      </c>
      <c r="AC252" s="15" t="s">
        <v>1841</v>
      </c>
      <c r="AD252" s="15" t="s">
        <v>127</v>
      </c>
      <c r="AE252" s="583">
        <f t="shared" si="36"/>
        <v>3000000</v>
      </c>
      <c r="AF252" s="15" t="s">
        <v>4507</v>
      </c>
      <c r="AG252" s="15"/>
      <c r="AH252" s="15"/>
      <c r="AI252" s="15" t="s">
        <v>4282</v>
      </c>
      <c r="AJ252" s="15" t="s">
        <v>4269</v>
      </c>
      <c r="AK252" s="15">
        <v>6099359</v>
      </c>
      <c r="AL252" s="341" t="s">
        <v>977</v>
      </c>
      <c r="AM252" s="15" t="s">
        <v>4525</v>
      </c>
      <c r="AN252" s="583">
        <f t="shared" si="37"/>
        <v>3000000</v>
      </c>
      <c r="AO252" s="15" t="s">
        <v>4507</v>
      </c>
      <c r="AP252" s="15"/>
      <c r="AQ252" s="15"/>
      <c r="AR252" s="15" t="s">
        <v>4282</v>
      </c>
      <c r="AS252" s="15" t="s">
        <v>4269</v>
      </c>
      <c r="AT252" s="15"/>
      <c r="AU252" s="15"/>
      <c r="AV252" s="15"/>
      <c r="AW252" s="534"/>
      <c r="AX252" s="15"/>
      <c r="AY252" s="15"/>
      <c r="AZ252" s="15"/>
      <c r="BA252" s="15"/>
      <c r="BB252" s="15"/>
      <c r="BC252" s="15"/>
      <c r="BD252" s="15"/>
      <c r="BE252" s="534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  <c r="BP252" s="15" t="s">
        <v>4526</v>
      </c>
      <c r="BQ252" s="348" t="s">
        <v>3190</v>
      </c>
      <c r="BR252" s="348" t="s">
        <v>3191</v>
      </c>
      <c r="BS252" s="23" t="s">
        <v>4463</v>
      </c>
      <c r="BT252" s="15" t="s">
        <v>4413</v>
      </c>
      <c r="BU252" s="23" t="s">
        <v>4527</v>
      </c>
      <c r="BV252" s="15" t="s">
        <v>4413</v>
      </c>
      <c r="BW252" s="15" t="s">
        <v>4373</v>
      </c>
      <c r="BX252" s="15" t="s">
        <v>4413</v>
      </c>
      <c r="BY252" s="15"/>
      <c r="BZ252" s="15"/>
      <c r="CA252" s="15"/>
      <c r="CB252" s="15"/>
      <c r="CC252" s="15"/>
      <c r="CD252" s="23"/>
      <c r="CE252" s="23"/>
      <c r="CF252" s="23"/>
      <c r="CG252" s="23" t="s">
        <v>4295</v>
      </c>
      <c r="CH252" s="15"/>
      <c r="CI252" s="15" t="s">
        <v>3397</v>
      </c>
      <c r="CJ252" s="15"/>
    </row>
    <row r="253" spans="1:88" s="559" customFormat="1" ht="60">
      <c r="A253" s="15">
        <v>21</v>
      </c>
      <c r="B253" s="349" t="s">
        <v>4389</v>
      </c>
      <c r="C253" s="348" t="s">
        <v>4528</v>
      </c>
      <c r="D253" s="14" t="s">
        <v>4529</v>
      </c>
      <c r="E253" s="15" t="s">
        <v>100</v>
      </c>
      <c r="F253" s="15">
        <v>2024</v>
      </c>
      <c r="G253" s="15">
        <v>2024</v>
      </c>
      <c r="H253" s="15">
        <v>7</v>
      </c>
      <c r="I253" s="15" t="s">
        <v>3214</v>
      </c>
      <c r="J253" s="350">
        <v>9000000</v>
      </c>
      <c r="K253" s="15" t="s">
        <v>4269</v>
      </c>
      <c r="L253" s="15">
        <v>3</v>
      </c>
      <c r="M253" s="15" t="s">
        <v>3222</v>
      </c>
      <c r="N253" s="15" t="s">
        <v>3223</v>
      </c>
      <c r="O253" s="15" t="s">
        <v>3215</v>
      </c>
      <c r="P253" s="15" t="s">
        <v>3923</v>
      </c>
      <c r="Q253" s="15">
        <v>6832969</v>
      </c>
      <c r="R253" s="15" t="s">
        <v>101</v>
      </c>
      <c r="S253" s="334" t="s">
        <v>2901</v>
      </c>
      <c r="T253" s="583">
        <f>J253/3</f>
        <v>3000000</v>
      </c>
      <c r="U253" s="15" t="s">
        <v>4507</v>
      </c>
      <c r="V253" s="15"/>
      <c r="W253" s="15"/>
      <c r="X253" s="15" t="s">
        <v>4282</v>
      </c>
      <c r="Y253" s="15" t="s">
        <v>4257</v>
      </c>
      <c r="Z253" s="15">
        <v>1093</v>
      </c>
      <c r="AA253" s="204" t="s">
        <v>4271</v>
      </c>
      <c r="AB253" s="15">
        <v>6665306</v>
      </c>
      <c r="AC253" s="15" t="s">
        <v>1727</v>
      </c>
      <c r="AD253" s="15" t="s">
        <v>4530</v>
      </c>
      <c r="AE253" s="583">
        <f t="shared" si="36"/>
        <v>3000000</v>
      </c>
      <c r="AF253" s="15" t="s">
        <v>166</v>
      </c>
      <c r="AG253" s="15"/>
      <c r="AH253" s="15"/>
      <c r="AI253" s="15" t="s">
        <v>4282</v>
      </c>
      <c r="AJ253" s="15" t="s">
        <v>4269</v>
      </c>
      <c r="AK253" s="15">
        <v>6801883</v>
      </c>
      <c r="AL253" s="341" t="s">
        <v>1751</v>
      </c>
      <c r="AM253" s="15" t="s">
        <v>4531</v>
      </c>
      <c r="AN253" s="583">
        <f t="shared" si="37"/>
        <v>3000000</v>
      </c>
      <c r="AO253" s="15" t="s">
        <v>166</v>
      </c>
      <c r="AP253" s="15"/>
      <c r="AQ253" s="15"/>
      <c r="AR253" s="15" t="s">
        <v>4282</v>
      </c>
      <c r="AS253" s="15" t="s">
        <v>4269</v>
      </c>
      <c r="AT253" s="15"/>
      <c r="AU253" s="15"/>
      <c r="AV253" s="15"/>
      <c r="AW253" s="534"/>
      <c r="AX253" s="15"/>
      <c r="AY253" s="15"/>
      <c r="AZ253" s="15"/>
      <c r="BA253" s="15"/>
      <c r="BB253" s="15"/>
      <c r="BC253" s="15"/>
      <c r="BD253" s="15"/>
      <c r="BE253" s="534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  <c r="BP253" s="15" t="s">
        <v>4532</v>
      </c>
      <c r="BQ253" s="348" t="s">
        <v>3190</v>
      </c>
      <c r="BR253" s="348" t="s">
        <v>3191</v>
      </c>
      <c r="BS253" s="23" t="s">
        <v>4533</v>
      </c>
      <c r="BT253" s="15" t="s">
        <v>4413</v>
      </c>
      <c r="BU253" s="23" t="s">
        <v>4534</v>
      </c>
      <c r="BV253" s="15" t="s">
        <v>4413</v>
      </c>
      <c r="BW253" s="15" t="s">
        <v>4535</v>
      </c>
      <c r="BX253" s="15" t="s">
        <v>4413</v>
      </c>
      <c r="BY253" s="15"/>
      <c r="BZ253" s="15"/>
      <c r="CA253" s="15"/>
      <c r="CB253" s="15"/>
      <c r="CC253" s="15"/>
      <c r="CD253" s="23"/>
      <c r="CE253" s="23"/>
      <c r="CF253" s="23"/>
      <c r="CG253" s="23" t="s">
        <v>4295</v>
      </c>
      <c r="CH253" s="15"/>
      <c r="CI253" s="15" t="s">
        <v>3397</v>
      </c>
      <c r="CJ253" s="335"/>
    </row>
    <row r="254" spans="1:88" s="145" customFormat="1" ht="84">
      <c r="A254" s="15">
        <v>22</v>
      </c>
      <c r="B254" s="349" t="s">
        <v>4389</v>
      </c>
      <c r="C254" s="348" t="s">
        <v>4536</v>
      </c>
      <c r="D254" s="14" t="s">
        <v>4537</v>
      </c>
      <c r="E254" s="15" t="s">
        <v>100</v>
      </c>
      <c r="F254" s="15">
        <v>2024</v>
      </c>
      <c r="G254" s="15">
        <v>2024</v>
      </c>
      <c r="H254" s="15">
        <v>7</v>
      </c>
      <c r="I254" s="15" t="s">
        <v>4476</v>
      </c>
      <c r="J254" s="350">
        <v>9000000</v>
      </c>
      <c r="K254" s="15" t="s">
        <v>4269</v>
      </c>
      <c r="L254" s="15">
        <v>2</v>
      </c>
      <c r="M254" s="15" t="s">
        <v>3222</v>
      </c>
      <c r="N254" s="15" t="s">
        <v>3223</v>
      </c>
      <c r="O254" s="15" t="s">
        <v>3215</v>
      </c>
      <c r="P254" s="15" t="s">
        <v>3923</v>
      </c>
      <c r="Q254" s="15">
        <v>6680618</v>
      </c>
      <c r="R254" s="15" t="s">
        <v>120</v>
      </c>
      <c r="S254" s="334" t="s">
        <v>1737</v>
      </c>
      <c r="T254" s="583">
        <f>J254/3</f>
        <v>3000000</v>
      </c>
      <c r="U254" s="15" t="s">
        <v>4478</v>
      </c>
      <c r="V254" s="15"/>
      <c r="W254" s="15"/>
      <c r="X254" s="15" t="s">
        <v>4282</v>
      </c>
      <c r="Y254" s="15" t="s">
        <v>4257</v>
      </c>
      <c r="Z254" s="15">
        <v>1093</v>
      </c>
      <c r="AA254" s="204" t="s">
        <v>4271</v>
      </c>
      <c r="AB254" s="15">
        <v>6859016</v>
      </c>
      <c r="AC254" s="15" t="s">
        <v>4538</v>
      </c>
      <c r="AD254" s="15" t="s">
        <v>4419</v>
      </c>
      <c r="AE254" s="583">
        <f t="shared" si="36"/>
        <v>3000000</v>
      </c>
      <c r="AF254" s="15" t="s">
        <v>155</v>
      </c>
      <c r="AG254" s="15"/>
      <c r="AH254" s="15"/>
      <c r="AI254" s="15" t="s">
        <v>3224</v>
      </c>
      <c r="AJ254" s="15" t="s">
        <v>4269</v>
      </c>
      <c r="AK254" s="15">
        <v>6879158</v>
      </c>
      <c r="AL254" s="341" t="s">
        <v>2540</v>
      </c>
      <c r="AM254" s="15" t="s">
        <v>105</v>
      </c>
      <c r="AN254" s="583">
        <f t="shared" si="37"/>
        <v>3000000</v>
      </c>
      <c r="AO254" s="15" t="s">
        <v>160</v>
      </c>
      <c r="AP254" s="15"/>
      <c r="AQ254" s="15"/>
      <c r="AR254" s="15" t="s">
        <v>4282</v>
      </c>
      <c r="AS254" s="15" t="s">
        <v>4269</v>
      </c>
      <c r="AT254" s="15"/>
      <c r="AU254" s="15"/>
      <c r="AV254" s="15"/>
      <c r="AW254" s="534"/>
      <c r="AX254" s="15"/>
      <c r="AY254" s="15"/>
      <c r="AZ254" s="15"/>
      <c r="BA254" s="15"/>
      <c r="BB254" s="15"/>
      <c r="BC254" s="15"/>
      <c r="BD254" s="15"/>
      <c r="BE254" s="534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  <c r="BP254" s="15" t="s">
        <v>4420</v>
      </c>
      <c r="BQ254" s="348" t="s">
        <v>3190</v>
      </c>
      <c r="BR254" s="15"/>
      <c r="BS254" s="23" t="s">
        <v>4539</v>
      </c>
      <c r="BT254" s="15" t="s">
        <v>4444</v>
      </c>
      <c r="BU254" s="23" t="s">
        <v>4540</v>
      </c>
      <c r="BV254" s="15" t="s">
        <v>4441</v>
      </c>
      <c r="BW254" s="15"/>
      <c r="BX254" s="15"/>
      <c r="BY254" s="15"/>
      <c r="BZ254" s="15"/>
      <c r="CA254" s="15"/>
      <c r="CB254" s="15"/>
      <c r="CC254" s="15"/>
      <c r="CD254" s="23"/>
      <c r="CE254" s="23"/>
      <c r="CF254" s="23"/>
      <c r="CG254" s="23" t="s">
        <v>4295</v>
      </c>
      <c r="CH254" s="15"/>
      <c r="CI254" s="15" t="s">
        <v>4541</v>
      </c>
      <c r="CJ254" s="15"/>
    </row>
    <row r="255" spans="1:88" s="145" customFormat="1" ht="60">
      <c r="A255" s="15">
        <v>42</v>
      </c>
      <c r="B255" s="349"/>
      <c r="C255" s="348" t="s">
        <v>4542</v>
      </c>
      <c r="D255" s="14" t="s">
        <v>4543</v>
      </c>
      <c r="E255" s="15" t="s">
        <v>133</v>
      </c>
      <c r="F255" s="15">
        <v>2024</v>
      </c>
      <c r="G255" s="15">
        <v>2024</v>
      </c>
      <c r="H255" s="15"/>
      <c r="I255" s="344"/>
      <c r="J255" s="350">
        <v>9000000</v>
      </c>
      <c r="K255" s="582" t="s">
        <v>4269</v>
      </c>
      <c r="L255" s="15"/>
      <c r="M255" s="15"/>
      <c r="N255" s="15" t="s">
        <v>3223</v>
      </c>
      <c r="O255" s="15" t="s">
        <v>3215</v>
      </c>
      <c r="P255" s="15" t="s">
        <v>3923</v>
      </c>
      <c r="Q255" s="333"/>
      <c r="R255" s="15" t="s">
        <v>135</v>
      </c>
      <c r="S255" s="341"/>
      <c r="T255" s="583">
        <f>J255/2</f>
        <v>4500000</v>
      </c>
      <c r="U255" s="15" t="s">
        <v>4387</v>
      </c>
      <c r="V255" s="15"/>
      <c r="W255" s="15"/>
      <c r="X255" s="15" t="s">
        <v>157</v>
      </c>
      <c r="Y255" s="15" t="s">
        <v>4257</v>
      </c>
      <c r="Z255" s="15">
        <v>1093</v>
      </c>
      <c r="AA255" s="204" t="s">
        <v>4544</v>
      </c>
      <c r="AB255" s="333" t="s">
        <v>4112</v>
      </c>
      <c r="AC255" s="333" t="s">
        <v>2276</v>
      </c>
      <c r="AD255" s="15" t="s">
        <v>4545</v>
      </c>
      <c r="AE255" s="583"/>
      <c r="AF255" s="15" t="s">
        <v>156</v>
      </c>
      <c r="AG255" s="15"/>
      <c r="AH255" s="15"/>
      <c r="AI255" s="15" t="s">
        <v>157</v>
      </c>
      <c r="AJ255" s="15" t="s">
        <v>4269</v>
      </c>
      <c r="AK255" s="333"/>
      <c r="AL255" s="341"/>
      <c r="AM255" s="15"/>
      <c r="AN255" s="583"/>
      <c r="AO255" s="23"/>
      <c r="AP255" s="23"/>
      <c r="AQ255" s="23"/>
      <c r="AR255" s="23"/>
      <c r="AS255" s="23"/>
      <c r="AT255" s="23"/>
      <c r="AU255" s="23"/>
      <c r="AV255" s="23"/>
      <c r="AW255" s="534"/>
      <c r="AX255" s="23"/>
      <c r="AY255" s="23"/>
      <c r="AZ255" s="23"/>
      <c r="BA255" s="23"/>
      <c r="BB255" s="23"/>
      <c r="BC255" s="23"/>
      <c r="BD255" s="23"/>
      <c r="BE255" s="534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  <c r="BP255" s="15">
        <v>9</v>
      </c>
      <c r="BQ255" s="348" t="s">
        <v>3190</v>
      </c>
      <c r="BR255" s="348" t="s">
        <v>3191</v>
      </c>
      <c r="BS255" s="23" t="s">
        <v>4546</v>
      </c>
      <c r="BT255" s="36" t="s">
        <v>4351</v>
      </c>
      <c r="BU255" s="23" t="s">
        <v>4547</v>
      </c>
      <c r="BV255" s="36" t="s">
        <v>4351</v>
      </c>
      <c r="BW255" s="23" t="s">
        <v>4548</v>
      </c>
      <c r="BX255" s="36" t="s">
        <v>4351</v>
      </c>
      <c r="BY255" s="23"/>
      <c r="BZ255" s="36"/>
      <c r="CA255" s="23"/>
      <c r="CB255" s="23"/>
      <c r="CC255" s="23"/>
      <c r="CD255" s="23"/>
      <c r="CE255" s="23"/>
      <c r="CF255" s="23"/>
      <c r="CG255" s="23"/>
      <c r="CH255" s="23"/>
      <c r="CI255" s="23"/>
      <c r="CJ255" s="15"/>
    </row>
    <row r="256" spans="1:88" s="559" customFormat="1" ht="84">
      <c r="A256" s="15">
        <v>24</v>
      </c>
      <c r="B256" s="349" t="s">
        <v>4389</v>
      </c>
      <c r="C256" s="348" t="s">
        <v>4549</v>
      </c>
      <c r="D256" s="14" t="s">
        <v>4550</v>
      </c>
      <c r="E256" s="15" t="s">
        <v>100</v>
      </c>
      <c r="F256" s="15">
        <v>2024</v>
      </c>
      <c r="G256" s="15">
        <v>2024</v>
      </c>
      <c r="H256" s="15">
        <v>7</v>
      </c>
      <c r="I256" s="15" t="s">
        <v>3214</v>
      </c>
      <c r="J256" s="350">
        <v>8973000</v>
      </c>
      <c r="K256" s="15" t="s">
        <v>4269</v>
      </c>
      <c r="L256" s="15">
        <v>1</v>
      </c>
      <c r="M256" s="15" t="s">
        <v>3222</v>
      </c>
      <c r="N256" s="15" t="s">
        <v>3223</v>
      </c>
      <c r="O256" s="15" t="s">
        <v>3215</v>
      </c>
      <c r="P256" s="15" t="s">
        <v>3923</v>
      </c>
      <c r="Q256" s="15">
        <v>210955</v>
      </c>
      <c r="R256" s="15" t="s">
        <v>4288</v>
      </c>
      <c r="S256" s="334" t="s">
        <v>2404</v>
      </c>
      <c r="T256" s="583">
        <f>J256/3</f>
        <v>2991000</v>
      </c>
      <c r="U256" s="15" t="s">
        <v>4491</v>
      </c>
      <c r="V256" s="15" t="s">
        <v>166</v>
      </c>
      <c r="W256" s="15" t="s">
        <v>155</v>
      </c>
      <c r="X256" s="15" t="s">
        <v>3224</v>
      </c>
      <c r="Y256" s="15" t="s">
        <v>4257</v>
      </c>
      <c r="Z256" s="15">
        <v>1093</v>
      </c>
      <c r="AA256" s="204" t="s">
        <v>4271</v>
      </c>
      <c r="AB256" s="15">
        <v>6843797</v>
      </c>
      <c r="AC256" s="15" t="s">
        <v>2418</v>
      </c>
      <c r="AD256" s="15" t="s">
        <v>109</v>
      </c>
      <c r="AE256" s="583">
        <f>T256</f>
        <v>2991000</v>
      </c>
      <c r="AF256" s="15" t="s">
        <v>151</v>
      </c>
      <c r="AG256" s="15"/>
      <c r="AH256" s="15"/>
      <c r="AI256" s="15" t="s">
        <v>3224</v>
      </c>
      <c r="AJ256" s="15" t="s">
        <v>4269</v>
      </c>
      <c r="AK256" s="15">
        <v>6099359</v>
      </c>
      <c r="AL256" s="341" t="s">
        <v>977</v>
      </c>
      <c r="AM256" s="15" t="s">
        <v>4525</v>
      </c>
      <c r="AN256" s="583">
        <f>T256</f>
        <v>2991000</v>
      </c>
      <c r="AO256" s="15" t="s">
        <v>166</v>
      </c>
      <c r="AP256" s="15"/>
      <c r="AQ256" s="15"/>
      <c r="AR256" s="15" t="s">
        <v>4282</v>
      </c>
      <c r="AS256" s="15" t="s">
        <v>4269</v>
      </c>
      <c r="AT256" s="15"/>
      <c r="AU256" s="15"/>
      <c r="AV256" s="15"/>
      <c r="AW256" s="534"/>
      <c r="AX256" s="15"/>
      <c r="AY256" s="15"/>
      <c r="AZ256" s="15"/>
      <c r="BA256" s="15"/>
      <c r="BB256" s="15"/>
      <c r="BC256" s="15"/>
      <c r="BD256" s="15"/>
      <c r="BE256" s="534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  <c r="BP256" s="15">
        <v>9</v>
      </c>
      <c r="BQ256" s="348" t="s">
        <v>3190</v>
      </c>
      <c r="BR256" s="348" t="s">
        <v>3191</v>
      </c>
      <c r="BS256" s="23" t="s">
        <v>4551</v>
      </c>
      <c r="BT256" s="15" t="s">
        <v>4495</v>
      </c>
      <c r="BU256" s="23" t="s">
        <v>4497</v>
      </c>
      <c r="BV256" s="15" t="s">
        <v>4495</v>
      </c>
      <c r="BW256" s="15"/>
      <c r="BX256" s="15"/>
      <c r="BY256" s="15"/>
      <c r="BZ256" s="15"/>
      <c r="CA256" s="15"/>
      <c r="CB256" s="15"/>
      <c r="CC256" s="15"/>
      <c r="CD256" s="23"/>
      <c r="CE256" s="23"/>
      <c r="CF256" s="23"/>
      <c r="CG256" s="23" t="s">
        <v>4295</v>
      </c>
      <c r="CH256" s="15"/>
      <c r="CI256" s="15" t="s">
        <v>4445</v>
      </c>
      <c r="CJ256" s="335"/>
    </row>
    <row r="257" spans="1:91" s="559" customFormat="1" ht="84">
      <c r="A257" s="15">
        <v>13</v>
      </c>
      <c r="B257" s="349" t="s">
        <v>4389</v>
      </c>
      <c r="C257" s="348" t="s">
        <v>4552</v>
      </c>
      <c r="D257" s="14" t="s">
        <v>4553</v>
      </c>
      <c r="E257" s="15" t="s">
        <v>100</v>
      </c>
      <c r="F257" s="15">
        <v>2024</v>
      </c>
      <c r="G257" s="15">
        <v>2024</v>
      </c>
      <c r="H257" s="15">
        <v>7</v>
      </c>
      <c r="I257" s="15" t="s">
        <v>4554</v>
      </c>
      <c r="J257" s="350">
        <v>8948250</v>
      </c>
      <c r="K257" s="15" t="s">
        <v>4269</v>
      </c>
      <c r="L257" s="15">
        <v>2</v>
      </c>
      <c r="M257" s="15" t="s">
        <v>3222</v>
      </c>
      <c r="N257" s="15" t="s">
        <v>3223</v>
      </c>
      <c r="O257" s="15" t="s">
        <v>3215</v>
      </c>
      <c r="P257" s="15" t="s">
        <v>3923</v>
      </c>
      <c r="Q257" s="15">
        <v>6859382</v>
      </c>
      <c r="R257" s="15" t="s">
        <v>104</v>
      </c>
      <c r="S257" s="334" t="s">
        <v>2343</v>
      </c>
      <c r="T257" s="583">
        <f>J257/4</f>
        <v>2237062.5</v>
      </c>
      <c r="U257" s="15" t="s">
        <v>4459</v>
      </c>
      <c r="V257" s="15"/>
      <c r="W257" s="15"/>
      <c r="X257" s="15" t="s">
        <v>4282</v>
      </c>
      <c r="Y257" s="15" t="s">
        <v>4257</v>
      </c>
      <c r="Z257" s="15">
        <v>1093</v>
      </c>
      <c r="AA257" s="204" t="s">
        <v>4271</v>
      </c>
      <c r="AB257" s="15">
        <v>6682237</v>
      </c>
      <c r="AC257" s="15" t="s">
        <v>1736</v>
      </c>
      <c r="AD257" s="15" t="s">
        <v>4555</v>
      </c>
      <c r="AE257" s="583">
        <f>T257</f>
        <v>2237062.5</v>
      </c>
      <c r="AF257" s="15" t="s">
        <v>3093</v>
      </c>
      <c r="AG257" s="15"/>
      <c r="AH257" s="15"/>
      <c r="AI257" s="15" t="s">
        <v>4449</v>
      </c>
      <c r="AJ257" s="15" t="s">
        <v>4269</v>
      </c>
      <c r="AK257" s="15">
        <v>6833034</v>
      </c>
      <c r="AL257" s="341" t="s">
        <v>2022</v>
      </c>
      <c r="AM257" s="15" t="s">
        <v>4556</v>
      </c>
      <c r="AN257" s="583">
        <f>T257</f>
        <v>2237062.5</v>
      </c>
      <c r="AO257" s="15" t="s">
        <v>166</v>
      </c>
      <c r="AP257" s="15"/>
      <c r="AQ257" s="15"/>
      <c r="AR257" s="15" t="s">
        <v>4282</v>
      </c>
      <c r="AS257" s="15" t="s">
        <v>4269</v>
      </c>
      <c r="AT257" s="15">
        <v>6789028</v>
      </c>
      <c r="AU257" s="15" t="s">
        <v>1917</v>
      </c>
      <c r="AV257" s="15" t="s">
        <v>4557</v>
      </c>
      <c r="AW257" s="534">
        <f>T257</f>
        <v>2237062.5</v>
      </c>
      <c r="AX257" s="15" t="s">
        <v>166</v>
      </c>
      <c r="AY257" s="15"/>
      <c r="AZ257" s="15" t="s">
        <v>4282</v>
      </c>
      <c r="BA257" s="15" t="s">
        <v>4269</v>
      </c>
      <c r="BB257" s="15"/>
      <c r="BC257" s="15"/>
      <c r="BD257" s="15"/>
      <c r="BE257" s="534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15">
        <v>17</v>
      </c>
      <c r="BQ257" s="348" t="s">
        <v>3190</v>
      </c>
      <c r="BR257" s="348" t="s">
        <v>3191</v>
      </c>
      <c r="BS257" s="23" t="s">
        <v>4558</v>
      </c>
      <c r="BT257" s="15" t="s">
        <v>4454</v>
      </c>
      <c r="BU257" s="23" t="s">
        <v>4559</v>
      </c>
      <c r="BV257" s="15" t="s">
        <v>4413</v>
      </c>
      <c r="BW257" s="15"/>
      <c r="BX257" s="15"/>
      <c r="BY257" s="15"/>
      <c r="BZ257" s="15"/>
      <c r="CA257" s="15"/>
      <c r="CB257" s="15"/>
      <c r="CC257" s="15"/>
      <c r="CD257" s="23"/>
      <c r="CE257" s="23"/>
      <c r="CF257" s="23"/>
      <c r="CG257" s="23" t="s">
        <v>4295</v>
      </c>
      <c r="CH257" s="15"/>
      <c r="CI257" s="15" t="s">
        <v>3397</v>
      </c>
      <c r="CJ257" s="335"/>
    </row>
    <row r="258" spans="1:91" s="145" customFormat="1" ht="36">
      <c r="A258" s="15">
        <v>31</v>
      </c>
      <c r="B258" s="349" t="s">
        <v>4405</v>
      </c>
      <c r="C258" s="348" t="s">
        <v>4560</v>
      </c>
      <c r="D258" s="14" t="s">
        <v>4561</v>
      </c>
      <c r="E258" s="15" t="s">
        <v>128</v>
      </c>
      <c r="F258" s="15">
        <v>2024</v>
      </c>
      <c r="G258" s="15">
        <v>2024</v>
      </c>
      <c r="H258" s="15">
        <v>7</v>
      </c>
      <c r="I258" s="15" t="s">
        <v>3214</v>
      </c>
      <c r="J258" s="350">
        <v>8775000</v>
      </c>
      <c r="K258" s="15" t="s">
        <v>4269</v>
      </c>
      <c r="L258" s="15">
        <v>4</v>
      </c>
      <c r="M258" s="15" t="s">
        <v>3222</v>
      </c>
      <c r="N258" s="15" t="s">
        <v>3223</v>
      </c>
      <c r="O258" s="15" t="s">
        <v>3215</v>
      </c>
      <c r="P258" s="15" t="s">
        <v>3923</v>
      </c>
      <c r="Q258" s="15">
        <v>6681051</v>
      </c>
      <c r="R258" s="15" t="s">
        <v>4562</v>
      </c>
      <c r="S258" s="334" t="s">
        <v>1657</v>
      </c>
      <c r="T258" s="583">
        <f>J258/3</f>
        <v>2925000</v>
      </c>
      <c r="U258" s="15" t="s">
        <v>4478</v>
      </c>
      <c r="V258" s="15"/>
      <c r="W258" s="15"/>
      <c r="X258" s="15" t="s">
        <v>4282</v>
      </c>
      <c r="Y258" s="15" t="s">
        <v>4257</v>
      </c>
      <c r="Z258" s="15">
        <v>1093</v>
      </c>
      <c r="AA258" s="204" t="s">
        <v>4271</v>
      </c>
      <c r="AB258" s="15">
        <v>6680648</v>
      </c>
      <c r="AC258" s="15" t="s">
        <v>1036</v>
      </c>
      <c r="AD258" s="15" t="s">
        <v>4460</v>
      </c>
      <c r="AE258" s="583">
        <f>T258</f>
        <v>2925000</v>
      </c>
      <c r="AF258" s="15" t="s">
        <v>166</v>
      </c>
      <c r="AG258" s="15"/>
      <c r="AH258" s="15"/>
      <c r="AI258" s="15" t="s">
        <v>4282</v>
      </c>
      <c r="AJ258" s="15" t="s">
        <v>4269</v>
      </c>
      <c r="AK258" s="15">
        <v>6787771</v>
      </c>
      <c r="AL258" s="341" t="s">
        <v>1676</v>
      </c>
      <c r="AM258" s="15" t="s">
        <v>4563</v>
      </c>
      <c r="AN258" s="583">
        <f>T258</f>
        <v>2925000</v>
      </c>
      <c r="AO258" s="15" t="s">
        <v>166</v>
      </c>
      <c r="AP258" s="15"/>
      <c r="AQ258" s="15"/>
      <c r="AR258" s="15" t="s">
        <v>4282</v>
      </c>
      <c r="AS258" s="15" t="s">
        <v>4269</v>
      </c>
      <c r="AT258" s="15"/>
      <c r="AU258" s="15"/>
      <c r="AV258" s="15"/>
      <c r="AW258" s="534"/>
      <c r="AX258" s="15"/>
      <c r="AY258" s="15"/>
      <c r="AZ258" s="15"/>
      <c r="BA258" s="15"/>
      <c r="BB258" s="15"/>
      <c r="BC258" s="15"/>
      <c r="BD258" s="15"/>
      <c r="BE258" s="534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  <c r="BP258" s="15">
        <v>9</v>
      </c>
      <c r="BQ258" s="348" t="s">
        <v>3190</v>
      </c>
      <c r="BR258" s="348" t="s">
        <v>3191</v>
      </c>
      <c r="BS258" s="23" t="s">
        <v>4564</v>
      </c>
      <c r="BT258" s="15" t="s">
        <v>4441</v>
      </c>
      <c r="BU258" s="23" t="s">
        <v>4565</v>
      </c>
      <c r="BV258" s="15" t="s">
        <v>4441</v>
      </c>
      <c r="BW258" s="15" t="s">
        <v>4566</v>
      </c>
      <c r="BX258" s="15"/>
      <c r="BY258" s="15"/>
      <c r="BZ258" s="15"/>
      <c r="CA258" s="15"/>
      <c r="CB258" s="15"/>
      <c r="CC258" s="15"/>
      <c r="CD258" s="23"/>
      <c r="CE258" s="23"/>
      <c r="CF258" s="23"/>
      <c r="CG258" s="23" t="s">
        <v>4295</v>
      </c>
      <c r="CH258" s="15"/>
      <c r="CI258" s="15" t="s">
        <v>3397</v>
      </c>
      <c r="CJ258" s="15"/>
    </row>
    <row r="259" spans="1:91" s="145" customFormat="1" ht="48">
      <c r="A259" s="15">
        <v>23</v>
      </c>
      <c r="B259" s="349" t="s">
        <v>4389</v>
      </c>
      <c r="C259" s="348" t="s">
        <v>4567</v>
      </c>
      <c r="D259" s="14" t="s">
        <v>4568</v>
      </c>
      <c r="E259" s="15" t="s">
        <v>100</v>
      </c>
      <c r="F259" s="15">
        <v>2024</v>
      </c>
      <c r="G259" s="15">
        <v>2024</v>
      </c>
      <c r="H259" s="15">
        <v>7</v>
      </c>
      <c r="I259" s="15" t="s">
        <v>4569</v>
      </c>
      <c r="J259" s="350">
        <v>8550000</v>
      </c>
      <c r="K259" s="15" t="s">
        <v>4269</v>
      </c>
      <c r="L259" s="15">
        <v>2</v>
      </c>
      <c r="M259" s="15" t="s">
        <v>3222</v>
      </c>
      <c r="N259" s="15" t="s">
        <v>3223</v>
      </c>
      <c r="O259" s="15" t="s">
        <v>3215</v>
      </c>
      <c r="P259" s="15" t="s">
        <v>3923</v>
      </c>
      <c r="Q259" s="15">
        <v>6853203</v>
      </c>
      <c r="R259" s="15" t="s">
        <v>106</v>
      </c>
      <c r="S259" s="334" t="s">
        <v>3905</v>
      </c>
      <c r="T259" s="583">
        <f>J259/2</f>
        <v>4275000</v>
      </c>
      <c r="U259" s="15" t="s">
        <v>4418</v>
      </c>
      <c r="V259" s="15"/>
      <c r="W259" s="15"/>
      <c r="X259" s="15" t="s">
        <v>3224</v>
      </c>
      <c r="Y259" s="15" t="s">
        <v>4257</v>
      </c>
      <c r="Z259" s="15">
        <v>1093</v>
      </c>
      <c r="AA259" s="204" t="s">
        <v>4271</v>
      </c>
      <c r="AB259" s="15">
        <v>6734188</v>
      </c>
      <c r="AC259" s="15" t="s">
        <v>4570</v>
      </c>
      <c r="AD259" s="15" t="s">
        <v>4571</v>
      </c>
      <c r="AE259" s="583" t="s">
        <v>942</v>
      </c>
      <c r="AF259" s="15" t="s">
        <v>4572</v>
      </c>
      <c r="AG259" s="15"/>
      <c r="AH259" s="15"/>
      <c r="AI259" s="15" t="s">
        <v>942</v>
      </c>
      <c r="AJ259" s="15" t="s">
        <v>4573</v>
      </c>
      <c r="AK259" s="15"/>
      <c r="AL259" s="341"/>
      <c r="AM259" s="15"/>
      <c r="AN259" s="583"/>
      <c r="AO259" s="15"/>
      <c r="AP259" s="15"/>
      <c r="AQ259" s="15"/>
      <c r="AR259" s="15"/>
      <c r="AS259" s="15"/>
      <c r="AT259" s="15"/>
      <c r="AU259" s="15"/>
      <c r="AV259" s="15"/>
      <c r="AW259" s="534"/>
      <c r="AX259" s="15"/>
      <c r="AY259" s="15"/>
      <c r="AZ259" s="15"/>
      <c r="BA259" s="15"/>
      <c r="BB259" s="15"/>
      <c r="BC259" s="15"/>
      <c r="BD259" s="15"/>
      <c r="BE259" s="534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  <c r="BP259" s="15" t="s">
        <v>4574</v>
      </c>
      <c r="BQ259" s="348" t="s">
        <v>3190</v>
      </c>
      <c r="BR259" s="348" t="s">
        <v>3191</v>
      </c>
      <c r="BS259" s="23" t="s">
        <v>4575</v>
      </c>
      <c r="BT259" s="15" t="s">
        <v>4320</v>
      </c>
      <c r="BU259" s="23" t="s">
        <v>4576</v>
      </c>
      <c r="BV259" s="15" t="s">
        <v>4320</v>
      </c>
      <c r="BW259" s="15"/>
      <c r="BX259" s="15"/>
      <c r="BY259" s="15"/>
      <c r="BZ259" s="15"/>
      <c r="CA259" s="15"/>
      <c r="CB259" s="15"/>
      <c r="CC259" s="15"/>
      <c r="CD259" s="23"/>
      <c r="CE259" s="23"/>
      <c r="CF259" s="23"/>
      <c r="CG259" s="23" t="s">
        <v>4295</v>
      </c>
      <c r="CH259" s="15"/>
      <c r="CI259" s="15"/>
      <c r="CJ259" s="15"/>
    </row>
    <row r="260" spans="1:91" ht="60">
      <c r="A260" s="15">
        <v>9</v>
      </c>
      <c r="B260" s="349" t="s">
        <v>4389</v>
      </c>
      <c r="C260" s="348" t="s">
        <v>4577</v>
      </c>
      <c r="D260" s="14" t="s">
        <v>4578</v>
      </c>
      <c r="E260" s="15" t="s">
        <v>100</v>
      </c>
      <c r="F260" s="15">
        <v>2024</v>
      </c>
      <c r="G260" s="15">
        <v>2024</v>
      </c>
      <c r="H260" s="15">
        <v>7</v>
      </c>
      <c r="I260" s="15" t="s">
        <v>3214</v>
      </c>
      <c r="J260" s="350">
        <v>8100000</v>
      </c>
      <c r="K260" s="15" t="s">
        <v>4269</v>
      </c>
      <c r="L260" s="15">
        <v>2</v>
      </c>
      <c r="M260" s="15" t="s">
        <v>3222</v>
      </c>
      <c r="N260" s="15" t="s">
        <v>3223</v>
      </c>
      <c r="O260" s="15" t="s">
        <v>3215</v>
      </c>
      <c r="P260" s="15" t="s">
        <v>3923</v>
      </c>
      <c r="Q260" s="15">
        <v>6826727</v>
      </c>
      <c r="R260" s="15" t="s">
        <v>4545</v>
      </c>
      <c r="S260" s="334" t="s">
        <v>2276</v>
      </c>
      <c r="T260" s="583">
        <f t="shared" ref="T260:T265" si="38">J260/3</f>
        <v>2700000</v>
      </c>
      <c r="U260" s="15" t="s">
        <v>4452</v>
      </c>
      <c r="V260" s="15"/>
      <c r="W260" s="15"/>
      <c r="X260" s="15" t="s">
        <v>4272</v>
      </c>
      <c r="Y260" s="15" t="s">
        <v>4257</v>
      </c>
      <c r="Z260" s="15">
        <v>1093</v>
      </c>
      <c r="AA260" s="204" t="s">
        <v>4271</v>
      </c>
      <c r="AB260" s="15">
        <v>259781</v>
      </c>
      <c r="AC260" s="15" t="s">
        <v>982</v>
      </c>
      <c r="AD260" s="15" t="s">
        <v>4579</v>
      </c>
      <c r="AE260" s="583">
        <f>T260</f>
        <v>2700000</v>
      </c>
      <c r="AF260" s="15" t="s">
        <v>3093</v>
      </c>
      <c r="AG260" s="15" t="s">
        <v>166</v>
      </c>
      <c r="AH260" s="15"/>
      <c r="AI260" s="15" t="s">
        <v>4449</v>
      </c>
      <c r="AJ260" s="15" t="s">
        <v>4269</v>
      </c>
      <c r="AK260" s="15">
        <v>6886510</v>
      </c>
      <c r="AL260" s="341" t="s">
        <v>4248</v>
      </c>
      <c r="AM260" s="15" t="s">
        <v>4580</v>
      </c>
      <c r="AN260" s="583">
        <f>T260</f>
        <v>2700000</v>
      </c>
      <c r="AO260" s="15" t="s">
        <v>156</v>
      </c>
      <c r="AP260" s="15"/>
      <c r="AQ260" s="15"/>
      <c r="AR260" s="15" t="s">
        <v>4272</v>
      </c>
      <c r="AS260" s="15" t="s">
        <v>4269</v>
      </c>
      <c r="AT260" s="15"/>
      <c r="AU260" s="15"/>
      <c r="AV260" s="15"/>
      <c r="AW260" s="534"/>
      <c r="AX260" s="15"/>
      <c r="AY260" s="15"/>
      <c r="AZ260" s="15"/>
      <c r="BA260" s="15"/>
      <c r="BB260" s="15"/>
      <c r="BC260" s="15"/>
      <c r="BD260" s="15"/>
      <c r="BE260" s="534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  <c r="BP260" s="15">
        <v>6</v>
      </c>
      <c r="BQ260" s="348" t="s">
        <v>3190</v>
      </c>
      <c r="BR260" s="348" t="s">
        <v>3191</v>
      </c>
      <c r="BS260" s="23" t="s">
        <v>4581</v>
      </c>
      <c r="BT260" s="15" t="s">
        <v>4582</v>
      </c>
      <c r="BU260" s="23" t="s">
        <v>4583</v>
      </c>
      <c r="BV260" s="15" t="s">
        <v>4582</v>
      </c>
      <c r="BW260" s="15" t="s">
        <v>4584</v>
      </c>
      <c r="BX260" s="15" t="s">
        <v>4582</v>
      </c>
      <c r="BY260" s="15"/>
      <c r="BZ260" s="15"/>
      <c r="CA260" s="15"/>
      <c r="CB260" s="15"/>
      <c r="CC260" s="15"/>
      <c r="CD260" s="23"/>
      <c r="CE260" s="23"/>
      <c r="CF260" s="23"/>
      <c r="CG260" s="23" t="s">
        <v>4295</v>
      </c>
      <c r="CH260" s="15"/>
      <c r="CI260" s="15"/>
      <c r="CJ260" s="477"/>
    </row>
    <row r="261" spans="1:91" s="550" customFormat="1" ht="48">
      <c r="A261" s="15">
        <v>19</v>
      </c>
      <c r="B261" s="349" t="s">
        <v>4389</v>
      </c>
      <c r="C261" s="348" t="s">
        <v>4585</v>
      </c>
      <c r="D261" s="14" t="s">
        <v>4586</v>
      </c>
      <c r="E261" s="15" t="s">
        <v>100</v>
      </c>
      <c r="F261" s="15">
        <v>2024</v>
      </c>
      <c r="G261" s="15">
        <v>2024</v>
      </c>
      <c r="H261" s="15">
        <v>7</v>
      </c>
      <c r="I261" s="15" t="s">
        <v>4298</v>
      </c>
      <c r="J261" s="350">
        <v>8100000</v>
      </c>
      <c r="K261" s="15" t="s">
        <v>4269</v>
      </c>
      <c r="L261" s="15">
        <v>3</v>
      </c>
      <c r="M261" s="15" t="s">
        <v>3222</v>
      </c>
      <c r="N261" s="15" t="s">
        <v>3223</v>
      </c>
      <c r="O261" s="15" t="s">
        <v>3215</v>
      </c>
      <c r="P261" s="15" t="s">
        <v>3923</v>
      </c>
      <c r="Q261" s="15">
        <v>6825598</v>
      </c>
      <c r="R261" s="15" t="s">
        <v>126</v>
      </c>
      <c r="S261" s="334" t="s">
        <v>1774</v>
      </c>
      <c r="T261" s="583">
        <f t="shared" si="38"/>
        <v>2700000</v>
      </c>
      <c r="U261" s="15" t="s">
        <v>4452</v>
      </c>
      <c r="V261" s="15"/>
      <c r="W261" s="15"/>
      <c r="X261" s="15" t="s">
        <v>4272</v>
      </c>
      <c r="Y261" s="15" t="s">
        <v>4257</v>
      </c>
      <c r="Z261" s="15">
        <v>1093</v>
      </c>
      <c r="AA261" s="204" t="s">
        <v>4271</v>
      </c>
      <c r="AB261" s="15">
        <v>6099359</v>
      </c>
      <c r="AC261" s="15" t="s">
        <v>977</v>
      </c>
      <c r="AD261" s="15" t="s">
        <v>4525</v>
      </c>
      <c r="AE261" s="583">
        <f>T261</f>
        <v>2700000</v>
      </c>
      <c r="AF261" s="15" t="s">
        <v>166</v>
      </c>
      <c r="AG261" s="15"/>
      <c r="AH261" s="15"/>
      <c r="AI261" s="15" t="s">
        <v>4282</v>
      </c>
      <c r="AJ261" s="15" t="s">
        <v>4269</v>
      </c>
      <c r="AK261" s="15">
        <v>6756318</v>
      </c>
      <c r="AL261" s="341" t="s">
        <v>950</v>
      </c>
      <c r="AM261" s="15" t="s">
        <v>4587</v>
      </c>
      <c r="AN261" s="583">
        <f>T261</f>
        <v>2700000</v>
      </c>
      <c r="AO261" s="15" t="s">
        <v>175</v>
      </c>
      <c r="AP261" s="15"/>
      <c r="AQ261" s="15"/>
      <c r="AR261" s="15" t="s">
        <v>4588</v>
      </c>
      <c r="AS261" s="15" t="s">
        <v>4269</v>
      </c>
      <c r="AT261" s="15"/>
      <c r="AU261" s="15"/>
      <c r="AV261" s="15"/>
      <c r="AW261" s="534"/>
      <c r="AX261" s="15"/>
      <c r="AY261" s="15"/>
      <c r="AZ261" s="15"/>
      <c r="BA261" s="15"/>
      <c r="BB261" s="15"/>
      <c r="BC261" s="15"/>
      <c r="BD261" s="15"/>
      <c r="BE261" s="534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  <c r="BP261" s="15">
        <v>3</v>
      </c>
      <c r="BQ261" s="348" t="s">
        <v>3190</v>
      </c>
      <c r="BR261" s="348" t="s">
        <v>3191</v>
      </c>
      <c r="BS261" s="23" t="s">
        <v>4558</v>
      </c>
      <c r="BT261" s="15" t="s">
        <v>4454</v>
      </c>
      <c r="BU261" s="23" t="s">
        <v>4589</v>
      </c>
      <c r="BV261" s="15" t="s">
        <v>4322</v>
      </c>
      <c r="BW261" s="15" t="s">
        <v>4590</v>
      </c>
      <c r="BX261" s="15" t="s">
        <v>4582</v>
      </c>
      <c r="BY261" s="15"/>
      <c r="BZ261" s="15"/>
      <c r="CA261" s="15"/>
      <c r="CB261" s="15"/>
      <c r="CC261" s="15"/>
      <c r="CD261" s="23"/>
      <c r="CE261" s="23"/>
      <c r="CF261" s="23"/>
      <c r="CG261" s="23" t="s">
        <v>4295</v>
      </c>
      <c r="CH261" s="15"/>
      <c r="CI261" s="15"/>
      <c r="CJ261" s="555"/>
      <c r="CK261" s="563"/>
      <c r="CL261" s="564"/>
      <c r="CM261" s="564"/>
    </row>
    <row r="262" spans="1:91" ht="48">
      <c r="A262" s="15">
        <v>27</v>
      </c>
      <c r="B262" s="349" t="s">
        <v>4389</v>
      </c>
      <c r="C262" s="348" t="s">
        <v>4591</v>
      </c>
      <c r="D262" s="14" t="s">
        <v>4592</v>
      </c>
      <c r="E262" s="15" t="s">
        <v>100</v>
      </c>
      <c r="F262" s="15">
        <v>2024</v>
      </c>
      <c r="G262" s="15">
        <v>2024</v>
      </c>
      <c r="H262" s="15">
        <v>7</v>
      </c>
      <c r="I262" s="15" t="s">
        <v>3214</v>
      </c>
      <c r="J262" s="350">
        <v>8100000</v>
      </c>
      <c r="K262" s="15" t="s">
        <v>4269</v>
      </c>
      <c r="L262" s="15">
        <v>3</v>
      </c>
      <c r="M262" s="15" t="s">
        <v>3222</v>
      </c>
      <c r="N262" s="15" t="s">
        <v>3223</v>
      </c>
      <c r="O262" s="15" t="s">
        <v>3215</v>
      </c>
      <c r="P262" s="15" t="s">
        <v>3923</v>
      </c>
      <c r="Q262" s="15">
        <v>6806664</v>
      </c>
      <c r="R262" s="15" t="s">
        <v>4593</v>
      </c>
      <c r="S262" s="334" t="s">
        <v>2333</v>
      </c>
      <c r="T262" s="583">
        <f t="shared" si="38"/>
        <v>2700000</v>
      </c>
      <c r="U262" s="15" t="s">
        <v>4594</v>
      </c>
      <c r="V262" s="15"/>
      <c r="W262" s="15"/>
      <c r="X262" s="15" t="s">
        <v>4272</v>
      </c>
      <c r="Y262" s="15" t="s">
        <v>4257</v>
      </c>
      <c r="Z262" s="15">
        <v>1093</v>
      </c>
      <c r="AA262" s="204" t="s">
        <v>4271</v>
      </c>
      <c r="AB262" s="15">
        <v>6760392</v>
      </c>
      <c r="AC262" s="15" t="s">
        <v>948</v>
      </c>
      <c r="AD262" s="15" t="s">
        <v>4283</v>
      </c>
      <c r="AE262" s="583">
        <f>T262</f>
        <v>2700000</v>
      </c>
      <c r="AF262" s="15" t="s">
        <v>175</v>
      </c>
      <c r="AG262" s="15"/>
      <c r="AH262" s="15"/>
      <c r="AI262" s="15" t="s">
        <v>4272</v>
      </c>
      <c r="AJ262" s="15" t="s">
        <v>4269</v>
      </c>
      <c r="AK262" s="15">
        <v>6892129</v>
      </c>
      <c r="AL262" s="341" t="s">
        <v>2557</v>
      </c>
      <c r="AM262" s="15" t="s">
        <v>3073</v>
      </c>
      <c r="AN262" s="583">
        <f>T262</f>
        <v>2700000</v>
      </c>
      <c r="AO262" s="15" t="s">
        <v>160</v>
      </c>
      <c r="AP262" s="15"/>
      <c r="AQ262" s="15"/>
      <c r="AR262" s="15" t="s">
        <v>4282</v>
      </c>
      <c r="AS262" s="15" t="s">
        <v>4269</v>
      </c>
      <c r="AT262" s="15"/>
      <c r="AU262" s="15"/>
      <c r="AV262" s="15"/>
      <c r="AW262" s="534"/>
      <c r="AX262" s="15"/>
      <c r="AY262" s="15"/>
      <c r="AZ262" s="15"/>
      <c r="BA262" s="15"/>
      <c r="BB262" s="15"/>
      <c r="BC262" s="15"/>
      <c r="BD262" s="15"/>
      <c r="BE262" s="534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  <c r="BP262" s="15">
        <v>4</v>
      </c>
      <c r="BQ262" s="348" t="s">
        <v>3190</v>
      </c>
      <c r="BR262" s="348" t="s">
        <v>3191</v>
      </c>
      <c r="BS262" s="23" t="s">
        <v>4589</v>
      </c>
      <c r="BT262" s="15" t="s">
        <v>4322</v>
      </c>
      <c r="BU262" s="23" t="s">
        <v>4595</v>
      </c>
      <c r="BV262" s="15" t="s">
        <v>4322</v>
      </c>
      <c r="BW262" s="15" t="s">
        <v>4596</v>
      </c>
      <c r="BX262" s="15" t="s">
        <v>4396</v>
      </c>
      <c r="BY262" s="15"/>
      <c r="BZ262" s="15"/>
      <c r="CA262" s="15"/>
      <c r="CB262" s="15"/>
      <c r="CC262" s="15"/>
      <c r="CD262" s="23"/>
      <c r="CE262" s="23"/>
      <c r="CF262" s="23"/>
      <c r="CG262" s="23" t="s">
        <v>4295</v>
      </c>
      <c r="CH262" s="15"/>
      <c r="CI262" s="15"/>
      <c r="CJ262" s="36"/>
    </row>
    <row r="263" spans="1:91" ht="36">
      <c r="A263" s="15">
        <v>2</v>
      </c>
      <c r="B263" s="349" t="s">
        <v>4389</v>
      </c>
      <c r="C263" s="348" t="s">
        <v>4597</v>
      </c>
      <c r="D263" s="14" t="s">
        <v>4598</v>
      </c>
      <c r="E263" s="15" t="s">
        <v>100</v>
      </c>
      <c r="F263" s="15">
        <v>2024</v>
      </c>
      <c r="G263" s="15">
        <v>2024</v>
      </c>
      <c r="H263" s="15">
        <v>7</v>
      </c>
      <c r="I263" s="15" t="s">
        <v>3214</v>
      </c>
      <c r="J263" s="350">
        <v>7965000</v>
      </c>
      <c r="K263" s="15" t="s">
        <v>4269</v>
      </c>
      <c r="L263" s="15">
        <v>2</v>
      </c>
      <c r="M263" s="15" t="s">
        <v>3222</v>
      </c>
      <c r="N263" s="15" t="s">
        <v>3223</v>
      </c>
      <c r="O263" s="15" t="s">
        <v>3215</v>
      </c>
      <c r="P263" s="15" t="s">
        <v>3923</v>
      </c>
      <c r="Q263" s="15">
        <v>6826739</v>
      </c>
      <c r="R263" s="15" t="s">
        <v>116</v>
      </c>
      <c r="S263" s="334" t="s">
        <v>2307</v>
      </c>
      <c r="T263" s="583">
        <f t="shared" si="38"/>
        <v>2655000</v>
      </c>
      <c r="U263" s="15" t="s">
        <v>4478</v>
      </c>
      <c r="V263" s="15"/>
      <c r="W263" s="15"/>
      <c r="X263" s="15" t="s">
        <v>4282</v>
      </c>
      <c r="Y263" s="15" t="s">
        <v>4257</v>
      </c>
      <c r="Z263" s="15">
        <v>1093</v>
      </c>
      <c r="AA263" s="204" t="s">
        <v>4271</v>
      </c>
      <c r="AB263" s="15">
        <v>6681051</v>
      </c>
      <c r="AC263" s="15" t="s">
        <v>1657</v>
      </c>
      <c r="AD263" s="15" t="s">
        <v>4599</v>
      </c>
      <c r="AE263" s="583">
        <f>T263</f>
        <v>2655000</v>
      </c>
      <c r="AF263" s="15" t="s">
        <v>160</v>
      </c>
      <c r="AG263" s="15"/>
      <c r="AH263" s="15"/>
      <c r="AI263" s="15" t="s">
        <v>4282</v>
      </c>
      <c r="AJ263" s="15" t="s">
        <v>4269</v>
      </c>
      <c r="AK263" s="15">
        <v>6826743</v>
      </c>
      <c r="AL263" s="341" t="s">
        <v>1880</v>
      </c>
      <c r="AM263" s="15" t="s">
        <v>4600</v>
      </c>
      <c r="AN263" s="583">
        <f>T263</f>
        <v>2655000</v>
      </c>
      <c r="AO263" s="15" t="s">
        <v>160</v>
      </c>
      <c r="AP263" s="15"/>
      <c r="AQ263" s="15"/>
      <c r="AR263" s="15" t="s">
        <v>4282</v>
      </c>
      <c r="AS263" s="15" t="s">
        <v>4269</v>
      </c>
      <c r="AT263" s="15"/>
      <c r="AU263" s="15"/>
      <c r="AV263" s="15"/>
      <c r="AW263" s="534"/>
      <c r="AX263" s="15"/>
      <c r="AY263" s="15"/>
      <c r="AZ263" s="15"/>
      <c r="BA263" s="15"/>
      <c r="BB263" s="15"/>
      <c r="BC263" s="15"/>
      <c r="BD263" s="15"/>
      <c r="BE263" s="534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  <c r="BP263" s="15">
        <v>9</v>
      </c>
      <c r="BQ263" s="348" t="s">
        <v>3190</v>
      </c>
      <c r="BR263" s="348" t="s">
        <v>3191</v>
      </c>
      <c r="BS263" s="23" t="s">
        <v>4601</v>
      </c>
      <c r="BT263" s="15" t="s">
        <v>4441</v>
      </c>
      <c r="BU263" s="23" t="s">
        <v>4602</v>
      </c>
      <c r="BV263" s="15" t="s">
        <v>4441</v>
      </c>
      <c r="BW263" s="15" t="s">
        <v>4603</v>
      </c>
      <c r="BX263" s="15" t="s">
        <v>4441</v>
      </c>
      <c r="BY263" s="15"/>
      <c r="BZ263" s="15"/>
      <c r="CA263" s="15"/>
      <c r="CB263" s="15"/>
      <c r="CC263" s="15"/>
      <c r="CD263" s="23"/>
      <c r="CE263" s="23"/>
      <c r="CF263" s="23"/>
      <c r="CG263" s="23" t="s">
        <v>4295</v>
      </c>
      <c r="CH263" s="15"/>
      <c r="CI263" s="15" t="s">
        <v>3397</v>
      </c>
      <c r="CJ263" s="14"/>
      <c r="CK263" s="552"/>
      <c r="CL263" s="251"/>
      <c r="CM263" s="251"/>
    </row>
    <row r="264" spans="1:91" ht="48">
      <c r="A264" s="15">
        <v>1</v>
      </c>
      <c r="B264" s="349" t="s">
        <v>4389</v>
      </c>
      <c r="C264" s="348" t="s">
        <v>4604</v>
      </c>
      <c r="D264" s="14" t="s">
        <v>4605</v>
      </c>
      <c r="E264" s="15" t="s">
        <v>100</v>
      </c>
      <c r="F264" s="15">
        <v>2024</v>
      </c>
      <c r="G264" s="15">
        <v>2024</v>
      </c>
      <c r="H264" s="15">
        <v>7</v>
      </c>
      <c r="I264" s="344" t="s">
        <v>3214</v>
      </c>
      <c r="J264" s="350">
        <v>7778250</v>
      </c>
      <c r="K264" s="15" t="s">
        <v>4269</v>
      </c>
      <c r="L264" s="15">
        <v>2</v>
      </c>
      <c r="M264" s="15" t="s">
        <v>3222</v>
      </c>
      <c r="N264" s="15" t="s">
        <v>3223</v>
      </c>
      <c r="O264" s="15" t="s">
        <v>3215</v>
      </c>
      <c r="P264" s="15" t="s">
        <v>3923</v>
      </c>
      <c r="Q264" s="15">
        <v>6680623</v>
      </c>
      <c r="R264" s="15" t="s">
        <v>127</v>
      </c>
      <c r="S264" s="334" t="s">
        <v>1841</v>
      </c>
      <c r="T264" s="583">
        <f t="shared" si="38"/>
        <v>2592750</v>
      </c>
      <c r="U264" s="15" t="s">
        <v>4507</v>
      </c>
      <c r="V264" s="15"/>
      <c r="W264" s="15"/>
      <c r="X264" s="15" t="s">
        <v>4282</v>
      </c>
      <c r="Y264" s="15" t="s">
        <v>4257</v>
      </c>
      <c r="Z264" s="15">
        <v>1093</v>
      </c>
      <c r="AA264" s="204" t="s">
        <v>4271</v>
      </c>
      <c r="AB264" s="15">
        <v>6802117</v>
      </c>
      <c r="AC264" s="333" t="s">
        <v>978</v>
      </c>
      <c r="AD264" s="15" t="s">
        <v>4606</v>
      </c>
      <c r="AE264" s="583">
        <f>T264</f>
        <v>2592750</v>
      </c>
      <c r="AF264" s="15" t="s">
        <v>166</v>
      </c>
      <c r="AG264" s="15"/>
      <c r="AH264" s="15"/>
      <c r="AI264" s="15" t="s">
        <v>4282</v>
      </c>
      <c r="AJ264" s="15" t="s">
        <v>4269</v>
      </c>
      <c r="AK264" s="15">
        <v>6839112</v>
      </c>
      <c r="AL264" s="341" t="s">
        <v>2949</v>
      </c>
      <c r="AM264" s="15" t="s">
        <v>4508</v>
      </c>
      <c r="AN264" s="583">
        <f>T264</f>
        <v>2592750</v>
      </c>
      <c r="AO264" s="23" t="s">
        <v>166</v>
      </c>
      <c r="AP264" s="23"/>
      <c r="AQ264" s="23"/>
      <c r="AR264" s="23" t="s">
        <v>4282</v>
      </c>
      <c r="AS264" s="23" t="s">
        <v>4269</v>
      </c>
      <c r="AT264" s="23"/>
      <c r="AU264" s="23"/>
      <c r="AV264" s="23"/>
      <c r="AW264" s="534"/>
      <c r="AX264" s="23"/>
      <c r="AY264" s="23"/>
      <c r="AZ264" s="23"/>
      <c r="BA264" s="23"/>
      <c r="BB264" s="23"/>
      <c r="BC264" s="23"/>
      <c r="BD264" s="23"/>
      <c r="BE264" s="534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  <c r="BP264" s="15">
        <v>4</v>
      </c>
      <c r="BQ264" s="348" t="s">
        <v>3190</v>
      </c>
      <c r="BR264" s="348" t="s">
        <v>3191</v>
      </c>
      <c r="BS264" s="23" t="s">
        <v>4607</v>
      </c>
      <c r="BT264" s="36" t="s">
        <v>4413</v>
      </c>
      <c r="BU264" s="23" t="s">
        <v>4608</v>
      </c>
      <c r="BV264" s="36" t="s">
        <v>4413</v>
      </c>
      <c r="BW264" s="23" t="s">
        <v>4609</v>
      </c>
      <c r="BX264" s="36" t="s">
        <v>4413</v>
      </c>
      <c r="BY264" s="23"/>
      <c r="BZ264" s="36"/>
      <c r="CA264" s="23"/>
      <c r="CB264" s="23"/>
      <c r="CC264" s="23"/>
      <c r="CD264" s="23"/>
      <c r="CE264" s="23"/>
      <c r="CF264" s="23"/>
      <c r="CG264" s="23" t="s">
        <v>4295</v>
      </c>
      <c r="CH264" s="23"/>
      <c r="CI264" s="23"/>
      <c r="CJ264" s="36"/>
    </row>
    <row r="265" spans="1:91" ht="57.6">
      <c r="A265" s="15">
        <v>46</v>
      </c>
      <c r="B265" s="349"/>
      <c r="C265" s="348" t="s">
        <v>4610</v>
      </c>
      <c r="D265" s="14" t="s">
        <v>4611</v>
      </c>
      <c r="E265" s="15" t="s">
        <v>133</v>
      </c>
      <c r="F265" s="15">
        <v>2024</v>
      </c>
      <c r="G265" s="15">
        <v>2024</v>
      </c>
      <c r="H265" s="15"/>
      <c r="I265" s="344"/>
      <c r="J265" s="350">
        <v>7650000</v>
      </c>
      <c r="K265" s="582" t="s">
        <v>4269</v>
      </c>
      <c r="L265" s="15"/>
      <c r="M265" s="15"/>
      <c r="N265" s="15" t="s">
        <v>3223</v>
      </c>
      <c r="O265" s="15" t="s">
        <v>3215</v>
      </c>
      <c r="P265" s="15" t="s">
        <v>3923</v>
      </c>
      <c r="Q265" s="333" t="s">
        <v>4612</v>
      </c>
      <c r="R265" s="15" t="s">
        <v>137</v>
      </c>
      <c r="S265" s="341" t="s">
        <v>1876</v>
      </c>
      <c r="T265" s="583">
        <f t="shared" si="38"/>
        <v>2550000</v>
      </c>
      <c r="U265" s="15" t="s">
        <v>4613</v>
      </c>
      <c r="V265" s="15"/>
      <c r="W265" s="15"/>
      <c r="X265" s="15" t="s">
        <v>161</v>
      </c>
      <c r="Y265" s="15" t="s">
        <v>4257</v>
      </c>
      <c r="Z265" s="15">
        <v>1093</v>
      </c>
      <c r="AA265" s="204" t="s">
        <v>4614</v>
      </c>
      <c r="AB265" s="333" t="s">
        <v>4615</v>
      </c>
      <c r="AC265" s="333" t="s">
        <v>1756</v>
      </c>
      <c r="AD265" s="15" t="s">
        <v>4616</v>
      </c>
      <c r="AE265" s="583"/>
      <c r="AF265" s="15" t="s">
        <v>4617</v>
      </c>
      <c r="AG265" s="15"/>
      <c r="AH265" s="15"/>
      <c r="AI265" s="15" t="s">
        <v>161</v>
      </c>
      <c r="AJ265" s="15" t="s">
        <v>4269</v>
      </c>
      <c r="AK265" s="333" t="s">
        <v>4618</v>
      </c>
      <c r="AL265" s="341" t="s">
        <v>1754</v>
      </c>
      <c r="AM265" s="15" t="s">
        <v>4619</v>
      </c>
      <c r="AN265" s="583"/>
      <c r="AO265" s="23" t="s">
        <v>4617</v>
      </c>
      <c r="AP265" s="23"/>
      <c r="AQ265" s="23"/>
      <c r="AR265" s="23" t="s">
        <v>161</v>
      </c>
      <c r="AS265" s="23"/>
      <c r="AT265" s="23"/>
      <c r="AU265" s="23"/>
      <c r="AV265" s="23"/>
      <c r="AW265" s="534"/>
      <c r="AX265" s="23"/>
      <c r="AY265" s="23"/>
      <c r="AZ265" s="23"/>
      <c r="BA265" s="23"/>
      <c r="BB265" s="23"/>
      <c r="BC265" s="23"/>
      <c r="BD265" s="23"/>
      <c r="BE265" s="534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  <c r="BP265" s="15">
        <v>4</v>
      </c>
      <c r="BQ265" s="348" t="s">
        <v>3190</v>
      </c>
      <c r="BR265" s="348" t="s">
        <v>3191</v>
      </c>
      <c r="BS265" s="23" t="s">
        <v>4620</v>
      </c>
      <c r="BT265" s="36" t="s">
        <v>4617</v>
      </c>
      <c r="BU265" s="23" t="s">
        <v>4539</v>
      </c>
      <c r="BV265" s="36" t="s">
        <v>4617</v>
      </c>
      <c r="BW265" s="23" t="s">
        <v>4621</v>
      </c>
      <c r="BX265" s="36" t="s">
        <v>4617</v>
      </c>
      <c r="BY265" s="23"/>
      <c r="BZ265" s="36"/>
      <c r="CA265" s="23"/>
      <c r="CB265" s="23"/>
      <c r="CC265" s="23"/>
      <c r="CD265" s="23"/>
      <c r="CE265" s="23"/>
      <c r="CF265" s="23"/>
      <c r="CG265" s="23"/>
      <c r="CH265" s="23"/>
      <c r="CI265" s="23"/>
      <c r="CJ265" s="36"/>
    </row>
    <row r="266" spans="1:91" ht="48">
      <c r="A266" s="15">
        <v>18</v>
      </c>
      <c r="B266" s="349" t="s">
        <v>4389</v>
      </c>
      <c r="C266" s="348" t="s">
        <v>4622</v>
      </c>
      <c r="D266" s="14" t="s">
        <v>4623</v>
      </c>
      <c r="E266" s="15" t="s">
        <v>100</v>
      </c>
      <c r="F266" s="15">
        <v>2024</v>
      </c>
      <c r="G266" s="15">
        <v>2024</v>
      </c>
      <c r="H266" s="15">
        <v>7</v>
      </c>
      <c r="I266" s="15" t="s">
        <v>3307</v>
      </c>
      <c r="J266" s="350">
        <v>7425000</v>
      </c>
      <c r="K266" s="15" t="s">
        <v>4269</v>
      </c>
      <c r="L266" s="15">
        <v>3</v>
      </c>
      <c r="M266" s="15" t="s">
        <v>3222</v>
      </c>
      <c r="N266" s="15" t="s">
        <v>3223</v>
      </c>
      <c r="O266" s="15" t="s">
        <v>3215</v>
      </c>
      <c r="P266" s="15" t="s">
        <v>3923</v>
      </c>
      <c r="Q266" s="15">
        <v>6767777</v>
      </c>
      <c r="R266" s="15" t="s">
        <v>102</v>
      </c>
      <c r="S266" s="334" t="s">
        <v>2673</v>
      </c>
      <c r="T266" s="583">
        <f>J266/2</f>
        <v>3712500</v>
      </c>
      <c r="U266" s="15" t="s">
        <v>4470</v>
      </c>
      <c r="V266" s="15"/>
      <c r="W266" s="15"/>
      <c r="X266" s="15" t="s">
        <v>4272</v>
      </c>
      <c r="Y266" s="15" t="s">
        <v>4257</v>
      </c>
      <c r="Z266" s="15">
        <v>1093</v>
      </c>
      <c r="AA266" s="204" t="s">
        <v>4271</v>
      </c>
      <c r="AB266" s="15">
        <v>6837723</v>
      </c>
      <c r="AC266" s="15" t="s">
        <v>2672</v>
      </c>
      <c r="AD266" s="15" t="s">
        <v>4624</v>
      </c>
      <c r="AE266" s="583">
        <f>T266</f>
        <v>3712500</v>
      </c>
      <c r="AF266" s="15" t="s">
        <v>4470</v>
      </c>
      <c r="AG266" s="15"/>
      <c r="AH266" s="15"/>
      <c r="AI266" s="15" t="s">
        <v>4272</v>
      </c>
      <c r="AJ266" s="15" t="s">
        <v>4269</v>
      </c>
      <c r="AK266" s="15"/>
      <c r="AL266" s="341"/>
      <c r="AM266" s="15"/>
      <c r="AN266" s="583"/>
      <c r="AO266" s="15"/>
      <c r="AP266" s="15"/>
      <c r="AQ266" s="15"/>
      <c r="AR266" s="15"/>
      <c r="AS266" s="15"/>
      <c r="AT266" s="15"/>
      <c r="AU266" s="15"/>
      <c r="AV266" s="15"/>
      <c r="AW266" s="534"/>
      <c r="AX266" s="15"/>
      <c r="AY266" s="15"/>
      <c r="AZ266" s="15"/>
      <c r="BA266" s="15"/>
      <c r="BB266" s="15"/>
      <c r="BC266" s="15"/>
      <c r="BD266" s="15"/>
      <c r="BE266" s="534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  <c r="BP266" s="15">
        <v>9</v>
      </c>
      <c r="BQ266" s="348" t="s">
        <v>3190</v>
      </c>
      <c r="BR266" s="348" t="s">
        <v>3191</v>
      </c>
      <c r="BS266" s="23" t="s">
        <v>4625</v>
      </c>
      <c r="BT266" s="15" t="s">
        <v>4396</v>
      </c>
      <c r="BU266" s="23" t="s">
        <v>4626</v>
      </c>
      <c r="BV266" s="15" t="s">
        <v>4396</v>
      </c>
      <c r="BW266" s="15" t="s">
        <v>4627</v>
      </c>
      <c r="BX266" s="15" t="s">
        <v>4413</v>
      </c>
      <c r="BY266" s="15"/>
      <c r="BZ266" s="15"/>
      <c r="CA266" s="15"/>
      <c r="CB266" s="15"/>
      <c r="CC266" s="15"/>
      <c r="CD266" s="23"/>
      <c r="CE266" s="23"/>
      <c r="CF266" s="23"/>
      <c r="CG266" s="23" t="s">
        <v>4295</v>
      </c>
      <c r="CH266" s="15"/>
      <c r="CI266" s="15"/>
      <c r="CJ266" s="36"/>
    </row>
    <row r="267" spans="1:91" s="550" customFormat="1" ht="96">
      <c r="A267" s="15">
        <v>14</v>
      </c>
      <c r="B267" s="349" t="s">
        <v>4389</v>
      </c>
      <c r="C267" s="348" t="s">
        <v>4628</v>
      </c>
      <c r="D267" s="14" t="s">
        <v>4629</v>
      </c>
      <c r="E267" s="15" t="s">
        <v>100</v>
      </c>
      <c r="F267" s="15">
        <v>2024</v>
      </c>
      <c r="G267" s="15">
        <v>2024</v>
      </c>
      <c r="H267" s="15">
        <v>7</v>
      </c>
      <c r="I267" s="15" t="s">
        <v>4630</v>
      </c>
      <c r="J267" s="350">
        <v>7200000</v>
      </c>
      <c r="K267" s="15" t="s">
        <v>4269</v>
      </c>
      <c r="L267" s="15">
        <v>4</v>
      </c>
      <c r="M267" s="15" t="s">
        <v>3222</v>
      </c>
      <c r="N267" s="15" t="s">
        <v>3223</v>
      </c>
      <c r="O267" s="15" t="s">
        <v>3215</v>
      </c>
      <c r="P267" s="15" t="s">
        <v>3923</v>
      </c>
      <c r="Q267" s="15">
        <v>6854678</v>
      </c>
      <c r="R267" s="15" t="s">
        <v>118</v>
      </c>
      <c r="S267" s="334" t="s">
        <v>2700</v>
      </c>
      <c r="T267" s="583">
        <f>J267/3</f>
        <v>2400000</v>
      </c>
      <c r="U267" s="15" t="s">
        <v>4470</v>
      </c>
      <c r="V267" s="15"/>
      <c r="W267" s="15"/>
      <c r="X267" s="15" t="s">
        <v>4272</v>
      </c>
      <c r="Y267" s="15" t="s">
        <v>4257</v>
      </c>
      <c r="Z267" s="15">
        <v>1093</v>
      </c>
      <c r="AA267" s="204" t="s">
        <v>4271</v>
      </c>
      <c r="AB267" s="15">
        <v>6680628</v>
      </c>
      <c r="AC267" s="15" t="s">
        <v>1007</v>
      </c>
      <c r="AD267" s="15" t="s">
        <v>4631</v>
      </c>
      <c r="AE267" s="583">
        <f>T267</f>
        <v>2400000</v>
      </c>
      <c r="AF267" s="15" t="s">
        <v>164</v>
      </c>
      <c r="AG267" s="15"/>
      <c r="AH267" s="15"/>
      <c r="AI267" s="15" t="s">
        <v>4272</v>
      </c>
      <c r="AJ267" s="15" t="s">
        <v>4269</v>
      </c>
      <c r="AK267" s="15">
        <v>6839500</v>
      </c>
      <c r="AL267" s="341" t="s">
        <v>2671</v>
      </c>
      <c r="AM267" s="15" t="s">
        <v>4632</v>
      </c>
      <c r="AN267" s="583">
        <f>T267</f>
        <v>2400000</v>
      </c>
      <c r="AO267" s="15" t="s">
        <v>171</v>
      </c>
      <c r="AP267" s="15"/>
      <c r="AQ267" s="15"/>
      <c r="AR267" s="15" t="s">
        <v>4272</v>
      </c>
      <c r="AS267" s="15" t="s">
        <v>4269</v>
      </c>
      <c r="AT267" s="15"/>
      <c r="AU267" s="15"/>
      <c r="AV267" s="15"/>
      <c r="AW267" s="534"/>
      <c r="AX267" s="15"/>
      <c r="AY267" s="15"/>
      <c r="AZ267" s="15"/>
      <c r="BA267" s="15"/>
      <c r="BB267" s="15"/>
      <c r="BC267" s="15"/>
      <c r="BD267" s="15"/>
      <c r="BE267" s="534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  <c r="BP267" s="15" t="s">
        <v>4633</v>
      </c>
      <c r="BQ267" s="348" t="s">
        <v>3190</v>
      </c>
      <c r="BR267" s="348" t="s">
        <v>3191</v>
      </c>
      <c r="BS267" s="23" t="s">
        <v>4634</v>
      </c>
      <c r="BT267" s="15" t="s">
        <v>4396</v>
      </c>
      <c r="BU267" s="23" t="s">
        <v>4635</v>
      </c>
      <c r="BV267" s="15" t="s">
        <v>4396</v>
      </c>
      <c r="BW267" s="15" t="s">
        <v>4636</v>
      </c>
      <c r="BX267" s="15" t="s">
        <v>4396</v>
      </c>
      <c r="BY267" s="15"/>
      <c r="BZ267" s="15"/>
      <c r="CA267" s="15"/>
      <c r="CB267" s="15"/>
      <c r="CC267" s="15"/>
      <c r="CD267" s="23"/>
      <c r="CE267" s="23"/>
      <c r="CF267" s="23"/>
      <c r="CG267" s="23" t="s">
        <v>4295</v>
      </c>
      <c r="CH267" s="15"/>
      <c r="CI267" s="15" t="s">
        <v>4637</v>
      </c>
      <c r="CJ267" s="551"/>
    </row>
    <row r="268" spans="1:91" ht="48">
      <c r="A268" s="15">
        <v>16</v>
      </c>
      <c r="B268" s="349" t="s">
        <v>4389</v>
      </c>
      <c r="C268" s="348" t="s">
        <v>4638</v>
      </c>
      <c r="D268" s="14" t="s">
        <v>4639</v>
      </c>
      <c r="E268" s="15" t="s">
        <v>100</v>
      </c>
      <c r="F268" s="15">
        <v>2024</v>
      </c>
      <c r="G268" s="15">
        <v>2024</v>
      </c>
      <c r="H268" s="15">
        <v>7</v>
      </c>
      <c r="I268" s="15" t="s">
        <v>3214</v>
      </c>
      <c r="J268" s="350">
        <v>7200000</v>
      </c>
      <c r="K268" s="15" t="s">
        <v>4269</v>
      </c>
      <c r="L268" s="15">
        <v>3</v>
      </c>
      <c r="M268" s="15" t="s">
        <v>3222</v>
      </c>
      <c r="N268" s="15" t="s">
        <v>3223</v>
      </c>
      <c r="O268" s="15" t="s">
        <v>3215</v>
      </c>
      <c r="P268" s="15" t="s">
        <v>3923</v>
      </c>
      <c r="Q268" s="15">
        <v>6680615</v>
      </c>
      <c r="R268" s="15" t="s">
        <v>113</v>
      </c>
      <c r="S268" s="334" t="s">
        <v>2481</v>
      </c>
      <c r="T268" s="583">
        <f>J268/3</f>
        <v>2400000</v>
      </c>
      <c r="U268" s="15" t="s">
        <v>4517</v>
      </c>
      <c r="V268" s="15" t="s">
        <v>155</v>
      </c>
      <c r="W268" s="15"/>
      <c r="X268" s="15" t="s">
        <v>3224</v>
      </c>
      <c r="Y268" s="15" t="s">
        <v>4257</v>
      </c>
      <c r="Z268" s="15">
        <v>1093</v>
      </c>
      <c r="AA268" s="204" t="s">
        <v>4271</v>
      </c>
      <c r="AB268" s="15">
        <v>6680625</v>
      </c>
      <c r="AC268" s="15" t="s">
        <v>1782</v>
      </c>
      <c r="AD268" s="15" t="s">
        <v>4428</v>
      </c>
      <c r="AE268" s="583">
        <f>T268</f>
        <v>2400000</v>
      </c>
      <c r="AF268" s="15" t="s">
        <v>4517</v>
      </c>
      <c r="AG268" s="15"/>
      <c r="AH268" s="15"/>
      <c r="AI268" s="15" t="s">
        <v>3224</v>
      </c>
      <c r="AJ268" s="15" t="s">
        <v>4269</v>
      </c>
      <c r="AK268" s="15">
        <v>6786182</v>
      </c>
      <c r="AL268" s="341" t="s">
        <v>2471</v>
      </c>
      <c r="AM268" s="15" t="s">
        <v>4640</v>
      </c>
      <c r="AN268" s="583">
        <f>T268</f>
        <v>2400000</v>
      </c>
      <c r="AO268" s="15" t="s">
        <v>4517</v>
      </c>
      <c r="AP268" s="15"/>
      <c r="AQ268" s="15"/>
      <c r="AR268" s="15" t="s">
        <v>3224</v>
      </c>
      <c r="AS268" s="15" t="s">
        <v>4269</v>
      </c>
      <c r="AT268" s="15"/>
      <c r="AU268" s="15"/>
      <c r="AV268" s="15"/>
      <c r="AW268" s="534"/>
      <c r="AX268" s="15"/>
      <c r="AY268" s="15"/>
      <c r="AZ268" s="15"/>
      <c r="BA268" s="15"/>
      <c r="BB268" s="15"/>
      <c r="BC268" s="15"/>
      <c r="BD268" s="15"/>
      <c r="BE268" s="534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  <c r="BP268" s="15">
        <v>9</v>
      </c>
      <c r="BQ268" s="348" t="s">
        <v>3190</v>
      </c>
      <c r="BR268" s="15"/>
      <c r="BS268" s="23" t="s">
        <v>4641</v>
      </c>
      <c r="BT268" s="15"/>
      <c r="BU268" s="23" t="s">
        <v>4642</v>
      </c>
      <c r="BV268" s="15" t="s">
        <v>4430</v>
      </c>
      <c r="BW268" s="15" t="s">
        <v>4643</v>
      </c>
      <c r="BX268" s="15" t="s">
        <v>4430</v>
      </c>
      <c r="BY268" s="15"/>
      <c r="BZ268" s="15"/>
      <c r="CA268" s="15"/>
      <c r="CB268" s="15"/>
      <c r="CC268" s="15"/>
      <c r="CD268" s="23"/>
      <c r="CE268" s="23"/>
      <c r="CF268" s="23"/>
      <c r="CG268" s="23" t="s">
        <v>4433</v>
      </c>
      <c r="CH268" s="15"/>
      <c r="CI268" s="15"/>
      <c r="CJ268" s="36"/>
    </row>
    <row r="269" spans="1:91" ht="60">
      <c r="A269" s="15">
        <v>29</v>
      </c>
      <c r="B269" s="667" t="s">
        <v>4389</v>
      </c>
      <c r="C269" s="598" t="s">
        <v>4644</v>
      </c>
      <c r="D269" s="29" t="s">
        <v>4645</v>
      </c>
      <c r="E269" s="25" t="s">
        <v>100</v>
      </c>
      <c r="F269" s="25">
        <v>2024</v>
      </c>
      <c r="G269" s="25">
        <v>2024</v>
      </c>
      <c r="H269" s="25">
        <v>7</v>
      </c>
      <c r="I269" s="25" t="s">
        <v>4417</v>
      </c>
      <c r="J269" s="668">
        <v>6750000</v>
      </c>
      <c r="K269" s="25" t="s">
        <v>4269</v>
      </c>
      <c r="L269" s="25">
        <v>2</v>
      </c>
      <c r="M269" s="25" t="s">
        <v>3222</v>
      </c>
      <c r="N269" s="25" t="s">
        <v>3223</v>
      </c>
      <c r="O269" s="25" t="s">
        <v>3215</v>
      </c>
      <c r="P269" s="25" t="s">
        <v>3923</v>
      </c>
      <c r="Q269" s="25">
        <v>6879158</v>
      </c>
      <c r="R269" s="25" t="s">
        <v>105</v>
      </c>
      <c r="S269" s="669" t="s">
        <v>2540</v>
      </c>
      <c r="T269" s="670">
        <f>J269/3</f>
        <v>2250000</v>
      </c>
      <c r="U269" s="25" t="s">
        <v>4478</v>
      </c>
      <c r="V269" s="25"/>
      <c r="W269" s="25"/>
      <c r="X269" s="25" t="s">
        <v>4282</v>
      </c>
      <c r="Y269" s="25" t="s">
        <v>4257</v>
      </c>
      <c r="Z269" s="25">
        <v>1093</v>
      </c>
      <c r="AA269" s="671" t="s">
        <v>4271</v>
      </c>
      <c r="AB269" s="25">
        <v>6795859</v>
      </c>
      <c r="AC269" s="25" t="s">
        <v>1672</v>
      </c>
      <c r="AD269" s="25" t="s">
        <v>2056</v>
      </c>
      <c r="AE269" s="670">
        <f>T269</f>
        <v>2250000</v>
      </c>
      <c r="AF269" s="25" t="s">
        <v>4478</v>
      </c>
      <c r="AG269" s="25"/>
      <c r="AH269" s="25"/>
      <c r="AI269" s="25" t="s">
        <v>4282</v>
      </c>
      <c r="AJ269" s="25" t="s">
        <v>4269</v>
      </c>
      <c r="AK269" s="25">
        <v>6658545</v>
      </c>
      <c r="AL269" s="672" t="s">
        <v>984</v>
      </c>
      <c r="AM269" s="25" t="s">
        <v>4439</v>
      </c>
      <c r="AN269" s="670">
        <f>T269</f>
        <v>2250000</v>
      </c>
      <c r="AO269" s="25" t="s">
        <v>160</v>
      </c>
      <c r="AP269" s="25"/>
      <c r="AQ269" s="25"/>
      <c r="AR269" s="25" t="s">
        <v>4282</v>
      </c>
      <c r="AS269" s="25" t="s">
        <v>4269</v>
      </c>
      <c r="AT269" s="25"/>
      <c r="AU269" s="25"/>
      <c r="AV269" s="25"/>
      <c r="AW269" s="673"/>
      <c r="AX269" s="25"/>
      <c r="AY269" s="25"/>
      <c r="AZ269" s="25"/>
      <c r="BA269" s="25"/>
      <c r="BB269" s="25"/>
      <c r="BC269" s="25"/>
      <c r="BD269" s="25"/>
      <c r="BE269" s="673"/>
      <c r="BF269" s="24"/>
      <c r="BG269" s="24"/>
      <c r="BH269" s="24"/>
      <c r="BI269" s="24"/>
      <c r="BJ269" s="24"/>
      <c r="BK269" s="24"/>
      <c r="BL269" s="24"/>
      <c r="BM269" s="24"/>
      <c r="BN269" s="24"/>
      <c r="BO269" s="24"/>
      <c r="BP269" s="25" t="s">
        <v>4646</v>
      </c>
      <c r="BQ269" s="598" t="s">
        <v>3190</v>
      </c>
      <c r="BR269" s="598" t="s">
        <v>3191</v>
      </c>
      <c r="BS269" s="24" t="s">
        <v>4647</v>
      </c>
      <c r="BT269" s="25" t="s">
        <v>4441</v>
      </c>
      <c r="BU269" s="24" t="s">
        <v>4648</v>
      </c>
      <c r="BV269" s="25" t="s">
        <v>4441</v>
      </c>
      <c r="BW269" s="25" t="s">
        <v>4649</v>
      </c>
      <c r="BX269" s="25" t="s">
        <v>4441</v>
      </c>
      <c r="BY269" s="25"/>
      <c r="BZ269" s="25"/>
      <c r="CA269" s="25"/>
      <c r="CB269" s="25"/>
      <c r="CC269" s="25"/>
      <c r="CD269" s="24"/>
      <c r="CE269" s="24"/>
      <c r="CF269" s="24"/>
      <c r="CG269" s="24" t="s">
        <v>4295</v>
      </c>
      <c r="CH269" s="25"/>
      <c r="CI269" s="25" t="s">
        <v>3605</v>
      </c>
      <c r="CJ269" s="36"/>
    </row>
    <row r="270" spans="1:91" ht="72.75" customHeight="1">
      <c r="A270" s="15">
        <v>3</v>
      </c>
      <c r="B270" s="349" t="s">
        <v>4389</v>
      </c>
      <c r="C270" s="348" t="s">
        <v>4650</v>
      </c>
      <c r="D270" s="14" t="s">
        <v>4651</v>
      </c>
      <c r="E270" s="15" t="s">
        <v>100</v>
      </c>
      <c r="F270" s="25">
        <v>2024</v>
      </c>
      <c r="G270" s="15">
        <v>2024</v>
      </c>
      <c r="H270" s="15">
        <v>7</v>
      </c>
      <c r="I270" s="15" t="s">
        <v>4652</v>
      </c>
      <c r="J270" s="350">
        <v>6003000</v>
      </c>
      <c r="K270" s="15" t="s">
        <v>4269</v>
      </c>
      <c r="L270" s="15">
        <v>3</v>
      </c>
      <c r="M270" s="15" t="s">
        <v>3222</v>
      </c>
      <c r="N270" s="15" t="s">
        <v>3223</v>
      </c>
      <c r="O270" s="15" t="s">
        <v>3215</v>
      </c>
      <c r="P270" s="15" t="s">
        <v>3923</v>
      </c>
      <c r="Q270" s="15">
        <v>6679083</v>
      </c>
      <c r="R270" s="15" t="s">
        <v>117</v>
      </c>
      <c r="S270" s="334" t="s">
        <v>2292</v>
      </c>
      <c r="T270" s="583">
        <f>J270/3</f>
        <v>2001000</v>
      </c>
      <c r="U270" s="15" t="s">
        <v>4452</v>
      </c>
      <c r="V270" s="15"/>
      <c r="W270" s="15"/>
      <c r="X270" s="15" t="s">
        <v>4272</v>
      </c>
      <c r="Y270" s="15" t="s">
        <v>4257</v>
      </c>
      <c r="Z270" s="15">
        <v>1093</v>
      </c>
      <c r="AA270" s="204" t="s">
        <v>4271</v>
      </c>
      <c r="AB270" s="15">
        <v>6681205</v>
      </c>
      <c r="AC270" s="15" t="s">
        <v>1705</v>
      </c>
      <c r="AD270" s="15" t="s">
        <v>4653</v>
      </c>
      <c r="AE270" s="583">
        <f>T270</f>
        <v>2001000</v>
      </c>
      <c r="AF270" s="15" t="s">
        <v>156</v>
      </c>
      <c r="AG270" s="15"/>
      <c r="AH270" s="15"/>
      <c r="AI270" s="15" t="s">
        <v>4272</v>
      </c>
      <c r="AJ270" s="15" t="s">
        <v>4269</v>
      </c>
      <c r="AK270" s="15">
        <v>6680680</v>
      </c>
      <c r="AL270" s="341" t="s">
        <v>959</v>
      </c>
      <c r="AM270" s="15" t="s">
        <v>4654</v>
      </c>
      <c r="AN270" s="583">
        <f>T270</f>
        <v>2001000</v>
      </c>
      <c r="AO270" s="15" t="s">
        <v>156</v>
      </c>
      <c r="AP270" s="15"/>
      <c r="AQ270" s="15"/>
      <c r="AR270" s="15" t="s">
        <v>4272</v>
      </c>
      <c r="AS270" s="15" t="s">
        <v>4269</v>
      </c>
      <c r="AT270" s="15"/>
      <c r="AU270" s="15"/>
      <c r="AV270" s="15"/>
      <c r="AW270" s="534"/>
      <c r="AX270" s="15"/>
      <c r="AY270" s="15"/>
      <c r="AZ270" s="15"/>
      <c r="BA270" s="15"/>
      <c r="BB270" s="15"/>
      <c r="BC270" s="15"/>
      <c r="BD270" s="15"/>
      <c r="BE270" s="534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  <c r="BP270" s="15">
        <v>9</v>
      </c>
      <c r="BQ270" s="348" t="s">
        <v>3190</v>
      </c>
      <c r="BR270" s="348" t="s">
        <v>3191</v>
      </c>
      <c r="BS270" s="23" t="s">
        <v>4655</v>
      </c>
      <c r="BT270" s="15" t="s">
        <v>4582</v>
      </c>
      <c r="BU270" s="23" t="s">
        <v>4656</v>
      </c>
      <c r="BV270" s="15" t="s">
        <v>4582</v>
      </c>
      <c r="BW270" s="15" t="s">
        <v>4547</v>
      </c>
      <c r="BX270" s="15" t="s">
        <v>4582</v>
      </c>
      <c r="BY270" s="15"/>
      <c r="BZ270" s="15"/>
      <c r="CA270" s="15"/>
      <c r="CB270" s="15"/>
      <c r="CC270" s="15"/>
      <c r="CD270" s="23"/>
      <c r="CE270" s="23"/>
      <c r="CF270" s="23"/>
      <c r="CG270" s="23" t="s">
        <v>4295</v>
      </c>
      <c r="CH270" s="15"/>
      <c r="CI270" s="15"/>
      <c r="CJ270" s="36"/>
    </row>
    <row r="271" spans="1:91" ht="72.75" customHeight="1">
      <c r="A271" s="15">
        <v>38</v>
      </c>
      <c r="B271" s="349" t="s">
        <v>4657</v>
      </c>
      <c r="C271" s="348" t="s">
        <v>4658</v>
      </c>
      <c r="D271" s="14" t="s">
        <v>4659</v>
      </c>
      <c r="E271" s="15" t="s">
        <v>132</v>
      </c>
      <c r="F271" s="25">
        <v>2024</v>
      </c>
      <c r="G271" s="15">
        <v>2024</v>
      </c>
      <c r="H271" s="15">
        <v>6</v>
      </c>
      <c r="I271" s="15" t="s">
        <v>3214</v>
      </c>
      <c r="J271" s="350">
        <v>0</v>
      </c>
      <c r="K271" s="15" t="s">
        <v>4269</v>
      </c>
      <c r="L271" s="15">
        <v>1</v>
      </c>
      <c r="M271" s="15" t="s">
        <v>3617</v>
      </c>
      <c r="N271" s="15" t="s">
        <v>3223</v>
      </c>
      <c r="O271" s="15" t="s">
        <v>3215</v>
      </c>
      <c r="P271" s="15" t="s">
        <v>3923</v>
      </c>
      <c r="Q271" s="15">
        <v>6099359</v>
      </c>
      <c r="R271" s="15" t="s">
        <v>67</v>
      </c>
      <c r="S271" s="341" t="s">
        <v>977</v>
      </c>
      <c r="T271" s="583">
        <v>0</v>
      </c>
      <c r="U271" s="15" t="s">
        <v>4507</v>
      </c>
      <c r="V271" s="15"/>
      <c r="W271" s="15"/>
      <c r="X271" s="15" t="s">
        <v>4282</v>
      </c>
      <c r="Y271" s="15" t="s">
        <v>4257</v>
      </c>
      <c r="Z271" s="15">
        <v>1093</v>
      </c>
      <c r="AA271" s="204" t="s">
        <v>4271</v>
      </c>
      <c r="AB271" s="15">
        <v>6764236</v>
      </c>
      <c r="AC271" s="15" t="s">
        <v>1684</v>
      </c>
      <c r="AD271" s="15" t="s">
        <v>4660</v>
      </c>
      <c r="AE271" s="583"/>
      <c r="AF271" s="15" t="s">
        <v>4507</v>
      </c>
      <c r="AG271" s="15"/>
      <c r="AH271" s="15"/>
      <c r="AI271" s="15" t="s">
        <v>4282</v>
      </c>
      <c r="AJ271" s="15" t="s">
        <v>4269</v>
      </c>
      <c r="AK271" s="15">
        <v>6839500</v>
      </c>
      <c r="AL271" s="341" t="s">
        <v>2671</v>
      </c>
      <c r="AM271" s="15" t="s">
        <v>4661</v>
      </c>
      <c r="AN271" s="583"/>
      <c r="AO271" s="15" t="s">
        <v>4392</v>
      </c>
      <c r="AP271" s="15"/>
      <c r="AQ271" s="15"/>
      <c r="AR271" s="15" t="s">
        <v>4272</v>
      </c>
      <c r="AS271" s="15" t="s">
        <v>4269</v>
      </c>
      <c r="AT271" s="15">
        <v>6680648</v>
      </c>
      <c r="AU271" s="15" t="s">
        <v>1036</v>
      </c>
      <c r="AV271" s="15" t="s">
        <v>4662</v>
      </c>
      <c r="AW271" s="534"/>
      <c r="AX271" s="15" t="s">
        <v>166</v>
      </c>
      <c r="AY271" s="15"/>
      <c r="AZ271" s="15" t="s">
        <v>4282</v>
      </c>
      <c r="BA271" s="15" t="s">
        <v>4269</v>
      </c>
      <c r="BB271" s="15"/>
      <c r="BC271" s="15"/>
      <c r="BD271" s="15"/>
      <c r="BE271" s="534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  <c r="BP271" s="15">
        <v>4</v>
      </c>
      <c r="BQ271" s="348" t="s">
        <v>4663</v>
      </c>
      <c r="BR271" s="15"/>
      <c r="BS271" s="23"/>
      <c r="BT271" s="15"/>
      <c r="BU271" s="23"/>
      <c r="BV271" s="15"/>
      <c r="BW271" s="15"/>
      <c r="BX271" s="15"/>
      <c r="BY271" s="15"/>
      <c r="BZ271" s="15"/>
      <c r="CA271" s="15"/>
      <c r="CB271" s="15"/>
      <c r="CC271" s="15"/>
      <c r="CD271" s="23"/>
      <c r="CE271" s="23"/>
      <c r="CF271" s="23"/>
      <c r="CG271" s="23" t="s">
        <v>3070</v>
      </c>
      <c r="CH271" s="15"/>
      <c r="CI271" s="15"/>
      <c r="CJ271" s="36"/>
    </row>
    <row r="272" spans="1:91" ht="72.75" customHeight="1">
      <c r="A272" s="15">
        <v>39</v>
      </c>
      <c r="B272" s="349" t="s">
        <v>4657</v>
      </c>
      <c r="C272" s="348" t="s">
        <v>4664</v>
      </c>
      <c r="D272" s="14" t="s">
        <v>4665</v>
      </c>
      <c r="E272" s="15" t="s">
        <v>132</v>
      </c>
      <c r="F272" s="25">
        <v>2024</v>
      </c>
      <c r="G272" s="15">
        <v>2024</v>
      </c>
      <c r="H272" s="15">
        <v>6</v>
      </c>
      <c r="I272" s="15" t="s">
        <v>3214</v>
      </c>
      <c r="J272" s="350">
        <v>0</v>
      </c>
      <c r="K272" s="15" t="s">
        <v>4269</v>
      </c>
      <c r="L272" s="15">
        <v>1</v>
      </c>
      <c r="M272" s="15" t="s">
        <v>3617</v>
      </c>
      <c r="N272" s="15" t="s">
        <v>3223</v>
      </c>
      <c r="O272" s="15" t="s">
        <v>3215</v>
      </c>
      <c r="P272" s="15" t="s">
        <v>3923</v>
      </c>
      <c r="Q272" s="15">
        <v>6099359</v>
      </c>
      <c r="R272" s="15" t="s">
        <v>67</v>
      </c>
      <c r="S272" s="341" t="s">
        <v>977</v>
      </c>
      <c r="T272" s="583">
        <v>0</v>
      </c>
      <c r="U272" s="15" t="s">
        <v>166</v>
      </c>
      <c r="V272" s="15"/>
      <c r="W272" s="15"/>
      <c r="X272" s="15" t="s">
        <v>4282</v>
      </c>
      <c r="Y272" s="15" t="s">
        <v>4257</v>
      </c>
      <c r="Z272" s="15">
        <v>1093</v>
      </c>
      <c r="AA272" s="204" t="s">
        <v>4271</v>
      </c>
      <c r="AB272" s="15">
        <v>6859382</v>
      </c>
      <c r="AC272" s="334" t="s">
        <v>2343</v>
      </c>
      <c r="AD272" s="15" t="s">
        <v>4666</v>
      </c>
      <c r="AE272" s="583"/>
      <c r="AF272" s="15" t="s">
        <v>166</v>
      </c>
      <c r="AG272" s="15"/>
      <c r="AH272" s="15"/>
      <c r="AI272" s="15" t="s">
        <v>4282</v>
      </c>
      <c r="AJ272" s="15" t="s">
        <v>4269</v>
      </c>
      <c r="AK272" s="15">
        <v>6833034</v>
      </c>
      <c r="AL272" s="341" t="s">
        <v>2022</v>
      </c>
      <c r="AM272" s="15" t="s">
        <v>4667</v>
      </c>
      <c r="AN272" s="583"/>
      <c r="AO272" s="15" t="s">
        <v>166</v>
      </c>
      <c r="AP272" s="15"/>
      <c r="AQ272" s="15"/>
      <c r="AR272" s="15" t="s">
        <v>4282</v>
      </c>
      <c r="AS272" s="15" t="s">
        <v>4269</v>
      </c>
      <c r="AT272" s="15"/>
      <c r="AU272" s="15"/>
      <c r="AV272" s="15"/>
      <c r="AW272" s="534"/>
      <c r="AX272" s="15"/>
      <c r="AY272" s="15"/>
      <c r="AZ272" s="15"/>
      <c r="BA272" s="15"/>
      <c r="BB272" s="15"/>
      <c r="BC272" s="15"/>
      <c r="BD272" s="15"/>
      <c r="BE272" s="534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  <c r="BP272" s="15">
        <v>4</v>
      </c>
      <c r="BQ272" s="348" t="s">
        <v>4668</v>
      </c>
      <c r="BR272" s="15"/>
      <c r="BS272" s="23"/>
      <c r="BT272" s="15"/>
      <c r="BU272" s="23"/>
      <c r="BV272" s="15"/>
      <c r="BW272" s="15"/>
      <c r="BX272" s="15"/>
      <c r="BY272" s="15"/>
      <c r="BZ272" s="15"/>
      <c r="CA272" s="15"/>
      <c r="CB272" s="15"/>
      <c r="CC272" s="15"/>
      <c r="CD272" s="23"/>
      <c r="CE272" s="23"/>
      <c r="CF272" s="23"/>
      <c r="CG272" s="23" t="s">
        <v>3070</v>
      </c>
      <c r="CH272" s="15"/>
      <c r="CI272" s="15"/>
      <c r="CJ272" s="36"/>
    </row>
    <row r="273" spans="1:88" ht="72">
      <c r="A273" s="15">
        <v>40</v>
      </c>
      <c r="B273" s="349" t="s">
        <v>4657</v>
      </c>
      <c r="C273" s="348" t="s">
        <v>4669</v>
      </c>
      <c r="D273" s="14" t="s">
        <v>4670</v>
      </c>
      <c r="E273" s="15" t="s">
        <v>132</v>
      </c>
      <c r="F273" s="25">
        <v>2024</v>
      </c>
      <c r="G273" s="15">
        <v>2024</v>
      </c>
      <c r="H273" s="15">
        <v>6</v>
      </c>
      <c r="I273" s="15" t="s">
        <v>3214</v>
      </c>
      <c r="J273" s="350">
        <v>0</v>
      </c>
      <c r="K273" s="15" t="s">
        <v>4269</v>
      </c>
      <c r="L273" s="15">
        <v>1</v>
      </c>
      <c r="M273" s="15" t="s">
        <v>3617</v>
      </c>
      <c r="N273" s="15" t="s">
        <v>3223</v>
      </c>
      <c r="O273" s="15" t="s">
        <v>3215</v>
      </c>
      <c r="P273" s="15" t="s">
        <v>3923</v>
      </c>
      <c r="Q273" s="15">
        <v>6682794</v>
      </c>
      <c r="R273" s="15" t="s">
        <v>4671</v>
      </c>
      <c r="S273" s="334" t="s">
        <v>1744</v>
      </c>
      <c r="T273" s="583">
        <v>0</v>
      </c>
      <c r="U273" s="15" t="s">
        <v>151</v>
      </c>
      <c r="V273" s="15"/>
      <c r="W273" s="15"/>
      <c r="X273" s="15" t="s">
        <v>3224</v>
      </c>
      <c r="Y273" s="15" t="s">
        <v>4257</v>
      </c>
      <c r="Z273" s="15">
        <v>1093</v>
      </c>
      <c r="AA273" s="204" t="s">
        <v>4271</v>
      </c>
      <c r="AB273" s="15">
        <v>6680651</v>
      </c>
      <c r="AC273" s="334" t="s">
        <v>1016</v>
      </c>
      <c r="AD273" s="15" t="s">
        <v>4280</v>
      </c>
      <c r="AE273" s="583"/>
      <c r="AF273" s="15" t="s">
        <v>4328</v>
      </c>
      <c r="AG273" s="15"/>
      <c r="AH273" s="15"/>
      <c r="AI273" s="15" t="s">
        <v>3224</v>
      </c>
      <c r="AJ273" s="15" t="s">
        <v>4269</v>
      </c>
      <c r="AK273" s="15"/>
      <c r="AL273" s="341"/>
      <c r="AM273" s="15"/>
      <c r="AN273" s="583"/>
      <c r="AO273" s="15"/>
      <c r="AP273" s="15"/>
      <c r="AQ273" s="15"/>
      <c r="AR273" s="15"/>
      <c r="AS273" s="15"/>
      <c r="AT273" s="15"/>
      <c r="AU273" s="15"/>
      <c r="AV273" s="15"/>
      <c r="AW273" s="534"/>
      <c r="AX273" s="15"/>
      <c r="AY273" s="15"/>
      <c r="AZ273" s="15"/>
      <c r="BA273" s="15"/>
      <c r="BB273" s="15"/>
      <c r="BC273" s="15"/>
      <c r="BD273" s="15"/>
      <c r="BE273" s="534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  <c r="BP273" s="15">
        <v>9</v>
      </c>
      <c r="BQ273" s="348" t="s">
        <v>4672</v>
      </c>
      <c r="BR273" s="15"/>
      <c r="BS273" s="23"/>
      <c r="BT273" s="15"/>
      <c r="BU273" s="23"/>
      <c r="BV273" s="15"/>
      <c r="BW273" s="15"/>
      <c r="BX273" s="15"/>
      <c r="BY273" s="15"/>
      <c r="BZ273" s="15"/>
      <c r="CA273" s="15"/>
      <c r="CB273" s="15"/>
      <c r="CC273" s="15"/>
      <c r="CD273" s="23"/>
      <c r="CE273" s="23"/>
      <c r="CF273" s="23"/>
      <c r="CG273" s="23" t="s">
        <v>3070</v>
      </c>
      <c r="CH273" s="15"/>
      <c r="CI273" s="15"/>
      <c r="CJ273" s="36"/>
    </row>
    <row r="274" spans="1:88" s="712" customFormat="1">
      <c r="A274" s="689"/>
      <c r="B274" s="707"/>
      <c r="C274" s="708"/>
      <c r="D274" s="691"/>
      <c r="E274" s="689"/>
      <c r="F274" s="689"/>
      <c r="G274" s="689"/>
      <c r="H274" s="689"/>
      <c r="I274" s="692"/>
      <c r="J274" s="693"/>
      <c r="K274" s="709"/>
      <c r="L274" s="689"/>
      <c r="M274" s="689"/>
      <c r="N274" s="689"/>
      <c r="O274" s="689"/>
      <c r="P274" s="689"/>
      <c r="Q274" s="696"/>
      <c r="R274" s="689"/>
      <c r="S274" s="699"/>
      <c r="T274" s="698"/>
      <c r="U274" s="689"/>
      <c r="V274" s="689"/>
      <c r="W274" s="689"/>
      <c r="X274" s="689"/>
      <c r="Y274" s="689"/>
      <c r="Z274" s="689"/>
      <c r="AA274" s="704"/>
      <c r="AB274" s="696"/>
      <c r="AC274" s="696"/>
      <c r="AD274" s="689"/>
      <c r="AE274" s="698"/>
      <c r="AF274" s="689"/>
      <c r="AG274" s="689"/>
      <c r="AH274" s="689"/>
      <c r="AI274" s="689"/>
      <c r="AJ274" s="689"/>
      <c r="AK274" s="696"/>
      <c r="AL274" s="699"/>
      <c r="AM274" s="689"/>
      <c r="AN274" s="698"/>
      <c r="AO274" s="690"/>
      <c r="AP274" s="690"/>
      <c r="AQ274" s="690"/>
      <c r="AR274" s="690"/>
      <c r="AS274" s="690"/>
      <c r="AT274" s="690"/>
      <c r="AU274" s="690"/>
      <c r="AV274" s="690"/>
      <c r="AW274" s="700"/>
      <c r="AX274" s="690"/>
      <c r="AY274" s="690"/>
      <c r="AZ274" s="690"/>
      <c r="BA274" s="690"/>
      <c r="BB274" s="690"/>
      <c r="BC274" s="690"/>
      <c r="BD274" s="690"/>
      <c r="BE274" s="700"/>
      <c r="BF274" s="690"/>
      <c r="BG274" s="690"/>
      <c r="BH274" s="690"/>
      <c r="BI274" s="690"/>
      <c r="BJ274" s="690"/>
      <c r="BK274" s="690"/>
      <c r="BL274" s="710"/>
      <c r="BM274" s="710"/>
      <c r="BN274" s="710"/>
      <c r="BO274" s="710"/>
      <c r="BP274" s="710"/>
      <c r="BQ274" s="708"/>
      <c r="BR274" s="689"/>
      <c r="BS274" s="690"/>
      <c r="BT274" s="710"/>
      <c r="BU274" s="690"/>
      <c r="BV274" s="710"/>
      <c r="BW274" s="710"/>
      <c r="BX274" s="710"/>
      <c r="BY274" s="710"/>
      <c r="BZ274" s="710"/>
      <c r="CA274" s="710"/>
      <c r="CB274" s="710"/>
      <c r="CC274" s="710"/>
      <c r="CD274" s="710"/>
      <c r="CE274" s="710"/>
      <c r="CF274" s="710"/>
      <c r="CG274" s="690"/>
      <c r="CH274" s="710"/>
      <c r="CI274" s="710"/>
      <c r="CJ274" s="711"/>
    </row>
    <row r="275" spans="1:88" ht="93" customHeight="1">
      <c r="A275" s="15">
        <v>1</v>
      </c>
      <c r="B275" s="349"/>
      <c r="C275" s="348" t="s">
        <v>4673</v>
      </c>
      <c r="D275" s="139" t="s">
        <v>4674</v>
      </c>
      <c r="E275" s="15" t="s">
        <v>138</v>
      </c>
      <c r="F275" s="15">
        <v>2025</v>
      </c>
      <c r="G275" s="15">
        <v>2025</v>
      </c>
      <c r="H275" s="15">
        <v>12</v>
      </c>
      <c r="I275" s="123" t="s">
        <v>4675</v>
      </c>
      <c r="J275" s="350">
        <v>30000000</v>
      </c>
      <c r="K275" s="582" t="s">
        <v>4676</v>
      </c>
      <c r="L275" s="123" t="s">
        <v>4677</v>
      </c>
      <c r="M275" s="15" t="s">
        <v>4678</v>
      </c>
      <c r="N275" s="15" t="s">
        <v>3223</v>
      </c>
      <c r="O275" s="15" t="s">
        <v>4679</v>
      </c>
      <c r="P275" s="15" t="s">
        <v>4680</v>
      </c>
      <c r="Q275" s="333"/>
      <c r="R275" s="123" t="s">
        <v>3112</v>
      </c>
      <c r="S275" s="341"/>
      <c r="T275" s="583">
        <f>Table32[[#This Row],[Dana Disetujui]]</f>
        <v>30000000</v>
      </c>
      <c r="U275" s="15" t="s">
        <v>4418</v>
      </c>
      <c r="V275" s="15"/>
      <c r="W275" s="15"/>
      <c r="X275" s="15" t="s">
        <v>4681</v>
      </c>
      <c r="Y275" s="15" t="s">
        <v>4257</v>
      </c>
      <c r="Z275" s="15"/>
      <c r="AA275" s="204"/>
      <c r="AB275" s="333"/>
      <c r="AC275" s="333"/>
      <c r="AD275" s="123" t="s">
        <v>3126</v>
      </c>
      <c r="AE275" s="583">
        <f>Table32[[#This Row],[Dana Disetujui]]</f>
        <v>30000000</v>
      </c>
      <c r="AF275" s="15" t="s">
        <v>4418</v>
      </c>
      <c r="AG275" s="15"/>
      <c r="AH275" s="15"/>
      <c r="AI275" s="15" t="s">
        <v>4681</v>
      </c>
      <c r="AJ275" s="15" t="s">
        <v>4257</v>
      </c>
      <c r="AK275" s="333"/>
      <c r="AL275" s="341"/>
      <c r="AM275" s="123" t="s">
        <v>3739</v>
      </c>
      <c r="AN275" s="583"/>
      <c r="AO275" s="23"/>
      <c r="AP275" s="23"/>
      <c r="AQ275" s="23"/>
      <c r="AR275" s="15" t="s">
        <v>4681</v>
      </c>
      <c r="AS275" s="15" t="s">
        <v>4257</v>
      </c>
      <c r="AT275" s="23"/>
      <c r="AU275" s="23"/>
      <c r="AV275" s="23"/>
      <c r="AW275" s="534"/>
      <c r="AX275" s="23"/>
      <c r="AY275" s="23"/>
      <c r="AZ275" s="23"/>
      <c r="BA275" s="23"/>
      <c r="BB275" s="23"/>
      <c r="BC275" s="23"/>
      <c r="BD275" s="23"/>
      <c r="BE275" s="534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  <c r="BP275" s="123" t="s">
        <v>4682</v>
      </c>
      <c r="BQ275" s="348" t="s">
        <v>3190</v>
      </c>
      <c r="BR275" s="584" t="s">
        <v>3191</v>
      </c>
      <c r="BS275" s="123" t="s">
        <v>4683</v>
      </c>
      <c r="BT275" s="36"/>
      <c r="BU275" s="123" t="s">
        <v>4684</v>
      </c>
      <c r="BV275" s="36"/>
      <c r="BW275" s="122"/>
      <c r="BX275" s="36"/>
      <c r="BY275" s="23"/>
      <c r="BZ275" s="36"/>
      <c r="CA275" s="23"/>
      <c r="CB275" s="23"/>
      <c r="CC275" s="23"/>
      <c r="CD275" s="23"/>
      <c r="CE275" s="23"/>
      <c r="CF275" s="23"/>
      <c r="CG275" s="123" t="s">
        <v>4685</v>
      </c>
      <c r="CH275" s="23"/>
      <c r="CI275" s="23"/>
      <c r="CJ275" s="36"/>
    </row>
    <row r="276" spans="1:88" s="550" customFormat="1" ht="75.75" customHeight="1">
      <c r="A276" s="15">
        <v>2</v>
      </c>
      <c r="B276" s="349"/>
      <c r="C276" s="348" t="s">
        <v>4686</v>
      </c>
      <c r="D276" s="139" t="s">
        <v>4687</v>
      </c>
      <c r="E276" s="15" t="s">
        <v>138</v>
      </c>
      <c r="F276" s="15">
        <v>2025</v>
      </c>
      <c r="G276" s="15">
        <v>2025</v>
      </c>
      <c r="H276" s="15">
        <v>12</v>
      </c>
      <c r="I276" s="123" t="s">
        <v>3214</v>
      </c>
      <c r="J276" s="350">
        <v>29951500</v>
      </c>
      <c r="K276" s="582" t="s">
        <v>4676</v>
      </c>
      <c r="L276" s="123" t="s">
        <v>4688</v>
      </c>
      <c r="M276" s="15" t="s">
        <v>4678</v>
      </c>
      <c r="N276" s="15" t="s">
        <v>3223</v>
      </c>
      <c r="O276" s="15" t="s">
        <v>4679</v>
      </c>
      <c r="P276" s="15" t="s">
        <v>4680</v>
      </c>
      <c r="Q276" s="333"/>
      <c r="R276" s="123" t="s">
        <v>1211</v>
      </c>
      <c r="S276" s="341"/>
      <c r="T276" s="583">
        <f>Table32[[#This Row],[Dana Disetujui]]</f>
        <v>29951500</v>
      </c>
      <c r="U276" s="15" t="s">
        <v>4452</v>
      </c>
      <c r="V276" s="15" t="s">
        <v>166</v>
      </c>
      <c r="W276" s="15"/>
      <c r="X276" s="15" t="s">
        <v>4681</v>
      </c>
      <c r="Y276" s="15" t="s">
        <v>4257</v>
      </c>
      <c r="Z276" s="15"/>
      <c r="AA276" s="204"/>
      <c r="AB276" s="333"/>
      <c r="AC276" s="333"/>
      <c r="AD276" s="123" t="s">
        <v>3114</v>
      </c>
      <c r="AE276" s="583">
        <f>Table32[[#This Row],[Dana Disetujui]]</f>
        <v>29951500</v>
      </c>
      <c r="AF276" s="15" t="s">
        <v>4459</v>
      </c>
      <c r="AG276" s="15"/>
      <c r="AH276" s="15"/>
      <c r="AI276" s="15" t="s">
        <v>4681</v>
      </c>
      <c r="AJ276" s="15" t="s">
        <v>4257</v>
      </c>
      <c r="AK276" s="333"/>
      <c r="AL276" s="341"/>
      <c r="AM276" s="123" t="s">
        <v>3116</v>
      </c>
      <c r="AN276" s="583">
        <f>Table32[[#This Row],[Dana Disetujui]]</f>
        <v>29951500</v>
      </c>
      <c r="AO276" s="15" t="s">
        <v>4470</v>
      </c>
      <c r="AP276" s="15"/>
      <c r="AQ276" s="15"/>
      <c r="AR276" s="15" t="s">
        <v>4681</v>
      </c>
      <c r="AS276" s="15" t="s">
        <v>4257</v>
      </c>
      <c r="AT276" s="23"/>
      <c r="AU276" s="23"/>
      <c r="AV276" s="23"/>
      <c r="AW276" s="534"/>
      <c r="AX276" s="23"/>
      <c r="AY276" s="23"/>
      <c r="AZ276" s="23"/>
      <c r="BA276" s="23"/>
      <c r="BB276" s="23"/>
      <c r="BC276" s="23"/>
      <c r="BD276" s="23"/>
      <c r="BE276" s="534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  <c r="BP276" s="123" t="s">
        <v>4689</v>
      </c>
      <c r="BQ276" s="348" t="s">
        <v>3190</v>
      </c>
      <c r="BR276" s="584" t="s">
        <v>3191</v>
      </c>
      <c r="BS276" s="123" t="s">
        <v>3125</v>
      </c>
      <c r="BT276" s="36"/>
      <c r="BU276" s="123" t="s">
        <v>4690</v>
      </c>
      <c r="BV276" s="36"/>
      <c r="BW276" s="123" t="s">
        <v>4691</v>
      </c>
      <c r="BX276" s="36"/>
      <c r="BY276" s="23"/>
      <c r="BZ276" s="36"/>
      <c r="CA276" s="23"/>
      <c r="CB276" s="23"/>
      <c r="CC276" s="23"/>
      <c r="CD276" s="23"/>
      <c r="CE276" s="23"/>
      <c r="CF276" s="23"/>
      <c r="CG276" s="123" t="s">
        <v>4685</v>
      </c>
      <c r="CH276" s="23"/>
      <c r="CI276" s="23"/>
      <c r="CJ276" s="551"/>
    </row>
    <row r="277" spans="1:88" ht="60">
      <c r="A277" s="15">
        <v>3</v>
      </c>
      <c r="B277" s="349"/>
      <c r="C277" s="348"/>
      <c r="D277" s="9" t="s">
        <v>4692</v>
      </c>
      <c r="E277" s="15" t="s">
        <v>138</v>
      </c>
      <c r="F277" s="15">
        <v>2025</v>
      </c>
      <c r="G277" s="15"/>
      <c r="H277" s="15"/>
      <c r="I277" s="53"/>
      <c r="J277" s="350">
        <v>29950000</v>
      </c>
      <c r="K277" s="15"/>
      <c r="L277" s="6"/>
      <c r="M277" s="15"/>
      <c r="N277" s="15"/>
      <c r="O277" s="15"/>
      <c r="P277" s="15"/>
      <c r="Q277" s="15"/>
      <c r="R277" s="6" t="s">
        <v>140</v>
      </c>
      <c r="S277" s="341"/>
      <c r="T277" s="583">
        <f>Table32[[#This Row],[Dana Disetujui]]</f>
        <v>29950000</v>
      </c>
      <c r="U277" s="15" t="s">
        <v>155</v>
      </c>
      <c r="V277" s="15"/>
      <c r="W277" s="15"/>
      <c r="X277" s="15" t="s">
        <v>4681</v>
      </c>
      <c r="Y277" s="15" t="s">
        <v>4257</v>
      </c>
      <c r="Z277" s="15"/>
      <c r="AA277" s="44"/>
      <c r="AB277" s="15"/>
      <c r="AC277" s="674"/>
      <c r="AD277" s="9" t="s">
        <v>1211</v>
      </c>
      <c r="AE277" s="583">
        <f>Table32[[#This Row],[Dana Disetujui]]</f>
        <v>29950000</v>
      </c>
      <c r="AF277" s="15" t="s">
        <v>4693</v>
      </c>
      <c r="AG277" s="15" t="s">
        <v>166</v>
      </c>
      <c r="AH277" s="15"/>
      <c r="AI277" s="15" t="s">
        <v>4681</v>
      </c>
      <c r="AJ277" s="15" t="s">
        <v>4257</v>
      </c>
      <c r="AK277" s="94"/>
      <c r="AL277" s="341"/>
      <c r="AM277" s="6" t="s">
        <v>4694</v>
      </c>
      <c r="AN277" s="583">
        <f>Table32[[#This Row],[Dana Disetujui]]</f>
        <v>29950000</v>
      </c>
      <c r="AO277" s="15" t="s">
        <v>166</v>
      </c>
      <c r="AP277" s="15"/>
      <c r="AQ277" s="15"/>
      <c r="AR277" s="15" t="s">
        <v>4681</v>
      </c>
      <c r="AS277" s="15" t="s">
        <v>4257</v>
      </c>
      <c r="AT277" s="36"/>
      <c r="AU277" s="36"/>
      <c r="AV277" s="36"/>
      <c r="AW277" s="625"/>
      <c r="AX277" s="36"/>
      <c r="AY277" s="36"/>
      <c r="AZ277" s="36"/>
      <c r="BA277" s="36"/>
      <c r="BB277" s="36"/>
      <c r="BC277" s="36"/>
      <c r="BD277" s="36"/>
      <c r="BE277" s="625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88"/>
      <c r="BQ277" s="348"/>
      <c r="BR277" s="15"/>
      <c r="BS277" s="7"/>
      <c r="BT277" s="36"/>
      <c r="BU277" s="7"/>
      <c r="BV277" s="36"/>
      <c r="BW277" s="88"/>
      <c r="BX277" s="36"/>
      <c r="BY277" s="36"/>
      <c r="BZ277" s="36"/>
      <c r="CA277" s="36"/>
      <c r="CC277" s="36"/>
      <c r="CD277" s="36"/>
      <c r="CE277" s="36"/>
      <c r="CF277" s="36"/>
      <c r="CG277" s="7"/>
      <c r="CH277" s="36"/>
      <c r="CI277" s="36"/>
      <c r="CJ277" s="36"/>
    </row>
    <row r="278" spans="1:88" s="550" customFormat="1" ht="79.5" customHeight="1">
      <c r="A278" s="15">
        <v>4</v>
      </c>
      <c r="B278" s="349"/>
      <c r="C278" s="348" t="s">
        <v>4695</v>
      </c>
      <c r="D278" s="139" t="s">
        <v>4696</v>
      </c>
      <c r="E278" s="15" t="s">
        <v>138</v>
      </c>
      <c r="F278" s="15">
        <v>2025</v>
      </c>
      <c r="G278" s="15">
        <v>2025</v>
      </c>
      <c r="H278" s="15">
        <v>12</v>
      </c>
      <c r="I278" s="123" t="s">
        <v>3214</v>
      </c>
      <c r="J278" s="350">
        <v>29750000</v>
      </c>
      <c r="K278" s="582" t="s">
        <v>4676</v>
      </c>
      <c r="L278" s="123" t="s">
        <v>4697</v>
      </c>
      <c r="M278" s="15" t="s">
        <v>4678</v>
      </c>
      <c r="N278" s="15" t="s">
        <v>3223</v>
      </c>
      <c r="O278" s="15" t="s">
        <v>4679</v>
      </c>
      <c r="P278" s="15" t="s">
        <v>4680</v>
      </c>
      <c r="Q278" s="333"/>
      <c r="R278" s="123" t="s">
        <v>3124</v>
      </c>
      <c r="S278" s="341"/>
      <c r="T278" s="583">
        <f>Table32[[#This Row],[Dana Disetujui]]</f>
        <v>29750000</v>
      </c>
      <c r="U278" s="15" t="s">
        <v>4452</v>
      </c>
      <c r="V278" s="15"/>
      <c r="W278" s="15"/>
      <c r="X278" s="15" t="s">
        <v>4681</v>
      </c>
      <c r="Y278" s="15" t="s">
        <v>4257</v>
      </c>
      <c r="Z278" s="15"/>
      <c r="AA278" s="204"/>
      <c r="AB278" s="333"/>
      <c r="AC278" s="333"/>
      <c r="AD278" s="123" t="s">
        <v>4694</v>
      </c>
      <c r="AE278" s="583">
        <f>Table32[[#This Row],[Dana Disetujui]]</f>
        <v>29750000</v>
      </c>
      <c r="AF278" s="15" t="s">
        <v>4698</v>
      </c>
      <c r="AG278" s="15"/>
      <c r="AH278" s="15"/>
      <c r="AI278" s="15" t="s">
        <v>4681</v>
      </c>
      <c r="AJ278" s="15" t="s">
        <v>4257</v>
      </c>
      <c r="AK278" s="333"/>
      <c r="AL278" s="341"/>
      <c r="AM278" s="123" t="s">
        <v>3739</v>
      </c>
      <c r="AN278" s="583"/>
      <c r="AO278" s="23"/>
      <c r="AP278" s="23"/>
      <c r="AQ278" s="23"/>
      <c r="AR278" s="15" t="s">
        <v>4681</v>
      </c>
      <c r="AS278" s="15" t="s">
        <v>4257</v>
      </c>
      <c r="AT278" s="23"/>
      <c r="AU278" s="23"/>
      <c r="AV278" s="23"/>
      <c r="AW278" s="534"/>
      <c r="AX278" s="23"/>
      <c r="AY278" s="23"/>
      <c r="AZ278" s="23"/>
      <c r="BA278" s="23"/>
      <c r="BB278" s="23"/>
      <c r="BC278" s="23"/>
      <c r="BD278" s="23"/>
      <c r="BE278" s="534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  <c r="BP278" s="123" t="s">
        <v>4699</v>
      </c>
      <c r="BQ278" s="348" t="s">
        <v>3190</v>
      </c>
      <c r="BR278" s="584" t="s">
        <v>3191</v>
      </c>
      <c r="BS278" s="123" t="s">
        <v>4700</v>
      </c>
      <c r="BT278" s="36"/>
      <c r="BU278" s="123" t="s">
        <v>4701</v>
      </c>
      <c r="BV278" s="36"/>
      <c r="BW278" s="123" t="s">
        <v>4702</v>
      </c>
      <c r="BX278" s="36"/>
      <c r="BY278" s="23"/>
      <c r="BZ278" s="36"/>
      <c r="CA278" s="23"/>
      <c r="CB278" s="23"/>
      <c r="CC278" s="23"/>
      <c r="CD278" s="23"/>
      <c r="CE278" s="23"/>
      <c r="CF278" s="23"/>
      <c r="CG278" s="123" t="s">
        <v>4685</v>
      </c>
      <c r="CH278" s="23"/>
      <c r="CI278" s="23"/>
      <c r="CJ278" s="551"/>
    </row>
    <row r="279" spans="1:88" ht="72" customHeight="1">
      <c r="A279" s="15">
        <v>5</v>
      </c>
      <c r="B279" s="349"/>
      <c r="C279" s="348" t="s">
        <v>4703</v>
      </c>
      <c r="D279" s="139" t="s">
        <v>4704</v>
      </c>
      <c r="E279" s="15" t="s">
        <v>138</v>
      </c>
      <c r="F279" s="15">
        <v>2025</v>
      </c>
      <c r="G279" s="15">
        <v>2025</v>
      </c>
      <c r="H279" s="15">
        <v>12</v>
      </c>
      <c r="I279" s="123" t="s">
        <v>3214</v>
      </c>
      <c r="J279" s="350">
        <v>15000000</v>
      </c>
      <c r="K279" s="582" t="s">
        <v>4676</v>
      </c>
      <c r="L279" s="123" t="s">
        <v>4677</v>
      </c>
      <c r="M279" s="15" t="s">
        <v>4678</v>
      </c>
      <c r="N279" s="15" t="s">
        <v>3223</v>
      </c>
      <c r="O279" s="15" t="s">
        <v>4679</v>
      </c>
      <c r="P279" s="15" t="s">
        <v>4680</v>
      </c>
      <c r="Q279" s="333"/>
      <c r="R279" s="123" t="s">
        <v>4593</v>
      </c>
      <c r="S279" s="341"/>
      <c r="T279" s="583">
        <f>Table32[[#This Row],[Dana Disetujui]]</f>
        <v>15000000</v>
      </c>
      <c r="U279" s="15" t="s">
        <v>4705</v>
      </c>
      <c r="V279" s="15"/>
      <c r="W279" s="15"/>
      <c r="X279" s="15" t="s">
        <v>4681</v>
      </c>
      <c r="Y279" s="15" t="s">
        <v>4257</v>
      </c>
      <c r="Z279" s="15"/>
      <c r="AA279" s="204"/>
      <c r="AB279" s="333"/>
      <c r="AC279" s="333"/>
      <c r="AD279" s="123" t="s">
        <v>4147</v>
      </c>
      <c r="AE279" s="583">
        <f>Table32[[#This Row],[Dana Disetujui]]</f>
        <v>15000000</v>
      </c>
      <c r="AF279" s="15" t="s">
        <v>4452</v>
      </c>
      <c r="AG279" s="15"/>
      <c r="AH279" s="15"/>
      <c r="AI279" s="15" t="s">
        <v>4681</v>
      </c>
      <c r="AJ279" s="15" t="s">
        <v>4257</v>
      </c>
      <c r="AK279" s="333"/>
      <c r="AL279" s="341"/>
      <c r="AM279" s="123" t="s">
        <v>4291</v>
      </c>
      <c r="AN279" s="583">
        <f>Table32[[#This Row],[Dana Disetujui]]</f>
        <v>15000000</v>
      </c>
      <c r="AO279" s="15" t="s">
        <v>4459</v>
      </c>
      <c r="AP279" s="15"/>
      <c r="AQ279" s="15"/>
      <c r="AR279" s="15" t="s">
        <v>4681</v>
      </c>
      <c r="AS279" s="15" t="s">
        <v>4257</v>
      </c>
      <c r="AT279" s="23"/>
      <c r="AU279" s="23"/>
      <c r="AV279" s="23"/>
      <c r="AW279" s="534"/>
      <c r="AX279" s="23"/>
      <c r="AY279" s="23"/>
      <c r="AZ279" s="23"/>
      <c r="BA279" s="23"/>
      <c r="BB279" s="23"/>
      <c r="BC279" s="23"/>
      <c r="BD279" s="23"/>
      <c r="BE279" s="534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  <c r="BP279" s="123" t="s">
        <v>4706</v>
      </c>
      <c r="BQ279" s="348" t="s">
        <v>3190</v>
      </c>
      <c r="BR279" s="584" t="s">
        <v>3191</v>
      </c>
      <c r="BS279" s="123" t="s">
        <v>3123</v>
      </c>
      <c r="BT279" s="36"/>
      <c r="BU279" s="123" t="s">
        <v>4707</v>
      </c>
      <c r="BV279" s="36"/>
      <c r="BW279" s="123" t="s">
        <v>4690</v>
      </c>
      <c r="BX279" s="36"/>
      <c r="BY279" s="23"/>
      <c r="BZ279" s="36"/>
      <c r="CA279" s="23"/>
      <c r="CB279" s="23"/>
      <c r="CC279" s="23"/>
      <c r="CD279" s="23"/>
      <c r="CE279" s="23"/>
      <c r="CF279" s="23"/>
      <c r="CG279" s="123" t="s">
        <v>4708</v>
      </c>
      <c r="CH279" s="23"/>
      <c r="CI279" s="23"/>
      <c r="CJ279" s="36"/>
    </row>
    <row r="280" spans="1:88" ht="75" customHeight="1">
      <c r="A280" s="15">
        <v>6</v>
      </c>
      <c r="B280" s="349"/>
      <c r="C280" s="348" t="s">
        <v>4709</v>
      </c>
      <c r="D280" s="139" t="s">
        <v>4710</v>
      </c>
      <c r="E280" s="15" t="s">
        <v>138</v>
      </c>
      <c r="F280" s="15">
        <v>2025</v>
      </c>
      <c r="G280" s="15">
        <v>2025</v>
      </c>
      <c r="H280" s="15">
        <v>12</v>
      </c>
      <c r="I280" s="123" t="s">
        <v>4298</v>
      </c>
      <c r="J280" s="350">
        <v>15000000</v>
      </c>
      <c r="K280" s="582" t="s">
        <v>4676</v>
      </c>
      <c r="L280" s="123" t="s">
        <v>4677</v>
      </c>
      <c r="M280" s="15" t="s">
        <v>4678</v>
      </c>
      <c r="N280" s="15" t="s">
        <v>3223</v>
      </c>
      <c r="O280" s="15" t="s">
        <v>4679</v>
      </c>
      <c r="P280" s="15" t="s">
        <v>4680</v>
      </c>
      <c r="Q280" s="333"/>
      <c r="R280" s="123" t="s">
        <v>123</v>
      </c>
      <c r="S280" s="341"/>
      <c r="T280" s="583">
        <f>Table32[[#This Row],[Dana Disetujui]]</f>
        <v>15000000</v>
      </c>
      <c r="U280" s="15" t="s">
        <v>4459</v>
      </c>
      <c r="V280" s="15"/>
      <c r="W280" s="15"/>
      <c r="X280" s="15" t="s">
        <v>4681</v>
      </c>
      <c r="Y280" s="15" t="s">
        <v>4257</v>
      </c>
      <c r="Z280" s="15"/>
      <c r="AA280" s="204"/>
      <c r="AB280" s="333"/>
      <c r="AC280" s="333"/>
      <c r="AD280" s="123" t="s">
        <v>3115</v>
      </c>
      <c r="AE280" s="583">
        <f>Table32[[#This Row],[Dana Disetujui]]</f>
        <v>15000000</v>
      </c>
      <c r="AF280" s="15" t="s">
        <v>4470</v>
      </c>
      <c r="AG280" s="15"/>
      <c r="AH280" s="15"/>
      <c r="AI280" s="15" t="s">
        <v>4681</v>
      </c>
      <c r="AJ280" s="15" t="s">
        <v>4257</v>
      </c>
      <c r="AK280" s="333"/>
      <c r="AL280" s="341"/>
      <c r="AM280" s="123" t="s">
        <v>136</v>
      </c>
      <c r="AN280" s="583">
        <f>Table32[[#This Row],[Dana Disetujui]]</f>
        <v>15000000</v>
      </c>
      <c r="AO280" s="15" t="s">
        <v>4470</v>
      </c>
      <c r="AP280" s="15"/>
      <c r="AQ280" s="15"/>
      <c r="AR280" s="15" t="s">
        <v>4681</v>
      </c>
      <c r="AS280" s="15" t="s">
        <v>4257</v>
      </c>
      <c r="AT280" s="23"/>
      <c r="AU280" s="23"/>
      <c r="AV280" s="23"/>
      <c r="AW280" s="534"/>
      <c r="AX280" s="23"/>
      <c r="AY280" s="23"/>
      <c r="AZ280" s="23"/>
      <c r="BA280" s="23"/>
      <c r="BB280" s="23"/>
      <c r="BC280" s="23"/>
      <c r="BD280" s="23"/>
      <c r="BE280" s="534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  <c r="BP280" s="123" t="s">
        <v>4711</v>
      </c>
      <c r="BQ280" s="348" t="s">
        <v>3190</v>
      </c>
      <c r="BR280" s="584" t="s">
        <v>3191</v>
      </c>
      <c r="BS280" s="123" t="s">
        <v>4712</v>
      </c>
      <c r="BT280" s="36"/>
      <c r="BU280" s="123" t="s">
        <v>4713</v>
      </c>
      <c r="BV280" s="36"/>
      <c r="BW280" s="123" t="s">
        <v>4714</v>
      </c>
      <c r="BX280" s="36"/>
      <c r="BY280" s="23"/>
      <c r="BZ280" s="36"/>
      <c r="CA280" s="23"/>
      <c r="CB280" s="23"/>
      <c r="CC280" s="23"/>
      <c r="CD280" s="23"/>
      <c r="CE280" s="23"/>
      <c r="CF280" s="23"/>
      <c r="CG280" s="123" t="s">
        <v>4708</v>
      </c>
      <c r="CH280" s="23"/>
      <c r="CI280" s="23"/>
      <c r="CJ280" s="36"/>
    </row>
    <row r="281" spans="1:88" ht="95.25" customHeight="1">
      <c r="A281" s="15">
        <v>7</v>
      </c>
      <c r="B281" s="349"/>
      <c r="C281" s="348" t="s">
        <v>4715</v>
      </c>
      <c r="D281" s="139" t="s">
        <v>4716</v>
      </c>
      <c r="E281" s="15" t="s">
        <v>138</v>
      </c>
      <c r="F281" s="15">
        <v>2025</v>
      </c>
      <c r="G281" s="15">
        <v>2025</v>
      </c>
      <c r="H281" s="15">
        <v>12</v>
      </c>
      <c r="I281" s="123" t="s">
        <v>4717</v>
      </c>
      <c r="J281" s="350">
        <v>15000000</v>
      </c>
      <c r="K281" s="582" t="s">
        <v>4676</v>
      </c>
      <c r="L281" s="123" t="s">
        <v>4677</v>
      </c>
      <c r="M281" s="15" t="s">
        <v>4678</v>
      </c>
      <c r="N281" s="15" t="s">
        <v>3223</v>
      </c>
      <c r="O281" s="15" t="s">
        <v>4679</v>
      </c>
      <c r="P281" s="15" t="s">
        <v>4680</v>
      </c>
      <c r="Q281" s="333"/>
      <c r="R281" s="123" t="s">
        <v>4718</v>
      </c>
      <c r="S281" s="341"/>
      <c r="T281" s="583">
        <f>Table32[[#This Row],[Dana Disetujui]]</f>
        <v>15000000</v>
      </c>
      <c r="U281" s="15" t="s">
        <v>4409</v>
      </c>
      <c r="V281" s="15"/>
      <c r="W281" s="15"/>
      <c r="X281" s="15" t="s">
        <v>4681</v>
      </c>
      <c r="Y281" s="15" t="s">
        <v>4257</v>
      </c>
      <c r="Z281" s="15"/>
      <c r="AA281" s="204"/>
      <c r="AB281" s="333"/>
      <c r="AC281" s="333"/>
      <c r="AD281" s="123" t="s">
        <v>123</v>
      </c>
      <c r="AE281" s="583">
        <f>Table32[[#This Row],[Dana Disetujui]]</f>
        <v>15000000</v>
      </c>
      <c r="AF281" s="15" t="s">
        <v>4459</v>
      </c>
      <c r="AG281" s="15"/>
      <c r="AH281" s="15"/>
      <c r="AI281" s="15" t="s">
        <v>4681</v>
      </c>
      <c r="AJ281" s="15" t="s">
        <v>4257</v>
      </c>
      <c r="AK281" s="333"/>
      <c r="AL281" s="341"/>
      <c r="AM281" s="123" t="s">
        <v>4593</v>
      </c>
      <c r="AN281" s="583">
        <f>Table32[[#This Row],[Dana Disetujui]]</f>
        <v>15000000</v>
      </c>
      <c r="AO281" s="15" t="s">
        <v>4719</v>
      </c>
      <c r="AP281" s="15"/>
      <c r="AQ281" s="15"/>
      <c r="AR281" s="15" t="s">
        <v>4681</v>
      </c>
      <c r="AS281" s="15" t="s">
        <v>4257</v>
      </c>
      <c r="AT281" s="23"/>
      <c r="AU281" s="23"/>
      <c r="AV281" s="23"/>
      <c r="AW281" s="534"/>
      <c r="AX281" s="23"/>
      <c r="AY281" s="23"/>
      <c r="AZ281" s="23"/>
      <c r="BA281" s="23"/>
      <c r="BB281" s="23"/>
      <c r="BC281" s="23"/>
      <c r="BD281" s="23"/>
      <c r="BE281" s="534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  <c r="BP281" s="123" t="s">
        <v>4706</v>
      </c>
      <c r="BQ281" s="348" t="s">
        <v>3190</v>
      </c>
      <c r="BR281" s="584" t="s">
        <v>3191</v>
      </c>
      <c r="BS281" s="123" t="s">
        <v>3118</v>
      </c>
      <c r="BT281" s="36"/>
      <c r="BU281" s="123" t="s">
        <v>3117</v>
      </c>
      <c r="BV281" s="36"/>
      <c r="BW281" s="123" t="s">
        <v>4720</v>
      </c>
      <c r="BX281" s="36"/>
      <c r="BY281" s="23"/>
      <c r="BZ281" s="36"/>
      <c r="CA281" s="23"/>
      <c r="CB281" s="23"/>
      <c r="CC281" s="23"/>
      <c r="CD281" s="23"/>
      <c r="CE281" s="23"/>
      <c r="CF281" s="23"/>
      <c r="CG281" s="123" t="s">
        <v>4708</v>
      </c>
      <c r="CH281" s="23"/>
      <c r="CI281" s="23"/>
      <c r="CJ281" s="36"/>
    </row>
    <row r="282" spans="1:88" s="550" customFormat="1" ht="112.5" customHeight="1">
      <c r="A282" s="15">
        <v>8</v>
      </c>
      <c r="B282" s="349"/>
      <c r="C282" s="322" t="s">
        <v>4721</v>
      </c>
      <c r="D282" s="9" t="s">
        <v>4722</v>
      </c>
      <c r="E282" s="346" t="s">
        <v>4723</v>
      </c>
      <c r="F282" s="15">
        <v>2025</v>
      </c>
      <c r="G282" s="15">
        <v>2025</v>
      </c>
      <c r="H282" s="15">
        <v>12</v>
      </c>
      <c r="I282" s="123" t="s">
        <v>3214</v>
      </c>
      <c r="J282" s="350">
        <v>15000000</v>
      </c>
      <c r="K282" s="582" t="s">
        <v>4676</v>
      </c>
      <c r="L282" s="123" t="s">
        <v>4724</v>
      </c>
      <c r="M282" s="15" t="s">
        <v>4678</v>
      </c>
      <c r="N282" s="15" t="s">
        <v>4725</v>
      </c>
      <c r="O282" s="15" t="s">
        <v>4679</v>
      </c>
      <c r="P282" s="347" t="s">
        <v>4726</v>
      </c>
      <c r="Q282" s="15"/>
      <c r="R282" s="123" t="s">
        <v>4727</v>
      </c>
      <c r="S282" s="341"/>
      <c r="T282" s="583">
        <f>Table32[[#This Row],[Dana Disetujui]]</f>
        <v>15000000</v>
      </c>
      <c r="U282" s="15" t="s">
        <v>4470</v>
      </c>
      <c r="V282" s="15"/>
      <c r="W282" s="15"/>
      <c r="X282" s="15" t="s">
        <v>4681</v>
      </c>
      <c r="Y282" s="15" t="s">
        <v>4257</v>
      </c>
      <c r="Z282" s="15"/>
      <c r="AA282" s="585"/>
      <c r="AB282" s="15"/>
      <c r="AC282" s="333"/>
      <c r="AD282" s="123" t="s">
        <v>4728</v>
      </c>
      <c r="AE282" s="583">
        <f>Table32[[#This Row],[Dana Disetujui]]</f>
        <v>15000000</v>
      </c>
      <c r="AF282" s="15" t="s">
        <v>4459</v>
      </c>
      <c r="AG282" s="15"/>
      <c r="AH282" s="15"/>
      <c r="AI282" s="15" t="s">
        <v>4681</v>
      </c>
      <c r="AJ282" s="15" t="s">
        <v>4257</v>
      </c>
      <c r="AK282" s="15"/>
      <c r="AL282" s="341"/>
      <c r="AM282" s="6" t="s">
        <v>4619</v>
      </c>
      <c r="AN282" s="583">
        <f>Table32[[#This Row],[Dana Disetujui]]</f>
        <v>15000000</v>
      </c>
      <c r="AO282" s="15" t="s">
        <v>4729</v>
      </c>
      <c r="AP282" s="15"/>
      <c r="AQ282" s="15"/>
      <c r="AR282" s="15" t="s">
        <v>4681</v>
      </c>
      <c r="AS282" s="15" t="s">
        <v>4257</v>
      </c>
      <c r="AT282" s="23"/>
      <c r="AU282" s="23"/>
      <c r="AV282" s="23"/>
      <c r="AW282" s="534"/>
      <c r="AX282" s="23"/>
      <c r="AY282" s="23"/>
      <c r="AZ282" s="23"/>
      <c r="BA282" s="23"/>
      <c r="BB282" s="23"/>
      <c r="BC282" s="23"/>
      <c r="BD282" s="23"/>
      <c r="BE282" s="534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  <c r="BP282" s="7" t="s">
        <v>4730</v>
      </c>
      <c r="BQ282" s="348" t="s">
        <v>3190</v>
      </c>
      <c r="BR282" s="584" t="s">
        <v>3191</v>
      </c>
      <c r="BS282" s="123" t="s">
        <v>4731</v>
      </c>
      <c r="BT282" s="36"/>
      <c r="BU282" s="7" t="s">
        <v>4732</v>
      </c>
      <c r="BV282" s="36"/>
      <c r="BW282" s="7" t="s">
        <v>4733</v>
      </c>
      <c r="BX282" s="36"/>
      <c r="BY282" s="23"/>
      <c r="BZ282" s="36"/>
      <c r="CA282" s="23"/>
      <c r="CB282" s="23"/>
      <c r="CC282" s="23"/>
      <c r="CD282" s="23"/>
      <c r="CE282" s="23"/>
      <c r="CF282" s="23"/>
      <c r="CG282" s="7" t="s">
        <v>4734</v>
      </c>
      <c r="CH282" s="23"/>
      <c r="CI282" s="23"/>
      <c r="CJ282" s="551"/>
    </row>
    <row r="283" spans="1:88" ht="69.75" customHeight="1">
      <c r="A283" s="15">
        <v>9</v>
      </c>
      <c r="B283" s="349"/>
      <c r="C283" s="348" t="s">
        <v>4735</v>
      </c>
      <c r="D283" s="139" t="s">
        <v>4736</v>
      </c>
      <c r="E283" s="15" t="s">
        <v>138</v>
      </c>
      <c r="F283" s="15">
        <v>2025</v>
      </c>
      <c r="G283" s="15">
        <v>2025</v>
      </c>
      <c r="H283" s="15">
        <v>12</v>
      </c>
      <c r="I283" s="123" t="s">
        <v>4298</v>
      </c>
      <c r="J283" s="350">
        <v>14990000</v>
      </c>
      <c r="K283" s="582" t="s">
        <v>4676</v>
      </c>
      <c r="L283" s="123" t="s">
        <v>4697</v>
      </c>
      <c r="M283" s="15" t="s">
        <v>4678</v>
      </c>
      <c r="N283" s="15" t="s">
        <v>3223</v>
      </c>
      <c r="O283" s="15" t="s">
        <v>4679</v>
      </c>
      <c r="P283" s="15" t="s">
        <v>4680</v>
      </c>
      <c r="Q283" s="333"/>
      <c r="R283" s="123" t="s">
        <v>4600</v>
      </c>
      <c r="S283" s="341"/>
      <c r="T283" s="583">
        <f>Table32[[#This Row],[Dana Disetujui]]</f>
        <v>14990000</v>
      </c>
      <c r="U283" s="15" t="s">
        <v>4478</v>
      </c>
      <c r="V283" s="15"/>
      <c r="W283" s="15"/>
      <c r="X283" s="15" t="s">
        <v>4681</v>
      </c>
      <c r="Y283" s="15" t="s">
        <v>4257</v>
      </c>
      <c r="Z283" s="15"/>
      <c r="AA283" s="204"/>
      <c r="AB283" s="333"/>
      <c r="AC283" s="333"/>
      <c r="AD283" s="123" t="s">
        <v>4562</v>
      </c>
      <c r="AE283" s="583">
        <f>Table32[[#This Row],[Dana Disetujui]]</f>
        <v>14990000</v>
      </c>
      <c r="AF283" s="15" t="s">
        <v>4478</v>
      </c>
      <c r="AG283" s="15"/>
      <c r="AH283" s="15"/>
      <c r="AI283" s="15" t="s">
        <v>4681</v>
      </c>
      <c r="AJ283" s="15" t="s">
        <v>4257</v>
      </c>
      <c r="AK283" s="333"/>
      <c r="AL283" s="341"/>
      <c r="AM283" s="123" t="s">
        <v>4737</v>
      </c>
      <c r="AN283" s="583">
        <f>Table32[[#This Row],[Dana Disetujui]]</f>
        <v>14990000</v>
      </c>
      <c r="AO283" s="23"/>
      <c r="AP283" s="23"/>
      <c r="AQ283" s="23"/>
      <c r="AR283" s="15" t="s">
        <v>4681</v>
      </c>
      <c r="AS283" s="15" t="s">
        <v>4257</v>
      </c>
      <c r="AT283" s="23"/>
      <c r="AU283" s="23"/>
      <c r="AV283" s="23"/>
      <c r="AW283" s="534"/>
      <c r="AX283" s="23"/>
      <c r="AY283" s="23"/>
      <c r="AZ283" s="23"/>
      <c r="BA283" s="23"/>
      <c r="BB283" s="23"/>
      <c r="BC283" s="23"/>
      <c r="BD283" s="23"/>
      <c r="BE283" s="534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  <c r="BP283" s="123" t="s">
        <v>4738</v>
      </c>
      <c r="BQ283" s="348" t="s">
        <v>3190</v>
      </c>
      <c r="BR283" s="584" t="s">
        <v>3191</v>
      </c>
      <c r="BS283" s="123" t="s">
        <v>4739</v>
      </c>
      <c r="BT283" s="36"/>
      <c r="BU283" s="123" t="s">
        <v>4740</v>
      </c>
      <c r="BV283" s="36"/>
      <c r="BW283" s="123" t="s">
        <v>4741</v>
      </c>
      <c r="BX283" s="36"/>
      <c r="BY283" s="23"/>
      <c r="BZ283" s="36"/>
      <c r="CA283" s="23"/>
      <c r="CB283" s="23"/>
      <c r="CC283" s="23"/>
      <c r="CD283" s="23"/>
      <c r="CE283" s="23"/>
      <c r="CF283" s="23"/>
      <c r="CG283" s="123" t="s">
        <v>4708</v>
      </c>
      <c r="CH283" s="23"/>
      <c r="CI283" s="23"/>
      <c r="CJ283" s="36"/>
    </row>
    <row r="284" spans="1:88" ht="82.5" customHeight="1">
      <c r="A284" s="15">
        <v>10</v>
      </c>
      <c r="B284" s="349"/>
      <c r="C284" s="348" t="s">
        <v>4742</v>
      </c>
      <c r="D284" s="139" t="s">
        <v>4743</v>
      </c>
      <c r="E284" s="15" t="s">
        <v>138</v>
      </c>
      <c r="F284" s="15">
        <v>2025</v>
      </c>
      <c r="G284" s="15">
        <v>2025</v>
      </c>
      <c r="H284" s="15">
        <v>12</v>
      </c>
      <c r="I284" s="123" t="s">
        <v>3214</v>
      </c>
      <c r="J284" s="350">
        <v>14950000</v>
      </c>
      <c r="K284" s="582" t="s">
        <v>4676</v>
      </c>
      <c r="L284" s="123" t="s">
        <v>4677</v>
      </c>
      <c r="M284" s="15" t="s">
        <v>4678</v>
      </c>
      <c r="N284" s="15" t="s">
        <v>3223</v>
      </c>
      <c r="O284" s="15" t="s">
        <v>4679</v>
      </c>
      <c r="P284" s="15" t="s">
        <v>4680</v>
      </c>
      <c r="Q284" s="333"/>
      <c r="R284" s="123" t="s">
        <v>117</v>
      </c>
      <c r="S284" s="341"/>
      <c r="T284" s="583">
        <f>Table32[[#This Row],[Dana Disetujui]]</f>
        <v>14950000</v>
      </c>
      <c r="U284" s="15" t="s">
        <v>4452</v>
      </c>
      <c r="V284" s="15"/>
      <c r="W284" s="15"/>
      <c r="X284" s="15" t="s">
        <v>4681</v>
      </c>
      <c r="Y284" s="15" t="s">
        <v>4257</v>
      </c>
      <c r="Z284" s="15"/>
      <c r="AA284" s="204"/>
      <c r="AB284" s="333"/>
      <c r="AC284" s="333"/>
      <c r="AD284" s="123" t="s">
        <v>4744</v>
      </c>
      <c r="AE284" s="583">
        <f>Table32[[#This Row],[Dana Disetujui]]</f>
        <v>14950000</v>
      </c>
      <c r="AF284" s="15" t="s">
        <v>4452</v>
      </c>
      <c r="AG284" s="15"/>
      <c r="AH284" s="15"/>
      <c r="AI284" s="15" t="s">
        <v>4681</v>
      </c>
      <c r="AJ284" s="15" t="s">
        <v>4257</v>
      </c>
      <c r="AK284" s="333"/>
      <c r="AL284" s="341"/>
      <c r="AM284" s="123" t="s">
        <v>4666</v>
      </c>
      <c r="AN284" s="583">
        <f>Table32[[#This Row],[Dana Disetujui]]</f>
        <v>14950000</v>
      </c>
      <c r="AO284" s="15" t="s">
        <v>4459</v>
      </c>
      <c r="AP284" s="15"/>
      <c r="AQ284" s="15"/>
      <c r="AR284" s="15" t="s">
        <v>4681</v>
      </c>
      <c r="AS284" s="15" t="s">
        <v>4257</v>
      </c>
      <c r="AT284" s="23"/>
      <c r="AU284" s="23"/>
      <c r="AV284" s="23"/>
      <c r="AW284" s="534"/>
      <c r="AX284" s="23"/>
      <c r="AY284" s="23"/>
      <c r="AZ284" s="23"/>
      <c r="BA284" s="23"/>
      <c r="BB284" s="23"/>
      <c r="BC284" s="23"/>
      <c r="BD284" s="23"/>
      <c r="BE284" s="534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  <c r="BP284" s="123" t="s">
        <v>4745</v>
      </c>
      <c r="BQ284" s="348" t="s">
        <v>3190</v>
      </c>
      <c r="BR284" s="584" t="s">
        <v>3191</v>
      </c>
      <c r="BS284" s="123" t="s">
        <v>4746</v>
      </c>
      <c r="BT284" s="36"/>
      <c r="BU284" s="123" t="s">
        <v>4747</v>
      </c>
      <c r="BV284" s="36"/>
      <c r="BW284" s="123" t="s">
        <v>4748</v>
      </c>
      <c r="BX284" s="36"/>
      <c r="BY284" s="23"/>
      <c r="BZ284" s="36"/>
      <c r="CA284" s="23"/>
      <c r="CB284" s="23"/>
      <c r="CC284" s="23"/>
      <c r="CD284" s="23"/>
      <c r="CE284" s="23"/>
      <c r="CF284" s="23"/>
      <c r="CG284" s="123" t="s">
        <v>4708</v>
      </c>
      <c r="CH284" s="23"/>
      <c r="CI284" s="23"/>
      <c r="CJ284" s="36"/>
    </row>
    <row r="285" spans="1:88" ht="96">
      <c r="A285" s="15">
        <v>11</v>
      </c>
      <c r="B285" s="349"/>
      <c r="C285" s="348" t="s">
        <v>4749</v>
      </c>
      <c r="D285" s="139" t="s">
        <v>4750</v>
      </c>
      <c r="E285" s="15" t="s">
        <v>138</v>
      </c>
      <c r="F285" s="15">
        <v>2025</v>
      </c>
      <c r="G285" s="15">
        <v>2025</v>
      </c>
      <c r="H285" s="15">
        <v>12</v>
      </c>
      <c r="I285" s="123" t="s">
        <v>3214</v>
      </c>
      <c r="J285" s="350">
        <v>14575000</v>
      </c>
      <c r="K285" s="582" t="s">
        <v>4676</v>
      </c>
      <c r="L285" s="123" t="s">
        <v>4688</v>
      </c>
      <c r="M285" s="15" t="s">
        <v>4678</v>
      </c>
      <c r="N285" s="15" t="s">
        <v>3223</v>
      </c>
      <c r="O285" s="15" t="s">
        <v>4679</v>
      </c>
      <c r="P285" s="15" t="s">
        <v>4680</v>
      </c>
      <c r="Q285" s="333"/>
      <c r="R285" s="123" t="s">
        <v>4751</v>
      </c>
      <c r="S285" s="341"/>
      <c r="T285" s="583">
        <f>Table32[[#This Row],[Dana Disetujui]]</f>
        <v>14575000</v>
      </c>
      <c r="U285" s="15" t="s">
        <v>4478</v>
      </c>
      <c r="V285" s="15"/>
      <c r="W285" s="15"/>
      <c r="X285" s="15" t="s">
        <v>4681</v>
      </c>
      <c r="Y285" s="15" t="s">
        <v>4257</v>
      </c>
      <c r="Z285" s="15"/>
      <c r="AA285" s="204"/>
      <c r="AB285" s="333"/>
      <c r="AC285" s="333"/>
      <c r="AD285" s="123" t="s">
        <v>4305</v>
      </c>
      <c r="AE285" s="583">
        <f>Table32[[#This Row],[Dana Disetujui]]</f>
        <v>14575000</v>
      </c>
      <c r="AF285" s="15" t="s">
        <v>4478</v>
      </c>
      <c r="AG285" s="15"/>
      <c r="AH285" s="15"/>
      <c r="AI285" s="15" t="s">
        <v>4681</v>
      </c>
      <c r="AJ285" s="15" t="s">
        <v>4257</v>
      </c>
      <c r="AK285" s="333"/>
      <c r="AL285" s="341"/>
      <c r="AM285" s="123" t="s">
        <v>115</v>
      </c>
      <c r="AN285" s="583">
        <f>Table32[[#This Row],[Dana Disetujui]]</f>
        <v>14575000</v>
      </c>
      <c r="AO285" s="15" t="s">
        <v>4478</v>
      </c>
      <c r="AP285" s="15"/>
      <c r="AQ285" s="15"/>
      <c r="AR285" s="15" t="s">
        <v>4681</v>
      </c>
      <c r="AS285" s="15" t="s">
        <v>4257</v>
      </c>
      <c r="AT285" s="23"/>
      <c r="AU285" s="23"/>
      <c r="AV285" s="23"/>
      <c r="AW285" s="534"/>
      <c r="AX285" s="23"/>
      <c r="AY285" s="23"/>
      <c r="AZ285" s="23"/>
      <c r="BA285" s="23"/>
      <c r="BB285" s="23"/>
      <c r="BC285" s="23"/>
      <c r="BD285" s="23"/>
      <c r="BE285" s="534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  <c r="BP285" s="123" t="s">
        <v>4730</v>
      </c>
      <c r="BQ285" s="348" t="s">
        <v>3190</v>
      </c>
      <c r="BR285" s="584" t="s">
        <v>3191</v>
      </c>
      <c r="BS285" s="123" t="s">
        <v>4752</v>
      </c>
      <c r="BT285" s="36"/>
      <c r="BU285" s="123" t="s">
        <v>4753</v>
      </c>
      <c r="BV285" s="36"/>
      <c r="BW285" s="123" t="s">
        <v>4754</v>
      </c>
      <c r="BX285" s="36"/>
      <c r="BY285" s="23"/>
      <c r="BZ285" s="36"/>
      <c r="CA285" s="23"/>
      <c r="CB285" s="23"/>
      <c r="CC285" s="23"/>
      <c r="CD285" s="23"/>
      <c r="CE285" s="23"/>
      <c r="CF285" s="23"/>
      <c r="CG285" s="123" t="s">
        <v>4708</v>
      </c>
      <c r="CH285" s="23"/>
      <c r="CI285" s="23"/>
      <c r="CJ285" s="36"/>
    </row>
    <row r="286" spans="1:88" ht="96">
      <c r="A286" s="15">
        <v>12</v>
      </c>
      <c r="B286" s="349"/>
      <c r="C286" s="348" t="s">
        <v>4755</v>
      </c>
      <c r="D286" s="139" t="s">
        <v>4756</v>
      </c>
      <c r="E286" s="15" t="s">
        <v>138</v>
      </c>
      <c r="F286" s="15">
        <v>2025</v>
      </c>
      <c r="G286" s="15">
        <v>2025</v>
      </c>
      <c r="H286" s="15">
        <v>12</v>
      </c>
      <c r="I286" s="123" t="s">
        <v>4757</v>
      </c>
      <c r="J286" s="350">
        <v>14250000</v>
      </c>
      <c r="K286" s="582" t="s">
        <v>4676</v>
      </c>
      <c r="L286" s="123" t="s">
        <v>4697</v>
      </c>
      <c r="M286" s="15" t="s">
        <v>4678</v>
      </c>
      <c r="N286" s="15" t="s">
        <v>3223</v>
      </c>
      <c r="O286" s="15" t="s">
        <v>4679</v>
      </c>
      <c r="P286" s="15" t="s">
        <v>4680</v>
      </c>
      <c r="Q286" s="333"/>
      <c r="R286" s="123" t="s">
        <v>4350</v>
      </c>
      <c r="S286" s="341"/>
      <c r="T286" s="583">
        <f>Table32[[#This Row],[Dana Disetujui]]</f>
        <v>14250000</v>
      </c>
      <c r="U286" s="15" t="s">
        <v>4452</v>
      </c>
      <c r="V286" s="15"/>
      <c r="W286" s="15"/>
      <c r="X286" s="15" t="s">
        <v>4681</v>
      </c>
      <c r="Y286" s="15" t="s">
        <v>4257</v>
      </c>
      <c r="Z286" s="15"/>
      <c r="AA286" s="204"/>
      <c r="AB286" s="333"/>
      <c r="AC286" s="333"/>
      <c r="AD286" s="123" t="s">
        <v>117</v>
      </c>
      <c r="AE286" s="583">
        <f>Table32[[#This Row],[Dana Disetujui]]</f>
        <v>14250000</v>
      </c>
      <c r="AF286" s="15" t="s">
        <v>4452</v>
      </c>
      <c r="AG286" s="15"/>
      <c r="AH286" s="15"/>
      <c r="AI286" s="15" t="s">
        <v>4681</v>
      </c>
      <c r="AJ286" s="15" t="s">
        <v>4257</v>
      </c>
      <c r="AK286" s="333"/>
      <c r="AL286" s="341"/>
      <c r="AM286" s="123" t="s">
        <v>4147</v>
      </c>
      <c r="AN286" s="583">
        <f>Table32[[#This Row],[Dana Disetujui]]</f>
        <v>14250000</v>
      </c>
      <c r="AO286" s="15" t="s">
        <v>4758</v>
      </c>
      <c r="AP286" s="15"/>
      <c r="AQ286" s="15"/>
      <c r="AR286" s="15" t="s">
        <v>4681</v>
      </c>
      <c r="AS286" s="15" t="s">
        <v>4257</v>
      </c>
      <c r="AT286" s="23"/>
      <c r="AU286" s="23"/>
      <c r="AV286" s="23"/>
      <c r="AW286" s="534"/>
      <c r="AX286" s="23"/>
      <c r="AY286" s="23"/>
      <c r="AZ286" s="23"/>
      <c r="BA286" s="23"/>
      <c r="BB286" s="23"/>
      <c r="BC286" s="23"/>
      <c r="BD286" s="23"/>
      <c r="BE286" s="534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  <c r="BP286" s="123" t="s">
        <v>4759</v>
      </c>
      <c r="BQ286" s="348" t="s">
        <v>3190</v>
      </c>
      <c r="BR286" s="584" t="s">
        <v>3191</v>
      </c>
      <c r="BS286" s="123" t="s">
        <v>4700</v>
      </c>
      <c r="BT286" s="36"/>
      <c r="BU286" s="123" t="s">
        <v>4760</v>
      </c>
      <c r="BV286" s="36"/>
      <c r="BW286" s="123" t="s">
        <v>4761</v>
      </c>
      <c r="BX286" s="36"/>
      <c r="BY286" s="23"/>
      <c r="BZ286" s="36"/>
      <c r="CA286" s="23"/>
      <c r="CB286" s="23"/>
      <c r="CC286" s="23"/>
      <c r="CD286" s="23"/>
      <c r="CE286" s="23"/>
      <c r="CF286" s="23"/>
      <c r="CG286" s="123" t="s">
        <v>4708</v>
      </c>
      <c r="CH286" s="23"/>
      <c r="CI286" s="23"/>
      <c r="CJ286" s="36"/>
    </row>
    <row r="287" spans="1:88" ht="78" customHeight="1">
      <c r="A287" s="15">
        <v>13</v>
      </c>
      <c r="B287" s="349"/>
      <c r="C287" s="348" t="s">
        <v>4762</v>
      </c>
      <c r="D287" s="139" t="s">
        <v>4763</v>
      </c>
      <c r="E287" s="15" t="s">
        <v>138</v>
      </c>
      <c r="F287" s="15">
        <v>2025</v>
      </c>
      <c r="G287" s="15">
        <v>2025</v>
      </c>
      <c r="H287" s="15">
        <v>12</v>
      </c>
      <c r="I287" s="123" t="s">
        <v>3214</v>
      </c>
      <c r="J287" s="350">
        <v>14247750</v>
      </c>
      <c r="K287" s="582" t="s">
        <v>4676</v>
      </c>
      <c r="L287" s="123" t="s">
        <v>4688</v>
      </c>
      <c r="M287" s="15" t="s">
        <v>4678</v>
      </c>
      <c r="N287" s="15" t="s">
        <v>3223</v>
      </c>
      <c r="O287" s="15" t="s">
        <v>4679</v>
      </c>
      <c r="P287" s="15" t="s">
        <v>4680</v>
      </c>
      <c r="Q287" s="333"/>
      <c r="R287" s="123" t="s">
        <v>141</v>
      </c>
      <c r="S287" s="341"/>
      <c r="T287" s="583">
        <f>Table32[[#This Row],[Dana Disetujui]]</f>
        <v>14247750</v>
      </c>
      <c r="U287" s="15" t="s">
        <v>4478</v>
      </c>
      <c r="V287" s="15"/>
      <c r="W287" s="15"/>
      <c r="X287" s="15" t="s">
        <v>4681</v>
      </c>
      <c r="Y287" s="15" t="s">
        <v>4257</v>
      </c>
      <c r="Z287" s="15"/>
      <c r="AA287" s="204"/>
      <c r="AB287" s="333"/>
      <c r="AC287" s="333"/>
      <c r="AD287" s="123" t="s">
        <v>137</v>
      </c>
      <c r="AE287" s="583">
        <f>Table32[[#This Row],[Dana Disetujui]]</f>
        <v>14247750</v>
      </c>
      <c r="AF287" s="15" t="s">
        <v>4729</v>
      </c>
      <c r="AG287" s="15"/>
      <c r="AH287" s="15"/>
      <c r="AI287" s="15" t="s">
        <v>4681</v>
      </c>
      <c r="AJ287" s="15" t="s">
        <v>4257</v>
      </c>
      <c r="AK287" s="333"/>
      <c r="AL287" s="341"/>
      <c r="AM287" s="123" t="s">
        <v>4764</v>
      </c>
      <c r="AN287" s="583">
        <f>Table32[[#This Row],[Dana Disetujui]]</f>
        <v>14247750</v>
      </c>
      <c r="AO287" s="15" t="s">
        <v>4719</v>
      </c>
      <c r="AP287" s="15"/>
      <c r="AQ287" s="15"/>
      <c r="AR287" s="15" t="s">
        <v>4681</v>
      </c>
      <c r="AS287" s="15" t="s">
        <v>4257</v>
      </c>
      <c r="AT287" s="23"/>
      <c r="AU287" s="23"/>
      <c r="AV287" s="23"/>
      <c r="AW287" s="534"/>
      <c r="AX287" s="23"/>
      <c r="AY287" s="23"/>
      <c r="AZ287" s="23"/>
      <c r="BA287" s="23"/>
      <c r="BB287" s="23"/>
      <c r="BC287" s="23"/>
      <c r="BD287" s="23"/>
      <c r="BE287" s="534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  <c r="BP287" s="123" t="s">
        <v>4730</v>
      </c>
      <c r="BQ287" s="348" t="s">
        <v>3190</v>
      </c>
      <c r="BR287" s="584" t="s">
        <v>3191</v>
      </c>
      <c r="BS287" s="123" t="s">
        <v>4765</v>
      </c>
      <c r="BT287" s="36"/>
      <c r="BU287" s="123" t="s">
        <v>4766</v>
      </c>
      <c r="BV287" s="36"/>
      <c r="BW287" s="123" t="s">
        <v>4767</v>
      </c>
      <c r="BX287" s="36"/>
      <c r="BY287" s="23"/>
      <c r="BZ287" s="36"/>
      <c r="CA287" s="23"/>
      <c r="CB287" s="23"/>
      <c r="CC287" s="23"/>
      <c r="CD287" s="23"/>
      <c r="CE287" s="23"/>
      <c r="CF287" s="23"/>
      <c r="CG287" s="123" t="s">
        <v>4708</v>
      </c>
      <c r="CH287" s="23"/>
      <c r="CI287" s="23"/>
      <c r="CJ287" s="36"/>
    </row>
    <row r="288" spans="1:88" ht="85.5" customHeight="1">
      <c r="A288" s="15">
        <v>14</v>
      </c>
      <c r="B288" s="349"/>
      <c r="C288" s="348" t="s">
        <v>4768</v>
      </c>
      <c r="D288" s="139" t="s">
        <v>4769</v>
      </c>
      <c r="E288" s="15" t="s">
        <v>138</v>
      </c>
      <c r="F288" s="15">
        <v>2025</v>
      </c>
      <c r="G288" s="15">
        <v>2025</v>
      </c>
      <c r="H288" s="15">
        <v>12</v>
      </c>
      <c r="I288" s="123" t="s">
        <v>3307</v>
      </c>
      <c r="J288" s="350">
        <v>13950000</v>
      </c>
      <c r="K288" s="582" t="s">
        <v>4676</v>
      </c>
      <c r="L288" s="123" t="s">
        <v>4724</v>
      </c>
      <c r="M288" s="15" t="s">
        <v>4678</v>
      </c>
      <c r="N288" s="15" t="s">
        <v>3223</v>
      </c>
      <c r="O288" s="15" t="s">
        <v>4679</v>
      </c>
      <c r="P288" s="15" t="s">
        <v>4680</v>
      </c>
      <c r="Q288" s="333"/>
      <c r="R288" s="123" t="s">
        <v>4770</v>
      </c>
      <c r="S288" s="341"/>
      <c r="T288" s="583">
        <f>Table32[[#This Row],[Dana Disetujui]]</f>
        <v>13950000</v>
      </c>
      <c r="U288" s="15" t="s">
        <v>4729</v>
      </c>
      <c r="V288" s="15" t="s">
        <v>160</v>
      </c>
      <c r="W288" s="15"/>
      <c r="X288" s="15" t="s">
        <v>4681</v>
      </c>
      <c r="Y288" s="15" t="s">
        <v>4257</v>
      </c>
      <c r="Z288" s="15"/>
      <c r="AA288" s="204"/>
      <c r="AB288" s="333"/>
      <c r="AC288" s="333"/>
      <c r="AD288" s="123" t="s">
        <v>4771</v>
      </c>
      <c r="AE288" s="583">
        <f>Table32[[#This Row],[Dana Disetujui]]</f>
        <v>13950000</v>
      </c>
      <c r="AF288" s="15"/>
      <c r="AG288" s="15"/>
      <c r="AH288" s="15"/>
      <c r="AI288" s="15" t="s">
        <v>4681</v>
      </c>
      <c r="AJ288" s="15" t="s">
        <v>4257</v>
      </c>
      <c r="AK288" s="333"/>
      <c r="AL288" s="341"/>
      <c r="AM288" s="123" t="s">
        <v>3120</v>
      </c>
      <c r="AN288" s="583">
        <f>Table32[[#This Row],[Dana Disetujui]]</f>
        <v>13950000</v>
      </c>
      <c r="AO288" s="15" t="s">
        <v>4470</v>
      </c>
      <c r="AP288" s="15"/>
      <c r="AQ288" s="15"/>
      <c r="AR288" s="15" t="s">
        <v>4681</v>
      </c>
      <c r="AS288" s="15" t="s">
        <v>4257</v>
      </c>
      <c r="AT288" s="23"/>
      <c r="AU288" s="23"/>
      <c r="AV288" s="23"/>
      <c r="AW288" s="534"/>
      <c r="AX288" s="23"/>
      <c r="AY288" s="23"/>
      <c r="AZ288" s="23"/>
      <c r="BA288" s="23"/>
      <c r="BB288" s="23"/>
      <c r="BC288" s="23"/>
      <c r="BD288" s="23"/>
      <c r="BE288" s="534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  <c r="BP288" s="123" t="s">
        <v>4772</v>
      </c>
      <c r="BQ288" s="348" t="s">
        <v>3190</v>
      </c>
      <c r="BR288" s="584" t="s">
        <v>3191</v>
      </c>
      <c r="BS288" s="123" t="s">
        <v>4773</v>
      </c>
      <c r="BT288" s="36"/>
      <c r="BU288" s="123" t="s">
        <v>4774</v>
      </c>
      <c r="BV288" s="36"/>
      <c r="BW288" s="123" t="s">
        <v>4775</v>
      </c>
      <c r="BX288" s="36"/>
      <c r="BY288" s="23"/>
      <c r="BZ288" s="36"/>
      <c r="CA288" s="23"/>
      <c r="CB288" s="23"/>
      <c r="CC288" s="23"/>
      <c r="CD288" s="23"/>
      <c r="CE288" s="23"/>
      <c r="CF288" s="23"/>
      <c r="CG288" s="123" t="s">
        <v>4708</v>
      </c>
      <c r="CH288" s="23"/>
      <c r="CI288" s="23"/>
      <c r="CJ288" s="36"/>
    </row>
    <row r="289" spans="1:88" s="550" customFormat="1" ht="73.5" customHeight="1">
      <c r="A289" s="15">
        <v>15</v>
      </c>
      <c r="B289" s="349"/>
      <c r="C289" s="348" t="s">
        <v>4776</v>
      </c>
      <c r="D289" s="139" t="s">
        <v>4777</v>
      </c>
      <c r="E289" s="15" t="s">
        <v>138</v>
      </c>
      <c r="F289" s="15">
        <v>2025</v>
      </c>
      <c r="G289" s="15">
        <v>2025</v>
      </c>
      <c r="H289" s="15">
        <v>12</v>
      </c>
      <c r="I289" s="123" t="s">
        <v>3214</v>
      </c>
      <c r="J289" s="350">
        <v>13791210</v>
      </c>
      <c r="K289" s="582" t="s">
        <v>4676</v>
      </c>
      <c r="L289" s="123" t="s">
        <v>4677</v>
      </c>
      <c r="M289" s="15" t="s">
        <v>4678</v>
      </c>
      <c r="N289" s="15" t="s">
        <v>3223</v>
      </c>
      <c r="O289" s="15" t="s">
        <v>4679</v>
      </c>
      <c r="P289" s="15" t="s">
        <v>4680</v>
      </c>
      <c r="Q289" s="333"/>
      <c r="R289" s="123" t="s">
        <v>3081</v>
      </c>
      <c r="S289" s="341"/>
      <c r="T289" s="583">
        <f>Table32[[#This Row],[Dana Disetujui]]</f>
        <v>13791210</v>
      </c>
      <c r="U289" s="15" t="s">
        <v>4705</v>
      </c>
      <c r="V289" s="15"/>
      <c r="W289" s="15"/>
      <c r="X289" s="15" t="s">
        <v>4681</v>
      </c>
      <c r="Y289" s="15" t="s">
        <v>4257</v>
      </c>
      <c r="Z289" s="15"/>
      <c r="AA289" s="204"/>
      <c r="AB289" s="333"/>
      <c r="AC289" s="333"/>
      <c r="AD289" s="123" t="s">
        <v>115</v>
      </c>
      <c r="AE289" s="583">
        <f>Table32[[#This Row],[Dana Disetujui]]</f>
        <v>13791210</v>
      </c>
      <c r="AF289" s="15" t="s">
        <v>4478</v>
      </c>
      <c r="AG289" s="15"/>
      <c r="AH289" s="15"/>
      <c r="AI289" s="15" t="s">
        <v>4681</v>
      </c>
      <c r="AJ289" s="15" t="s">
        <v>4257</v>
      </c>
      <c r="AK289" s="333"/>
      <c r="AL289" s="341"/>
      <c r="AM289" s="123" t="s">
        <v>139</v>
      </c>
      <c r="AN289" s="583">
        <f>Table32[[#This Row],[Dana Disetujui]]</f>
        <v>13791210</v>
      </c>
      <c r="AO289" s="15" t="s">
        <v>4778</v>
      </c>
      <c r="AP289" s="15"/>
      <c r="AQ289" s="15"/>
      <c r="AR289" s="15" t="s">
        <v>4681</v>
      </c>
      <c r="AS289" s="15" t="s">
        <v>4257</v>
      </c>
      <c r="AT289" s="23"/>
      <c r="AU289" s="23"/>
      <c r="AV289" s="23"/>
      <c r="AW289" s="534"/>
      <c r="AX289" s="23"/>
      <c r="AY289" s="23"/>
      <c r="AZ289" s="23"/>
      <c r="BA289" s="23"/>
      <c r="BB289" s="23"/>
      <c r="BC289" s="23"/>
      <c r="BD289" s="23"/>
      <c r="BE289" s="534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  <c r="BP289" s="123" t="s">
        <v>4779</v>
      </c>
      <c r="BQ289" s="348" t="s">
        <v>3190</v>
      </c>
      <c r="BR289" s="584" t="s">
        <v>3191</v>
      </c>
      <c r="BS289" s="123" t="s">
        <v>4780</v>
      </c>
      <c r="BT289" s="36"/>
      <c r="BU289" s="123" t="s">
        <v>4707</v>
      </c>
      <c r="BV289" s="36"/>
      <c r="BW289" s="123" t="s">
        <v>4781</v>
      </c>
      <c r="BX289" s="36"/>
      <c r="BY289" s="23"/>
      <c r="BZ289" s="36"/>
      <c r="CA289" s="23"/>
      <c r="CB289" s="23"/>
      <c r="CC289" s="23"/>
      <c r="CD289" s="23"/>
      <c r="CE289" s="23"/>
      <c r="CF289" s="23"/>
      <c r="CG289" s="123" t="s">
        <v>4708</v>
      </c>
      <c r="CH289" s="23"/>
      <c r="CI289" s="23"/>
      <c r="CJ289" s="551"/>
    </row>
    <row r="290" spans="1:88" ht="78.75" customHeight="1">
      <c r="A290" s="15">
        <v>16</v>
      </c>
      <c r="B290" s="349"/>
      <c r="C290" s="348" t="s">
        <v>4782</v>
      </c>
      <c r="D290" s="139" t="s">
        <v>4783</v>
      </c>
      <c r="E290" s="15" t="s">
        <v>138</v>
      </c>
      <c r="F290" s="15">
        <v>2025</v>
      </c>
      <c r="G290" s="15">
        <v>2025</v>
      </c>
      <c r="H290" s="15">
        <v>12</v>
      </c>
      <c r="I290" s="123" t="s">
        <v>4298</v>
      </c>
      <c r="J290" s="350">
        <v>12000000</v>
      </c>
      <c r="K290" s="582" t="s">
        <v>4676</v>
      </c>
      <c r="L290" s="123" t="s">
        <v>4688</v>
      </c>
      <c r="M290" s="15" t="s">
        <v>4678</v>
      </c>
      <c r="N290" s="15" t="s">
        <v>3223</v>
      </c>
      <c r="O290" s="15" t="s">
        <v>4679</v>
      </c>
      <c r="P290" s="15" t="s">
        <v>4680</v>
      </c>
      <c r="Q290" s="333"/>
      <c r="R290" s="123" t="s">
        <v>4316</v>
      </c>
      <c r="S290" s="341"/>
      <c r="T290" s="583">
        <f>Table32[[#This Row],[Dana Disetujui]]</f>
        <v>12000000</v>
      </c>
      <c r="U290" s="15" t="s">
        <v>4705</v>
      </c>
      <c r="V290" s="15"/>
      <c r="W290" s="15"/>
      <c r="X290" s="15" t="s">
        <v>4681</v>
      </c>
      <c r="Y290" s="15" t="s">
        <v>4257</v>
      </c>
      <c r="Z290" s="15"/>
      <c r="AA290" s="204"/>
      <c r="AB290" s="333"/>
      <c r="AC290" s="333"/>
      <c r="AD290" s="123" t="s">
        <v>4331</v>
      </c>
      <c r="AE290" s="583">
        <f>Table32[[#This Row],[Dana Disetujui]]</f>
        <v>12000000</v>
      </c>
      <c r="AF290" s="15" t="s">
        <v>4705</v>
      </c>
      <c r="AG290" s="15"/>
      <c r="AH290" s="15"/>
      <c r="AI290" s="15" t="s">
        <v>4681</v>
      </c>
      <c r="AJ290" s="15" t="s">
        <v>4257</v>
      </c>
      <c r="AK290" s="333"/>
      <c r="AL290" s="341"/>
      <c r="AM290" s="123" t="s">
        <v>4764</v>
      </c>
      <c r="AN290" s="583">
        <f>Table32[[#This Row],[Dana Disetujui]]</f>
        <v>12000000</v>
      </c>
      <c r="AO290" s="15" t="s">
        <v>4317</v>
      </c>
      <c r="AP290" s="15"/>
      <c r="AQ290" s="15"/>
      <c r="AR290" s="15" t="s">
        <v>4681</v>
      </c>
      <c r="AS290" s="15" t="s">
        <v>4257</v>
      </c>
      <c r="AT290" s="23"/>
      <c r="AU290" s="23"/>
      <c r="AV290" s="23"/>
      <c r="AW290" s="534"/>
      <c r="AX290" s="23"/>
      <c r="AY290" s="23"/>
      <c r="AZ290" s="23"/>
      <c r="BA290" s="23"/>
      <c r="BB290" s="23"/>
      <c r="BC290" s="23"/>
      <c r="BD290" s="23"/>
      <c r="BE290" s="534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  <c r="BP290" s="123" t="s">
        <v>4711</v>
      </c>
      <c r="BQ290" s="348" t="s">
        <v>3190</v>
      </c>
      <c r="BR290" s="584" t="s">
        <v>3191</v>
      </c>
      <c r="BS290" s="123" t="s">
        <v>4784</v>
      </c>
      <c r="BT290" s="36"/>
      <c r="BU290" s="123" t="s">
        <v>4785</v>
      </c>
      <c r="BV290" s="36"/>
      <c r="BW290" s="123" t="s">
        <v>4786</v>
      </c>
      <c r="BX290" s="36"/>
      <c r="BY290" s="23"/>
      <c r="BZ290" s="36"/>
      <c r="CA290" s="23"/>
      <c r="CB290" s="23"/>
      <c r="CC290" s="23"/>
      <c r="CD290" s="23"/>
      <c r="CE290" s="23"/>
      <c r="CF290" s="23"/>
      <c r="CG290" s="123" t="s">
        <v>4787</v>
      </c>
      <c r="CH290" s="23"/>
      <c r="CI290" s="23"/>
      <c r="CJ290" s="36"/>
    </row>
    <row r="291" spans="1:88" ht="77.25" customHeight="1">
      <c r="A291" s="15">
        <v>17</v>
      </c>
      <c r="B291" s="349"/>
      <c r="C291" s="348" t="s">
        <v>4788</v>
      </c>
      <c r="D291" s="139" t="s">
        <v>4789</v>
      </c>
      <c r="E291" s="15" t="s">
        <v>138</v>
      </c>
      <c r="F291" s="15">
        <v>2025</v>
      </c>
      <c r="G291" s="15">
        <v>2025</v>
      </c>
      <c r="H291" s="15">
        <v>12</v>
      </c>
      <c r="I291" s="123" t="s">
        <v>3214</v>
      </c>
      <c r="J291" s="350">
        <v>12000000</v>
      </c>
      <c r="K291" s="582" t="s">
        <v>4676</v>
      </c>
      <c r="L291" s="123" t="s">
        <v>4677</v>
      </c>
      <c r="M291" s="15" t="s">
        <v>4678</v>
      </c>
      <c r="N291" s="15" t="s">
        <v>3223</v>
      </c>
      <c r="O291" s="15" t="s">
        <v>4679</v>
      </c>
      <c r="P291" s="15" t="s">
        <v>4680</v>
      </c>
      <c r="Q291" s="333"/>
      <c r="R291" s="123" t="s">
        <v>4661</v>
      </c>
      <c r="S291" s="341"/>
      <c r="T291" s="583">
        <f>Table32[[#This Row],[Dana Disetujui]]</f>
        <v>12000000</v>
      </c>
      <c r="U291" s="15" t="s">
        <v>4470</v>
      </c>
      <c r="V291" s="15"/>
      <c r="W291" s="15"/>
      <c r="X291" s="15" t="s">
        <v>4681</v>
      </c>
      <c r="Y291" s="15" t="s">
        <v>4257</v>
      </c>
      <c r="Z291" s="15"/>
      <c r="AA291" s="204"/>
      <c r="AB291" s="333"/>
      <c r="AC291" s="333"/>
      <c r="AD291" s="123" t="s">
        <v>3111</v>
      </c>
      <c r="AE291" s="583">
        <f>Table32[[#This Row],[Dana Disetujui]]</f>
        <v>12000000</v>
      </c>
      <c r="AF291" s="15" t="s">
        <v>4470</v>
      </c>
      <c r="AG291" s="15"/>
      <c r="AH291" s="15"/>
      <c r="AI291" s="15" t="s">
        <v>4681</v>
      </c>
      <c r="AJ291" s="15" t="s">
        <v>4257</v>
      </c>
      <c r="AK291" s="333"/>
      <c r="AL291" s="341"/>
      <c r="AM291" s="123" t="s">
        <v>3115</v>
      </c>
      <c r="AN291" s="583">
        <f>Table32[[#This Row],[Dana Disetujui]]</f>
        <v>12000000</v>
      </c>
      <c r="AO291" s="15" t="s">
        <v>4470</v>
      </c>
      <c r="AP291" s="15"/>
      <c r="AQ291" s="15"/>
      <c r="AR291" s="15" t="s">
        <v>4681</v>
      </c>
      <c r="AS291" s="15" t="s">
        <v>4257</v>
      </c>
      <c r="AT291" s="23"/>
      <c r="AU291" s="23"/>
      <c r="AV291" s="23"/>
      <c r="AW291" s="534"/>
      <c r="AX291" s="23"/>
      <c r="AY291" s="23"/>
      <c r="AZ291" s="23"/>
      <c r="BA291" s="23"/>
      <c r="BB291" s="23"/>
      <c r="BC291" s="23"/>
      <c r="BD291" s="23"/>
      <c r="BE291" s="534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  <c r="BP291" s="123" t="s">
        <v>4790</v>
      </c>
      <c r="BQ291" s="348" t="s">
        <v>3190</v>
      </c>
      <c r="BR291" s="584" t="s">
        <v>3191</v>
      </c>
      <c r="BS291" s="123" t="s">
        <v>4791</v>
      </c>
      <c r="BT291" s="36"/>
      <c r="BU291" s="123" t="s">
        <v>4792</v>
      </c>
      <c r="BV291" s="36"/>
      <c r="BW291" s="123" t="s">
        <v>4793</v>
      </c>
      <c r="BX291" s="36"/>
      <c r="BY291" s="23"/>
      <c r="BZ291" s="36"/>
      <c r="CA291" s="23"/>
      <c r="CB291" s="23"/>
      <c r="CC291" s="23"/>
      <c r="CD291" s="23"/>
      <c r="CE291" s="23"/>
      <c r="CF291" s="23"/>
      <c r="CG291" s="123" t="s">
        <v>4787</v>
      </c>
      <c r="CH291" s="23"/>
      <c r="CI291" s="23"/>
      <c r="CJ291" s="36"/>
    </row>
    <row r="292" spans="1:88" ht="98.25" customHeight="1">
      <c r="A292" s="15">
        <v>18</v>
      </c>
      <c r="B292" s="349"/>
      <c r="C292" s="348" t="s">
        <v>4794</v>
      </c>
      <c r="D292" s="139" t="s">
        <v>4795</v>
      </c>
      <c r="E292" s="15" t="s">
        <v>138</v>
      </c>
      <c r="F292" s="15">
        <v>2025</v>
      </c>
      <c r="G292" s="15">
        <v>2025</v>
      </c>
      <c r="H292" s="15">
        <v>12</v>
      </c>
      <c r="I292" s="123" t="s">
        <v>4796</v>
      </c>
      <c r="J292" s="350">
        <v>12000000</v>
      </c>
      <c r="K292" s="582" t="s">
        <v>4676</v>
      </c>
      <c r="L292" s="123" t="s">
        <v>4688</v>
      </c>
      <c r="M292" s="15" t="s">
        <v>4678</v>
      </c>
      <c r="N292" s="15" t="s">
        <v>3223</v>
      </c>
      <c r="O292" s="15" t="s">
        <v>4679</v>
      </c>
      <c r="P292" s="15" t="s">
        <v>4680</v>
      </c>
      <c r="Q292" s="333"/>
      <c r="R292" s="123" t="s">
        <v>4545</v>
      </c>
      <c r="S292" s="341"/>
      <c r="T292" s="583">
        <f>Table32[[#This Row],[Dana Disetujui]]</f>
        <v>12000000</v>
      </c>
      <c r="U292" s="15" t="s">
        <v>4452</v>
      </c>
      <c r="V292" s="15"/>
      <c r="W292" s="15"/>
      <c r="X292" s="15" t="s">
        <v>4681</v>
      </c>
      <c r="Y292" s="15" t="s">
        <v>4257</v>
      </c>
      <c r="Z292" s="15"/>
      <c r="AA292" s="204"/>
      <c r="AB292" s="333"/>
      <c r="AC292" s="333"/>
      <c r="AD292" s="123" t="s">
        <v>4661</v>
      </c>
      <c r="AE292" s="583">
        <f>Table32[[#This Row],[Dana Disetujui]]</f>
        <v>12000000</v>
      </c>
      <c r="AF292" s="15" t="s">
        <v>4470</v>
      </c>
      <c r="AG292" s="15"/>
      <c r="AH292" s="15"/>
      <c r="AI292" s="15" t="s">
        <v>4681</v>
      </c>
      <c r="AJ292" s="15" t="s">
        <v>4257</v>
      </c>
      <c r="AK292" s="333"/>
      <c r="AL292" s="341"/>
      <c r="AM292" s="123" t="s">
        <v>4797</v>
      </c>
      <c r="AN292" s="583">
        <f>Table32[[#This Row],[Dana Disetujui]]</f>
        <v>12000000</v>
      </c>
      <c r="AO292" s="15" t="s">
        <v>4758</v>
      </c>
      <c r="AP292" s="15"/>
      <c r="AQ292" s="15"/>
      <c r="AR292" s="15" t="s">
        <v>4681</v>
      </c>
      <c r="AS292" s="15" t="s">
        <v>4257</v>
      </c>
      <c r="AT292" s="23"/>
      <c r="AU292" s="23"/>
      <c r="AV292" s="23"/>
      <c r="AW292" s="534"/>
      <c r="AX292" s="23"/>
      <c r="AY292" s="23"/>
      <c r="AZ292" s="23"/>
      <c r="BA292" s="23"/>
      <c r="BB292" s="23"/>
      <c r="BC292" s="23"/>
      <c r="BD292" s="23"/>
      <c r="BE292" s="534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  <c r="BP292" s="123" t="s">
        <v>4798</v>
      </c>
      <c r="BQ292" s="348" t="s">
        <v>3190</v>
      </c>
      <c r="BR292" s="584" t="s">
        <v>3191</v>
      </c>
      <c r="BS292" s="123" t="s">
        <v>4760</v>
      </c>
      <c r="BT292" s="36"/>
      <c r="BU292" s="123" t="s">
        <v>4690</v>
      </c>
      <c r="BV292" s="36"/>
      <c r="BW292" s="123" t="s">
        <v>4700</v>
      </c>
      <c r="BX292" s="36"/>
      <c r="BY292" s="23"/>
      <c r="BZ292" s="36"/>
      <c r="CA292" s="23"/>
      <c r="CB292" s="23"/>
      <c r="CC292" s="23"/>
      <c r="CD292" s="23"/>
      <c r="CE292" s="23"/>
      <c r="CF292" s="23"/>
      <c r="CG292" s="123" t="s">
        <v>4787</v>
      </c>
      <c r="CH292" s="23"/>
      <c r="CI292" s="23"/>
      <c r="CJ292" s="36"/>
    </row>
    <row r="293" spans="1:88" ht="75.75" customHeight="1">
      <c r="A293" s="15">
        <v>19</v>
      </c>
      <c r="B293" s="349"/>
      <c r="C293" s="348" t="s">
        <v>4799</v>
      </c>
      <c r="D293" s="139" t="s">
        <v>4800</v>
      </c>
      <c r="E293" s="15" t="s">
        <v>138</v>
      </c>
      <c r="F293" s="15">
        <v>2025</v>
      </c>
      <c r="G293" s="15">
        <v>2025</v>
      </c>
      <c r="H293" s="15">
        <v>12</v>
      </c>
      <c r="I293" s="123" t="s">
        <v>4298</v>
      </c>
      <c r="J293" s="350">
        <v>12000000</v>
      </c>
      <c r="K293" s="582" t="s">
        <v>4676</v>
      </c>
      <c r="L293" s="123" t="s">
        <v>4801</v>
      </c>
      <c r="M293" s="15" t="s">
        <v>4678</v>
      </c>
      <c r="N293" s="15" t="s">
        <v>3223</v>
      </c>
      <c r="O293" s="15" t="s">
        <v>4679</v>
      </c>
      <c r="P293" s="15" t="s">
        <v>4680</v>
      </c>
      <c r="Q293" s="333"/>
      <c r="R293" s="123" t="s">
        <v>4280</v>
      </c>
      <c r="S293" s="341"/>
      <c r="T293" s="583">
        <f>Table32[[#This Row],[Dana Disetujui]]</f>
        <v>12000000</v>
      </c>
      <c r="U293" s="15" t="s">
        <v>4418</v>
      </c>
      <c r="V293" s="15"/>
      <c r="W293" s="15"/>
      <c r="X293" s="15" t="s">
        <v>4681</v>
      </c>
      <c r="Y293" s="15" t="s">
        <v>4257</v>
      </c>
      <c r="Z293" s="15"/>
      <c r="AA293" s="204"/>
      <c r="AB293" s="333"/>
      <c r="AC293" s="333"/>
      <c r="AD293" s="123" t="s">
        <v>4802</v>
      </c>
      <c r="AE293" s="583">
        <f>Table32[[#This Row],[Dana Disetujui]]</f>
        <v>12000000</v>
      </c>
      <c r="AF293" s="15" t="s">
        <v>4418</v>
      </c>
      <c r="AG293" s="15"/>
      <c r="AH293" s="15"/>
      <c r="AI293" s="15" t="s">
        <v>4681</v>
      </c>
      <c r="AJ293" s="15" t="s">
        <v>4257</v>
      </c>
      <c r="AK293" s="333"/>
      <c r="AL293" s="341"/>
      <c r="AM293" s="123" t="s">
        <v>3739</v>
      </c>
      <c r="AN293" s="583"/>
      <c r="AO293" s="23"/>
      <c r="AP293" s="23"/>
      <c r="AQ293" s="23"/>
      <c r="AR293" s="15" t="s">
        <v>4681</v>
      </c>
      <c r="AS293" s="15" t="s">
        <v>4257</v>
      </c>
      <c r="AT293" s="23"/>
      <c r="AU293" s="23"/>
      <c r="AV293" s="23"/>
      <c r="AW293" s="534"/>
      <c r="AX293" s="23"/>
      <c r="AY293" s="23"/>
      <c r="AZ293" s="23"/>
      <c r="BA293" s="23"/>
      <c r="BB293" s="23"/>
      <c r="BC293" s="23"/>
      <c r="BD293" s="23"/>
      <c r="BE293" s="534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  <c r="BP293" s="123" t="s">
        <v>4803</v>
      </c>
      <c r="BQ293" s="348" t="s">
        <v>3190</v>
      </c>
      <c r="BR293" s="584" t="s">
        <v>3191</v>
      </c>
      <c r="BS293" s="123" t="s">
        <v>4804</v>
      </c>
      <c r="BT293" s="36"/>
      <c r="BU293" s="123" t="s">
        <v>4805</v>
      </c>
      <c r="BV293" s="36"/>
      <c r="BW293" s="123" t="s">
        <v>4806</v>
      </c>
      <c r="BX293" s="36"/>
      <c r="BY293" s="23"/>
      <c r="BZ293" s="36"/>
      <c r="CA293" s="23"/>
      <c r="CB293" s="23"/>
      <c r="CC293" s="23"/>
      <c r="CD293" s="23"/>
      <c r="CE293" s="23"/>
      <c r="CF293" s="23"/>
      <c r="CG293" s="123" t="s">
        <v>4787</v>
      </c>
      <c r="CH293" s="23"/>
      <c r="CI293" s="23"/>
      <c r="CJ293" s="36"/>
    </row>
    <row r="294" spans="1:88" s="550" customFormat="1" ht="84.75" customHeight="1">
      <c r="A294" s="15">
        <v>20</v>
      </c>
      <c r="B294" s="349"/>
      <c r="C294" s="348" t="s">
        <v>4807</v>
      </c>
      <c r="D294" s="139" t="s">
        <v>4808</v>
      </c>
      <c r="E294" s="15" t="s">
        <v>138</v>
      </c>
      <c r="F294" s="15">
        <v>2025</v>
      </c>
      <c r="G294" s="15">
        <v>2025</v>
      </c>
      <c r="H294" s="15">
        <v>12</v>
      </c>
      <c r="I294" s="123" t="s">
        <v>4298</v>
      </c>
      <c r="J294" s="350">
        <v>12000000</v>
      </c>
      <c r="K294" s="582" t="s">
        <v>4676</v>
      </c>
      <c r="L294" s="123" t="s">
        <v>4688</v>
      </c>
      <c r="M294" s="15" t="s">
        <v>4678</v>
      </c>
      <c r="N294" s="15" t="s">
        <v>3223</v>
      </c>
      <c r="O294" s="15" t="s">
        <v>4679</v>
      </c>
      <c r="P294" s="15" t="s">
        <v>4680</v>
      </c>
      <c r="Q294" s="333"/>
      <c r="R294" s="123" t="s">
        <v>142</v>
      </c>
      <c r="S294" s="341"/>
      <c r="T294" s="583">
        <f>Table32[[#This Row],[Dana Disetujui]]</f>
        <v>12000000</v>
      </c>
      <c r="U294" s="15" t="s">
        <v>4470</v>
      </c>
      <c r="V294" s="15"/>
      <c r="W294" s="15"/>
      <c r="X294" s="15" t="s">
        <v>4681</v>
      </c>
      <c r="Y294" s="15" t="s">
        <v>4257</v>
      </c>
      <c r="Z294" s="15"/>
      <c r="AA294" s="204"/>
      <c r="AB294" s="333"/>
      <c r="AC294" s="333"/>
      <c r="AD294" s="123" t="s">
        <v>136</v>
      </c>
      <c r="AE294" s="583">
        <f>Table32[[#This Row],[Dana Disetujui]]</f>
        <v>12000000</v>
      </c>
      <c r="AF294" s="15" t="s">
        <v>4470</v>
      </c>
      <c r="AG294" s="15"/>
      <c r="AH294" s="15"/>
      <c r="AI294" s="15" t="s">
        <v>4681</v>
      </c>
      <c r="AJ294" s="15" t="s">
        <v>4257</v>
      </c>
      <c r="AK294" s="333"/>
      <c r="AL294" s="341"/>
      <c r="AM294" s="123" t="s">
        <v>4363</v>
      </c>
      <c r="AN294" s="583">
        <f>Table32[[#This Row],[Dana Disetujui]]</f>
        <v>12000000</v>
      </c>
      <c r="AO294" s="15" t="s">
        <v>4470</v>
      </c>
      <c r="AP294" s="15"/>
      <c r="AQ294" s="15"/>
      <c r="AR294" s="15" t="s">
        <v>4681</v>
      </c>
      <c r="AS294" s="15" t="s">
        <v>4257</v>
      </c>
      <c r="AT294" s="23"/>
      <c r="AU294" s="23"/>
      <c r="AV294" s="23"/>
      <c r="AW294" s="534"/>
      <c r="AX294" s="23"/>
      <c r="AY294" s="23"/>
      <c r="AZ294" s="23"/>
      <c r="BA294" s="23"/>
      <c r="BB294" s="23"/>
      <c r="BC294" s="23"/>
      <c r="BD294" s="23"/>
      <c r="BE294" s="534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  <c r="BP294" s="123" t="s">
        <v>4809</v>
      </c>
      <c r="BQ294" s="348" t="s">
        <v>3190</v>
      </c>
      <c r="BR294" s="584" t="s">
        <v>3191</v>
      </c>
      <c r="BS294" s="123" t="s">
        <v>4810</v>
      </c>
      <c r="BT294" s="36"/>
      <c r="BU294" s="123" t="s">
        <v>4811</v>
      </c>
      <c r="BV294" s="36"/>
      <c r="BW294" s="123" t="s">
        <v>4812</v>
      </c>
      <c r="BX294" s="36"/>
      <c r="BY294" s="23"/>
      <c r="BZ294" s="36"/>
      <c r="CA294" s="23"/>
      <c r="CB294" s="23"/>
      <c r="CC294" s="23"/>
      <c r="CD294" s="23"/>
      <c r="CE294" s="23"/>
      <c r="CF294" s="23"/>
      <c r="CG294" s="123" t="s">
        <v>4787</v>
      </c>
      <c r="CH294" s="23"/>
      <c r="CI294" s="23"/>
      <c r="CJ294" s="551"/>
    </row>
    <row r="295" spans="1:88" ht="83.25" customHeight="1">
      <c r="A295" s="15">
        <v>21</v>
      </c>
      <c r="B295" s="349"/>
      <c r="C295" s="322" t="s">
        <v>4813</v>
      </c>
      <c r="D295" s="139" t="s">
        <v>4814</v>
      </c>
      <c r="E295" s="15" t="s">
        <v>138</v>
      </c>
      <c r="F295" s="15">
        <v>2025</v>
      </c>
      <c r="G295" s="15">
        <v>2025</v>
      </c>
      <c r="H295" s="15">
        <v>12</v>
      </c>
      <c r="I295" s="123" t="s">
        <v>3214</v>
      </c>
      <c r="J295" s="350">
        <v>12000000</v>
      </c>
      <c r="K295" s="582" t="s">
        <v>4676</v>
      </c>
      <c r="L295" s="123" t="s">
        <v>4688</v>
      </c>
      <c r="M295" s="15" t="s">
        <v>4678</v>
      </c>
      <c r="N295" s="15" t="s">
        <v>3223</v>
      </c>
      <c r="O295" s="15" t="s">
        <v>4679</v>
      </c>
      <c r="P295" s="15" t="s">
        <v>4680</v>
      </c>
      <c r="Q295" s="333"/>
      <c r="R295" s="123" t="s">
        <v>139</v>
      </c>
      <c r="S295" s="341"/>
      <c r="T295" s="583">
        <f>Table32[[#This Row],[Dana Disetujui]]</f>
        <v>12000000</v>
      </c>
      <c r="U295" s="15" t="s">
        <v>4448</v>
      </c>
      <c r="V295" s="15"/>
      <c r="W295" s="15"/>
      <c r="X295" s="15" t="s">
        <v>4681</v>
      </c>
      <c r="Y295" s="15" t="s">
        <v>4257</v>
      </c>
      <c r="Z295" s="15"/>
      <c r="AA295" s="204"/>
      <c r="AB295" s="333"/>
      <c r="AC295" s="333"/>
      <c r="AD295" s="123" t="s">
        <v>42</v>
      </c>
      <c r="AE295" s="583">
        <f>Table32[[#This Row],[Dana Disetujui]]</f>
        <v>12000000</v>
      </c>
      <c r="AF295" s="15" t="s">
        <v>4815</v>
      </c>
      <c r="AG295" s="15" t="s">
        <v>166</v>
      </c>
      <c r="AH295" s="15"/>
      <c r="AI295" s="15" t="s">
        <v>4681</v>
      </c>
      <c r="AJ295" s="15" t="s">
        <v>4257</v>
      </c>
      <c r="AK295" s="333"/>
      <c r="AL295" s="341"/>
      <c r="AM295" s="123" t="s">
        <v>185</v>
      </c>
      <c r="AN295" s="583">
        <f>Table32[[#This Row],[Dana Disetujui]]</f>
        <v>12000000</v>
      </c>
      <c r="AO295" s="15" t="s">
        <v>4459</v>
      </c>
      <c r="AP295" s="15"/>
      <c r="AQ295" s="15"/>
      <c r="AR295" s="15" t="s">
        <v>4681</v>
      </c>
      <c r="AS295" s="15" t="s">
        <v>4257</v>
      </c>
      <c r="AT295" s="23"/>
      <c r="AU295" s="23"/>
      <c r="AV295" s="23"/>
      <c r="AW295" s="534"/>
      <c r="AX295" s="23"/>
      <c r="AY295" s="23"/>
      <c r="AZ295" s="23"/>
      <c r="BA295" s="23"/>
      <c r="BB295" s="23"/>
      <c r="BC295" s="23"/>
      <c r="BD295" s="23"/>
      <c r="BE295" s="534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  <c r="BP295" s="123" t="s">
        <v>4816</v>
      </c>
      <c r="BQ295" s="348" t="s">
        <v>3190</v>
      </c>
      <c r="BR295" s="584" t="s">
        <v>3191</v>
      </c>
      <c r="BS295" s="123" t="s">
        <v>4731</v>
      </c>
      <c r="BT295" s="36"/>
      <c r="BU295" s="123" t="s">
        <v>4817</v>
      </c>
      <c r="BV295" s="36"/>
      <c r="BW295" s="123" t="s">
        <v>4818</v>
      </c>
      <c r="BX295" s="36"/>
      <c r="BY295" s="23"/>
      <c r="BZ295" s="36"/>
      <c r="CA295" s="23"/>
      <c r="CB295" s="23"/>
      <c r="CC295" s="23"/>
      <c r="CD295" s="23"/>
      <c r="CE295" s="23"/>
      <c r="CF295" s="23"/>
      <c r="CG295" s="123" t="s">
        <v>4787</v>
      </c>
      <c r="CH295" s="23"/>
      <c r="CI295" s="23"/>
      <c r="CJ295" s="36"/>
    </row>
    <row r="296" spans="1:88" s="550" customFormat="1" ht="89.25" customHeight="1">
      <c r="A296" s="15">
        <v>22</v>
      </c>
      <c r="B296" s="349"/>
      <c r="C296" s="348" t="s">
        <v>4819</v>
      </c>
      <c r="D296" s="139" t="s">
        <v>4820</v>
      </c>
      <c r="E296" s="15" t="s">
        <v>138</v>
      </c>
      <c r="F296" s="15">
        <v>2025</v>
      </c>
      <c r="G296" s="15">
        <v>2025</v>
      </c>
      <c r="H296" s="15">
        <v>12</v>
      </c>
      <c r="I296" s="123" t="s">
        <v>4675</v>
      </c>
      <c r="J296" s="350">
        <v>12000000</v>
      </c>
      <c r="K296" s="582" t="s">
        <v>4676</v>
      </c>
      <c r="L296" s="123" t="s">
        <v>4677</v>
      </c>
      <c r="M296" s="15" t="s">
        <v>4678</v>
      </c>
      <c r="N296" s="15" t="s">
        <v>3223</v>
      </c>
      <c r="O296" s="15" t="s">
        <v>4679</v>
      </c>
      <c r="P296" s="15" t="s">
        <v>4680</v>
      </c>
      <c r="Q296" s="333"/>
      <c r="R296" s="123" t="s">
        <v>4821</v>
      </c>
      <c r="S296" s="341"/>
      <c r="T296" s="583">
        <f>Table32[[#This Row],[Dana Disetujui]]</f>
        <v>12000000</v>
      </c>
      <c r="U296" s="15" t="s">
        <v>4517</v>
      </c>
      <c r="V296" s="15" t="s">
        <v>155</v>
      </c>
      <c r="W296" s="15"/>
      <c r="X296" s="15" t="s">
        <v>4681</v>
      </c>
      <c r="Y296" s="15" t="s">
        <v>4257</v>
      </c>
      <c r="Z296" s="15"/>
      <c r="AA296" s="204"/>
      <c r="AB296" s="333"/>
      <c r="AC296" s="333"/>
      <c r="AD296" s="123" t="s">
        <v>4822</v>
      </c>
      <c r="AE296" s="583">
        <f>Table32[[#This Row],[Dana Disetujui]]</f>
        <v>12000000</v>
      </c>
      <c r="AF296" s="15" t="s">
        <v>4426</v>
      </c>
      <c r="AG296" s="15" t="s">
        <v>155</v>
      </c>
      <c r="AH296" s="15"/>
      <c r="AI296" s="15" t="s">
        <v>4681</v>
      </c>
      <c r="AJ296" s="15" t="s">
        <v>4257</v>
      </c>
      <c r="AK296" s="333"/>
      <c r="AL296" s="341"/>
      <c r="AM296" s="123" t="s">
        <v>4290</v>
      </c>
      <c r="AN296" s="583">
        <f>Table32[[#This Row],[Dana Disetujui]]</f>
        <v>12000000</v>
      </c>
      <c r="AO296" s="15" t="s">
        <v>4426</v>
      </c>
      <c r="AP296" s="15"/>
      <c r="AQ296" s="15"/>
      <c r="AR296" s="15" t="s">
        <v>4681</v>
      </c>
      <c r="AS296" s="15" t="s">
        <v>4257</v>
      </c>
      <c r="AT296" s="23"/>
      <c r="AU296" s="23"/>
      <c r="AV296" s="23"/>
      <c r="AW296" s="534"/>
      <c r="AX296" s="23"/>
      <c r="AY296" s="23"/>
      <c r="AZ296" s="23"/>
      <c r="BA296" s="23"/>
      <c r="BB296" s="23"/>
      <c r="BC296" s="23"/>
      <c r="BD296" s="23"/>
      <c r="BE296" s="534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  <c r="BP296" s="123" t="s">
        <v>4823</v>
      </c>
      <c r="BQ296" s="348" t="s">
        <v>3190</v>
      </c>
      <c r="BR296" s="584" t="s">
        <v>3191</v>
      </c>
      <c r="BS296" s="123" t="s">
        <v>4824</v>
      </c>
      <c r="BT296" s="36"/>
      <c r="BU296" s="123" t="s">
        <v>4825</v>
      </c>
      <c r="BV296" s="36"/>
      <c r="BW296" s="123" t="s">
        <v>4826</v>
      </c>
      <c r="BX296" s="36"/>
      <c r="BY296" s="23"/>
      <c r="BZ296" s="36"/>
      <c r="CA296" s="23"/>
      <c r="CB296" s="23"/>
      <c r="CC296" s="23"/>
      <c r="CD296" s="23"/>
      <c r="CE296" s="23"/>
      <c r="CF296" s="23"/>
      <c r="CG296" s="123" t="s">
        <v>4787</v>
      </c>
      <c r="CH296" s="23"/>
      <c r="CI296" s="23"/>
      <c r="CJ296" s="551"/>
    </row>
    <row r="297" spans="1:88" ht="69" customHeight="1">
      <c r="A297" s="15">
        <v>23</v>
      </c>
      <c r="B297" s="349"/>
      <c r="C297" s="348" t="s">
        <v>4827</v>
      </c>
      <c r="D297" s="139" t="s">
        <v>4828</v>
      </c>
      <c r="E297" s="15" t="s">
        <v>138</v>
      </c>
      <c r="F297" s="15">
        <v>2025</v>
      </c>
      <c r="G297" s="15">
        <v>2025</v>
      </c>
      <c r="H297" s="15">
        <v>12</v>
      </c>
      <c r="I297" s="123" t="s">
        <v>4298</v>
      </c>
      <c r="J297" s="350">
        <v>12000000</v>
      </c>
      <c r="K297" s="582" t="s">
        <v>4676</v>
      </c>
      <c r="L297" s="123" t="s">
        <v>4829</v>
      </c>
      <c r="M297" s="15" t="s">
        <v>4678</v>
      </c>
      <c r="N297" s="15" t="s">
        <v>3223</v>
      </c>
      <c r="O297" s="15" t="s">
        <v>4679</v>
      </c>
      <c r="P297" s="15" t="s">
        <v>4680</v>
      </c>
      <c r="Q297" s="333"/>
      <c r="R297" s="123" t="s">
        <v>3119</v>
      </c>
      <c r="S297" s="341"/>
      <c r="T297" s="583">
        <f>Table32[[#This Row],[Dana Disetujui]]</f>
        <v>12000000</v>
      </c>
      <c r="U297" s="15" t="s">
        <v>4470</v>
      </c>
      <c r="V297" s="15"/>
      <c r="W297" s="15"/>
      <c r="X297" s="15" t="s">
        <v>4681</v>
      </c>
      <c r="Y297" s="15" t="s">
        <v>4257</v>
      </c>
      <c r="Z297" s="15"/>
      <c r="AA297" s="204"/>
      <c r="AB297" s="333"/>
      <c r="AC297" s="333"/>
      <c r="AD297" s="123" t="s">
        <v>3111</v>
      </c>
      <c r="AE297" s="583">
        <f>Table32[[#This Row],[Dana Disetujui]]</f>
        <v>12000000</v>
      </c>
      <c r="AF297" s="15" t="s">
        <v>4830</v>
      </c>
      <c r="AG297" s="15"/>
      <c r="AH297" s="15"/>
      <c r="AI297" s="15" t="s">
        <v>4681</v>
      </c>
      <c r="AJ297" s="15" t="s">
        <v>4257</v>
      </c>
      <c r="AK297" s="333"/>
      <c r="AL297" s="341"/>
      <c r="AM297" s="123" t="s">
        <v>142</v>
      </c>
      <c r="AN297" s="583">
        <f>Table32[[#This Row],[Dana Disetujui]]</f>
        <v>12000000</v>
      </c>
      <c r="AO297" s="15" t="s">
        <v>4470</v>
      </c>
      <c r="AP297" s="15"/>
      <c r="AQ297" s="15"/>
      <c r="AR297" s="15" t="s">
        <v>4681</v>
      </c>
      <c r="AS297" s="15" t="s">
        <v>4257</v>
      </c>
      <c r="AT297" s="23"/>
      <c r="AU297" s="23"/>
      <c r="AV297" s="23"/>
      <c r="AW297" s="534"/>
      <c r="AX297" s="23"/>
      <c r="AY297" s="23"/>
      <c r="AZ297" s="23"/>
      <c r="BA297" s="23"/>
      <c r="BB297" s="23"/>
      <c r="BC297" s="23"/>
      <c r="BD297" s="23"/>
      <c r="BE297" s="534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  <c r="BP297" s="123" t="s">
        <v>4711</v>
      </c>
      <c r="BQ297" s="348" t="s">
        <v>3190</v>
      </c>
      <c r="BR297" s="584" t="s">
        <v>3191</v>
      </c>
      <c r="BS297" s="123" t="s">
        <v>4831</v>
      </c>
      <c r="BT297" s="36"/>
      <c r="BU297" s="123" t="s">
        <v>3863</v>
      </c>
      <c r="BV297" s="36"/>
      <c r="BW297" s="123" t="s">
        <v>4294</v>
      </c>
      <c r="BX297" s="36"/>
      <c r="BY297" s="23"/>
      <c r="BZ297" s="36"/>
      <c r="CA297" s="23"/>
      <c r="CB297" s="23"/>
      <c r="CC297" s="23"/>
      <c r="CD297" s="23"/>
      <c r="CE297" s="23"/>
      <c r="CF297" s="23"/>
      <c r="CG297" s="123" t="s">
        <v>4787</v>
      </c>
      <c r="CH297" s="23"/>
      <c r="CI297" s="23"/>
      <c r="CJ297" s="36"/>
    </row>
    <row r="298" spans="1:88" ht="80.25" customHeight="1">
      <c r="A298" s="15">
        <v>24</v>
      </c>
      <c r="B298" s="349"/>
      <c r="C298" s="348" t="s">
        <v>4832</v>
      </c>
      <c r="D298" s="139" t="s">
        <v>4833</v>
      </c>
      <c r="E298" s="15" t="s">
        <v>138</v>
      </c>
      <c r="F298" s="15">
        <v>2025</v>
      </c>
      <c r="G298" s="15">
        <v>2025</v>
      </c>
      <c r="H298" s="15">
        <v>12</v>
      </c>
      <c r="I298" s="123" t="s">
        <v>3307</v>
      </c>
      <c r="J298" s="350">
        <v>12000000</v>
      </c>
      <c r="K298" s="582" t="s">
        <v>4676</v>
      </c>
      <c r="L298" s="123" t="s">
        <v>4688</v>
      </c>
      <c r="M298" s="15" t="s">
        <v>4678</v>
      </c>
      <c r="N298" s="15" t="s">
        <v>3223</v>
      </c>
      <c r="O298" s="15" t="s">
        <v>4679</v>
      </c>
      <c r="P298" s="15" t="s">
        <v>4680</v>
      </c>
      <c r="Q298" s="15"/>
      <c r="R298" s="123" t="s">
        <v>4545</v>
      </c>
      <c r="S298" s="341"/>
      <c r="T298" s="583">
        <f>Table32[[#This Row],[Dana Disetujui]]</f>
        <v>12000000</v>
      </c>
      <c r="U298" s="15" t="s">
        <v>4452</v>
      </c>
      <c r="V298" s="15"/>
      <c r="W298" s="15"/>
      <c r="X298" s="15" t="s">
        <v>4681</v>
      </c>
      <c r="Y298" s="15" t="s">
        <v>4257</v>
      </c>
      <c r="Z298" s="15"/>
      <c r="AA298" s="585"/>
      <c r="AB298" s="15"/>
      <c r="AC298" s="333"/>
      <c r="AD298" s="123" t="s">
        <v>135</v>
      </c>
      <c r="AE298" s="583">
        <f>Table32[[#This Row],[Dana Disetujui]]</f>
        <v>12000000</v>
      </c>
      <c r="AF298" s="15" t="s">
        <v>4830</v>
      </c>
      <c r="AG298" s="15"/>
      <c r="AH298" s="15"/>
      <c r="AI298" s="15" t="s">
        <v>4681</v>
      </c>
      <c r="AJ298" s="15" t="s">
        <v>4257</v>
      </c>
      <c r="AK298" s="15"/>
      <c r="AL298" s="341"/>
      <c r="AM298" s="123" t="s">
        <v>3739</v>
      </c>
      <c r="AN298" s="583"/>
      <c r="AO298" s="23"/>
      <c r="AP298" s="23"/>
      <c r="AQ298" s="23"/>
      <c r="AR298" s="15" t="s">
        <v>4681</v>
      </c>
      <c r="AS298" s="15" t="s">
        <v>4257</v>
      </c>
      <c r="AT298" s="23"/>
      <c r="AU298" s="23"/>
      <c r="AV298" s="23"/>
      <c r="AW298" s="534"/>
      <c r="AX298" s="23"/>
      <c r="AY298" s="23"/>
      <c r="AZ298" s="23"/>
      <c r="BA298" s="23"/>
      <c r="BB298" s="23"/>
      <c r="BC298" s="23"/>
      <c r="BD298" s="23"/>
      <c r="BE298" s="534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  <c r="BP298" s="123" t="s">
        <v>4834</v>
      </c>
      <c r="BQ298" s="348" t="s">
        <v>3190</v>
      </c>
      <c r="BR298" s="584" t="s">
        <v>3191</v>
      </c>
      <c r="BS298" s="123" t="s">
        <v>4760</v>
      </c>
      <c r="BT298" s="36"/>
      <c r="BU298" s="123" t="s">
        <v>4835</v>
      </c>
      <c r="BV298" s="36"/>
      <c r="BW298" s="123" t="s">
        <v>4836</v>
      </c>
      <c r="BX298" s="36"/>
      <c r="BY298" s="23"/>
      <c r="BZ298" s="36"/>
      <c r="CA298" s="23"/>
      <c r="CB298" s="23"/>
      <c r="CC298" s="23"/>
      <c r="CD298" s="23"/>
      <c r="CE298" s="23"/>
      <c r="CF298" s="23"/>
      <c r="CG298" s="123" t="s">
        <v>4787</v>
      </c>
      <c r="CH298" s="23"/>
      <c r="CI298" s="23"/>
      <c r="CJ298" s="36"/>
    </row>
    <row r="299" spans="1:88" s="550" customFormat="1" ht="69.75" customHeight="1">
      <c r="A299" s="15">
        <v>25</v>
      </c>
      <c r="B299" s="349"/>
      <c r="C299" s="348" t="s">
        <v>4837</v>
      </c>
      <c r="D299" s="139" t="s">
        <v>4838</v>
      </c>
      <c r="E299" s="15" t="s">
        <v>138</v>
      </c>
      <c r="F299" s="15">
        <v>2025</v>
      </c>
      <c r="G299" s="15">
        <v>2025</v>
      </c>
      <c r="H299" s="15">
        <v>12</v>
      </c>
      <c r="I299" s="123" t="s">
        <v>3214</v>
      </c>
      <c r="J299" s="350">
        <v>11980000</v>
      </c>
      <c r="K299" s="582" t="s">
        <v>4676</v>
      </c>
      <c r="L299" s="123" t="s">
        <v>4688</v>
      </c>
      <c r="M299" s="15" t="s">
        <v>4678</v>
      </c>
      <c r="N299" s="15" t="s">
        <v>3223</v>
      </c>
      <c r="O299" s="15" t="s">
        <v>4679</v>
      </c>
      <c r="P299" s="15" t="s">
        <v>4680</v>
      </c>
      <c r="Q299" s="333"/>
      <c r="R299" s="123" t="s">
        <v>102</v>
      </c>
      <c r="S299" s="341"/>
      <c r="T299" s="583">
        <f>Table32[[#This Row],[Dana Disetujui]]</f>
        <v>11980000</v>
      </c>
      <c r="U299" s="15" t="s">
        <v>4470</v>
      </c>
      <c r="V299" s="15"/>
      <c r="W299" s="15"/>
      <c r="X299" s="15" t="s">
        <v>4681</v>
      </c>
      <c r="Y299" s="15" t="s">
        <v>4257</v>
      </c>
      <c r="Z299" s="15"/>
      <c r="AA299" s="204"/>
      <c r="AB299" s="333"/>
      <c r="AC299" s="333"/>
      <c r="AD299" s="123" t="s">
        <v>4727</v>
      </c>
      <c r="AE299" s="583">
        <f>Table32[[#This Row],[Dana Disetujui]]</f>
        <v>11980000</v>
      </c>
      <c r="AF299" s="15" t="s">
        <v>4830</v>
      </c>
      <c r="AG299" s="15"/>
      <c r="AH299" s="15"/>
      <c r="AI299" s="15" t="s">
        <v>4681</v>
      </c>
      <c r="AJ299" s="15" t="s">
        <v>4257</v>
      </c>
      <c r="AK299" s="333"/>
      <c r="AL299" s="341"/>
      <c r="AM299" s="123" t="s">
        <v>4839</v>
      </c>
      <c r="AN299" s="583">
        <f>Table32[[#This Row],[Dana Disetujui]]</f>
        <v>11980000</v>
      </c>
      <c r="AO299" s="15" t="s">
        <v>4840</v>
      </c>
      <c r="AP299" s="15"/>
      <c r="AQ299" s="15"/>
      <c r="AR299" s="15" t="s">
        <v>4681</v>
      </c>
      <c r="AS299" s="15" t="s">
        <v>4257</v>
      </c>
      <c r="AT299" s="23"/>
      <c r="AU299" s="23"/>
      <c r="AV299" s="23"/>
      <c r="AW299" s="534"/>
      <c r="AX299" s="23"/>
      <c r="AY299" s="23"/>
      <c r="AZ299" s="23"/>
      <c r="BA299" s="23"/>
      <c r="BB299" s="23"/>
      <c r="BC299" s="23"/>
      <c r="BD299" s="23"/>
      <c r="BE299" s="534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  <c r="BP299" s="123" t="s">
        <v>4689</v>
      </c>
      <c r="BQ299" s="348" t="s">
        <v>3190</v>
      </c>
      <c r="BR299" s="584" t="s">
        <v>3191</v>
      </c>
      <c r="BS299" s="123" t="s">
        <v>4841</v>
      </c>
      <c r="BT299" s="36"/>
      <c r="BU299" s="123" t="s">
        <v>4842</v>
      </c>
      <c r="BV299" s="36"/>
      <c r="BW299" s="123" t="s">
        <v>4843</v>
      </c>
      <c r="BX299" s="36"/>
      <c r="BY299" s="23"/>
      <c r="BZ299" s="36"/>
      <c r="CA299" s="23"/>
      <c r="CB299" s="23"/>
      <c r="CC299" s="23"/>
      <c r="CD299" s="23"/>
      <c r="CE299" s="23"/>
      <c r="CF299" s="23"/>
      <c r="CG299" s="123" t="s">
        <v>4787</v>
      </c>
      <c r="CH299" s="23"/>
      <c r="CI299" s="23"/>
      <c r="CJ299" s="551"/>
    </row>
    <row r="300" spans="1:88" s="550" customFormat="1" ht="74.25" customHeight="1">
      <c r="A300" s="15">
        <v>26</v>
      </c>
      <c r="B300" s="349"/>
      <c r="C300" s="348" t="s">
        <v>4844</v>
      </c>
      <c r="D300" s="139" t="s">
        <v>4845</v>
      </c>
      <c r="E300" s="15" t="s">
        <v>138</v>
      </c>
      <c r="F300" s="15">
        <v>2025</v>
      </c>
      <c r="G300" s="15">
        <v>2025</v>
      </c>
      <c r="H300" s="15">
        <v>12</v>
      </c>
      <c r="I300" s="123" t="s">
        <v>4298</v>
      </c>
      <c r="J300" s="350">
        <v>11950000</v>
      </c>
      <c r="K300" s="582" t="s">
        <v>4676</v>
      </c>
      <c r="L300" s="123" t="s">
        <v>4688</v>
      </c>
      <c r="M300" s="15" t="s">
        <v>4678</v>
      </c>
      <c r="N300" s="15" t="s">
        <v>3223</v>
      </c>
      <c r="O300" s="15" t="s">
        <v>4679</v>
      </c>
      <c r="P300" s="15" t="s">
        <v>4680</v>
      </c>
      <c r="Q300" s="333"/>
      <c r="R300" s="123" t="s">
        <v>143</v>
      </c>
      <c r="S300" s="341"/>
      <c r="T300" s="583">
        <f>Table32[[#This Row],[Dana Disetujui]]</f>
        <v>11950000</v>
      </c>
      <c r="U300" s="15" t="s">
        <v>4705</v>
      </c>
      <c r="V300" s="15"/>
      <c r="W300" s="15"/>
      <c r="X300" s="15" t="s">
        <v>4681</v>
      </c>
      <c r="Y300" s="15" t="s">
        <v>4257</v>
      </c>
      <c r="Z300" s="15"/>
      <c r="AA300" s="204"/>
      <c r="AB300" s="333"/>
      <c r="AC300" s="333"/>
      <c r="AD300" s="123" t="s">
        <v>3119</v>
      </c>
      <c r="AE300" s="583">
        <f>Table32[[#This Row],[Dana Disetujui]]</f>
        <v>11950000</v>
      </c>
      <c r="AF300" s="15" t="s">
        <v>4470</v>
      </c>
      <c r="AG300" s="15"/>
      <c r="AH300" s="15"/>
      <c r="AI300" s="15" t="s">
        <v>4681</v>
      </c>
      <c r="AJ300" s="15" t="s">
        <v>4257</v>
      </c>
      <c r="AK300" s="333"/>
      <c r="AL300" s="341"/>
      <c r="AM300" s="123" t="s">
        <v>3739</v>
      </c>
      <c r="AN300" s="583"/>
      <c r="AO300" s="23"/>
      <c r="AP300" s="23"/>
      <c r="AQ300" s="23"/>
      <c r="AR300" s="15" t="s">
        <v>4681</v>
      </c>
      <c r="AS300" s="15" t="s">
        <v>4257</v>
      </c>
      <c r="AT300" s="23"/>
      <c r="AU300" s="23"/>
      <c r="AV300" s="23"/>
      <c r="AW300" s="534"/>
      <c r="AX300" s="23"/>
      <c r="AY300" s="23"/>
      <c r="AZ300" s="23"/>
      <c r="BA300" s="23"/>
      <c r="BB300" s="23"/>
      <c r="BC300" s="23"/>
      <c r="BD300" s="23"/>
      <c r="BE300" s="534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  <c r="BP300" s="123" t="s">
        <v>4803</v>
      </c>
      <c r="BQ300" s="348" t="s">
        <v>3190</v>
      </c>
      <c r="BR300" s="584" t="s">
        <v>3191</v>
      </c>
      <c r="BS300" s="123" t="s">
        <v>4171</v>
      </c>
      <c r="BT300" s="36"/>
      <c r="BU300" s="123" t="s">
        <v>4786</v>
      </c>
      <c r="BV300" s="36"/>
      <c r="BW300" s="122" t="s">
        <v>3739</v>
      </c>
      <c r="BX300" s="36"/>
      <c r="BY300" s="23"/>
      <c r="BZ300" s="36"/>
      <c r="CA300" s="23"/>
      <c r="CB300" s="23"/>
      <c r="CC300" s="23"/>
      <c r="CD300" s="23"/>
      <c r="CE300" s="23"/>
      <c r="CF300" s="23"/>
      <c r="CG300" s="123" t="s">
        <v>4787</v>
      </c>
      <c r="CH300" s="23"/>
      <c r="CI300" s="23"/>
      <c r="CJ300" s="551"/>
    </row>
    <row r="301" spans="1:88" s="550" customFormat="1" ht="66" customHeight="1">
      <c r="A301" s="15">
        <v>27</v>
      </c>
      <c r="B301" s="349"/>
      <c r="C301" s="348" t="s">
        <v>4846</v>
      </c>
      <c r="D301" s="139" t="s">
        <v>4847</v>
      </c>
      <c r="E301" s="15" t="s">
        <v>138</v>
      </c>
      <c r="F301" s="15">
        <v>2025</v>
      </c>
      <c r="G301" s="15">
        <v>2025</v>
      </c>
      <c r="H301" s="15">
        <v>12</v>
      </c>
      <c r="I301" s="123" t="s">
        <v>4796</v>
      </c>
      <c r="J301" s="350">
        <v>11820000</v>
      </c>
      <c r="K301" s="582" t="s">
        <v>4676</v>
      </c>
      <c r="L301" s="123" t="s">
        <v>4829</v>
      </c>
      <c r="M301" s="15" t="s">
        <v>4678</v>
      </c>
      <c r="N301" s="15" t="s">
        <v>3223</v>
      </c>
      <c r="O301" s="15" t="s">
        <v>4679</v>
      </c>
      <c r="P301" s="15" t="s">
        <v>4680</v>
      </c>
      <c r="Q301" s="15"/>
      <c r="R301" s="123" t="s">
        <v>3120</v>
      </c>
      <c r="S301" s="341"/>
      <c r="T301" s="583">
        <f>Table32[[#This Row],[Dana Disetujui]]</f>
        <v>11820000</v>
      </c>
      <c r="U301" s="15" t="s">
        <v>4470</v>
      </c>
      <c r="V301" s="15"/>
      <c r="W301" s="15"/>
      <c r="X301" s="15" t="s">
        <v>4681</v>
      </c>
      <c r="Y301" s="15" t="s">
        <v>4257</v>
      </c>
      <c r="Z301" s="15"/>
      <c r="AA301" s="585"/>
      <c r="AB301" s="15"/>
      <c r="AC301" s="333"/>
      <c r="AD301" s="123" t="s">
        <v>3114</v>
      </c>
      <c r="AE301" s="583">
        <f>Table32[[#This Row],[Dana Disetujui]]</f>
        <v>11820000</v>
      </c>
      <c r="AF301" s="15" t="s">
        <v>4698</v>
      </c>
      <c r="AG301" s="15"/>
      <c r="AH301" s="15"/>
      <c r="AI301" s="15" t="s">
        <v>4681</v>
      </c>
      <c r="AJ301" s="15" t="s">
        <v>4257</v>
      </c>
      <c r="AK301" s="15"/>
      <c r="AL301" s="341"/>
      <c r="AM301" s="123" t="s">
        <v>4557</v>
      </c>
      <c r="AN301" s="583">
        <f>Table32[[#This Row],[Dana Disetujui]]</f>
        <v>11820000</v>
      </c>
      <c r="AO301" s="23"/>
      <c r="AP301" s="23"/>
      <c r="AQ301" s="23"/>
      <c r="AR301" s="15" t="s">
        <v>4681</v>
      </c>
      <c r="AS301" s="15" t="s">
        <v>4257</v>
      </c>
      <c r="AT301" s="23"/>
      <c r="AU301" s="23"/>
      <c r="AV301" s="23"/>
      <c r="AW301" s="534"/>
      <c r="AX301" s="23"/>
      <c r="AY301" s="23"/>
      <c r="AZ301" s="23"/>
      <c r="BA301" s="23"/>
      <c r="BB301" s="23"/>
      <c r="BC301" s="23"/>
      <c r="BD301" s="23"/>
      <c r="BE301" s="534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  <c r="BP301" s="123" t="s">
        <v>4848</v>
      </c>
      <c r="BQ301" s="348" t="s">
        <v>3190</v>
      </c>
      <c r="BR301" s="584" t="s">
        <v>3191</v>
      </c>
      <c r="BS301" s="123" t="s">
        <v>4849</v>
      </c>
      <c r="BT301" s="36"/>
      <c r="BU301" s="123" t="s">
        <v>4850</v>
      </c>
      <c r="BV301" s="36"/>
      <c r="BW301" s="123" t="s">
        <v>4851</v>
      </c>
      <c r="BX301" s="36"/>
      <c r="BY301" s="23"/>
      <c r="BZ301" s="36"/>
      <c r="CA301" s="23"/>
      <c r="CB301" s="23"/>
      <c r="CC301" s="23"/>
      <c r="CD301" s="23"/>
      <c r="CE301" s="23"/>
      <c r="CF301" s="23"/>
      <c r="CG301" s="123" t="s">
        <v>4787</v>
      </c>
      <c r="CH301" s="23"/>
      <c r="CI301" s="23"/>
      <c r="CJ301" s="551"/>
    </row>
    <row r="302" spans="1:88" ht="68.25" customHeight="1">
      <c r="A302" s="15">
        <v>28</v>
      </c>
      <c r="B302" s="349"/>
      <c r="C302" s="348" t="s">
        <v>4852</v>
      </c>
      <c r="D302" s="139" t="s">
        <v>4853</v>
      </c>
      <c r="E302" s="15" t="s">
        <v>138</v>
      </c>
      <c r="F302" s="15">
        <v>2025</v>
      </c>
      <c r="G302" s="15">
        <v>2025</v>
      </c>
      <c r="H302" s="15">
        <v>12</v>
      </c>
      <c r="I302" s="123" t="s">
        <v>3214</v>
      </c>
      <c r="J302" s="350">
        <v>11500000</v>
      </c>
      <c r="K302" s="582" t="s">
        <v>4676</v>
      </c>
      <c r="L302" s="123" t="s">
        <v>4688</v>
      </c>
      <c r="M302" s="15" t="s">
        <v>4678</v>
      </c>
      <c r="N302" s="15" t="s">
        <v>3223</v>
      </c>
      <c r="O302" s="15" t="s">
        <v>4679</v>
      </c>
      <c r="P302" s="15" t="s">
        <v>4680</v>
      </c>
      <c r="Q302" s="333"/>
      <c r="R302" s="123" t="s">
        <v>4516</v>
      </c>
      <c r="S302" s="341"/>
      <c r="T302" s="583">
        <f>Table32[[#This Row],[Dana Disetujui]]</f>
        <v>11500000</v>
      </c>
      <c r="U302" s="15" t="s">
        <v>4517</v>
      </c>
      <c r="V302" s="15"/>
      <c r="W302" s="15"/>
      <c r="X302" s="15" t="s">
        <v>4681</v>
      </c>
      <c r="Y302" s="15" t="s">
        <v>4257</v>
      </c>
      <c r="Z302" s="15"/>
      <c r="AA302" s="204"/>
      <c r="AB302" s="333"/>
      <c r="AC302" s="333"/>
      <c r="AD302" s="123" t="s">
        <v>4290</v>
      </c>
      <c r="AE302" s="583">
        <f>Table32[[#This Row],[Dana Disetujui]]</f>
        <v>11500000</v>
      </c>
      <c r="AF302" s="15" t="s">
        <v>4426</v>
      </c>
      <c r="AG302" s="15"/>
      <c r="AH302" s="15"/>
      <c r="AI302" s="15" t="s">
        <v>4681</v>
      </c>
      <c r="AJ302" s="15" t="s">
        <v>4257</v>
      </c>
      <c r="AK302" s="333"/>
      <c r="AL302" s="341"/>
      <c r="AM302" s="123" t="s">
        <v>3739</v>
      </c>
      <c r="AN302" s="583"/>
      <c r="AO302" s="23"/>
      <c r="AP302" s="23"/>
      <c r="AQ302" s="23"/>
      <c r="AR302" s="15" t="s">
        <v>4681</v>
      </c>
      <c r="AS302" s="15" t="s">
        <v>4257</v>
      </c>
      <c r="AT302" s="23"/>
      <c r="AU302" s="23"/>
      <c r="AV302" s="23"/>
      <c r="AW302" s="534"/>
      <c r="AX302" s="23"/>
      <c r="AY302" s="23"/>
      <c r="AZ302" s="23"/>
      <c r="BA302" s="23"/>
      <c r="BB302" s="23"/>
      <c r="BC302" s="23"/>
      <c r="BD302" s="23"/>
      <c r="BE302" s="534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  <c r="BP302" s="123" t="s">
        <v>4730</v>
      </c>
      <c r="BQ302" s="348" t="s">
        <v>3190</v>
      </c>
      <c r="BR302" s="584" t="s">
        <v>3191</v>
      </c>
      <c r="BS302" s="123" t="s">
        <v>4854</v>
      </c>
      <c r="BT302" s="36"/>
      <c r="BU302" s="122" t="s">
        <v>3739</v>
      </c>
      <c r="BV302" s="36"/>
      <c r="BW302" s="122" t="s">
        <v>3739</v>
      </c>
      <c r="BX302" s="36"/>
      <c r="BY302" s="23"/>
      <c r="BZ302" s="36"/>
      <c r="CA302" s="23"/>
      <c r="CB302" s="23"/>
      <c r="CC302" s="23"/>
      <c r="CD302" s="23"/>
      <c r="CE302" s="23"/>
      <c r="CF302" s="23"/>
      <c r="CG302" s="123" t="s">
        <v>4787</v>
      </c>
      <c r="CH302" s="23"/>
      <c r="CI302" s="23"/>
      <c r="CJ302" s="36"/>
    </row>
    <row r="303" spans="1:88" s="550" customFormat="1" ht="78" customHeight="1">
      <c r="A303" s="15">
        <v>29</v>
      </c>
      <c r="B303" s="349"/>
      <c r="C303" s="322" t="s">
        <v>4855</v>
      </c>
      <c r="D303" s="139" t="s">
        <v>4856</v>
      </c>
      <c r="E303" s="15" t="s">
        <v>138</v>
      </c>
      <c r="F303" s="15">
        <v>2025</v>
      </c>
      <c r="G303" s="15">
        <v>2025</v>
      </c>
      <c r="H303" s="15">
        <v>12</v>
      </c>
      <c r="I303" s="123" t="s">
        <v>4857</v>
      </c>
      <c r="J303" s="350">
        <v>11412750</v>
      </c>
      <c r="K303" s="582" t="s">
        <v>4676</v>
      </c>
      <c r="L303" s="123" t="s">
        <v>4724</v>
      </c>
      <c r="M303" s="15" t="s">
        <v>4678</v>
      </c>
      <c r="N303" s="15" t="s">
        <v>3223</v>
      </c>
      <c r="O303" s="15" t="s">
        <v>4679</v>
      </c>
      <c r="P303" s="15" t="s">
        <v>4680</v>
      </c>
      <c r="Q303" s="333"/>
      <c r="R303" s="123" t="s">
        <v>4341</v>
      </c>
      <c r="S303" s="341"/>
      <c r="T303" s="583">
        <f>Table32[[#This Row],[Dana Disetujui]]</f>
        <v>11412750</v>
      </c>
      <c r="U303" s="15" t="s">
        <v>4418</v>
      </c>
      <c r="V303" s="15"/>
      <c r="W303" s="15"/>
      <c r="X303" s="15" t="s">
        <v>4681</v>
      </c>
      <c r="Y303" s="15" t="s">
        <v>4257</v>
      </c>
      <c r="Z303" s="15"/>
      <c r="AA303" s="204"/>
      <c r="AB303" s="333"/>
      <c r="AC303" s="333"/>
      <c r="AD303" s="123" t="s">
        <v>4802</v>
      </c>
      <c r="AE303" s="583">
        <f>Table32[[#This Row],[Dana Disetujui]]</f>
        <v>11412750</v>
      </c>
      <c r="AF303" s="15" t="s">
        <v>4418</v>
      </c>
      <c r="AG303" s="15"/>
      <c r="AH303" s="15"/>
      <c r="AI303" s="15" t="s">
        <v>4681</v>
      </c>
      <c r="AJ303" s="15" t="s">
        <v>4257</v>
      </c>
      <c r="AK303" s="333"/>
      <c r="AL303" s="341"/>
      <c r="AM303" s="123" t="s">
        <v>3739</v>
      </c>
      <c r="AN303" s="583"/>
      <c r="AO303" s="23"/>
      <c r="AP303" s="23"/>
      <c r="AQ303" s="23"/>
      <c r="AR303" s="15" t="s">
        <v>4681</v>
      </c>
      <c r="AS303" s="15" t="s">
        <v>4257</v>
      </c>
      <c r="AT303" s="23"/>
      <c r="AU303" s="23"/>
      <c r="AV303" s="23"/>
      <c r="AW303" s="534"/>
      <c r="AX303" s="23"/>
      <c r="AY303" s="23"/>
      <c r="AZ303" s="23"/>
      <c r="BA303" s="23"/>
      <c r="BB303" s="23"/>
      <c r="BC303" s="23"/>
      <c r="BD303" s="23"/>
      <c r="BE303" s="534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  <c r="BP303" s="123" t="s">
        <v>4858</v>
      </c>
      <c r="BQ303" s="348" t="s">
        <v>3190</v>
      </c>
      <c r="BR303" s="584" t="s">
        <v>3191</v>
      </c>
      <c r="BS303" s="123" t="s">
        <v>4859</v>
      </c>
      <c r="BT303" s="36"/>
      <c r="BU303" s="123" t="s">
        <v>4860</v>
      </c>
      <c r="BV303" s="36"/>
      <c r="BW303" s="123" t="s">
        <v>4861</v>
      </c>
      <c r="BX303" s="36"/>
      <c r="BY303" s="23"/>
      <c r="BZ303" s="36"/>
      <c r="CA303" s="23"/>
      <c r="CB303" s="23"/>
      <c r="CC303" s="23"/>
      <c r="CD303" s="23"/>
      <c r="CE303" s="23"/>
      <c r="CF303" s="23"/>
      <c r="CG303" s="123" t="s">
        <v>4787</v>
      </c>
      <c r="CH303" s="23"/>
      <c r="CI303" s="23"/>
      <c r="CJ303" s="551"/>
    </row>
    <row r="304" spans="1:88" ht="79.5" customHeight="1">
      <c r="A304" s="15">
        <v>30</v>
      </c>
      <c r="B304" s="349"/>
      <c r="C304" s="348" t="s">
        <v>4862</v>
      </c>
      <c r="D304" s="139" t="s">
        <v>4863</v>
      </c>
      <c r="E304" s="15" t="s">
        <v>138</v>
      </c>
      <c r="F304" s="15">
        <v>2025</v>
      </c>
      <c r="G304" s="15">
        <v>2025</v>
      </c>
      <c r="H304" s="15">
        <v>12</v>
      </c>
      <c r="I304" s="123" t="s">
        <v>4298</v>
      </c>
      <c r="J304" s="350">
        <v>11370510</v>
      </c>
      <c r="K304" s="582" t="s">
        <v>4676</v>
      </c>
      <c r="L304" s="123" t="s">
        <v>4677</v>
      </c>
      <c r="M304" s="15" t="s">
        <v>4678</v>
      </c>
      <c r="N304" s="15" t="s">
        <v>3223</v>
      </c>
      <c r="O304" s="15" t="s">
        <v>4679</v>
      </c>
      <c r="P304" s="15" t="s">
        <v>4680</v>
      </c>
      <c r="Q304" s="333"/>
      <c r="R304" s="123" t="s">
        <v>4864</v>
      </c>
      <c r="S304" s="341"/>
      <c r="T304" s="583">
        <f>Table32[[#This Row],[Dana Disetujui]]</f>
        <v>11370510</v>
      </c>
      <c r="U304" s="204" t="s">
        <v>4409</v>
      </c>
      <c r="V304" s="204"/>
      <c r="W304" s="204"/>
      <c r="X304" s="15" t="s">
        <v>4681</v>
      </c>
      <c r="Y304" s="15" t="s">
        <v>4257</v>
      </c>
      <c r="Z304" s="15"/>
      <c r="AA304" s="204"/>
      <c r="AB304" s="333"/>
      <c r="AC304" s="333"/>
      <c r="AD304" s="123" t="s">
        <v>4718</v>
      </c>
      <c r="AE304" s="583">
        <f>Table32[[#This Row],[Dana Disetujui]]</f>
        <v>11370510</v>
      </c>
      <c r="AF304" s="15" t="s">
        <v>4409</v>
      </c>
      <c r="AG304" s="15"/>
      <c r="AH304" s="15"/>
      <c r="AI304" s="15" t="s">
        <v>4681</v>
      </c>
      <c r="AJ304" s="15" t="s">
        <v>4257</v>
      </c>
      <c r="AK304" s="333"/>
      <c r="AL304" s="341"/>
      <c r="AM304" s="123" t="s">
        <v>4865</v>
      </c>
      <c r="AN304" s="583">
        <f>Table32[[#This Row],[Dana Disetujui]]</f>
        <v>11370510</v>
      </c>
      <c r="AO304" s="15" t="s">
        <v>4409</v>
      </c>
      <c r="AP304" s="15"/>
      <c r="AQ304" s="15"/>
      <c r="AR304" s="15" t="s">
        <v>4681</v>
      </c>
      <c r="AS304" s="15" t="s">
        <v>4257</v>
      </c>
      <c r="AT304" s="23"/>
      <c r="AU304" s="23"/>
      <c r="AV304" s="23"/>
      <c r="AW304" s="534"/>
      <c r="AX304" s="23"/>
      <c r="AY304" s="23"/>
      <c r="AZ304" s="23"/>
      <c r="BA304" s="23"/>
      <c r="BB304" s="23"/>
      <c r="BC304" s="23"/>
      <c r="BD304" s="23"/>
      <c r="BE304" s="534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  <c r="BP304" s="123" t="s">
        <v>4711</v>
      </c>
      <c r="BQ304" s="348" t="s">
        <v>3190</v>
      </c>
      <c r="BR304" s="584" t="s">
        <v>3191</v>
      </c>
      <c r="BS304" s="123" t="s">
        <v>4866</v>
      </c>
      <c r="BT304" s="36"/>
      <c r="BU304" s="123" t="s">
        <v>4867</v>
      </c>
      <c r="BV304" s="36"/>
      <c r="BW304" s="123" t="s">
        <v>4868</v>
      </c>
      <c r="BX304" s="36"/>
      <c r="BY304" s="23"/>
      <c r="BZ304" s="36"/>
      <c r="CA304" s="23"/>
      <c r="CB304" s="23"/>
      <c r="CC304" s="23"/>
      <c r="CD304" s="23"/>
      <c r="CE304" s="23"/>
      <c r="CF304" s="23"/>
      <c r="CG304" s="123" t="s">
        <v>4787</v>
      </c>
      <c r="CH304" s="23"/>
      <c r="CI304" s="23"/>
      <c r="CJ304" s="36"/>
    </row>
    <row r="305" spans="1:88" s="550" customFormat="1" ht="75.75" customHeight="1">
      <c r="A305" s="15">
        <v>31</v>
      </c>
      <c r="B305" s="349"/>
      <c r="C305" s="348" t="s">
        <v>4869</v>
      </c>
      <c r="D305" s="139" t="s">
        <v>4870</v>
      </c>
      <c r="E305" s="15" t="s">
        <v>138</v>
      </c>
      <c r="F305" s="15">
        <v>2025</v>
      </c>
      <c r="G305" s="15">
        <v>2025</v>
      </c>
      <c r="H305" s="15">
        <v>12</v>
      </c>
      <c r="I305" s="123" t="s">
        <v>4757</v>
      </c>
      <c r="J305" s="350">
        <v>11240760</v>
      </c>
      <c r="K305" s="582" t="s">
        <v>4676</v>
      </c>
      <c r="L305" s="123" t="s">
        <v>4724</v>
      </c>
      <c r="M305" s="15" t="s">
        <v>4678</v>
      </c>
      <c r="N305" s="15" t="s">
        <v>3223</v>
      </c>
      <c r="O305" s="15" t="s">
        <v>4679</v>
      </c>
      <c r="P305" s="15" t="s">
        <v>4680</v>
      </c>
      <c r="Q305" s="333"/>
      <c r="R305" s="123" t="s">
        <v>144</v>
      </c>
      <c r="S305" s="341"/>
      <c r="T305" s="583">
        <f>Table32[[#This Row],[Dana Disetujui]]</f>
        <v>11240760</v>
      </c>
      <c r="U305" s="15" t="s">
        <v>4448</v>
      </c>
      <c r="V305" s="15"/>
      <c r="W305" s="15"/>
      <c r="X305" s="15" t="s">
        <v>4681</v>
      </c>
      <c r="Y305" s="15" t="s">
        <v>4257</v>
      </c>
      <c r="Z305" s="15"/>
      <c r="AA305" s="204"/>
      <c r="AB305" s="333"/>
      <c r="AC305" s="333"/>
      <c r="AD305" s="123" t="s">
        <v>145</v>
      </c>
      <c r="AE305" s="583">
        <f>Table32[[#This Row],[Dana Disetujui]]</f>
        <v>11240760</v>
      </c>
      <c r="AF305" s="15" t="s">
        <v>4815</v>
      </c>
      <c r="AG305" s="15"/>
      <c r="AH305" s="15"/>
      <c r="AI305" s="15" t="s">
        <v>4681</v>
      </c>
      <c r="AJ305" s="15" t="s">
        <v>4257</v>
      </c>
      <c r="AK305" s="333"/>
      <c r="AL305" s="341"/>
      <c r="AM305" s="123" t="s">
        <v>4579</v>
      </c>
      <c r="AN305" s="583">
        <f>Table32[[#This Row],[Dana Disetujui]]</f>
        <v>11240760</v>
      </c>
      <c r="AO305" s="15" t="s">
        <v>4448</v>
      </c>
      <c r="AP305" s="15" t="s">
        <v>166</v>
      </c>
      <c r="AQ305" s="15"/>
      <c r="AR305" s="15" t="s">
        <v>4681</v>
      </c>
      <c r="AS305" s="15" t="s">
        <v>4257</v>
      </c>
      <c r="AT305" s="23"/>
      <c r="AU305" s="23"/>
      <c r="AV305" s="23"/>
      <c r="AW305" s="534"/>
      <c r="AX305" s="23"/>
      <c r="AY305" s="23"/>
      <c r="AZ305" s="23"/>
      <c r="BA305" s="23"/>
      <c r="BB305" s="23"/>
      <c r="BC305" s="23"/>
      <c r="BD305" s="23"/>
      <c r="BE305" s="534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  <c r="BP305" s="123" t="s">
        <v>4730</v>
      </c>
      <c r="BQ305" s="348" t="s">
        <v>3190</v>
      </c>
      <c r="BR305" s="584" t="s">
        <v>3191</v>
      </c>
      <c r="BS305" s="123" t="s">
        <v>4871</v>
      </c>
      <c r="BT305" s="36"/>
      <c r="BU305" s="123" t="s">
        <v>4872</v>
      </c>
      <c r="BV305" s="36"/>
      <c r="BW305" s="122" t="s">
        <v>3739</v>
      </c>
      <c r="BX305" s="36"/>
      <c r="BY305" s="23"/>
      <c r="BZ305" s="36"/>
      <c r="CA305" s="23"/>
      <c r="CB305" s="23"/>
      <c r="CC305" s="23"/>
      <c r="CD305" s="23"/>
      <c r="CE305" s="23"/>
      <c r="CF305" s="23"/>
      <c r="CG305" s="123" t="s">
        <v>4708</v>
      </c>
      <c r="CH305" s="23"/>
      <c r="CI305" s="23"/>
      <c r="CJ305" s="551"/>
    </row>
    <row r="306" spans="1:88" s="550" customFormat="1" ht="92.25" customHeight="1">
      <c r="A306" s="15">
        <v>32</v>
      </c>
      <c r="B306" s="349"/>
      <c r="C306" s="322" t="s">
        <v>4873</v>
      </c>
      <c r="D306" s="139" t="s">
        <v>4874</v>
      </c>
      <c r="E306" s="15" t="s">
        <v>138</v>
      </c>
      <c r="F306" s="15">
        <v>2025</v>
      </c>
      <c r="G306" s="15">
        <v>2025</v>
      </c>
      <c r="H306" s="15">
        <v>12</v>
      </c>
      <c r="I306" s="123" t="s">
        <v>4757</v>
      </c>
      <c r="J306" s="350">
        <v>11240760</v>
      </c>
      <c r="K306" s="582" t="s">
        <v>4676</v>
      </c>
      <c r="L306" s="123" t="s">
        <v>4724</v>
      </c>
      <c r="M306" s="15" t="s">
        <v>4678</v>
      </c>
      <c r="N306" s="15" t="s">
        <v>3223</v>
      </c>
      <c r="O306" s="15" t="s">
        <v>4679</v>
      </c>
      <c r="P306" s="15" t="s">
        <v>4680</v>
      </c>
      <c r="Q306" s="15"/>
      <c r="R306" s="123" t="s">
        <v>145</v>
      </c>
      <c r="S306" s="341"/>
      <c r="T306" s="583">
        <f>Table32[[#This Row],[Dana Disetujui]]</f>
        <v>11240760</v>
      </c>
      <c r="U306" s="15" t="s">
        <v>4448</v>
      </c>
      <c r="V306" s="15"/>
      <c r="W306" s="15"/>
      <c r="X306" s="15" t="s">
        <v>4681</v>
      </c>
      <c r="Y306" s="15" t="s">
        <v>4257</v>
      </c>
      <c r="Z306" s="15"/>
      <c r="AA306" s="585"/>
      <c r="AB306" s="15"/>
      <c r="AC306" s="333"/>
      <c r="AD306" s="123" t="s">
        <v>4875</v>
      </c>
      <c r="AE306" s="583">
        <f>Table32[[#This Row],[Dana Disetujui]]</f>
        <v>11240760</v>
      </c>
      <c r="AF306" s="15" t="s">
        <v>4815</v>
      </c>
      <c r="AG306" s="15"/>
      <c r="AH306" s="15"/>
      <c r="AI306" s="15" t="s">
        <v>4681</v>
      </c>
      <c r="AJ306" s="15" t="s">
        <v>4257</v>
      </c>
      <c r="AK306" s="15"/>
      <c r="AL306" s="341"/>
      <c r="AM306" s="123" t="s">
        <v>3074</v>
      </c>
      <c r="AN306" s="583">
        <f>Table32[[#This Row],[Dana Disetujui]]</f>
        <v>11240760</v>
      </c>
      <c r="AO306" s="23"/>
      <c r="AP306" s="23"/>
      <c r="AQ306" s="23"/>
      <c r="AR306" s="15" t="s">
        <v>4681</v>
      </c>
      <c r="AS306" s="15" t="s">
        <v>4257</v>
      </c>
      <c r="AT306" s="23"/>
      <c r="AU306" s="23"/>
      <c r="AV306" s="23"/>
      <c r="AW306" s="534"/>
      <c r="AX306" s="23"/>
      <c r="AY306" s="23"/>
      <c r="AZ306" s="23"/>
      <c r="BA306" s="23"/>
      <c r="BB306" s="23"/>
      <c r="BC306" s="23"/>
      <c r="BD306" s="23"/>
      <c r="BE306" s="534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  <c r="BP306" s="123" t="s">
        <v>4876</v>
      </c>
      <c r="BQ306" s="348" t="s">
        <v>3190</v>
      </c>
      <c r="BR306" s="584" t="s">
        <v>3191</v>
      </c>
      <c r="BS306" s="123" t="s">
        <v>4877</v>
      </c>
      <c r="BT306" s="36"/>
      <c r="BU306" s="123" t="s">
        <v>4878</v>
      </c>
      <c r="BV306" s="36"/>
      <c r="BW306" s="123" t="s">
        <v>4879</v>
      </c>
      <c r="BX306" s="36"/>
      <c r="BY306" s="23"/>
      <c r="BZ306" s="36"/>
      <c r="CA306" s="23"/>
      <c r="CB306" s="23"/>
      <c r="CC306" s="23"/>
      <c r="CD306" s="23"/>
      <c r="CE306" s="23"/>
      <c r="CF306" s="23"/>
      <c r="CG306" s="123" t="s">
        <v>4787</v>
      </c>
      <c r="CH306" s="23"/>
      <c r="CI306" s="23"/>
      <c r="CJ306" s="551"/>
    </row>
    <row r="307" spans="1:88" ht="84" customHeight="1">
      <c r="A307" s="15">
        <v>33</v>
      </c>
      <c r="B307" s="349"/>
      <c r="C307" s="322" t="s">
        <v>4880</v>
      </c>
      <c r="D307" s="139" t="s">
        <v>4881</v>
      </c>
      <c r="E307" s="15" t="s">
        <v>138</v>
      </c>
      <c r="F307" s="15">
        <v>2025</v>
      </c>
      <c r="G307" s="15">
        <v>2025</v>
      </c>
      <c r="H307" s="15">
        <v>12</v>
      </c>
      <c r="I307" s="123" t="s">
        <v>4298</v>
      </c>
      <c r="J307" s="350">
        <v>11200000</v>
      </c>
      <c r="K307" s="582" t="s">
        <v>4676</v>
      </c>
      <c r="L307" s="123" t="s">
        <v>4697</v>
      </c>
      <c r="M307" s="15" t="s">
        <v>4678</v>
      </c>
      <c r="N307" s="15" t="s">
        <v>3223</v>
      </c>
      <c r="O307" s="15" t="s">
        <v>4679</v>
      </c>
      <c r="P307" s="15" t="s">
        <v>4680</v>
      </c>
      <c r="Q307" s="333"/>
      <c r="R307" s="123" t="s">
        <v>4331</v>
      </c>
      <c r="S307" s="341"/>
      <c r="T307" s="583">
        <f>Table32[[#This Row],[Dana Disetujui]]</f>
        <v>11200000</v>
      </c>
      <c r="U307" s="15" t="s">
        <v>4705</v>
      </c>
      <c r="V307" s="15"/>
      <c r="W307" s="15"/>
      <c r="X307" s="15" t="s">
        <v>4681</v>
      </c>
      <c r="Y307" s="15" t="s">
        <v>4257</v>
      </c>
      <c r="Z307" s="15"/>
      <c r="AA307" s="204"/>
      <c r="AB307" s="333"/>
      <c r="AC307" s="333"/>
      <c r="AD307" s="123" t="s">
        <v>4882</v>
      </c>
      <c r="AE307" s="583">
        <f>Table32[[#This Row],[Dana Disetujui]]</f>
        <v>11200000</v>
      </c>
      <c r="AF307" s="15" t="s">
        <v>4705</v>
      </c>
      <c r="AG307" s="15"/>
      <c r="AH307" s="15"/>
      <c r="AI307" s="15" t="s">
        <v>4681</v>
      </c>
      <c r="AJ307" s="15" t="s">
        <v>4257</v>
      </c>
      <c r="AK307" s="333"/>
      <c r="AL307" s="341"/>
      <c r="AM307" s="123" t="s">
        <v>3739</v>
      </c>
      <c r="AN307" s="583"/>
      <c r="AO307" s="23"/>
      <c r="AP307" s="23"/>
      <c r="AQ307" s="23"/>
      <c r="AR307" s="15" t="s">
        <v>4681</v>
      </c>
      <c r="AS307" s="15" t="s">
        <v>4257</v>
      </c>
      <c r="AT307" s="23"/>
      <c r="AU307" s="23"/>
      <c r="AV307" s="23"/>
      <c r="AW307" s="534"/>
      <c r="AX307" s="23"/>
      <c r="AY307" s="23"/>
      <c r="AZ307" s="23"/>
      <c r="BA307" s="23"/>
      <c r="BB307" s="23"/>
      <c r="BC307" s="23"/>
      <c r="BD307" s="23"/>
      <c r="BE307" s="534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  <c r="BP307" s="123" t="s">
        <v>4711</v>
      </c>
      <c r="BQ307" s="348" t="s">
        <v>3190</v>
      </c>
      <c r="BR307" s="584" t="s">
        <v>3191</v>
      </c>
      <c r="BS307" s="123" t="s">
        <v>4883</v>
      </c>
      <c r="BT307" s="36"/>
      <c r="BU307" s="123" t="s">
        <v>4884</v>
      </c>
      <c r="BV307" s="36"/>
      <c r="BW307" s="123" t="s">
        <v>4885</v>
      </c>
      <c r="BX307" s="36"/>
      <c r="BY307" s="23"/>
      <c r="BZ307" s="36"/>
      <c r="CA307" s="23"/>
      <c r="CB307" s="23"/>
      <c r="CC307" s="23"/>
      <c r="CD307" s="23"/>
      <c r="CE307" s="23"/>
      <c r="CF307" s="23"/>
      <c r="CG307" s="123" t="s">
        <v>4787</v>
      </c>
      <c r="CH307" s="23"/>
      <c r="CI307" s="23"/>
      <c r="CJ307" s="36"/>
    </row>
    <row r="308" spans="1:88" s="550" customFormat="1" ht="64.5" customHeight="1">
      <c r="A308" s="15">
        <v>34</v>
      </c>
      <c r="B308" s="349"/>
      <c r="C308" s="348" t="s">
        <v>4886</v>
      </c>
      <c r="D308" s="139" t="s">
        <v>4887</v>
      </c>
      <c r="E308" s="15" t="s">
        <v>138</v>
      </c>
      <c r="F308" s="15">
        <v>2025</v>
      </c>
      <c r="G308" s="15">
        <v>2025</v>
      </c>
      <c r="H308" s="15">
        <v>12</v>
      </c>
      <c r="I308" s="123" t="s">
        <v>3214</v>
      </c>
      <c r="J308" s="350">
        <v>11020935</v>
      </c>
      <c r="K308" s="582" t="s">
        <v>4676</v>
      </c>
      <c r="L308" s="123" t="s">
        <v>4697</v>
      </c>
      <c r="M308" s="15" t="s">
        <v>4678</v>
      </c>
      <c r="N308" s="15" t="s">
        <v>3223</v>
      </c>
      <c r="O308" s="15" t="s">
        <v>4679</v>
      </c>
      <c r="P308" s="15" t="s">
        <v>4680</v>
      </c>
      <c r="Q308" s="333"/>
      <c r="R308" s="123" t="s">
        <v>146</v>
      </c>
      <c r="S308" s="341"/>
      <c r="T308" s="583">
        <f>Table32[[#This Row],[Dana Disetujui]]</f>
        <v>11020935</v>
      </c>
      <c r="U308" s="204" t="s">
        <v>4409</v>
      </c>
      <c r="V308" s="204"/>
      <c r="W308" s="204"/>
      <c r="X308" s="15" t="s">
        <v>4681</v>
      </c>
      <c r="Y308" s="15" t="s">
        <v>4257</v>
      </c>
      <c r="Z308" s="15"/>
      <c r="AA308" s="204"/>
      <c r="AB308" s="333"/>
      <c r="AC308" s="333"/>
      <c r="AD308" s="123" t="s">
        <v>4865</v>
      </c>
      <c r="AE308" s="583">
        <f>Table32[[#This Row],[Dana Disetujui]]</f>
        <v>11020935</v>
      </c>
      <c r="AF308" s="15" t="s">
        <v>4409</v>
      </c>
      <c r="AG308" s="15"/>
      <c r="AH308" s="15"/>
      <c r="AI308" s="15" t="s">
        <v>4681</v>
      </c>
      <c r="AJ308" s="15" t="s">
        <v>4257</v>
      </c>
      <c r="AK308" s="333"/>
      <c r="AL308" s="341"/>
      <c r="AM308" s="123" t="s">
        <v>4797</v>
      </c>
      <c r="AN308" s="583">
        <f>Table32[[#This Row],[Dana Disetujui]]</f>
        <v>11020935</v>
      </c>
      <c r="AO308" s="15" t="s">
        <v>4758</v>
      </c>
      <c r="AP308" s="15"/>
      <c r="AQ308" s="15"/>
      <c r="AR308" s="15" t="s">
        <v>4681</v>
      </c>
      <c r="AS308" s="15" t="s">
        <v>4257</v>
      </c>
      <c r="AT308" s="23"/>
      <c r="AU308" s="23"/>
      <c r="AV308" s="23"/>
      <c r="AW308" s="534"/>
      <c r="AX308" s="23"/>
      <c r="AY308" s="23"/>
      <c r="AZ308" s="23"/>
      <c r="BA308" s="23"/>
      <c r="BB308" s="23"/>
      <c r="BC308" s="23"/>
      <c r="BD308" s="23"/>
      <c r="BE308" s="534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  <c r="BP308" s="123" t="s">
        <v>4888</v>
      </c>
      <c r="BQ308" s="348" t="s">
        <v>3190</v>
      </c>
      <c r="BR308" s="584" t="s">
        <v>3191</v>
      </c>
      <c r="BS308" s="123" t="s">
        <v>4889</v>
      </c>
      <c r="BT308" s="36"/>
      <c r="BU308" s="123" t="s">
        <v>4890</v>
      </c>
      <c r="BV308" s="36"/>
      <c r="BW308" s="123" t="s">
        <v>4891</v>
      </c>
      <c r="BX308" s="36"/>
      <c r="BY308" s="23"/>
      <c r="BZ308" s="36"/>
      <c r="CA308" s="23"/>
      <c r="CB308" s="23"/>
      <c r="CC308" s="23"/>
      <c r="CD308" s="23"/>
      <c r="CE308" s="23"/>
      <c r="CF308" s="23"/>
      <c r="CG308" s="123" t="s">
        <v>4787</v>
      </c>
      <c r="CH308" s="23"/>
      <c r="CI308" s="23"/>
      <c r="CJ308" s="551"/>
    </row>
    <row r="309" spans="1:88" ht="78" customHeight="1">
      <c r="A309" s="15">
        <v>35</v>
      </c>
      <c r="B309" s="349"/>
      <c r="C309" s="348" t="s">
        <v>4892</v>
      </c>
      <c r="D309" s="139" t="s">
        <v>4893</v>
      </c>
      <c r="E309" s="15" t="s">
        <v>138</v>
      </c>
      <c r="F309" s="15">
        <v>2025</v>
      </c>
      <c r="G309" s="15">
        <v>2025</v>
      </c>
      <c r="H309" s="15">
        <v>12</v>
      </c>
      <c r="I309" s="123" t="s">
        <v>3214</v>
      </c>
      <c r="J309" s="350">
        <v>11000900</v>
      </c>
      <c r="K309" s="582" t="s">
        <v>4676</v>
      </c>
      <c r="L309" s="123" t="s">
        <v>4697</v>
      </c>
      <c r="M309" s="15" t="s">
        <v>4678</v>
      </c>
      <c r="N309" s="15" t="s">
        <v>3223</v>
      </c>
      <c r="O309" s="15" t="s">
        <v>4679</v>
      </c>
      <c r="P309" s="15" t="s">
        <v>4680</v>
      </c>
      <c r="Q309" s="333"/>
      <c r="R309" s="123" t="s">
        <v>4288</v>
      </c>
      <c r="S309" s="341"/>
      <c r="T309" s="583">
        <f>Table32[[#This Row],[Dana Disetujui]]</f>
        <v>11000900</v>
      </c>
      <c r="U309" s="15" t="s">
        <v>4491</v>
      </c>
      <c r="V309" s="15" t="s">
        <v>166</v>
      </c>
      <c r="W309" s="15" t="s">
        <v>155</v>
      </c>
      <c r="X309" s="15" t="s">
        <v>4681</v>
      </c>
      <c r="Y309" s="15" t="s">
        <v>4257</v>
      </c>
      <c r="Z309" s="15"/>
      <c r="AA309" s="204"/>
      <c r="AB309" s="333"/>
      <c r="AC309" s="333"/>
      <c r="AD309" s="123" t="s">
        <v>3109</v>
      </c>
      <c r="AE309" s="583">
        <f>Table32[[#This Row],[Dana Disetujui]]</f>
        <v>11000900</v>
      </c>
      <c r="AF309" s="15" t="s">
        <v>4491</v>
      </c>
      <c r="AG309" s="15"/>
      <c r="AH309" s="15"/>
      <c r="AI309" s="15" t="s">
        <v>4681</v>
      </c>
      <c r="AJ309" s="15" t="s">
        <v>4257</v>
      </c>
      <c r="AK309" s="333"/>
      <c r="AL309" s="341"/>
      <c r="AM309" s="123" t="s">
        <v>4671</v>
      </c>
      <c r="AN309" s="583">
        <f>Table32[[#This Row],[Dana Disetujui]]</f>
        <v>11000900</v>
      </c>
      <c r="AO309" s="15" t="s">
        <v>4491</v>
      </c>
      <c r="AP309" s="15"/>
      <c r="AQ309" s="15"/>
      <c r="AR309" s="15" t="s">
        <v>4681</v>
      </c>
      <c r="AS309" s="15" t="s">
        <v>4257</v>
      </c>
      <c r="AT309" s="23"/>
      <c r="AU309" s="23"/>
      <c r="AV309" s="23"/>
      <c r="AW309" s="534"/>
      <c r="AX309" s="23"/>
      <c r="AY309" s="23"/>
      <c r="AZ309" s="23"/>
      <c r="BA309" s="23"/>
      <c r="BB309" s="23"/>
      <c r="BC309" s="23"/>
      <c r="BD309" s="23"/>
      <c r="BE309" s="534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  <c r="BP309" s="123" t="s">
        <v>4730</v>
      </c>
      <c r="BQ309" s="348" t="s">
        <v>3190</v>
      </c>
      <c r="BR309" s="584" t="s">
        <v>3191</v>
      </c>
      <c r="BS309" s="123" t="s">
        <v>4894</v>
      </c>
      <c r="BT309" s="36"/>
      <c r="BU309" s="123" t="s">
        <v>4301</v>
      </c>
      <c r="BV309" s="36"/>
      <c r="BW309" s="123" t="s">
        <v>4895</v>
      </c>
      <c r="BX309" s="36"/>
      <c r="BY309" s="23"/>
      <c r="BZ309" s="36"/>
      <c r="CA309" s="23"/>
      <c r="CB309" s="23"/>
      <c r="CC309" s="23"/>
      <c r="CD309" s="23"/>
      <c r="CE309" s="23"/>
      <c r="CF309" s="23"/>
      <c r="CG309" s="123" t="s">
        <v>4787</v>
      </c>
      <c r="CH309" s="23"/>
      <c r="CI309" s="23"/>
      <c r="CJ309" s="36"/>
    </row>
    <row r="310" spans="1:88" s="550" customFormat="1" ht="81.75" customHeight="1">
      <c r="A310" s="15">
        <v>36</v>
      </c>
      <c r="B310" s="349"/>
      <c r="C310" s="348" t="s">
        <v>4896</v>
      </c>
      <c r="D310" s="630" t="s">
        <v>4897</v>
      </c>
      <c r="E310" s="6" t="s">
        <v>138</v>
      </c>
      <c r="F310" s="15">
        <v>2025</v>
      </c>
      <c r="G310" s="15">
        <v>2025</v>
      </c>
      <c r="H310" s="15">
        <v>12</v>
      </c>
      <c r="I310" s="123" t="s">
        <v>3307</v>
      </c>
      <c r="J310" s="350">
        <v>10401575</v>
      </c>
      <c r="K310" s="582" t="s">
        <v>4676</v>
      </c>
      <c r="L310" s="123" t="s">
        <v>4697</v>
      </c>
      <c r="M310" s="15" t="s">
        <v>4678</v>
      </c>
      <c r="N310" s="15" t="s">
        <v>3223</v>
      </c>
      <c r="O310" s="15" t="s">
        <v>4679</v>
      </c>
      <c r="P310" s="6" t="s">
        <v>4680</v>
      </c>
      <c r="Q310" s="333"/>
      <c r="R310" s="123" t="s">
        <v>4288</v>
      </c>
      <c r="S310" s="341"/>
      <c r="T310" s="583">
        <f>Table32[[#This Row],[Dana Disetujui]]</f>
        <v>10401575</v>
      </c>
      <c r="U310" s="15" t="s">
        <v>4491</v>
      </c>
      <c r="V310" s="15" t="s">
        <v>166</v>
      </c>
      <c r="W310" s="15" t="s">
        <v>155</v>
      </c>
      <c r="X310" s="15" t="s">
        <v>4681</v>
      </c>
      <c r="Y310" s="15" t="s">
        <v>4257</v>
      </c>
      <c r="Z310" s="15"/>
      <c r="AA310" s="204"/>
      <c r="AB310" s="333"/>
      <c r="AC310" s="333"/>
      <c r="AD310" s="123" t="s">
        <v>4898</v>
      </c>
      <c r="AE310" s="583">
        <f>Table32[[#This Row],[Dana Disetujui]]</f>
        <v>10401575</v>
      </c>
      <c r="AF310" s="15" t="s">
        <v>4491</v>
      </c>
      <c r="AG310" s="15"/>
      <c r="AH310" s="15"/>
      <c r="AI310" s="15" t="s">
        <v>4681</v>
      </c>
      <c r="AJ310" s="15" t="s">
        <v>4257</v>
      </c>
      <c r="AK310" s="333"/>
      <c r="AL310" s="341"/>
      <c r="AM310" s="346" t="s">
        <v>3113</v>
      </c>
      <c r="AN310" s="583">
        <f>Table32[[#This Row],[Dana Disetujui]]</f>
        <v>10401575</v>
      </c>
      <c r="AO310" s="15" t="s">
        <v>4491</v>
      </c>
      <c r="AP310" s="15"/>
      <c r="AQ310" s="15"/>
      <c r="AR310" s="15" t="s">
        <v>4681</v>
      </c>
      <c r="AS310" s="15" t="s">
        <v>4257</v>
      </c>
      <c r="AT310" s="23"/>
      <c r="AU310" s="23"/>
      <c r="AV310" s="23"/>
      <c r="AW310" s="534"/>
      <c r="AX310" s="23"/>
      <c r="AY310" s="23"/>
      <c r="AZ310" s="23"/>
      <c r="BA310" s="23"/>
      <c r="BB310" s="23"/>
      <c r="BC310" s="23"/>
      <c r="BD310" s="23"/>
      <c r="BE310" s="534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  <c r="BP310" s="346" t="s">
        <v>4834</v>
      </c>
      <c r="BQ310" s="348" t="s">
        <v>3190</v>
      </c>
      <c r="BR310" s="584" t="s">
        <v>3191</v>
      </c>
      <c r="BS310" s="123" t="s">
        <v>4899</v>
      </c>
      <c r="BT310" s="36"/>
      <c r="BU310" s="346" t="s">
        <v>4900</v>
      </c>
      <c r="BV310" s="36"/>
      <c r="BW310" s="346" t="s">
        <v>4901</v>
      </c>
      <c r="BX310" s="36"/>
      <c r="BY310" s="23"/>
      <c r="BZ310" s="36"/>
      <c r="CA310" s="23"/>
      <c r="CB310" s="23"/>
      <c r="CC310" s="23"/>
      <c r="CD310" s="23"/>
      <c r="CE310" s="23"/>
      <c r="CF310" s="23"/>
      <c r="CG310" s="346" t="s">
        <v>4787</v>
      </c>
      <c r="CH310" s="23"/>
      <c r="CI310" s="23"/>
      <c r="CJ310" s="551"/>
    </row>
    <row r="311" spans="1:88" ht="77.25" customHeight="1">
      <c r="A311" s="15">
        <v>37</v>
      </c>
      <c r="B311" s="667"/>
      <c r="C311" s="322"/>
      <c r="D311" s="675" t="s">
        <v>4902</v>
      </c>
      <c r="E311" s="15" t="s">
        <v>138</v>
      </c>
      <c r="F311" s="25">
        <v>2025</v>
      </c>
      <c r="G311" s="25">
        <v>2025</v>
      </c>
      <c r="H311" s="25">
        <v>12</v>
      </c>
      <c r="I311" s="676" t="s">
        <v>3214</v>
      </c>
      <c r="J311" s="668">
        <v>10110000</v>
      </c>
      <c r="K311" s="677" t="s">
        <v>4676</v>
      </c>
      <c r="L311" s="676" t="s">
        <v>4688</v>
      </c>
      <c r="M311" s="25" t="s">
        <v>4678</v>
      </c>
      <c r="N311" s="25" t="s">
        <v>3223</v>
      </c>
      <c r="O311" s="25" t="s">
        <v>4679</v>
      </c>
      <c r="P311" s="25" t="s">
        <v>4680</v>
      </c>
      <c r="Q311" s="678"/>
      <c r="R311" s="676" t="s">
        <v>4291</v>
      </c>
      <c r="S311" s="672"/>
      <c r="T311" s="583">
        <f>Table32[[#This Row],[Dana Disetujui]]</f>
        <v>10110000</v>
      </c>
      <c r="U311" s="25" t="s">
        <v>4459</v>
      </c>
      <c r="V311" s="25"/>
      <c r="W311" s="25"/>
      <c r="X311" s="15" t="s">
        <v>4681</v>
      </c>
      <c r="Y311" s="15" t="s">
        <v>4257</v>
      </c>
      <c r="Z311" s="25"/>
      <c r="AA311" s="671"/>
      <c r="AB311" s="678"/>
      <c r="AC311" s="678"/>
      <c r="AD311" s="676" t="s">
        <v>119</v>
      </c>
      <c r="AE311" s="583">
        <f>Table32[[#This Row],[Dana Disetujui]]</f>
        <v>10110000</v>
      </c>
      <c r="AF311" s="15" t="s">
        <v>4698</v>
      </c>
      <c r="AG311" s="15"/>
      <c r="AH311" s="15"/>
      <c r="AI311" s="15" t="s">
        <v>4681</v>
      </c>
      <c r="AJ311" s="15" t="s">
        <v>4257</v>
      </c>
      <c r="AK311" s="678"/>
      <c r="AL311" s="672"/>
      <c r="AM311" s="676" t="s">
        <v>3739</v>
      </c>
      <c r="AN311" s="583"/>
      <c r="AO311" s="23"/>
      <c r="AP311" s="23"/>
      <c r="AQ311" s="23"/>
      <c r="AR311" s="15" t="s">
        <v>4681</v>
      </c>
      <c r="AS311" s="15" t="s">
        <v>4257</v>
      </c>
      <c r="AT311" s="24"/>
      <c r="AU311" s="24"/>
      <c r="AV311" s="24"/>
      <c r="AW311" s="673"/>
      <c r="AX311" s="24"/>
      <c r="AY311" s="24"/>
      <c r="AZ311" s="24"/>
      <c r="BA311" s="24"/>
      <c r="BB311" s="24"/>
      <c r="BC311" s="24"/>
      <c r="BD311" s="24"/>
      <c r="BE311" s="673"/>
      <c r="BF311" s="24"/>
      <c r="BG311" s="24"/>
      <c r="BH311" s="24"/>
      <c r="BI311" s="24"/>
      <c r="BJ311" s="24"/>
      <c r="BK311" s="24"/>
      <c r="BL311" s="24"/>
      <c r="BM311" s="24"/>
      <c r="BN311" s="24"/>
      <c r="BO311" s="24"/>
      <c r="BP311" s="676" t="s">
        <v>4903</v>
      </c>
      <c r="BQ311" s="598" t="s">
        <v>3190</v>
      </c>
      <c r="BR311" s="679" t="s">
        <v>3191</v>
      </c>
      <c r="BS311" s="676" t="s">
        <v>4904</v>
      </c>
      <c r="BT311" s="110"/>
      <c r="BU311" s="676" t="s">
        <v>4905</v>
      </c>
      <c r="BV311" s="110"/>
      <c r="BW311" s="680" t="s">
        <v>3739</v>
      </c>
      <c r="BX311" s="110"/>
      <c r="BY311" s="24"/>
      <c r="BZ311" s="110"/>
      <c r="CA311" s="24"/>
      <c r="CB311" s="24"/>
      <c r="CC311" s="24"/>
      <c r="CD311" s="24"/>
      <c r="CE311" s="24"/>
      <c r="CF311" s="24"/>
      <c r="CG311" s="676" t="s">
        <v>4787</v>
      </c>
      <c r="CH311" s="24"/>
      <c r="CI311" s="24"/>
      <c r="CJ311" s="36"/>
    </row>
    <row r="312" spans="1:88" ht="60.75" customHeight="1">
      <c r="A312" s="15">
        <v>37</v>
      </c>
      <c r="B312" s="535"/>
      <c r="C312" s="348"/>
      <c r="D312" s="14" t="s">
        <v>4906</v>
      </c>
      <c r="E312" s="15" t="s">
        <v>147</v>
      </c>
      <c r="F312" s="15">
        <v>2025</v>
      </c>
      <c r="G312" s="15">
        <v>2025</v>
      </c>
      <c r="H312" s="15">
        <v>12</v>
      </c>
      <c r="I312" s="346" t="s">
        <v>4298</v>
      </c>
      <c r="J312" s="350"/>
      <c r="K312" s="582" t="s">
        <v>4676</v>
      </c>
      <c r="L312" s="15" t="s">
        <v>4688</v>
      </c>
      <c r="M312" s="15" t="s">
        <v>4678</v>
      </c>
      <c r="N312" s="15" t="s">
        <v>3223</v>
      </c>
      <c r="O312" s="15" t="s">
        <v>4679</v>
      </c>
      <c r="P312" s="15" t="s">
        <v>4680</v>
      </c>
      <c r="Q312" s="15"/>
      <c r="R312" s="14" t="s">
        <v>3127</v>
      </c>
      <c r="S312" s="341"/>
      <c r="T312" s="583">
        <f>Table32[[#This Row],[Dana Disetujui]]</f>
        <v>0</v>
      </c>
      <c r="U312" s="15" t="s">
        <v>4452</v>
      </c>
      <c r="V312" s="15"/>
      <c r="W312" s="15"/>
      <c r="X312" s="15" t="s">
        <v>4681</v>
      </c>
      <c r="Y312" s="15" t="s">
        <v>4257</v>
      </c>
      <c r="Z312" s="15"/>
      <c r="AA312" s="585"/>
      <c r="AB312" s="15"/>
      <c r="AC312" s="333"/>
      <c r="AD312" s="347" t="s">
        <v>4524</v>
      </c>
      <c r="AE312" s="583">
        <f>Table32[[#This Row],[Dana Disetujui]]</f>
        <v>0</v>
      </c>
      <c r="AF312" s="15" t="s">
        <v>4698</v>
      </c>
      <c r="AG312" s="15"/>
      <c r="AH312" s="15"/>
      <c r="AI312" s="15" t="s">
        <v>4681</v>
      </c>
      <c r="AJ312" s="15" t="s">
        <v>4257</v>
      </c>
      <c r="AK312" s="15"/>
      <c r="AL312" s="341"/>
      <c r="AM312" s="15" t="s">
        <v>4907</v>
      </c>
      <c r="AN312" s="583">
        <f>Table32[[#This Row],[Dana Disetujui]]</f>
        <v>0</v>
      </c>
      <c r="AO312" s="15" t="s">
        <v>4470</v>
      </c>
      <c r="AP312" s="15"/>
      <c r="AQ312" s="15"/>
      <c r="AR312" s="15" t="s">
        <v>4681</v>
      </c>
      <c r="AS312" s="15" t="s">
        <v>4257</v>
      </c>
      <c r="AT312" s="23"/>
      <c r="AU312" s="23"/>
      <c r="AV312" s="23"/>
      <c r="AW312" s="534"/>
      <c r="AX312" s="23"/>
      <c r="AY312" s="23"/>
      <c r="AZ312" s="23"/>
      <c r="BA312" s="23"/>
      <c r="BB312" s="23"/>
      <c r="BC312" s="23"/>
      <c r="BD312" s="23"/>
      <c r="BE312" s="534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  <c r="BP312" s="346" t="s">
        <v>4682</v>
      </c>
      <c r="BQ312" s="348" t="s">
        <v>3190</v>
      </c>
      <c r="BR312" s="584" t="s">
        <v>3191</v>
      </c>
      <c r="BS312" s="23" t="s">
        <v>4908</v>
      </c>
      <c r="BT312" s="36"/>
      <c r="BU312" s="23" t="s">
        <v>4909</v>
      </c>
      <c r="BV312" s="36"/>
      <c r="BW312" s="346" t="s">
        <v>4818</v>
      </c>
      <c r="BX312" s="36"/>
      <c r="BY312" s="23"/>
      <c r="BZ312" s="36"/>
      <c r="CA312" s="23"/>
      <c r="CB312" s="23"/>
      <c r="CC312" s="23"/>
      <c r="CD312" s="23"/>
      <c r="CE312" s="23"/>
      <c r="CF312" s="23"/>
      <c r="CG312" s="23" t="s">
        <v>4708</v>
      </c>
      <c r="CH312" s="23"/>
      <c r="CI312" s="23"/>
      <c r="CJ312" s="36"/>
    </row>
    <row r="313" spans="1:88" ht="92.25" customHeight="1">
      <c r="A313" s="25">
        <v>38</v>
      </c>
      <c r="B313" s="667"/>
      <c r="C313" s="322"/>
      <c r="D313" s="29" t="s">
        <v>4910</v>
      </c>
      <c r="E313" s="25" t="s">
        <v>147</v>
      </c>
      <c r="F313" s="25">
        <v>2025</v>
      </c>
      <c r="G313" s="25">
        <v>2025</v>
      </c>
      <c r="H313" s="25">
        <v>12</v>
      </c>
      <c r="I313" s="676" t="s">
        <v>3214</v>
      </c>
      <c r="J313" s="668"/>
      <c r="K313" s="677" t="s">
        <v>4676</v>
      </c>
      <c r="L313" s="25" t="s">
        <v>4688</v>
      </c>
      <c r="M313" s="25" t="s">
        <v>4678</v>
      </c>
      <c r="N313" s="25" t="s">
        <v>3223</v>
      </c>
      <c r="O313" s="25" t="s">
        <v>4679</v>
      </c>
      <c r="P313" s="25" t="s">
        <v>4680</v>
      </c>
      <c r="Q313" s="25"/>
      <c r="R313" s="29" t="s">
        <v>4911</v>
      </c>
      <c r="S313" s="672"/>
      <c r="T313" s="583">
        <f>Table32[[#This Row],[Dana Disetujui]]</f>
        <v>0</v>
      </c>
      <c r="U313" s="25" t="s">
        <v>4517</v>
      </c>
      <c r="V313" s="25"/>
      <c r="W313" s="25"/>
      <c r="X313" s="25" t="s">
        <v>4681</v>
      </c>
      <c r="Y313" s="25" t="s">
        <v>4257</v>
      </c>
      <c r="Z313" s="25"/>
      <c r="AA313" s="713"/>
      <c r="AB313" s="25"/>
      <c r="AC313" s="678"/>
      <c r="AD313" s="739" t="s">
        <v>4516</v>
      </c>
      <c r="AE313" s="583">
        <f>Table32[[#This Row],[Dana Disetujui]]</f>
        <v>0</v>
      </c>
      <c r="AF313" s="25" t="s">
        <v>4426</v>
      </c>
      <c r="AG313" s="25"/>
      <c r="AH313" s="25"/>
      <c r="AI313" s="25" t="s">
        <v>4681</v>
      </c>
      <c r="AJ313" s="25" t="s">
        <v>4257</v>
      </c>
      <c r="AK313" s="25"/>
      <c r="AL313" s="672"/>
      <c r="AM313" s="25" t="s">
        <v>4822</v>
      </c>
      <c r="AN313" s="583">
        <f>Table32[[#This Row],[Dana Disetujui]]</f>
        <v>0</v>
      </c>
      <c r="AO313" s="25" t="s">
        <v>4426</v>
      </c>
      <c r="AP313" s="25" t="s">
        <v>155</v>
      </c>
      <c r="AQ313" s="25"/>
      <c r="AR313" s="25" t="s">
        <v>4681</v>
      </c>
      <c r="AS313" s="25" t="s">
        <v>4257</v>
      </c>
      <c r="AT313" s="24"/>
      <c r="AU313" s="24"/>
      <c r="AV313" s="24"/>
      <c r="AW313" s="673"/>
      <c r="AX313" s="24"/>
      <c r="AY313" s="24"/>
      <c r="AZ313" s="24"/>
      <c r="BA313" s="24"/>
      <c r="BB313" s="24"/>
      <c r="BC313" s="24"/>
      <c r="BD313" s="24"/>
      <c r="BE313" s="673"/>
      <c r="BF313" s="24"/>
      <c r="BG313" s="24"/>
      <c r="BH313" s="24"/>
      <c r="BI313" s="24"/>
      <c r="BJ313" s="24"/>
      <c r="BK313" s="24"/>
      <c r="BL313" s="24"/>
      <c r="BM313" s="24"/>
      <c r="BN313" s="24"/>
      <c r="BO313" s="24"/>
      <c r="BP313" s="676" t="s">
        <v>4730</v>
      </c>
      <c r="BQ313" s="598" t="s">
        <v>3190</v>
      </c>
      <c r="BR313" s="679" t="s">
        <v>3191</v>
      </c>
      <c r="BS313" s="24" t="s">
        <v>4912</v>
      </c>
      <c r="BT313" s="110"/>
      <c r="BU313" s="24" t="s">
        <v>3739</v>
      </c>
      <c r="BV313" s="110"/>
      <c r="BW313" s="680" t="s">
        <v>3739</v>
      </c>
      <c r="BX313" s="110"/>
      <c r="BY313" s="24"/>
      <c r="BZ313" s="110"/>
      <c r="CA313" s="24"/>
      <c r="CB313" s="24"/>
      <c r="CC313" s="24"/>
      <c r="CD313" s="24"/>
      <c r="CE313" s="24"/>
      <c r="CF313" s="24"/>
      <c r="CG313" s="24" t="s">
        <v>4787</v>
      </c>
      <c r="CH313" s="24"/>
      <c r="CI313" s="24"/>
      <c r="CJ313" s="36"/>
    </row>
  </sheetData>
  <mergeCells count="2">
    <mergeCell ref="CK166:CL166"/>
    <mergeCell ref="CK169:CL169"/>
  </mergeCells>
  <phoneticPr fontId="7" type="noConversion"/>
  <hyperlinks>
    <hyperlink ref="B210" r:id="rId1" xr:uid="{00000000-0004-0000-0B00-000000000000}"/>
    <hyperlink ref="B209" r:id="rId2" xr:uid="{00000000-0004-0000-0B00-000001000000}"/>
    <hyperlink ref="B208" r:id="rId3" xr:uid="{00000000-0004-0000-0B00-000002000000}"/>
    <hyperlink ref="B207" r:id="rId4" xr:uid="{00000000-0004-0000-0B00-000003000000}"/>
    <hyperlink ref="B206" r:id="rId5" xr:uid="{00000000-0004-0000-0B00-000004000000}"/>
    <hyperlink ref="B205" r:id="rId6" xr:uid="{00000000-0004-0000-0B00-000005000000}"/>
    <hyperlink ref="B204" r:id="rId7" xr:uid="{00000000-0004-0000-0B00-000006000000}"/>
    <hyperlink ref="B203" r:id="rId8" xr:uid="{00000000-0004-0000-0B00-000007000000}"/>
    <hyperlink ref="B202" r:id="rId9" xr:uid="{00000000-0004-0000-0B00-000008000000}"/>
    <hyperlink ref="B201" r:id="rId10" xr:uid="{00000000-0004-0000-0B00-000009000000}"/>
    <hyperlink ref="B200" r:id="rId11" xr:uid="{00000000-0004-0000-0B00-00000A000000}"/>
    <hyperlink ref="B199" r:id="rId12" xr:uid="{00000000-0004-0000-0B00-00000B000000}"/>
    <hyperlink ref="B198" r:id="rId13" xr:uid="{00000000-0004-0000-0B00-00000C000000}"/>
    <hyperlink ref="B197" r:id="rId14" xr:uid="{00000000-0004-0000-0B00-00000D000000}"/>
    <hyperlink ref="B196" r:id="rId15" xr:uid="{00000000-0004-0000-0B00-00000E000000}"/>
    <hyperlink ref="B195" r:id="rId16" xr:uid="{00000000-0004-0000-0B00-00000F000000}"/>
    <hyperlink ref="B194" r:id="rId17" xr:uid="{00000000-0004-0000-0B00-000010000000}"/>
    <hyperlink ref="B193" r:id="rId18" xr:uid="{00000000-0004-0000-0B00-000011000000}"/>
    <hyperlink ref="B192" r:id="rId19" xr:uid="{00000000-0004-0000-0B00-000012000000}"/>
    <hyperlink ref="B191" r:id="rId20" xr:uid="{00000000-0004-0000-0B00-000013000000}"/>
    <hyperlink ref="B190" r:id="rId21" xr:uid="{00000000-0004-0000-0B00-000014000000}"/>
    <hyperlink ref="B185" r:id="rId22" xr:uid="{00000000-0004-0000-0B00-000015000000}"/>
    <hyperlink ref="B186" r:id="rId23" xr:uid="{00000000-0004-0000-0B00-000016000000}"/>
    <hyperlink ref="B187" r:id="rId24" xr:uid="{00000000-0004-0000-0B00-000017000000}"/>
    <hyperlink ref="B188" r:id="rId25" xr:uid="{00000000-0004-0000-0B00-000018000000}"/>
    <hyperlink ref="B189" r:id="rId26" xr:uid="{00000000-0004-0000-0B00-000019000000}"/>
    <hyperlink ref="B183" r:id="rId27" xr:uid="{00000000-0004-0000-0B00-00001A000000}"/>
    <hyperlink ref="B184" r:id="rId28" xr:uid="{00000000-0004-0000-0B00-00001B000000}"/>
    <hyperlink ref="B182" r:id="rId29" xr:uid="{00000000-0004-0000-0B00-00001C000000}"/>
    <hyperlink ref="B181" r:id="rId30" xr:uid="{00000000-0004-0000-0B00-00001D000000}"/>
    <hyperlink ref="B179" r:id="rId31" xr:uid="{00000000-0004-0000-0B00-00001E000000}"/>
    <hyperlink ref="B180" r:id="rId32" xr:uid="{00000000-0004-0000-0B00-00001F000000}"/>
    <hyperlink ref="B176" r:id="rId33" xr:uid="{00000000-0004-0000-0B00-000020000000}"/>
    <hyperlink ref="B177" r:id="rId34" xr:uid="{00000000-0004-0000-0B00-000021000000}"/>
    <hyperlink ref="B178" r:id="rId35" xr:uid="{00000000-0004-0000-0B00-000022000000}"/>
    <hyperlink ref="B162" r:id="rId36" xr:uid="{00000000-0004-0000-0B00-000023000000}"/>
    <hyperlink ref="B163" r:id="rId37" xr:uid="{00000000-0004-0000-0B00-000024000000}"/>
    <hyperlink ref="B164" r:id="rId38" xr:uid="{00000000-0004-0000-0B00-000025000000}"/>
    <hyperlink ref="B165" r:id="rId39" xr:uid="{00000000-0004-0000-0B00-000026000000}"/>
    <hyperlink ref="B166" r:id="rId40" xr:uid="{00000000-0004-0000-0B00-000027000000}"/>
    <hyperlink ref="B167" r:id="rId41" xr:uid="{00000000-0004-0000-0B00-000028000000}"/>
    <hyperlink ref="B168" r:id="rId42" xr:uid="{00000000-0004-0000-0B00-000029000000}"/>
    <hyperlink ref="B169" r:id="rId43" xr:uid="{00000000-0004-0000-0B00-00002A000000}"/>
    <hyperlink ref="B170" r:id="rId44" xr:uid="{00000000-0004-0000-0B00-00002B000000}"/>
    <hyperlink ref="B171" r:id="rId45" xr:uid="{00000000-0004-0000-0B00-00002C000000}"/>
    <hyperlink ref="B172" r:id="rId46" xr:uid="{00000000-0004-0000-0B00-00002D000000}"/>
    <hyperlink ref="B173" r:id="rId47" xr:uid="{00000000-0004-0000-0B00-00002E000000}"/>
    <hyperlink ref="B174" r:id="rId48" xr:uid="{00000000-0004-0000-0B00-00002F000000}"/>
    <hyperlink ref="B175" r:id="rId49" xr:uid="{00000000-0004-0000-0B00-000030000000}"/>
    <hyperlink ref="C207" r:id="rId50" xr:uid="{00000000-0004-0000-0B00-000031000000}"/>
    <hyperlink ref="C178" r:id="rId51" xr:uid="{00000000-0004-0000-0B00-000032000000}"/>
    <hyperlink ref="C177" r:id="rId52" xr:uid="{00000000-0004-0000-0B00-000033000000}"/>
    <hyperlink ref="C176" r:id="rId53" xr:uid="{00000000-0004-0000-0B00-000034000000}"/>
    <hyperlink ref="C183" r:id="rId54" xr:uid="{00000000-0004-0000-0B00-000035000000}"/>
    <hyperlink ref="C184" r:id="rId55" xr:uid="{00000000-0004-0000-0B00-000036000000}"/>
    <hyperlink ref="C181" r:id="rId56" xr:uid="{00000000-0004-0000-0B00-000037000000}"/>
    <hyperlink ref="C179" r:id="rId57" xr:uid="{00000000-0004-0000-0B00-000038000000}"/>
    <hyperlink ref="C206" r:id="rId58" xr:uid="{00000000-0004-0000-0B00-000039000000}"/>
    <hyperlink ref="C205" r:id="rId59" xr:uid="{00000000-0004-0000-0B00-00003A000000}"/>
    <hyperlink ref="C162" r:id="rId60" xr:uid="{00000000-0004-0000-0B00-00003B000000}"/>
    <hyperlink ref="C163" r:id="rId61" xr:uid="{00000000-0004-0000-0B00-00003C000000}"/>
    <hyperlink ref="C166" r:id="rId62" xr:uid="{00000000-0004-0000-0B00-00003D000000}"/>
    <hyperlink ref="C167" r:id="rId63" xr:uid="{00000000-0004-0000-0B00-00003E000000}"/>
    <hyperlink ref="C168" r:id="rId64" xr:uid="{00000000-0004-0000-0B00-00003F000000}"/>
    <hyperlink ref="C169" r:id="rId65" xr:uid="{00000000-0004-0000-0B00-000040000000}"/>
    <hyperlink ref="C171" r:id="rId66" xr:uid="{00000000-0004-0000-0B00-000041000000}"/>
    <hyperlink ref="C172" r:id="rId67" xr:uid="{00000000-0004-0000-0B00-000042000000}"/>
    <hyperlink ref="C174" r:id="rId68" xr:uid="{00000000-0004-0000-0B00-000043000000}"/>
    <hyperlink ref="BQ207" r:id="rId69" xr:uid="{00000000-0004-0000-0B00-000044000000}"/>
    <hyperlink ref="BQ210" r:id="rId70" xr:uid="{00000000-0004-0000-0B00-000045000000}"/>
    <hyperlink ref="BQ178" r:id="rId71" xr:uid="{00000000-0004-0000-0B00-000046000000}"/>
    <hyperlink ref="BQ177" r:id="rId72" xr:uid="{00000000-0004-0000-0B00-000047000000}"/>
    <hyperlink ref="BQ176" r:id="rId73" xr:uid="{00000000-0004-0000-0B00-000048000000}"/>
    <hyperlink ref="BQ162" r:id="rId74" xr:uid="{00000000-0004-0000-0B00-000049000000}"/>
    <hyperlink ref="BQ163" r:id="rId75" xr:uid="{00000000-0004-0000-0B00-00004A000000}"/>
    <hyperlink ref="BQ166" r:id="rId76" xr:uid="{00000000-0004-0000-0B00-00004B000000}"/>
    <hyperlink ref="BQ167" r:id="rId77" xr:uid="{00000000-0004-0000-0B00-00004C000000}"/>
    <hyperlink ref="BQ168" r:id="rId78" xr:uid="{00000000-0004-0000-0B00-00004D000000}"/>
    <hyperlink ref="BQ169" r:id="rId79" xr:uid="{00000000-0004-0000-0B00-00004E000000}"/>
    <hyperlink ref="BQ171" r:id="rId80" xr:uid="{00000000-0004-0000-0B00-00004F000000}"/>
    <hyperlink ref="BQ172" r:id="rId81" xr:uid="{00000000-0004-0000-0B00-000050000000}"/>
    <hyperlink ref="BQ174" r:id="rId82" xr:uid="{00000000-0004-0000-0B00-000051000000}"/>
    <hyperlink ref="BQ175" r:id="rId83" xr:uid="{00000000-0004-0000-0B00-000052000000}"/>
    <hyperlink ref="B126" r:id="rId84" xr:uid="{00000000-0004-0000-0B00-000053000000}"/>
    <hyperlink ref="B127:B139" r:id="rId85" display="REK. 069/PNLT1/REK/II/2022" xr:uid="{00000000-0004-0000-0B00-000054000000}"/>
    <hyperlink ref="B140" r:id="rId86" xr:uid="{00000000-0004-0000-0B00-000055000000}"/>
    <hyperlink ref="B141:B147" r:id="rId87" display="REK. 097/PNLT1/REK/IV/2022" xr:uid="{00000000-0004-0000-0B00-000056000000}"/>
    <hyperlink ref="B148" r:id="rId88" xr:uid="{00000000-0004-0000-0B00-000057000000}"/>
    <hyperlink ref="B149" r:id="rId89" xr:uid="{00000000-0004-0000-0B00-000058000000}"/>
    <hyperlink ref="B150" r:id="rId90" xr:uid="{00000000-0004-0000-0B00-000059000000}"/>
    <hyperlink ref="B151" r:id="rId91" xr:uid="{00000000-0004-0000-0B00-00005A000000}"/>
    <hyperlink ref="B152" r:id="rId92" xr:uid="{00000000-0004-0000-0B00-00005B000000}"/>
    <hyperlink ref="B153:B154" r:id="rId93" display="REK. 088/PNLT1/REK/IV/2022" xr:uid="{00000000-0004-0000-0B00-00005C000000}"/>
    <hyperlink ref="B156" r:id="rId94" xr:uid="{00000000-0004-0000-0B00-00005D000000}"/>
    <hyperlink ref="B155" r:id="rId95" xr:uid="{00000000-0004-0000-0B00-00005E000000}"/>
    <hyperlink ref="B157" r:id="rId96" xr:uid="{00000000-0004-0000-0B00-00005F000000}"/>
    <hyperlink ref="B61" r:id="rId97" xr:uid="{00000000-0004-0000-0B00-000060000000}"/>
    <hyperlink ref="B62:B82" r:id="rId98" display="REK.086/PNLT1/REK/III/2021" xr:uid="{00000000-0004-0000-0B00-000061000000}"/>
    <hyperlink ref="B83" r:id="rId99" xr:uid="{00000000-0004-0000-0B00-000062000000}"/>
    <hyperlink ref="B84" r:id="rId100" xr:uid="{00000000-0004-0000-0B00-000063000000}"/>
    <hyperlink ref="B85" r:id="rId101" xr:uid="{00000000-0004-0000-0B00-000064000000}"/>
    <hyperlink ref="B86" r:id="rId102" xr:uid="{00000000-0004-0000-0B00-000065000000}"/>
    <hyperlink ref="B87" r:id="rId103" xr:uid="{00000000-0004-0000-0B00-000066000000}"/>
    <hyperlink ref="B88" r:id="rId104" xr:uid="{00000000-0004-0000-0B00-000067000000}"/>
    <hyperlink ref="B89" r:id="rId105" xr:uid="{00000000-0004-0000-0B00-000068000000}"/>
    <hyperlink ref="B90" r:id="rId106" xr:uid="{00000000-0004-0000-0B00-000069000000}"/>
    <hyperlink ref="B91" r:id="rId107" xr:uid="{00000000-0004-0000-0B00-00006A000000}"/>
    <hyperlink ref="B92" r:id="rId108" xr:uid="{00000000-0004-0000-0B00-00006B000000}"/>
    <hyperlink ref="B93" r:id="rId109" xr:uid="{00000000-0004-0000-0B00-00006C000000}"/>
    <hyperlink ref="B94:B103" r:id="rId110" display="REK.094/PNLT1/REK/III/2021" xr:uid="{00000000-0004-0000-0B00-00006D000000}"/>
    <hyperlink ref="B105" r:id="rId111" xr:uid="{00000000-0004-0000-0B00-00006E000000}"/>
    <hyperlink ref="B109:B122" r:id="rId112" display="REK.149/PNLT1/REK/VIII/2021" xr:uid="{00000000-0004-0000-0B00-00006F000000}"/>
    <hyperlink ref="B23" r:id="rId113" xr:uid="{00000000-0004-0000-0B00-000070000000}"/>
    <hyperlink ref="B24:B36" r:id="rId114" display="REK.623/PNLT3/PPM/III/2020" xr:uid="{00000000-0004-0000-0B00-000071000000}"/>
    <hyperlink ref="B37" r:id="rId115" xr:uid="{00000000-0004-0000-0B00-000072000000}"/>
    <hyperlink ref="B38:B46" r:id="rId116" display="REK.661/PNLT3/PPM/III/2020" xr:uid="{00000000-0004-0000-0B00-000073000000}"/>
    <hyperlink ref="B47" r:id="rId117" xr:uid="{00000000-0004-0000-0B00-000074000000}"/>
    <hyperlink ref="B48:B53" r:id="rId118" display="REK. 754/PNLT1/WRI/IV/2020" xr:uid="{00000000-0004-0000-0B00-000075000000}"/>
    <hyperlink ref="B54" r:id="rId119" xr:uid="{00000000-0004-0000-0B00-000076000000}"/>
    <hyperlink ref="B55" r:id="rId120" xr:uid="{00000000-0004-0000-0B00-000077000000}"/>
    <hyperlink ref="B56:B57" r:id="rId121" display="REK.1287/PNLT3/REK/VIII/2020" xr:uid="{00000000-0004-0000-0B00-000078000000}"/>
    <hyperlink ref="B58" r:id="rId122" xr:uid="{00000000-0004-0000-0B00-000079000000}"/>
    <hyperlink ref="B59" r:id="rId123" xr:uid="{00000000-0004-0000-0B00-00007A000000}"/>
    <hyperlink ref="C126" r:id="rId124" xr:uid="{00000000-0004-0000-0B00-00007B000000}"/>
    <hyperlink ref="C127" r:id="rId125" xr:uid="{00000000-0004-0000-0B00-00007C000000}"/>
    <hyperlink ref="C128" r:id="rId126" xr:uid="{00000000-0004-0000-0B00-00007D000000}"/>
    <hyperlink ref="C129" r:id="rId127" xr:uid="{00000000-0004-0000-0B00-00007E000000}"/>
    <hyperlink ref="C130" r:id="rId128" xr:uid="{00000000-0004-0000-0B00-00007F000000}"/>
    <hyperlink ref="C131" r:id="rId129" xr:uid="{00000000-0004-0000-0B00-000080000000}"/>
    <hyperlink ref="C132" r:id="rId130" xr:uid="{00000000-0004-0000-0B00-000081000000}"/>
    <hyperlink ref="C133" r:id="rId131" xr:uid="{00000000-0004-0000-0B00-000082000000}"/>
    <hyperlink ref="C134" r:id="rId132" xr:uid="{00000000-0004-0000-0B00-000083000000}"/>
    <hyperlink ref="C135" r:id="rId133" xr:uid="{00000000-0004-0000-0B00-000084000000}"/>
    <hyperlink ref="C136" r:id="rId134" xr:uid="{00000000-0004-0000-0B00-000085000000}"/>
    <hyperlink ref="C137" r:id="rId135" xr:uid="{00000000-0004-0000-0B00-000086000000}"/>
    <hyperlink ref="BQ200" r:id="rId136" xr:uid="{00000000-0004-0000-0B00-000087000000}"/>
    <hyperlink ref="BQ201" r:id="rId137" xr:uid="{00000000-0004-0000-0B00-000088000000}"/>
    <hyperlink ref="BQ202" r:id="rId138" xr:uid="{00000000-0004-0000-0B00-000089000000}"/>
    <hyperlink ref="BQ203" r:id="rId139" xr:uid="{00000000-0004-0000-0B00-00008A000000}"/>
    <hyperlink ref="BQ204" r:id="rId140" xr:uid="{00000000-0004-0000-0B00-00008B000000}"/>
    <hyperlink ref="BQ164" r:id="rId141" xr:uid="{00000000-0004-0000-0B00-00008C000000}"/>
    <hyperlink ref="BQ165" r:id="rId142" xr:uid="{00000000-0004-0000-0B00-00008D000000}"/>
    <hyperlink ref="BQ170" r:id="rId143" xr:uid="{00000000-0004-0000-0B00-00008E000000}"/>
    <hyperlink ref="BQ173" r:id="rId144" xr:uid="{00000000-0004-0000-0B00-00008F000000}"/>
    <hyperlink ref="BQ196" r:id="rId145" xr:uid="{00000000-0004-0000-0B00-000090000000}"/>
    <hyperlink ref="BQ197" r:id="rId146" xr:uid="{00000000-0004-0000-0B00-000091000000}"/>
    <hyperlink ref="BQ198" r:id="rId147" xr:uid="{00000000-0004-0000-0B00-000092000000}"/>
    <hyperlink ref="BQ199" r:id="rId148" xr:uid="{00000000-0004-0000-0B00-000093000000}"/>
    <hyperlink ref="BQ183" r:id="rId149" xr:uid="{00000000-0004-0000-0B00-000094000000}"/>
    <hyperlink ref="BQ184" r:id="rId150" xr:uid="{00000000-0004-0000-0B00-000095000000}"/>
    <hyperlink ref="C165" r:id="rId151" xr:uid="{00000000-0004-0000-0B00-000096000000}"/>
    <hyperlink ref="C170" r:id="rId152" xr:uid="{00000000-0004-0000-0B00-000097000000}"/>
    <hyperlink ref="C173" r:id="rId153" xr:uid="{00000000-0004-0000-0B00-000098000000}"/>
    <hyperlink ref="C175" r:id="rId154" xr:uid="{00000000-0004-0000-0B00-000099000000}"/>
    <hyperlink ref="C196" r:id="rId155" xr:uid="{00000000-0004-0000-0B00-00009A000000}"/>
    <hyperlink ref="C197" r:id="rId156" xr:uid="{00000000-0004-0000-0B00-00009B000000}"/>
    <hyperlink ref="C198" r:id="rId157" xr:uid="{00000000-0004-0000-0B00-00009C000000}"/>
    <hyperlink ref="C199" r:id="rId158" xr:uid="{00000000-0004-0000-0B00-00009D000000}"/>
    <hyperlink ref="C200" r:id="rId159" xr:uid="{00000000-0004-0000-0B00-00009E000000}"/>
    <hyperlink ref="C201" r:id="rId160" xr:uid="{00000000-0004-0000-0B00-00009F000000}"/>
    <hyperlink ref="C202" r:id="rId161" xr:uid="{00000000-0004-0000-0B00-0000A0000000}"/>
    <hyperlink ref="C204" r:id="rId162" xr:uid="{00000000-0004-0000-0B00-0000A1000000}"/>
    <hyperlink ref="C208" r:id="rId163" xr:uid="{00000000-0004-0000-0B00-0000A2000000}"/>
    <hyperlink ref="C151" r:id="rId164" xr:uid="{00000000-0004-0000-0B00-0000A3000000}"/>
    <hyperlink ref="C145" r:id="rId165" xr:uid="{00000000-0004-0000-0B00-0000A4000000}"/>
    <hyperlink ref="C144" r:id="rId166" xr:uid="{00000000-0004-0000-0B00-0000A5000000}"/>
    <hyperlink ref="C143" r:id="rId167" xr:uid="{00000000-0004-0000-0B00-0000A6000000}"/>
    <hyperlink ref="C142" r:id="rId168" xr:uid="{00000000-0004-0000-0B00-0000A7000000}"/>
    <hyperlink ref="C141" r:id="rId169" xr:uid="{00000000-0004-0000-0B00-0000A8000000}"/>
    <hyperlink ref="C140" r:id="rId170" xr:uid="{00000000-0004-0000-0B00-0000A9000000}"/>
    <hyperlink ref="C139" r:id="rId171" xr:uid="{00000000-0004-0000-0B00-0000AA000000}"/>
    <hyperlink ref="C138" r:id="rId172" xr:uid="{00000000-0004-0000-0B00-0000AB000000}"/>
    <hyperlink ref="C122" r:id="rId173" xr:uid="{00000000-0004-0000-0B00-0000AC000000}"/>
    <hyperlink ref="C121" r:id="rId174" xr:uid="{00000000-0004-0000-0B00-0000AD000000}"/>
    <hyperlink ref="C120" r:id="rId175" xr:uid="{00000000-0004-0000-0B00-0000AE000000}"/>
    <hyperlink ref="C105" r:id="rId176" xr:uid="{00000000-0004-0000-0B00-0000AF000000}"/>
    <hyperlink ref="C92" r:id="rId177" xr:uid="{00000000-0004-0000-0B00-0000B0000000}"/>
    <hyperlink ref="C91" r:id="rId178" xr:uid="{00000000-0004-0000-0B00-0000B1000000}"/>
    <hyperlink ref="C90" r:id="rId179" xr:uid="{00000000-0004-0000-0B00-0000B2000000}"/>
    <hyperlink ref="C88" r:id="rId180" xr:uid="{00000000-0004-0000-0B00-0000B3000000}"/>
    <hyperlink ref="C89" r:id="rId181" xr:uid="{00000000-0004-0000-0B00-0000B4000000}"/>
    <hyperlink ref="C87" r:id="rId182" xr:uid="{00000000-0004-0000-0B00-0000B5000000}"/>
    <hyperlink ref="C86" r:id="rId183" xr:uid="{00000000-0004-0000-0B00-0000B6000000}"/>
    <hyperlink ref="C85" r:id="rId184" xr:uid="{00000000-0004-0000-0B00-0000B7000000}"/>
    <hyperlink ref="C83" r:id="rId185" xr:uid="{00000000-0004-0000-0B00-0000B8000000}"/>
    <hyperlink ref="C82" r:id="rId186" xr:uid="{00000000-0004-0000-0B00-0000B9000000}"/>
    <hyperlink ref="C81" r:id="rId187" xr:uid="{00000000-0004-0000-0B00-0000BA000000}"/>
    <hyperlink ref="C79" r:id="rId188" xr:uid="{00000000-0004-0000-0B00-0000BB000000}"/>
    <hyperlink ref="C78" r:id="rId189" xr:uid="{00000000-0004-0000-0B00-0000BC000000}"/>
    <hyperlink ref="C77" r:id="rId190" xr:uid="{00000000-0004-0000-0B00-0000BD000000}"/>
    <hyperlink ref="C76" r:id="rId191" xr:uid="{00000000-0004-0000-0B00-0000BE000000}"/>
    <hyperlink ref="C75" r:id="rId192" xr:uid="{00000000-0004-0000-0B00-0000BF000000}"/>
    <hyperlink ref="C74" r:id="rId193" xr:uid="{00000000-0004-0000-0B00-0000C0000000}"/>
    <hyperlink ref="C73" r:id="rId194" xr:uid="{00000000-0004-0000-0B00-0000C1000000}"/>
    <hyperlink ref="C72" r:id="rId195" xr:uid="{00000000-0004-0000-0B00-0000C2000000}"/>
    <hyperlink ref="C71" r:id="rId196" xr:uid="{00000000-0004-0000-0B00-0000C3000000}"/>
    <hyperlink ref="C70" r:id="rId197" xr:uid="{00000000-0004-0000-0B00-0000C4000000}"/>
    <hyperlink ref="C69" r:id="rId198" xr:uid="{00000000-0004-0000-0B00-0000C5000000}"/>
    <hyperlink ref="C68" r:id="rId199" xr:uid="{00000000-0004-0000-0B00-0000C6000000}"/>
    <hyperlink ref="C67" r:id="rId200" xr:uid="{00000000-0004-0000-0B00-0000C7000000}"/>
    <hyperlink ref="C66" r:id="rId201" xr:uid="{00000000-0004-0000-0B00-0000C8000000}"/>
    <hyperlink ref="C65" r:id="rId202" xr:uid="{00000000-0004-0000-0B00-0000C9000000}"/>
    <hyperlink ref="C64" r:id="rId203" xr:uid="{00000000-0004-0000-0B00-0000CA000000}"/>
    <hyperlink ref="C63" r:id="rId204" xr:uid="{00000000-0004-0000-0B00-0000CB000000}"/>
    <hyperlink ref="C62" r:id="rId205" xr:uid="{00000000-0004-0000-0B00-0000CC000000}"/>
    <hyperlink ref="C61" r:id="rId206" xr:uid="{00000000-0004-0000-0B00-0000CD000000}"/>
    <hyperlink ref="C57" r:id="rId207" xr:uid="{00000000-0004-0000-0B00-0000CE000000}"/>
    <hyperlink ref="C56" r:id="rId208" xr:uid="{00000000-0004-0000-0B00-0000CF000000}"/>
    <hyperlink ref="C55" r:id="rId209" xr:uid="{00000000-0004-0000-0B00-0000D0000000}"/>
    <hyperlink ref="C53" r:id="rId210" xr:uid="{00000000-0004-0000-0B00-0000D1000000}"/>
    <hyperlink ref="C52" r:id="rId211" xr:uid="{00000000-0004-0000-0B00-0000D2000000}"/>
    <hyperlink ref="C51" r:id="rId212" xr:uid="{00000000-0004-0000-0B00-0000D3000000}"/>
    <hyperlink ref="C50" r:id="rId213" xr:uid="{00000000-0004-0000-0B00-0000D4000000}"/>
    <hyperlink ref="C49" r:id="rId214" xr:uid="{00000000-0004-0000-0B00-0000D5000000}"/>
    <hyperlink ref="C48" r:id="rId215" xr:uid="{00000000-0004-0000-0B00-0000D6000000}"/>
    <hyperlink ref="C47" r:id="rId216" xr:uid="{00000000-0004-0000-0B00-0000D7000000}"/>
    <hyperlink ref="BQ48" r:id="rId217" xr:uid="{00000000-0004-0000-0B00-0000D8000000}"/>
    <hyperlink ref="BQ49" r:id="rId218" xr:uid="{00000000-0004-0000-0B00-0000D9000000}"/>
    <hyperlink ref="BQ50" r:id="rId219" xr:uid="{00000000-0004-0000-0B00-0000DA000000}"/>
    <hyperlink ref="BQ51" r:id="rId220" xr:uid="{00000000-0004-0000-0B00-0000DB000000}"/>
    <hyperlink ref="BR51" r:id="rId221" xr:uid="{00000000-0004-0000-0B00-0000DC000000}"/>
    <hyperlink ref="BQ52" r:id="rId222" xr:uid="{00000000-0004-0000-0B00-0000DD000000}"/>
    <hyperlink ref="BR52" r:id="rId223" xr:uid="{00000000-0004-0000-0B00-0000DE000000}"/>
    <hyperlink ref="BQ53" r:id="rId224" xr:uid="{00000000-0004-0000-0B00-0000DF000000}"/>
    <hyperlink ref="BQ55" r:id="rId225" xr:uid="{00000000-0004-0000-0B00-0000E0000000}"/>
    <hyperlink ref="BR55" r:id="rId226" xr:uid="{00000000-0004-0000-0B00-0000E1000000}"/>
    <hyperlink ref="BQ56" r:id="rId227" xr:uid="{00000000-0004-0000-0B00-0000E2000000}"/>
    <hyperlink ref="BR56" r:id="rId228" xr:uid="{00000000-0004-0000-0B00-0000E3000000}"/>
    <hyperlink ref="BQ57" r:id="rId229" xr:uid="{00000000-0004-0000-0B00-0000E4000000}"/>
    <hyperlink ref="BR57" r:id="rId230" xr:uid="{00000000-0004-0000-0B00-0000E5000000}"/>
    <hyperlink ref="BQ61" r:id="rId231" xr:uid="{00000000-0004-0000-0B00-0000E6000000}"/>
    <hyperlink ref="BR61" r:id="rId232" xr:uid="{00000000-0004-0000-0B00-0000E7000000}"/>
    <hyperlink ref="BQ62" r:id="rId233" xr:uid="{00000000-0004-0000-0B00-0000E8000000}"/>
    <hyperlink ref="BR62" r:id="rId234" xr:uid="{00000000-0004-0000-0B00-0000E9000000}"/>
    <hyperlink ref="BQ63" r:id="rId235" xr:uid="{00000000-0004-0000-0B00-0000EA000000}"/>
    <hyperlink ref="BR63" r:id="rId236" xr:uid="{00000000-0004-0000-0B00-0000EB000000}"/>
    <hyperlink ref="BQ64" r:id="rId237" xr:uid="{00000000-0004-0000-0B00-0000EC000000}"/>
    <hyperlink ref="BR64" r:id="rId238" xr:uid="{00000000-0004-0000-0B00-0000ED000000}"/>
    <hyperlink ref="BQ65" r:id="rId239" xr:uid="{00000000-0004-0000-0B00-0000EE000000}"/>
    <hyperlink ref="BR65" r:id="rId240" xr:uid="{00000000-0004-0000-0B00-0000EF000000}"/>
    <hyperlink ref="BQ66" r:id="rId241" xr:uid="{00000000-0004-0000-0B00-0000F0000000}"/>
    <hyperlink ref="BR66" r:id="rId242" xr:uid="{00000000-0004-0000-0B00-0000F1000000}"/>
    <hyperlink ref="BQ67" r:id="rId243" xr:uid="{00000000-0004-0000-0B00-0000F2000000}"/>
    <hyperlink ref="BR67" r:id="rId244" xr:uid="{00000000-0004-0000-0B00-0000F3000000}"/>
    <hyperlink ref="BQ68" r:id="rId245" xr:uid="{00000000-0004-0000-0B00-0000F4000000}"/>
    <hyperlink ref="BR68" r:id="rId246" xr:uid="{00000000-0004-0000-0B00-0000F5000000}"/>
    <hyperlink ref="BQ69" r:id="rId247" xr:uid="{00000000-0004-0000-0B00-0000F6000000}"/>
    <hyperlink ref="BR69" r:id="rId248" xr:uid="{00000000-0004-0000-0B00-0000F7000000}"/>
    <hyperlink ref="BQ70" r:id="rId249" xr:uid="{00000000-0004-0000-0B00-0000F8000000}"/>
    <hyperlink ref="BR70" r:id="rId250" xr:uid="{00000000-0004-0000-0B00-0000F9000000}"/>
    <hyperlink ref="BQ71" r:id="rId251" xr:uid="{00000000-0004-0000-0B00-0000FA000000}"/>
    <hyperlink ref="BR71" r:id="rId252" xr:uid="{00000000-0004-0000-0B00-0000FB000000}"/>
    <hyperlink ref="BR72" r:id="rId253" xr:uid="{00000000-0004-0000-0B00-0000FC000000}"/>
    <hyperlink ref="BQ73" r:id="rId254" xr:uid="{00000000-0004-0000-0B00-0000FD000000}"/>
    <hyperlink ref="BR73" r:id="rId255" xr:uid="{00000000-0004-0000-0B00-0000FE000000}"/>
    <hyperlink ref="BQ74" r:id="rId256" xr:uid="{00000000-0004-0000-0B00-0000FF000000}"/>
    <hyperlink ref="BR74" r:id="rId257" xr:uid="{00000000-0004-0000-0B00-000000010000}"/>
    <hyperlink ref="BQ75" r:id="rId258" xr:uid="{00000000-0004-0000-0B00-000001010000}"/>
    <hyperlink ref="BR75" r:id="rId259" xr:uid="{00000000-0004-0000-0B00-000002010000}"/>
    <hyperlink ref="BQ76" r:id="rId260" xr:uid="{00000000-0004-0000-0B00-000003010000}"/>
    <hyperlink ref="BR76" r:id="rId261" xr:uid="{00000000-0004-0000-0B00-000004010000}"/>
    <hyperlink ref="BQ77" r:id="rId262" xr:uid="{00000000-0004-0000-0B00-000005010000}"/>
    <hyperlink ref="BR77" r:id="rId263" xr:uid="{00000000-0004-0000-0B00-000006010000}"/>
    <hyperlink ref="BQ78" r:id="rId264" xr:uid="{00000000-0004-0000-0B00-000007010000}"/>
    <hyperlink ref="BR78" r:id="rId265" xr:uid="{00000000-0004-0000-0B00-000008010000}"/>
    <hyperlink ref="BQ79" r:id="rId266" xr:uid="{00000000-0004-0000-0B00-000009010000}"/>
    <hyperlink ref="BR79" r:id="rId267" xr:uid="{00000000-0004-0000-0B00-00000A010000}"/>
    <hyperlink ref="BQ80" r:id="rId268" xr:uid="{00000000-0004-0000-0B00-00000B010000}"/>
    <hyperlink ref="BQ81" r:id="rId269" xr:uid="{00000000-0004-0000-0B00-00000C010000}"/>
    <hyperlink ref="BR81" r:id="rId270" xr:uid="{00000000-0004-0000-0B00-00000D010000}"/>
    <hyperlink ref="BQ82" r:id="rId271" xr:uid="{00000000-0004-0000-0B00-00000E010000}"/>
    <hyperlink ref="BR82" r:id="rId272" xr:uid="{00000000-0004-0000-0B00-00000F010000}"/>
    <hyperlink ref="BR83" r:id="rId273" xr:uid="{00000000-0004-0000-0B00-000010010000}"/>
    <hyperlink ref="BQ83" r:id="rId274" xr:uid="{00000000-0004-0000-0B00-000011010000}"/>
    <hyperlink ref="BQ84" r:id="rId275" xr:uid="{00000000-0004-0000-0B00-000012010000}"/>
    <hyperlink ref="BR84" r:id="rId276" xr:uid="{00000000-0004-0000-0B00-000013010000}"/>
    <hyperlink ref="BQ85" r:id="rId277" xr:uid="{00000000-0004-0000-0B00-000014010000}"/>
    <hyperlink ref="BR85" r:id="rId278" xr:uid="{00000000-0004-0000-0B00-000015010000}"/>
    <hyperlink ref="BQ86" r:id="rId279" xr:uid="{00000000-0004-0000-0B00-000016010000}"/>
    <hyperlink ref="BQ87" r:id="rId280" xr:uid="{00000000-0004-0000-0B00-000017010000}"/>
    <hyperlink ref="BQ88" r:id="rId281" xr:uid="{00000000-0004-0000-0B00-000018010000}"/>
    <hyperlink ref="BQ89" r:id="rId282" xr:uid="{00000000-0004-0000-0B00-000019010000}"/>
    <hyperlink ref="BR88" r:id="rId283" xr:uid="{00000000-0004-0000-0B00-00001A010000}"/>
    <hyperlink ref="BQ90" r:id="rId284" xr:uid="{00000000-0004-0000-0B00-00001B010000}"/>
    <hyperlink ref="BR90" r:id="rId285" xr:uid="{00000000-0004-0000-0B00-00001C010000}"/>
    <hyperlink ref="BQ91" r:id="rId286" xr:uid="{00000000-0004-0000-0B00-00001D010000}"/>
    <hyperlink ref="BR91" r:id="rId287" xr:uid="{00000000-0004-0000-0B00-00001E010000}"/>
    <hyperlink ref="BQ92" r:id="rId288" xr:uid="{00000000-0004-0000-0B00-00001F010000}"/>
    <hyperlink ref="BR92" r:id="rId289" xr:uid="{00000000-0004-0000-0B00-000020010000}"/>
    <hyperlink ref="BR93" r:id="rId290" xr:uid="{00000000-0004-0000-0B00-000021010000}"/>
    <hyperlink ref="BQ94" r:id="rId291" xr:uid="{00000000-0004-0000-0B00-000022010000}"/>
    <hyperlink ref="BR94" r:id="rId292" xr:uid="{00000000-0004-0000-0B00-000023010000}"/>
    <hyperlink ref="BQ95" r:id="rId293" xr:uid="{00000000-0004-0000-0B00-000024010000}"/>
    <hyperlink ref="BQ96" r:id="rId294" xr:uid="{00000000-0004-0000-0B00-000025010000}"/>
    <hyperlink ref="BR96" r:id="rId295" xr:uid="{00000000-0004-0000-0B00-000026010000}"/>
    <hyperlink ref="BQ97" r:id="rId296" xr:uid="{00000000-0004-0000-0B00-000027010000}"/>
    <hyperlink ref="BR97" r:id="rId297" xr:uid="{00000000-0004-0000-0B00-000028010000}"/>
    <hyperlink ref="BQ98" r:id="rId298" xr:uid="{00000000-0004-0000-0B00-000029010000}"/>
    <hyperlink ref="BR98" r:id="rId299" xr:uid="{00000000-0004-0000-0B00-00002A010000}"/>
    <hyperlink ref="BQ99" r:id="rId300" xr:uid="{00000000-0004-0000-0B00-00002B010000}"/>
    <hyperlink ref="BR99" r:id="rId301" xr:uid="{00000000-0004-0000-0B00-00002C010000}"/>
    <hyperlink ref="BQ101" r:id="rId302" xr:uid="{00000000-0004-0000-0B00-00002D010000}"/>
    <hyperlink ref="BR101" r:id="rId303" xr:uid="{00000000-0004-0000-0B00-00002E010000}"/>
    <hyperlink ref="BQ102" r:id="rId304" xr:uid="{00000000-0004-0000-0B00-00002F010000}"/>
    <hyperlink ref="BR102" r:id="rId305" xr:uid="{00000000-0004-0000-0B00-000030010000}"/>
    <hyperlink ref="BQ103" r:id="rId306" xr:uid="{00000000-0004-0000-0B00-000031010000}"/>
    <hyperlink ref="BR103" r:id="rId307" xr:uid="{00000000-0004-0000-0B00-000032010000}"/>
    <hyperlink ref="BQ105" r:id="rId308" xr:uid="{00000000-0004-0000-0B00-000033010000}"/>
    <hyperlink ref="BQ106" r:id="rId309" xr:uid="{00000000-0004-0000-0B00-000034010000}"/>
    <hyperlink ref="BQ107" r:id="rId310" xr:uid="{00000000-0004-0000-0B00-000035010000}"/>
    <hyperlink ref="BQ108" r:id="rId311" xr:uid="{00000000-0004-0000-0B00-000036010000}"/>
    <hyperlink ref="BQ109" r:id="rId312" xr:uid="{00000000-0004-0000-0B00-000037010000}"/>
    <hyperlink ref="BQ110" r:id="rId313" xr:uid="{00000000-0004-0000-0B00-000038010000}"/>
    <hyperlink ref="BR110" r:id="rId314" xr:uid="{00000000-0004-0000-0B00-000039010000}"/>
    <hyperlink ref="BQ111" r:id="rId315" xr:uid="{00000000-0004-0000-0B00-00003A010000}"/>
    <hyperlink ref="BR111" r:id="rId316" xr:uid="{00000000-0004-0000-0B00-00003B010000}"/>
    <hyperlink ref="BQ112" r:id="rId317" xr:uid="{00000000-0004-0000-0B00-00003C010000}"/>
    <hyperlink ref="BR112" r:id="rId318" xr:uid="{00000000-0004-0000-0B00-00003D010000}"/>
    <hyperlink ref="BQ113" r:id="rId319" xr:uid="{00000000-0004-0000-0B00-00003E010000}"/>
    <hyperlink ref="BR113" r:id="rId320" xr:uid="{00000000-0004-0000-0B00-00003F010000}"/>
    <hyperlink ref="BQ114" r:id="rId321" xr:uid="{00000000-0004-0000-0B00-000040010000}"/>
    <hyperlink ref="BR114" r:id="rId322" xr:uid="{00000000-0004-0000-0B00-000041010000}"/>
    <hyperlink ref="BQ115" r:id="rId323" xr:uid="{00000000-0004-0000-0B00-000042010000}"/>
    <hyperlink ref="BR115" r:id="rId324" xr:uid="{00000000-0004-0000-0B00-000043010000}"/>
    <hyperlink ref="BQ116" r:id="rId325" xr:uid="{00000000-0004-0000-0B00-000044010000}"/>
    <hyperlink ref="BR116" r:id="rId326" xr:uid="{00000000-0004-0000-0B00-000045010000}"/>
    <hyperlink ref="BQ117" r:id="rId327" xr:uid="{00000000-0004-0000-0B00-000046010000}"/>
    <hyperlink ref="BR117" r:id="rId328" xr:uid="{00000000-0004-0000-0B00-000047010000}"/>
    <hyperlink ref="BQ118" r:id="rId329" xr:uid="{00000000-0004-0000-0B00-000048010000}"/>
    <hyperlink ref="BR119" r:id="rId330" xr:uid="{00000000-0004-0000-0B00-000049010000}"/>
    <hyperlink ref="BQ120" r:id="rId331" xr:uid="{00000000-0004-0000-0B00-00004A010000}"/>
    <hyperlink ref="BR120" r:id="rId332" xr:uid="{00000000-0004-0000-0B00-00004B010000}"/>
    <hyperlink ref="BQ121" r:id="rId333" xr:uid="{00000000-0004-0000-0B00-00004C010000}"/>
    <hyperlink ref="BR121" r:id="rId334" xr:uid="{00000000-0004-0000-0B00-00004D010000}"/>
    <hyperlink ref="BQ122" r:id="rId335" xr:uid="{00000000-0004-0000-0B00-00004E010000}"/>
    <hyperlink ref="BR122" r:id="rId336" xr:uid="{00000000-0004-0000-0B00-00004F010000}"/>
    <hyperlink ref="BQ123" r:id="rId337" xr:uid="{00000000-0004-0000-0B00-000050010000}"/>
    <hyperlink ref="BQ126" r:id="rId338" xr:uid="{00000000-0004-0000-0B00-000051010000}"/>
    <hyperlink ref="BR126" r:id="rId339" xr:uid="{00000000-0004-0000-0B00-000052010000}"/>
    <hyperlink ref="BQ127" r:id="rId340" xr:uid="{00000000-0004-0000-0B00-000053010000}"/>
    <hyperlink ref="BR127" r:id="rId341" xr:uid="{00000000-0004-0000-0B00-000054010000}"/>
    <hyperlink ref="BQ128" r:id="rId342" xr:uid="{00000000-0004-0000-0B00-000055010000}"/>
    <hyperlink ref="BQ129" r:id="rId343" xr:uid="{00000000-0004-0000-0B00-000056010000}"/>
    <hyperlink ref="BR129" r:id="rId344" xr:uid="{00000000-0004-0000-0B00-000057010000}"/>
    <hyperlink ref="BQ130" r:id="rId345" xr:uid="{00000000-0004-0000-0B00-000058010000}"/>
    <hyperlink ref="BR130" r:id="rId346" xr:uid="{00000000-0004-0000-0B00-000059010000}"/>
    <hyperlink ref="BQ131" r:id="rId347" xr:uid="{00000000-0004-0000-0B00-00005A010000}"/>
    <hyperlink ref="BR131" r:id="rId348" xr:uid="{00000000-0004-0000-0B00-00005B010000}"/>
    <hyperlink ref="BQ132" r:id="rId349" xr:uid="{00000000-0004-0000-0B00-00005C010000}"/>
    <hyperlink ref="BR132" r:id="rId350" xr:uid="{00000000-0004-0000-0B00-00005D010000}"/>
    <hyperlink ref="BQ133" r:id="rId351" xr:uid="{00000000-0004-0000-0B00-00005E010000}"/>
    <hyperlink ref="BR133" r:id="rId352" xr:uid="{00000000-0004-0000-0B00-00005F010000}"/>
    <hyperlink ref="BQ134" r:id="rId353" xr:uid="{00000000-0004-0000-0B00-000060010000}"/>
    <hyperlink ref="BR134" r:id="rId354" xr:uid="{00000000-0004-0000-0B00-000061010000}"/>
    <hyperlink ref="BQ135" r:id="rId355" xr:uid="{00000000-0004-0000-0B00-000062010000}"/>
    <hyperlink ref="BR135" r:id="rId356" xr:uid="{00000000-0004-0000-0B00-000063010000}"/>
    <hyperlink ref="BQ136" r:id="rId357" xr:uid="{00000000-0004-0000-0B00-000064010000}"/>
    <hyperlink ref="BR136" r:id="rId358" xr:uid="{00000000-0004-0000-0B00-000065010000}"/>
    <hyperlink ref="BQ137" r:id="rId359" xr:uid="{00000000-0004-0000-0B00-000066010000}"/>
    <hyperlink ref="BR137" r:id="rId360" xr:uid="{00000000-0004-0000-0B00-000067010000}"/>
    <hyperlink ref="BQ138" r:id="rId361" xr:uid="{00000000-0004-0000-0B00-000068010000}"/>
    <hyperlink ref="BR138" r:id="rId362" xr:uid="{00000000-0004-0000-0B00-000069010000}"/>
    <hyperlink ref="BQ139" r:id="rId363" xr:uid="{00000000-0004-0000-0B00-00006A010000}"/>
    <hyperlink ref="BR139" r:id="rId364" xr:uid="{00000000-0004-0000-0B00-00006B010000}"/>
    <hyperlink ref="BQ140" r:id="rId365" xr:uid="{00000000-0004-0000-0B00-00006C010000}"/>
    <hyperlink ref="BR140" r:id="rId366" xr:uid="{00000000-0004-0000-0B00-00006D010000}"/>
    <hyperlink ref="BQ141" r:id="rId367" xr:uid="{00000000-0004-0000-0B00-00006E010000}"/>
    <hyperlink ref="BR141" r:id="rId368" xr:uid="{00000000-0004-0000-0B00-00006F010000}"/>
    <hyperlink ref="BQ142" r:id="rId369" xr:uid="{00000000-0004-0000-0B00-000070010000}"/>
    <hyperlink ref="BR142" r:id="rId370" xr:uid="{00000000-0004-0000-0B00-000071010000}"/>
    <hyperlink ref="BQ143" r:id="rId371" xr:uid="{00000000-0004-0000-0B00-000072010000}"/>
    <hyperlink ref="BR143" r:id="rId372" xr:uid="{00000000-0004-0000-0B00-000073010000}"/>
    <hyperlink ref="BQ144" r:id="rId373" xr:uid="{00000000-0004-0000-0B00-000074010000}"/>
    <hyperlink ref="BR144" r:id="rId374" xr:uid="{00000000-0004-0000-0B00-000075010000}"/>
    <hyperlink ref="BQ145" r:id="rId375" xr:uid="{00000000-0004-0000-0B00-000076010000}"/>
    <hyperlink ref="BR145" r:id="rId376" xr:uid="{00000000-0004-0000-0B00-000077010000}"/>
    <hyperlink ref="BR147" r:id="rId377" xr:uid="{00000000-0004-0000-0B00-000078010000}"/>
    <hyperlink ref="BQ147" r:id="rId378" xr:uid="{00000000-0004-0000-0B00-000079010000}"/>
    <hyperlink ref="BQ148" r:id="rId379" xr:uid="{00000000-0004-0000-0B00-00007A010000}"/>
    <hyperlink ref="BR148" r:id="rId380" xr:uid="{00000000-0004-0000-0B00-00007B010000}"/>
    <hyperlink ref="BQ149" r:id="rId381" xr:uid="{00000000-0004-0000-0B00-00007C010000}"/>
    <hyperlink ref="BQ150" r:id="rId382" xr:uid="{00000000-0004-0000-0B00-00007D010000}"/>
    <hyperlink ref="BR150" r:id="rId383" xr:uid="{00000000-0004-0000-0B00-00007E010000}"/>
    <hyperlink ref="BQ151" r:id="rId384" xr:uid="{00000000-0004-0000-0B00-00007F010000}"/>
    <hyperlink ref="BR151" r:id="rId385" xr:uid="{00000000-0004-0000-0B00-000080010000}"/>
    <hyperlink ref="BQ152" r:id="rId386" xr:uid="{00000000-0004-0000-0B00-000081010000}"/>
    <hyperlink ref="BQ153" r:id="rId387" xr:uid="{00000000-0004-0000-0B00-000082010000}"/>
    <hyperlink ref="BQ154" r:id="rId388" xr:uid="{00000000-0004-0000-0B00-000083010000}"/>
    <hyperlink ref="BQ155" r:id="rId389" xr:uid="{00000000-0004-0000-0B00-000084010000}"/>
    <hyperlink ref="BQ156" r:id="rId390" xr:uid="{00000000-0004-0000-0B00-000085010000}"/>
    <hyperlink ref="BQ158" r:id="rId391" xr:uid="{00000000-0004-0000-0B00-000086010000}"/>
    <hyperlink ref="BQ180" r:id="rId392" xr:uid="{00000000-0004-0000-0B00-000087010000}"/>
    <hyperlink ref="BQ179" r:id="rId393" xr:uid="{00000000-0004-0000-0B00-000088010000}"/>
    <hyperlink ref="BQ181" r:id="rId394" xr:uid="{00000000-0004-0000-0B00-000089010000}"/>
    <hyperlink ref="BQ205" r:id="rId395" xr:uid="{00000000-0004-0000-0B00-00008A010000}"/>
    <hyperlink ref="BQ206" r:id="rId396" xr:uid="{00000000-0004-0000-0B00-00008B010000}"/>
    <hyperlink ref="BQ208" r:id="rId397" xr:uid="{00000000-0004-0000-0B00-00008C010000}"/>
    <hyperlink ref="BQ185" r:id="rId398" xr:uid="{00000000-0004-0000-0B00-00008D010000}"/>
    <hyperlink ref="BQ186" r:id="rId399" xr:uid="{00000000-0004-0000-0B00-00008E010000}"/>
    <hyperlink ref="BQ187" r:id="rId400" xr:uid="{00000000-0004-0000-0B00-00008F010000}"/>
    <hyperlink ref="BQ188" r:id="rId401" xr:uid="{00000000-0004-0000-0B00-000090010000}"/>
    <hyperlink ref="BQ189" r:id="rId402" xr:uid="{00000000-0004-0000-0B00-000091010000}"/>
    <hyperlink ref="BQ190" r:id="rId403" xr:uid="{00000000-0004-0000-0B00-000092010000}"/>
    <hyperlink ref="BQ191" r:id="rId404" xr:uid="{00000000-0004-0000-0B00-000093010000}"/>
    <hyperlink ref="BQ192" r:id="rId405" xr:uid="{00000000-0004-0000-0B00-000094010000}"/>
    <hyperlink ref="BQ193" r:id="rId406" xr:uid="{00000000-0004-0000-0B00-000095010000}"/>
    <hyperlink ref="BQ194" r:id="rId407" xr:uid="{00000000-0004-0000-0B00-000096010000}"/>
    <hyperlink ref="BQ195" r:id="rId408" xr:uid="{00000000-0004-0000-0B00-000097010000}"/>
    <hyperlink ref="BQ182" r:id="rId409" xr:uid="{00000000-0004-0000-0B00-000098010000}"/>
    <hyperlink ref="BR178" r:id="rId410" xr:uid="{00000000-0004-0000-0B00-000099010000}"/>
    <hyperlink ref="BR177" r:id="rId411" xr:uid="{00000000-0004-0000-0B00-00009A010000}"/>
    <hyperlink ref="BR175" r:id="rId412" xr:uid="{00000000-0004-0000-0B00-00009B010000}"/>
    <hyperlink ref="BR174" r:id="rId413" xr:uid="{00000000-0004-0000-0B00-00009C010000}"/>
    <hyperlink ref="BR173" r:id="rId414" xr:uid="{00000000-0004-0000-0B00-00009D010000}"/>
    <hyperlink ref="BR172" r:id="rId415" xr:uid="{00000000-0004-0000-0B00-00009E010000}"/>
    <hyperlink ref="BR171" r:id="rId416" xr:uid="{00000000-0004-0000-0B00-00009F010000}"/>
    <hyperlink ref="BR170" r:id="rId417" xr:uid="{00000000-0004-0000-0B00-0000A0010000}"/>
    <hyperlink ref="BR169" r:id="rId418" xr:uid="{00000000-0004-0000-0B00-0000A1010000}"/>
    <hyperlink ref="BR168" r:id="rId419" xr:uid="{00000000-0004-0000-0B00-0000A2010000}"/>
    <hyperlink ref="BR167" r:id="rId420" xr:uid="{00000000-0004-0000-0B00-0000A3010000}"/>
    <hyperlink ref="BR166" r:id="rId421" xr:uid="{00000000-0004-0000-0B00-0000A4010000}"/>
    <hyperlink ref="BR165" r:id="rId422" xr:uid="{00000000-0004-0000-0B00-0000A5010000}"/>
    <hyperlink ref="BR164" r:id="rId423" xr:uid="{00000000-0004-0000-0B00-0000A6010000}"/>
    <hyperlink ref="BR162" r:id="rId424" xr:uid="{00000000-0004-0000-0B00-0000A7010000}"/>
    <hyperlink ref="BQ209" r:id="rId425" xr:uid="{00000000-0004-0000-0B00-0000A8010000}"/>
    <hyperlink ref="BQ159" r:id="rId426" xr:uid="{00000000-0004-0000-0B00-0000A9010000}"/>
    <hyperlink ref="BQ160" r:id="rId427" xr:uid="{00000000-0004-0000-0B00-0000AA010000}"/>
    <hyperlink ref="BQ37" r:id="rId428" xr:uid="{00000000-0004-0000-0B00-0000AB010000}"/>
    <hyperlink ref="BQ38" r:id="rId429" xr:uid="{00000000-0004-0000-0B00-0000AC010000}"/>
    <hyperlink ref="BQ24" r:id="rId430" xr:uid="{00000000-0004-0000-0B00-0000AD010000}"/>
    <hyperlink ref="BR24" r:id="rId431" xr:uid="{00000000-0004-0000-0B00-0000AE010000}"/>
    <hyperlink ref="BQ25" r:id="rId432" xr:uid="{00000000-0004-0000-0B00-0000AF010000}"/>
    <hyperlink ref="BR25" r:id="rId433" xr:uid="{00000000-0004-0000-0B00-0000B0010000}"/>
    <hyperlink ref="BQ26" r:id="rId434" xr:uid="{00000000-0004-0000-0B00-0000B1010000}"/>
    <hyperlink ref="BQ27" r:id="rId435" xr:uid="{00000000-0004-0000-0B00-0000B2010000}"/>
    <hyperlink ref="BQ28" r:id="rId436" xr:uid="{00000000-0004-0000-0B00-0000B3010000}"/>
    <hyperlink ref="BR28" r:id="rId437" xr:uid="{00000000-0004-0000-0B00-0000B4010000}"/>
    <hyperlink ref="BQ29" r:id="rId438" xr:uid="{00000000-0004-0000-0B00-0000B5010000}"/>
    <hyperlink ref="BR29" r:id="rId439" xr:uid="{00000000-0004-0000-0B00-0000B6010000}"/>
    <hyperlink ref="BQ30" r:id="rId440" xr:uid="{00000000-0004-0000-0B00-0000B7010000}"/>
    <hyperlink ref="BR30" r:id="rId441" xr:uid="{00000000-0004-0000-0B00-0000B8010000}"/>
    <hyperlink ref="BQ31" r:id="rId442" xr:uid="{00000000-0004-0000-0B00-0000B9010000}"/>
    <hyperlink ref="BR31" r:id="rId443" xr:uid="{00000000-0004-0000-0B00-0000BA010000}"/>
    <hyperlink ref="BQ32" r:id="rId444" xr:uid="{00000000-0004-0000-0B00-0000BB010000}"/>
    <hyperlink ref="BR32" r:id="rId445" xr:uid="{00000000-0004-0000-0B00-0000BC010000}"/>
    <hyperlink ref="BQ33" r:id="rId446" xr:uid="{00000000-0004-0000-0B00-0000BD010000}"/>
    <hyperlink ref="BR33" r:id="rId447" xr:uid="{00000000-0004-0000-0B00-0000BE010000}"/>
    <hyperlink ref="BQ34" r:id="rId448" xr:uid="{00000000-0004-0000-0B00-0000BF010000}"/>
    <hyperlink ref="BR34" r:id="rId449" xr:uid="{00000000-0004-0000-0B00-0000C0010000}"/>
    <hyperlink ref="BQ35" r:id="rId450" xr:uid="{00000000-0004-0000-0B00-0000C1010000}"/>
    <hyperlink ref="BR35" r:id="rId451" xr:uid="{00000000-0004-0000-0B00-0000C2010000}"/>
    <hyperlink ref="BQ36" r:id="rId452" xr:uid="{00000000-0004-0000-0B00-0000C3010000}"/>
    <hyperlink ref="BR36" r:id="rId453" xr:uid="{00000000-0004-0000-0B00-0000C4010000}"/>
    <hyperlink ref="BR37" r:id="rId454" xr:uid="{00000000-0004-0000-0B00-0000C5010000}"/>
    <hyperlink ref="C187" r:id="rId455" xr:uid="{00000000-0004-0000-0B00-0000C6010000}"/>
    <hyperlink ref="C189" r:id="rId456" xr:uid="{00000000-0004-0000-0B00-0000C7010000}"/>
    <hyperlink ref="C193" r:id="rId457" xr:uid="{00000000-0004-0000-0B00-0000C8010000}"/>
    <hyperlink ref="C152" r:id="rId458" xr:uid="{00000000-0004-0000-0B00-0000C9010000}"/>
    <hyperlink ref="C112" r:id="rId459" xr:uid="{00000000-0004-0000-0B00-0000CA010000}"/>
    <hyperlink ref="C116" r:id="rId460" xr:uid="{00000000-0004-0000-0B00-0000CB010000}"/>
    <hyperlink ref="C111" r:id="rId461" xr:uid="{00000000-0004-0000-0B00-0000CC010000}"/>
    <hyperlink ref="C102" r:id="rId462" xr:uid="{00000000-0004-0000-0B00-0000CD010000}"/>
    <hyperlink ref="C150" r:id="rId463" xr:uid="{00000000-0004-0000-0B00-0000CE010000}"/>
    <hyperlink ref="C80" r:id="rId464" xr:uid="{00000000-0004-0000-0B00-0000CF010000}"/>
    <hyperlink ref="C185" r:id="rId465" xr:uid="{00000000-0004-0000-0B00-0000D0010000}"/>
    <hyperlink ref="C190" r:id="rId466" xr:uid="{00000000-0004-0000-0B00-0000D1010000}"/>
    <hyperlink ref="C180" r:id="rId467" xr:uid="{00000000-0004-0000-0B00-0000D2010000}"/>
    <hyperlink ref="C186" r:id="rId468" xr:uid="{00000000-0004-0000-0B00-0000D3010000}"/>
    <hyperlink ref="C188" r:id="rId469" xr:uid="{00000000-0004-0000-0B00-0000D4010000}"/>
    <hyperlink ref="C191" r:id="rId470" xr:uid="{00000000-0004-0000-0B00-0000D5010000}"/>
    <hyperlink ref="C192" r:id="rId471" xr:uid="{00000000-0004-0000-0B00-0000D6010000}"/>
    <hyperlink ref="C194" r:id="rId472" xr:uid="{00000000-0004-0000-0B00-0000D7010000}"/>
    <hyperlink ref="C203" r:id="rId473" xr:uid="{00000000-0004-0000-0B00-0000D8010000}"/>
    <hyperlink ref="BR181" r:id="rId474" xr:uid="{00000000-0004-0000-0B00-0000D9010000}"/>
    <hyperlink ref="BR180" r:id="rId475" xr:uid="{00000000-0004-0000-0B00-0000DA010000}"/>
    <hyperlink ref="BR163" r:id="rId476" xr:uid="{00000000-0004-0000-0B00-0000DB010000}"/>
    <hyperlink ref="BR176" r:id="rId477" xr:uid="{00000000-0004-0000-0B00-0000DC010000}"/>
    <hyperlink ref="C164" r:id="rId478" xr:uid="{00000000-0004-0000-0B00-0000DD010000}"/>
    <hyperlink ref="C210" r:id="rId479" xr:uid="{00000000-0004-0000-0B00-0000DE010000}"/>
    <hyperlink ref="BR179" r:id="rId480" xr:uid="{00000000-0004-0000-0B00-0000DF010000}"/>
    <hyperlink ref="BR183" r:id="rId481" xr:uid="{00000000-0004-0000-0B00-0000E0010000}"/>
    <hyperlink ref="CH208" r:id="rId482" xr:uid="{00000000-0004-0000-0B00-0000E1010000}"/>
    <hyperlink ref="C244" r:id="rId483" xr:uid="{00000000-0004-0000-0B00-0000E2010000}"/>
    <hyperlink ref="C248" r:id="rId484" xr:uid="{00000000-0004-0000-0B00-0000E3010000}"/>
    <hyperlink ref="C238" r:id="rId485" xr:uid="{00000000-0004-0000-0B00-0000E4010000}"/>
    <hyperlink ref="C267" r:id="rId486" xr:uid="{00000000-0004-0000-0B00-0000E5010000}"/>
    <hyperlink ref="C250" r:id="rId487" xr:uid="{00000000-0004-0000-0B00-0000E6010000}"/>
    <hyperlink ref="C241" r:id="rId488" xr:uid="{00000000-0004-0000-0B00-0000E7010000}"/>
    <hyperlink ref="C268" r:id="rId489" xr:uid="{00000000-0004-0000-0B00-0000E8010000}"/>
    <hyperlink ref="C249" r:id="rId490" xr:uid="{00000000-0004-0000-0B00-0000E9010000}"/>
    <hyperlink ref="C263" r:id="rId491" xr:uid="{00000000-0004-0000-0B00-0000EA010000}"/>
    <hyperlink ref="C257" r:id="rId492" xr:uid="{00000000-0004-0000-0B00-0000EB010000}"/>
    <hyperlink ref="C253" r:id="rId493" xr:uid="{00000000-0004-0000-0B00-0000EC010000}"/>
    <hyperlink ref="C260" r:id="rId494" xr:uid="{00000000-0004-0000-0B00-0000ED010000}"/>
    <hyperlink ref="C245" r:id="rId495" xr:uid="{00000000-0004-0000-0B00-0000EE010000}"/>
    <hyperlink ref="C261" r:id="rId496" xr:uid="{00000000-0004-0000-0B00-0000EF010000}"/>
    <hyperlink ref="C242" r:id="rId497" xr:uid="{00000000-0004-0000-0B00-0000F0010000}"/>
    <hyperlink ref="C269" r:id="rId498" xr:uid="{00000000-0004-0000-0B00-0000F1010000}"/>
    <hyperlink ref="C256" r:id="rId499" xr:uid="{00000000-0004-0000-0B00-0000F2010000}"/>
    <hyperlink ref="C266" r:id="rId500" xr:uid="{00000000-0004-0000-0B00-0000F3010000}"/>
    <hyperlink ref="C243" r:id="rId501" xr:uid="{00000000-0004-0000-0B00-0000F4010000}"/>
    <hyperlink ref="C264" r:id="rId502" xr:uid="{00000000-0004-0000-0B00-0000F5010000}"/>
    <hyperlink ref="C270" r:id="rId503" xr:uid="{00000000-0004-0000-0B00-0000F6010000}"/>
    <hyperlink ref="C252" r:id="rId504" xr:uid="{00000000-0004-0000-0B00-0000F7010000}"/>
    <hyperlink ref="C240" r:id="rId505" xr:uid="{00000000-0004-0000-0B00-0000F8010000}"/>
    <hyperlink ref="C237" r:id="rId506" xr:uid="{00000000-0004-0000-0B00-0000F9010000}"/>
    <hyperlink ref="C259" r:id="rId507" xr:uid="{00000000-0004-0000-0B00-0000FA010000}"/>
    <hyperlink ref="C262" r:id="rId508" xr:uid="{00000000-0004-0000-0B00-0000FB010000}"/>
    <hyperlink ref="C251" r:id="rId509" xr:uid="{00000000-0004-0000-0B00-0000FC010000}"/>
    <hyperlink ref="C247" r:id="rId510" xr:uid="{00000000-0004-0000-0B00-0000FD010000}"/>
    <hyperlink ref="C246" r:id="rId511" xr:uid="{00000000-0004-0000-0B00-0000FE010000}"/>
    <hyperlink ref="C239" r:id="rId512" xr:uid="{00000000-0004-0000-0B00-0000FF010000}"/>
    <hyperlink ref="C258" r:id="rId513" xr:uid="{00000000-0004-0000-0B00-000000020000}"/>
    <hyperlink ref="C231" r:id="rId514" xr:uid="{00000000-0004-0000-0B00-000001020000}"/>
    <hyperlink ref="C230" r:id="rId515" xr:uid="{00000000-0004-0000-0B00-000002020000}"/>
    <hyperlink ref="BR184" r:id="rId516" xr:uid="{00000000-0004-0000-0B00-000003020000}"/>
    <hyperlink ref="BR208" r:id="rId517" xr:uid="{00000000-0004-0000-0B00-000004020000}"/>
    <hyperlink ref="BR196" r:id="rId518" xr:uid="{00000000-0004-0000-0B00-000005020000}"/>
    <hyperlink ref="BR197" r:id="rId519" xr:uid="{00000000-0004-0000-0B00-000006020000}"/>
    <hyperlink ref="BR198" r:id="rId520" xr:uid="{00000000-0004-0000-0B00-000007020000}"/>
    <hyperlink ref="BR199" r:id="rId521" xr:uid="{00000000-0004-0000-0B00-000008020000}"/>
    <hyperlink ref="BR200" r:id="rId522" xr:uid="{00000000-0004-0000-0B00-000009020000}"/>
    <hyperlink ref="BR201" r:id="rId523" xr:uid="{00000000-0004-0000-0B00-00000A020000}"/>
    <hyperlink ref="BR202" r:id="rId524" xr:uid="{00000000-0004-0000-0B00-00000B020000}"/>
    <hyperlink ref="BR204" r:id="rId525" xr:uid="{00000000-0004-0000-0B00-00000C020000}"/>
    <hyperlink ref="BR206" r:id="rId526" xr:uid="{00000000-0004-0000-0B00-00000D020000}"/>
    <hyperlink ref="BR205" r:id="rId527" xr:uid="{00000000-0004-0000-0B00-00000E020000}"/>
    <hyperlink ref="BQ230" r:id="rId528" xr:uid="{00000000-0004-0000-0B00-00000F020000}"/>
    <hyperlink ref="C254" r:id="rId529" xr:uid="{00000000-0004-0000-0B00-000010020000}"/>
    <hyperlink ref="BQ264" r:id="rId530" xr:uid="{00000000-0004-0000-0B00-000011020000}"/>
    <hyperlink ref="BQ254" r:id="rId531" xr:uid="{00000000-0004-0000-0B00-000012020000}"/>
    <hyperlink ref="BQ238" r:id="rId532" xr:uid="{00000000-0004-0000-0B00-000013020000}"/>
    <hyperlink ref="BQ250" r:id="rId533" xr:uid="{00000000-0004-0000-0B00-000014020000}"/>
    <hyperlink ref="BQ268" r:id="rId534" xr:uid="{00000000-0004-0000-0B00-000015020000}"/>
    <hyperlink ref="BQ261" r:id="rId535" xr:uid="{00000000-0004-0000-0B00-000016020000}"/>
    <hyperlink ref="BQ259" r:id="rId536" xr:uid="{00000000-0004-0000-0B00-000017020000}"/>
    <hyperlink ref="BQ269" r:id="rId537" xr:uid="{00000000-0004-0000-0B00-000018020000}"/>
    <hyperlink ref="BQ244" r:id="rId538" xr:uid="{00000000-0004-0000-0B00-000019020000}"/>
    <hyperlink ref="BQ248" r:id="rId539" xr:uid="{00000000-0004-0000-0B00-00001A020000}"/>
    <hyperlink ref="BQ245" r:id="rId540" xr:uid="{00000000-0004-0000-0B00-00001B020000}"/>
    <hyperlink ref="BQ253" r:id="rId541" xr:uid="{00000000-0004-0000-0B00-00001C020000}"/>
    <hyperlink ref="BQ262" r:id="rId542" xr:uid="{00000000-0004-0000-0B00-00001D020000}"/>
    <hyperlink ref="BQ247" r:id="rId543" xr:uid="{00000000-0004-0000-0B00-00001E020000}"/>
    <hyperlink ref="BQ256" r:id="rId544" xr:uid="{00000000-0004-0000-0B00-00001F020000}"/>
    <hyperlink ref="BQ263" r:id="rId545" xr:uid="{00000000-0004-0000-0B00-000020020000}"/>
    <hyperlink ref="BQ270" r:id="rId546" xr:uid="{00000000-0004-0000-0B00-000021020000}"/>
    <hyperlink ref="BQ266" r:id="rId547" xr:uid="{00000000-0004-0000-0B00-000022020000}"/>
    <hyperlink ref="BQ237" r:id="rId548" xr:uid="{00000000-0004-0000-0B00-000023020000}"/>
    <hyperlink ref="BQ257" r:id="rId549" xr:uid="{00000000-0004-0000-0B00-000024020000}"/>
    <hyperlink ref="BQ260" r:id="rId550" xr:uid="{00000000-0004-0000-0B00-000025020000}"/>
    <hyperlink ref="BQ252" r:id="rId551" xr:uid="{00000000-0004-0000-0B00-000026020000}"/>
    <hyperlink ref="BQ249" r:id="rId552" xr:uid="{00000000-0004-0000-0B00-000027020000}"/>
    <hyperlink ref="BQ241" r:id="rId553" xr:uid="{00000000-0004-0000-0B00-000028020000}"/>
    <hyperlink ref="BQ251" r:id="rId554" xr:uid="{00000000-0004-0000-0B00-000029020000}"/>
    <hyperlink ref="BQ267" r:id="rId555" xr:uid="{00000000-0004-0000-0B00-00002A020000}"/>
    <hyperlink ref="BQ242" r:id="rId556" xr:uid="{00000000-0004-0000-0B00-00002B020000}"/>
    <hyperlink ref="BQ243" r:id="rId557" xr:uid="{00000000-0004-0000-0B00-00002C020000}"/>
    <hyperlink ref="BQ246" r:id="rId558" xr:uid="{00000000-0004-0000-0B00-00002D020000}"/>
    <hyperlink ref="BQ239" r:id="rId559" xr:uid="{00000000-0004-0000-0B00-00002E020000}"/>
    <hyperlink ref="BQ258" r:id="rId560" xr:uid="{00000000-0004-0000-0B00-00002F020000}"/>
    <hyperlink ref="BQ231" r:id="rId561" xr:uid="{00000000-0004-0000-0B00-000030020000}"/>
    <hyperlink ref="B264" r:id="rId562" xr:uid="{00000000-0004-0000-0B00-000031020000}"/>
    <hyperlink ref="B263" r:id="rId563" xr:uid="{00000000-0004-0000-0B00-000032020000}"/>
    <hyperlink ref="B270" r:id="rId564" xr:uid="{00000000-0004-0000-0B00-000033020000}"/>
    <hyperlink ref="B240" r:id="rId565" xr:uid="{00000000-0004-0000-0B00-000034020000}"/>
    <hyperlink ref="B247" r:id="rId566" xr:uid="{00000000-0004-0000-0B00-000035020000}"/>
    <hyperlink ref="B250" r:id="rId567" xr:uid="{00000000-0004-0000-0B00-000036020000}"/>
    <hyperlink ref="B238" r:id="rId568" xr:uid="{00000000-0004-0000-0B00-000037020000}"/>
    <hyperlink ref="B241" r:id="rId569" xr:uid="{00000000-0004-0000-0B00-000038020000}"/>
    <hyperlink ref="B260" r:id="rId570" xr:uid="{00000000-0004-0000-0B00-000039020000}"/>
    <hyperlink ref="B251" r:id="rId571" xr:uid="{00000000-0004-0000-0B00-00003A020000}"/>
    <hyperlink ref="B252" r:id="rId572" xr:uid="{00000000-0004-0000-0B00-00003B020000}"/>
    <hyperlink ref="B269" r:id="rId573" xr:uid="{00000000-0004-0000-0B00-00003C020000}"/>
    <hyperlink ref="B249" r:id="rId574" xr:uid="{00000000-0004-0000-0B00-00003D020000}"/>
    <hyperlink ref="B262" r:id="rId575" xr:uid="{00000000-0004-0000-0B00-00003E020000}"/>
    <hyperlink ref="B245" r:id="rId576" xr:uid="{00000000-0004-0000-0B00-00003F020000}"/>
    <hyperlink ref="B244" r:id="rId577" xr:uid="{00000000-0004-0000-0B00-000040020000}"/>
    <hyperlink ref="B256" r:id="rId578" xr:uid="{00000000-0004-0000-0B00-000041020000}"/>
    <hyperlink ref="B259" r:id="rId579" xr:uid="{00000000-0004-0000-0B00-000042020000}"/>
    <hyperlink ref="B254" r:id="rId580" xr:uid="{00000000-0004-0000-0B00-000043020000}"/>
    <hyperlink ref="B253" r:id="rId581" xr:uid="{00000000-0004-0000-0B00-000044020000}"/>
    <hyperlink ref="B237" r:id="rId582" xr:uid="{00000000-0004-0000-0B00-000045020000}"/>
    <hyperlink ref="B261" r:id="rId583" xr:uid="{00000000-0004-0000-0B00-000046020000}"/>
    <hyperlink ref="B266" r:id="rId584" xr:uid="{00000000-0004-0000-0B00-000047020000}"/>
    <hyperlink ref="B248" r:id="rId585" xr:uid="{00000000-0004-0000-0B00-000048020000}"/>
    <hyperlink ref="B268" r:id="rId586" xr:uid="{00000000-0004-0000-0B00-000049020000}"/>
    <hyperlink ref="B243" r:id="rId587" xr:uid="{00000000-0004-0000-0B00-00004A020000}"/>
    <hyperlink ref="B267" r:id="rId588" xr:uid="{00000000-0004-0000-0B00-00004B020000}"/>
    <hyperlink ref="B242" r:id="rId589" xr:uid="{00000000-0004-0000-0B00-00004C020000}"/>
    <hyperlink ref="B257" r:id="rId590" xr:uid="{00000000-0004-0000-0B00-00004D020000}"/>
    <hyperlink ref="B246" r:id="rId591" display="https://yptorid-my.sharepoint.com/:b:/g/personal/lppm_ittelkom-sby_ac_id/ETr56jffCEtFrp6VVgXN_TkBZ64i9BiV2p-V1El612Nf9g?e=0nzgIE" xr:uid="{00000000-0004-0000-0B00-00004E020000}"/>
    <hyperlink ref="B258" r:id="rId592" display="https://yptorid-my.sharepoint.com/:b:/g/personal/lppm_ittelkom-sby_ac_id/ETr56jffCEtFrp6VVgXN_TkBZ64i9BiV2p-V1El612Nf9g?e=0nzgIE" xr:uid="{00000000-0004-0000-0B00-00004F020000}"/>
    <hyperlink ref="B239" r:id="rId593" display="https://yptorid-my.sharepoint.com/:b:/g/personal/lppm_ittelkom-sby_ac_id/ETr56jffCEtFrp6VVgXN_TkBZ64i9BiV2p-V1El612Nf9g?e=0nzgIE" xr:uid="{00000000-0004-0000-0B00-000050020000}"/>
    <hyperlink ref="B231" r:id="rId594" xr:uid="{00000000-0004-0000-0B00-000051020000}"/>
    <hyperlink ref="B230" r:id="rId595" xr:uid="{00000000-0004-0000-0B00-000052020000}"/>
    <hyperlink ref="B211" r:id="rId596" xr:uid="{00000000-0004-0000-0B00-000053020000}"/>
    <hyperlink ref="B212:B217" r:id="rId597" display="REK.260/PNLT1/REK/XII/202" xr:uid="{00000000-0004-0000-0B00-000054020000}"/>
    <hyperlink ref="C25" r:id="rId598" xr:uid="{00000000-0004-0000-0B00-000055020000}"/>
    <hyperlink ref="B219:B247" r:id="rId599" display="KWR4.030/LIT06/PPM-LIT/2024" xr:uid="{00000000-0004-0000-0B00-000056020000}"/>
    <hyperlink ref="B248:B250" r:id="rId600" display="KWR4.031/LIT06/PPM-LIT/2024" xr:uid="{00000000-0004-0000-0B00-000057020000}"/>
    <hyperlink ref="BQ227" r:id="rId601" xr:uid="{00000000-0004-0000-0B00-000058020000}"/>
    <hyperlink ref="BQ228" r:id="rId602" xr:uid="{00000000-0004-0000-0B00-000059020000}"/>
    <hyperlink ref="BQ229" r:id="rId603" xr:uid="{00000000-0004-0000-0B00-00005A020000}"/>
    <hyperlink ref="C227" r:id="rId604" xr:uid="{00000000-0004-0000-0B00-00005B020000}"/>
    <hyperlink ref="C228" r:id="rId605" xr:uid="{00000000-0004-0000-0B00-00005C020000}"/>
    <hyperlink ref="C229" r:id="rId606" xr:uid="{00000000-0004-0000-0B00-00005D020000}"/>
    <hyperlink ref="BQ271" r:id="rId607" display="http://cdndata.telkomuniversity.ac.id/research/z1718073410c358a55b3388d9e89af79ae1cf6b5c84.pdf" xr:uid="{00000000-0004-0000-0B00-00005E020000}"/>
    <hyperlink ref="BQ272" r:id="rId608" display="http://cdndata.telkomuniversity.ac.id/research/z1718073359b0029a1c08aedc37a610fab7877f5870.pdf" xr:uid="{00000000-0004-0000-0B00-00005F020000}"/>
    <hyperlink ref="BQ273" r:id="rId609" display="http://cdndata.telkomuniversity.ac.id/research/z17179881974aeaf81b1e95783e843af40aec4d6dd2.pdf" xr:uid="{00000000-0004-0000-0B00-000060020000}"/>
    <hyperlink ref="C273" r:id="rId610" xr:uid="{00000000-0004-0000-0B00-000061020000}"/>
    <hyperlink ref="C272" r:id="rId611" xr:uid="{00000000-0004-0000-0B00-000062020000}"/>
    <hyperlink ref="C271" r:id="rId612" xr:uid="{00000000-0004-0000-0B00-000063020000}"/>
    <hyperlink ref="B229" r:id="rId613" xr:uid="{00000000-0004-0000-0B00-000064020000}"/>
    <hyperlink ref="B253:B254" r:id="rId614" display="KWR4.051/LIT06/PPM-LIT/2024" xr:uid="{00000000-0004-0000-0B00-000065020000}"/>
    <hyperlink ref="B271" r:id="rId615" xr:uid="{00000000-0004-0000-0B00-000066020000}"/>
    <hyperlink ref="B257:B258" r:id="rId616" display="KWR4.042/LIT06/PPM-LIT/2024" xr:uid="{00000000-0004-0000-0B00-000067020000}"/>
    <hyperlink ref="C2" r:id="rId617" xr:uid="{00000000-0004-0000-0B00-000068020000}"/>
    <hyperlink ref="C4" r:id="rId618" xr:uid="{00000000-0004-0000-0B00-000069020000}"/>
    <hyperlink ref="C5" r:id="rId619" xr:uid="{00000000-0004-0000-0B00-00006A020000}"/>
    <hyperlink ref="C6" r:id="rId620" xr:uid="{00000000-0004-0000-0B00-00006B020000}"/>
    <hyperlink ref="C7" r:id="rId621" xr:uid="{00000000-0004-0000-0B00-00006C020000}"/>
    <hyperlink ref="C8" r:id="rId622" xr:uid="{00000000-0004-0000-0B00-00006D020000}"/>
    <hyperlink ref="BQ8:BR8" r:id="rId623" display="Proposal" xr:uid="{00000000-0004-0000-0B00-00006E020000}"/>
    <hyperlink ref="BR8" r:id="rId624" xr:uid="{00000000-0004-0000-0B00-00006F020000}"/>
    <hyperlink ref="BQ4:BR4" r:id="rId625" display="Proposal" xr:uid="{00000000-0004-0000-0B00-000070020000}"/>
    <hyperlink ref="BQ5:BR5" r:id="rId626" display="Proposal" xr:uid="{00000000-0004-0000-0B00-000071020000}"/>
    <hyperlink ref="BQ6:BR6" r:id="rId627" display="Proposal" xr:uid="{00000000-0004-0000-0B00-000072020000}"/>
    <hyperlink ref="BQ7:BR7" r:id="rId628" display="Proposal" xr:uid="{00000000-0004-0000-0B00-000073020000}"/>
    <hyperlink ref="BR4" r:id="rId629" xr:uid="{00000000-0004-0000-0B00-000074020000}"/>
    <hyperlink ref="BQ4" r:id="rId630" xr:uid="{00000000-0004-0000-0B00-000075020000}"/>
    <hyperlink ref="BQ5" r:id="rId631" xr:uid="{00000000-0004-0000-0B00-000076020000}"/>
    <hyperlink ref="BR5" r:id="rId632" xr:uid="{00000000-0004-0000-0B00-000077020000}"/>
    <hyperlink ref="BQ6" r:id="rId633" xr:uid="{00000000-0004-0000-0B00-000078020000}"/>
    <hyperlink ref="BQ7" r:id="rId634" xr:uid="{00000000-0004-0000-0B00-000079020000}"/>
    <hyperlink ref="BR7" r:id="rId635" xr:uid="{00000000-0004-0000-0B00-00007A020000}"/>
    <hyperlink ref="BR6" r:id="rId636" xr:uid="{00000000-0004-0000-0B00-00007B020000}"/>
    <hyperlink ref="C9" r:id="rId637" xr:uid="{00000000-0004-0000-0B00-00007C020000}"/>
    <hyperlink ref="BQ9" r:id="rId638" xr:uid="{00000000-0004-0000-0B00-00007D020000}"/>
    <hyperlink ref="BR9" r:id="rId639" xr:uid="{00000000-0004-0000-0B00-00007E020000}"/>
    <hyperlink ref="C10" r:id="rId640" xr:uid="{00000000-0004-0000-0B00-00007F020000}"/>
    <hyperlink ref="BQ10" r:id="rId641" xr:uid="{00000000-0004-0000-0B00-000080020000}"/>
    <hyperlink ref="C11" r:id="rId642" xr:uid="{00000000-0004-0000-0B00-000081020000}"/>
    <hyperlink ref="BQ11" r:id="rId643" xr:uid="{00000000-0004-0000-0B00-000082020000}"/>
    <hyperlink ref="BR11" r:id="rId644" xr:uid="{00000000-0004-0000-0B00-000083020000}"/>
    <hyperlink ref="C12" r:id="rId645" xr:uid="{00000000-0004-0000-0B00-000084020000}"/>
    <hyperlink ref="BQ12" r:id="rId646" xr:uid="{00000000-0004-0000-0B00-000085020000}"/>
    <hyperlink ref="BR12" r:id="rId647" xr:uid="{00000000-0004-0000-0B00-000086020000}"/>
    <hyperlink ref="C13" r:id="rId648" xr:uid="{00000000-0004-0000-0B00-000087020000}"/>
    <hyperlink ref="BQ13" r:id="rId649" xr:uid="{00000000-0004-0000-0B00-000088020000}"/>
    <hyperlink ref="BR13" r:id="rId650" xr:uid="{00000000-0004-0000-0B00-000089020000}"/>
    <hyperlink ref="C14" r:id="rId651" xr:uid="{00000000-0004-0000-0B00-00008A020000}"/>
    <hyperlink ref="BQ14" r:id="rId652" xr:uid="{00000000-0004-0000-0B00-00008B020000}"/>
    <hyperlink ref="BR14" r:id="rId653" xr:uid="{00000000-0004-0000-0B00-00008C020000}"/>
    <hyperlink ref="C15" r:id="rId654" xr:uid="{00000000-0004-0000-0B00-00008D020000}"/>
    <hyperlink ref="BQ15" r:id="rId655" xr:uid="{00000000-0004-0000-0B00-00008E020000}"/>
    <hyperlink ref="BR15" r:id="rId656" xr:uid="{00000000-0004-0000-0B00-00008F020000}"/>
    <hyperlink ref="C16" r:id="rId657" xr:uid="{00000000-0004-0000-0B00-000090020000}"/>
    <hyperlink ref="BQ16" r:id="rId658" xr:uid="{00000000-0004-0000-0B00-000091020000}"/>
    <hyperlink ref="BR16" r:id="rId659" xr:uid="{00000000-0004-0000-0B00-000092020000}"/>
    <hyperlink ref="C17" r:id="rId660" xr:uid="{00000000-0004-0000-0B00-000093020000}"/>
    <hyperlink ref="C18" r:id="rId661" xr:uid="{00000000-0004-0000-0B00-000094020000}"/>
    <hyperlink ref="C19" r:id="rId662" xr:uid="{00000000-0004-0000-0B00-000095020000}"/>
    <hyperlink ref="C20" r:id="rId663" xr:uid="{00000000-0004-0000-0B00-000096020000}"/>
    <hyperlink ref="C21" r:id="rId664" xr:uid="{00000000-0004-0000-0B00-000097020000}"/>
    <hyperlink ref="BR23" r:id="rId665" xr:uid="{00000000-0004-0000-0B00-000098020000}"/>
    <hyperlink ref="BQ23" r:id="rId666" xr:uid="{00000000-0004-0000-0B00-000099020000}"/>
    <hyperlink ref="BQ17" r:id="rId667" xr:uid="{00000000-0004-0000-0B00-00009A020000}"/>
    <hyperlink ref="BR17" r:id="rId668" xr:uid="{00000000-0004-0000-0B00-00009B020000}"/>
    <hyperlink ref="BQ18" r:id="rId669" xr:uid="{00000000-0004-0000-0B00-00009C020000}"/>
    <hyperlink ref="BR18" r:id="rId670" xr:uid="{00000000-0004-0000-0B00-00009D020000}"/>
    <hyperlink ref="BQ19" r:id="rId671" xr:uid="{00000000-0004-0000-0B00-00009E020000}"/>
    <hyperlink ref="BR19" r:id="rId672" xr:uid="{00000000-0004-0000-0B00-00009F020000}"/>
    <hyperlink ref="BQ20" r:id="rId673" xr:uid="{00000000-0004-0000-0B00-0000A0020000}"/>
    <hyperlink ref="BR20" r:id="rId674" xr:uid="{00000000-0004-0000-0B00-0000A1020000}"/>
    <hyperlink ref="BQ21" r:id="rId675" xr:uid="{00000000-0004-0000-0B00-0000A2020000}"/>
    <hyperlink ref="BR21" r:id="rId676" xr:uid="{00000000-0004-0000-0B00-0000A3020000}"/>
    <hyperlink ref="BQ223" r:id="rId677" xr:uid="{00000000-0004-0000-0B00-0000A4020000}"/>
    <hyperlink ref="C234" r:id="rId678" xr:uid="{00000000-0004-0000-0B00-0000A5020000}"/>
    <hyperlink ref="C235" r:id="rId679" xr:uid="{00000000-0004-0000-0B00-0000A6020000}"/>
    <hyperlink ref="C265" r:id="rId680" xr:uid="{00000000-0004-0000-0B00-0000A7020000}"/>
    <hyperlink ref="C236" r:id="rId681" xr:uid="{00000000-0004-0000-0B00-0000A8020000}"/>
    <hyperlink ref="C233" r:id="rId682" xr:uid="{00000000-0004-0000-0B00-0000A9020000}"/>
    <hyperlink ref="C232" r:id="rId683" xr:uid="{00000000-0004-0000-0B00-0000AA020000}"/>
    <hyperlink ref="C255" r:id="rId684" xr:uid="{00000000-0004-0000-0B00-0000AB020000}"/>
    <hyperlink ref="C223" r:id="rId685" xr:uid="{00000000-0004-0000-0B00-0000AC020000}"/>
    <hyperlink ref="B220" r:id="rId686" xr:uid="{00000000-0004-0000-0B00-0000AD020000}"/>
    <hyperlink ref="C220" r:id="rId687" xr:uid="{00000000-0004-0000-0B00-0000AE020000}"/>
    <hyperlink ref="B219" r:id="rId688" xr:uid="{00000000-0004-0000-0B00-0000AF020000}"/>
    <hyperlink ref="B222" r:id="rId689" xr:uid="{00000000-0004-0000-0B00-0000B0020000}"/>
    <hyperlink ref="B221" r:id="rId690" xr:uid="{00000000-0004-0000-0B00-0000B1020000}"/>
    <hyperlink ref="C271:C273" r:id="rId691" display="619/LIT06/PPM-LIT/2024" xr:uid="{00000000-0004-0000-0B00-0000B2020000}"/>
    <hyperlink ref="C219" r:id="rId692" xr:uid="{00000000-0004-0000-0B00-0000B3020000}"/>
    <hyperlink ref="C222" r:id="rId693" xr:uid="{00000000-0004-0000-0B00-0000B4020000}"/>
    <hyperlink ref="BQ240" r:id="rId694" xr:uid="{00000000-0004-0000-0B00-0000B5020000}"/>
    <hyperlink ref="BR244" r:id="rId695" xr:uid="{00000000-0004-0000-0B00-0000B6020000}"/>
    <hyperlink ref="BR250" r:id="rId696" xr:uid="{00000000-0004-0000-0B00-0000B7020000}"/>
    <hyperlink ref="BR262" r:id="rId697" xr:uid="{00000000-0004-0000-0B00-0000B8020000}"/>
    <hyperlink ref="BR241" r:id="rId698" xr:uid="{00000000-0004-0000-0B00-0000B9020000}"/>
    <hyperlink ref="BR247" r:id="rId699" xr:uid="{00000000-0004-0000-0B00-0000BA020000}"/>
    <hyperlink ref="BR243" r:id="rId700" xr:uid="{00000000-0004-0000-0B00-0000BB020000}"/>
    <hyperlink ref="BR245" r:id="rId701" xr:uid="{00000000-0004-0000-0B00-0000BC020000}"/>
    <hyperlink ref="BR261" r:id="rId702" xr:uid="{00000000-0004-0000-0B00-0000BD020000}"/>
    <hyperlink ref="BR264" r:id="rId703" xr:uid="{00000000-0004-0000-0B00-0000BE020000}"/>
    <hyperlink ref="BR237" r:id="rId704" xr:uid="{00000000-0004-0000-0B00-0000BF020000}"/>
    <hyperlink ref="BR256" r:id="rId705" xr:uid="{00000000-0004-0000-0B00-0000C0020000}"/>
    <hyperlink ref="BR263" r:id="rId706" xr:uid="{00000000-0004-0000-0B00-0000C1020000}"/>
    <hyperlink ref="BR266" r:id="rId707" xr:uid="{00000000-0004-0000-0B00-0000C2020000}"/>
    <hyperlink ref="BR270" r:id="rId708" xr:uid="{00000000-0004-0000-0B00-0000C3020000}"/>
    <hyperlink ref="BR238" r:id="rId709" xr:uid="{00000000-0004-0000-0B00-0000C4020000}"/>
    <hyperlink ref="BR253" r:id="rId710" xr:uid="{00000000-0004-0000-0B00-0000C5020000}"/>
    <hyperlink ref="BR242" r:id="rId711" xr:uid="{00000000-0004-0000-0B00-0000C6020000}"/>
    <hyperlink ref="BR267" r:id="rId712" xr:uid="{00000000-0004-0000-0B00-0000C7020000}"/>
    <hyperlink ref="BR269" r:id="rId713" xr:uid="{00000000-0004-0000-0B00-0000C8020000}"/>
    <hyperlink ref="BR257" r:id="rId714" xr:uid="{00000000-0004-0000-0B00-0000C9020000}"/>
    <hyperlink ref="BR252" r:id="rId715" xr:uid="{00000000-0004-0000-0B00-0000CA020000}"/>
    <hyperlink ref="BR260" r:id="rId716" xr:uid="{00000000-0004-0000-0B00-0000CB020000}"/>
    <hyperlink ref="BR249" r:id="rId717" xr:uid="{00000000-0004-0000-0B00-0000CC020000}"/>
    <hyperlink ref="BR259" r:id="rId718" xr:uid="{00000000-0004-0000-0B00-0000CD020000}"/>
    <hyperlink ref="BR248" r:id="rId719" xr:uid="{00000000-0004-0000-0B00-0000CE020000}"/>
    <hyperlink ref="BR236" r:id="rId720" xr:uid="{00000000-0004-0000-0B00-0000CF020000}"/>
    <hyperlink ref="BR258" r:id="rId721" xr:uid="{00000000-0004-0000-0B00-0000D0020000}"/>
    <hyperlink ref="BR246" r:id="rId722" xr:uid="{00000000-0004-0000-0B00-0000D1020000}"/>
    <hyperlink ref="BR239" r:id="rId723" xr:uid="{00000000-0004-0000-0B00-0000D2020000}"/>
    <hyperlink ref="BR231" r:id="rId724" xr:uid="{00000000-0004-0000-0B00-0000D3020000}"/>
    <hyperlink ref="BR230" r:id="rId725" xr:uid="{00000000-0004-0000-0B00-0000D4020000}"/>
    <hyperlink ref="BR227" r:id="rId726" xr:uid="{00000000-0004-0000-0B00-0000D5020000}"/>
    <hyperlink ref="BR228" r:id="rId727" xr:uid="{00000000-0004-0000-0B00-0000D6020000}"/>
    <hyperlink ref="BR234" r:id="rId728" xr:uid="{00000000-0004-0000-0B00-0000D7020000}"/>
    <hyperlink ref="BR235" r:id="rId729" xr:uid="{00000000-0004-0000-0B00-0000D8020000}"/>
    <hyperlink ref="BR265" r:id="rId730" xr:uid="{00000000-0004-0000-0B00-0000D9020000}"/>
    <hyperlink ref="BR232" r:id="rId731" xr:uid="{00000000-0004-0000-0B00-0000DA020000}"/>
    <hyperlink ref="BR233" r:id="rId732" xr:uid="{00000000-0004-0000-0B00-0000DB020000}"/>
    <hyperlink ref="BQ234" r:id="rId733" xr:uid="{00000000-0004-0000-0B00-0000DC020000}"/>
    <hyperlink ref="BQ235" r:id="rId734" xr:uid="{00000000-0004-0000-0B00-0000DD020000}"/>
    <hyperlink ref="BQ265" r:id="rId735" xr:uid="{00000000-0004-0000-0B00-0000DE020000}"/>
    <hyperlink ref="BQ236" r:id="rId736" xr:uid="{00000000-0004-0000-0B00-0000DF020000}"/>
    <hyperlink ref="BQ232" r:id="rId737" xr:uid="{00000000-0004-0000-0B00-0000E0020000}"/>
    <hyperlink ref="BQ233" r:id="rId738" xr:uid="{00000000-0004-0000-0B00-0000E1020000}"/>
    <hyperlink ref="BQ255" r:id="rId739" xr:uid="{00000000-0004-0000-0B00-0000E2020000}"/>
    <hyperlink ref="BR255" r:id="rId740" xr:uid="{00000000-0004-0000-0B00-0000E3020000}"/>
    <hyperlink ref="BQ283" r:id="rId741" xr:uid="{00000000-0004-0000-0B00-0000E4020000}"/>
    <hyperlink ref="BQ279" r:id="rId742" xr:uid="{00000000-0004-0000-0B00-0000E5020000}"/>
    <hyperlink ref="BQ307" r:id="rId743" xr:uid="{00000000-0004-0000-0B00-0000E6020000}"/>
    <hyperlink ref="BQ276" r:id="rId744" xr:uid="{00000000-0004-0000-0B00-0000E7020000}"/>
    <hyperlink ref="BQ290" r:id="rId745" xr:uid="{00000000-0004-0000-0B00-0000E8020000}"/>
    <hyperlink ref="BQ291" r:id="rId746" xr:uid="{00000000-0004-0000-0B00-0000E9020000}"/>
    <hyperlink ref="BQ280" r:id="rId747" xr:uid="{00000000-0004-0000-0B00-0000EA020000}"/>
    <hyperlink ref="BQ284" r:id="rId748" xr:uid="{00000000-0004-0000-0B00-0000EB020000}"/>
    <hyperlink ref="BQ292" r:id="rId749" xr:uid="{00000000-0004-0000-0B00-0000EC020000}"/>
    <hyperlink ref="BQ293" r:id="rId750" xr:uid="{00000000-0004-0000-0B00-0000ED020000}"/>
    <hyperlink ref="BQ294" r:id="rId751" xr:uid="{00000000-0004-0000-0B00-0000EE020000}"/>
    <hyperlink ref="BQ285" r:id="rId752" xr:uid="{00000000-0004-0000-0B00-0000EF020000}"/>
    <hyperlink ref="BQ303" r:id="rId753" xr:uid="{00000000-0004-0000-0B00-0000F0020000}"/>
    <hyperlink ref="BQ289" r:id="rId754" xr:uid="{00000000-0004-0000-0B00-0000F1020000}"/>
    <hyperlink ref="BQ286" r:id="rId755" xr:uid="{00000000-0004-0000-0B00-0000F2020000}"/>
    <hyperlink ref="BQ275" r:id="rId756" xr:uid="{00000000-0004-0000-0B00-0000F3020000}"/>
    <hyperlink ref="BQ281" r:id="rId757" xr:uid="{00000000-0004-0000-0B00-0000F4020000}"/>
    <hyperlink ref="BQ300" r:id="rId758" xr:uid="{00000000-0004-0000-0B00-0000F5020000}"/>
    <hyperlink ref="BQ287" r:id="rId759" xr:uid="{00000000-0004-0000-0B00-0000F6020000}"/>
    <hyperlink ref="BQ295" r:id="rId760" xr:uid="{00000000-0004-0000-0B00-0000F7020000}"/>
    <hyperlink ref="BQ288" r:id="rId761" xr:uid="{00000000-0004-0000-0B00-0000F8020000}"/>
    <hyperlink ref="BQ278" r:id="rId762" xr:uid="{00000000-0004-0000-0B00-0000F9020000}"/>
    <hyperlink ref="BQ302" r:id="rId763" xr:uid="{00000000-0004-0000-0B00-0000FA020000}"/>
    <hyperlink ref="BQ304" r:id="rId764" xr:uid="{00000000-0004-0000-0B00-0000FB020000}"/>
    <hyperlink ref="BQ299" r:id="rId765" xr:uid="{00000000-0004-0000-0B00-0000FC020000}"/>
    <hyperlink ref="BQ308" r:id="rId766" xr:uid="{00000000-0004-0000-0B00-0000FD020000}"/>
    <hyperlink ref="BQ311" r:id="rId767" xr:uid="{00000000-0004-0000-0B00-0000FE020000}"/>
    <hyperlink ref="BQ305" r:id="rId768" xr:uid="{00000000-0004-0000-0B00-0000FF020000}"/>
    <hyperlink ref="BQ296" r:id="rId769" xr:uid="{00000000-0004-0000-0B00-000000030000}"/>
    <hyperlink ref="BQ297" r:id="rId770" xr:uid="{00000000-0004-0000-0B00-000001030000}"/>
    <hyperlink ref="BQ310" r:id="rId771" xr:uid="{00000000-0004-0000-0B00-000002030000}"/>
    <hyperlink ref="BQ309" r:id="rId772" xr:uid="{00000000-0004-0000-0B00-000003030000}"/>
    <hyperlink ref="BQ306" r:id="rId773" xr:uid="{00000000-0004-0000-0B00-000004030000}"/>
    <hyperlink ref="BQ301" r:id="rId774" xr:uid="{00000000-0004-0000-0B00-000005030000}"/>
    <hyperlink ref="BQ298" r:id="rId775" xr:uid="{00000000-0004-0000-0B00-000006030000}"/>
    <hyperlink ref="BQ312" r:id="rId776" xr:uid="{00000000-0004-0000-0B00-000007030000}"/>
    <hyperlink ref="BQ313" r:id="rId777" xr:uid="{00000000-0004-0000-0B00-000008030000}"/>
    <hyperlink ref="BQ282" r:id="rId778" xr:uid="{00000000-0004-0000-0B00-000009030000}"/>
    <hyperlink ref="C278" r:id="rId779" display="NO.055/LIT06/PPM-LIT/2025" xr:uid="{00000000-0004-0000-0B00-00000A030000}"/>
    <hyperlink ref="C275" r:id="rId780" display="NO.046/LIT06/PPM-LIT/2025" xr:uid="{00000000-0004-0000-0B00-00000B030000}"/>
    <hyperlink ref="C299" r:id="rId781" display="046/LIT06/PPM-LIT/2045" xr:uid="{00000000-0004-0000-0B00-00000C030000}"/>
    <hyperlink ref="C295" r:id="rId782" display="046/LIT06/PPM-LIT/2041" xr:uid="{00000000-0004-0000-0B00-00000D030000}"/>
    <hyperlink ref="C276" r:id="rId783" display="046/LIT06/PPM-LIT/2026" xr:uid="{00000000-0004-0000-0B00-00000E030000}"/>
    <hyperlink ref="C283" r:id="rId784" display="046/LIT06/PPM-LIT/2029" xr:uid="{00000000-0004-0000-0B00-00000F030000}"/>
    <hyperlink ref="C279" r:id="rId785" display="046/LIT06/PPM-LIT/2025" xr:uid="{00000000-0004-0000-0B00-000010030000}"/>
    <hyperlink ref="C280" r:id="rId786" display="046/LIT06/PPM-LIT/2026" xr:uid="{00000000-0004-0000-0B00-000011030000}"/>
    <hyperlink ref="C284" r:id="rId787" display="046/LIT06/PPM-LIT/2030" xr:uid="{00000000-0004-0000-0B00-000012030000}"/>
    <hyperlink ref="C285" r:id="rId788" display="046/LIT06/PPM-LIT/2031" xr:uid="{00000000-0004-0000-0B00-000013030000}"/>
    <hyperlink ref="C289" r:id="rId789" display="046/LIT06/PPM-LIT/2035" xr:uid="{00000000-0004-0000-0B00-000014030000}"/>
    <hyperlink ref="C286" r:id="rId790" display="046/LIT06/PPM-LIT/2032" xr:uid="{00000000-0004-0000-0B00-000015030000}"/>
    <hyperlink ref="C281" r:id="rId791" display="046/LIT06/PPM-LIT/2027" xr:uid="{00000000-0004-0000-0B00-000016030000}"/>
    <hyperlink ref="C288" r:id="rId792" display="046/LIT06/PPM-LIT/2034" xr:uid="{00000000-0004-0000-0B00-000017030000}"/>
    <hyperlink ref="C305" r:id="rId793" display="046/LIT06/PPM-LIT/2051" xr:uid="{00000000-0004-0000-0B00-000018030000}"/>
    <hyperlink ref="C298" r:id="rId794" display="217/LIT06/PPM-LIT/2044" xr:uid="{00000000-0004-0000-0B00-000019030000}"/>
    <hyperlink ref="C293" r:id="rId795" display="046/LIT06/PPM-LIT/2039" xr:uid="{00000000-0004-0000-0B00-00001A030000}"/>
    <hyperlink ref="C294" r:id="rId796" display="046/LIT06/PPM-LIT/2040" xr:uid="{00000000-0004-0000-0B00-00001B030000}"/>
    <hyperlink ref="C300" r:id="rId797" display="046/LIT06/PPM-LIT/2046" xr:uid="{00000000-0004-0000-0B00-00001C030000}"/>
    <hyperlink ref="C302" r:id="rId798" display="046/LIT06/PPM-LIT/2048" xr:uid="{00000000-0004-0000-0B00-00001D030000}"/>
    <hyperlink ref="C304" r:id="rId799" display="046/LIT06/PPM-LIT/2050" xr:uid="{00000000-0004-0000-0B00-00001E030000}"/>
    <hyperlink ref="C308" r:id="rId800" display="046/LIT06/PPM-LIT/2054" xr:uid="{00000000-0004-0000-0B00-00001F030000}"/>
    <hyperlink ref="C296" r:id="rId801" display="046/LIT06/PPM-LIT/2042" xr:uid="{00000000-0004-0000-0B00-000020030000}"/>
    <hyperlink ref="C297" r:id="rId802" display="046/LIT06/PPM-LIT/2043" xr:uid="{00000000-0004-0000-0B00-000021030000}"/>
    <hyperlink ref="C309" r:id="rId803" display="046/LIT06/PPM-LIT/2055" xr:uid="{00000000-0004-0000-0B00-000022030000}"/>
    <hyperlink ref="C310" r:id="rId804" display="046/LIT06/PPM-LIT/2056" xr:uid="{00000000-0004-0000-0B00-000023030000}"/>
    <hyperlink ref="C301" r:id="rId805" display="046/LIT06/PPM-LIT/2047" xr:uid="{00000000-0004-0000-0B00-000024030000}"/>
    <hyperlink ref="C292" r:id="rId806" display="046/LIT06/PPM-LIT/2038" xr:uid="{00000000-0004-0000-0B00-000025030000}"/>
    <hyperlink ref="C287" r:id="rId807" display="046/LIT06/PPM-LIT/2033" xr:uid="{00000000-0004-0000-0B00-000026030000}"/>
    <hyperlink ref="C307" r:id="rId808" display="259/LIT06/PPM-LIT/2050" xr:uid="{00000000-0004-0000-0B00-000027030000}"/>
    <hyperlink ref="C282" r:id="rId809" display="133/LIT06/PPM-LIT/2027" xr:uid="{00000000-0004-0000-0B00-000028030000}"/>
    <hyperlink ref="C306" r:id="rId810" display="172/LIT06/PPM-LIT/2052" xr:uid="{00000000-0004-0000-0B00-000029030000}"/>
    <hyperlink ref="C303" r:id="rId811" display="257/LIT06/PPM-LIT/2049" xr:uid="{00000000-0004-0000-0B00-00002A030000}"/>
  </hyperlinks>
  <pageMargins left="0.7" right="0.7" top="0.75" bottom="0.75" header="0.3" footer="0.3"/>
  <pageSetup paperSize="9" orientation="portrait" r:id="rId812"/>
  <legacyDrawing r:id="rId813"/>
  <tableParts count="1">
    <tablePart r:id="rId81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CW206"/>
  <sheetViews>
    <sheetView topLeftCell="F1" workbookViewId="0">
      <selection activeCell="CS11" sqref="CS11"/>
    </sheetView>
  </sheetViews>
  <sheetFormatPr defaultColWidth="9.109375" defaultRowHeight="14.4"/>
  <cols>
    <col min="1" max="1" width="9.33203125" customWidth="1"/>
    <col min="2" max="2" width="10.88671875" style="34" hidden="1" customWidth="1"/>
    <col min="3" max="3" width="14.6640625" style="320" hidden="1" customWidth="1"/>
    <col min="4" max="4" width="45.6640625" customWidth="1"/>
    <col min="5" max="5" width="21.44140625" customWidth="1"/>
    <col min="6" max="6" width="12.44140625" customWidth="1"/>
    <col min="7" max="7" width="14.88671875" hidden="1" customWidth="1"/>
    <col min="8" max="8" width="13.88671875" hidden="1" customWidth="1"/>
    <col min="9" max="9" width="26.109375" hidden="1" customWidth="1"/>
    <col min="10" max="10" width="17.33203125" style="469" hidden="1" customWidth="1"/>
    <col min="11" max="11" width="21" style="469" hidden="1" customWidth="1"/>
    <col min="12" max="12" width="19.33203125" hidden="1" customWidth="1"/>
    <col min="13" max="13" width="14.88671875" style="5" hidden="1" customWidth="1"/>
    <col min="14" max="14" width="13.109375" hidden="1" customWidth="1"/>
    <col min="15" max="15" width="12.109375" hidden="1" customWidth="1"/>
    <col min="16" max="16" width="11.6640625" hidden="1" customWidth="1"/>
    <col min="17" max="17" width="15.88671875" style="599" bestFit="1" customWidth="1"/>
    <col min="18" max="18" width="8.6640625" hidden="1" customWidth="1"/>
    <col min="19" max="19" width="17.5546875" style="34" hidden="1" customWidth="1"/>
    <col min="20" max="20" width="12.109375" hidden="1" customWidth="1"/>
    <col min="21" max="21" width="14.44140625" hidden="1" customWidth="1"/>
    <col min="22" max="22" width="20" hidden="1" customWidth="1"/>
    <col min="23" max="23" width="13" hidden="1" customWidth="1"/>
    <col min="24" max="24" width="14.5546875" hidden="1" customWidth="1"/>
    <col min="25" max="25" width="11" hidden="1" customWidth="1"/>
    <col min="26" max="26" width="16" hidden="1" customWidth="1"/>
    <col min="27" max="27" width="16.88671875" hidden="1" customWidth="1"/>
    <col min="28" max="28" width="14.44140625" hidden="1" customWidth="1"/>
    <col min="29" max="29" width="25" hidden="1" customWidth="1"/>
    <col min="30" max="30" width="17" hidden="1" customWidth="1"/>
    <col min="31" max="31" width="20" hidden="1" customWidth="1"/>
    <col min="32" max="32" width="12.44140625" hidden="1" customWidth="1"/>
    <col min="33" max="33" width="14.5546875" hidden="1" customWidth="1"/>
    <col min="34" max="34" width="16.88671875" hidden="1" customWidth="1"/>
    <col min="35" max="35" width="14.44140625" hidden="1" customWidth="1"/>
    <col min="36" max="36" width="23.88671875" hidden="1" customWidth="1"/>
    <col min="37" max="37" width="17" hidden="1" customWidth="1"/>
    <col min="38" max="38" width="20" hidden="1" customWidth="1"/>
    <col min="39" max="39" width="15.109375" hidden="1" customWidth="1"/>
    <col min="40" max="40" width="14.5546875" hidden="1" customWidth="1"/>
    <col min="41" max="41" width="19.44140625" hidden="1" customWidth="1"/>
    <col min="42" max="42" width="14.88671875" hidden="1" customWidth="1"/>
    <col min="43" max="43" width="24.6640625" hidden="1" customWidth="1"/>
    <col min="44" max="44" width="23" hidden="1" customWidth="1"/>
    <col min="45" max="45" width="25.109375" hidden="1" customWidth="1"/>
    <col min="46" max="46" width="21.6640625" hidden="1" customWidth="1"/>
    <col min="47" max="47" width="15.33203125" hidden="1" customWidth="1"/>
    <col min="48" max="48" width="12.5546875" hidden="1" customWidth="1"/>
    <col min="49" max="49" width="18" hidden="1" customWidth="1"/>
    <col min="50" max="50" width="22.44140625" hidden="1" customWidth="1"/>
    <col min="51" max="51" width="13.44140625" hidden="1" customWidth="1"/>
    <col min="52" max="52" width="19.44140625" hidden="1" customWidth="1"/>
    <col min="53" max="53" width="12.109375" hidden="1" customWidth="1"/>
    <col min="54" max="54" width="7" hidden="1" customWidth="1"/>
    <col min="55" max="55" width="8.6640625" hidden="1" customWidth="1"/>
    <col min="56" max="56" width="20" hidden="1" customWidth="1"/>
    <col min="57" max="57" width="18.109375" hidden="1" customWidth="1"/>
    <col min="58" max="58" width="18.109375" style="326" hidden="1" customWidth="1"/>
    <col min="59" max="59" width="20.88671875" hidden="1" customWidth="1"/>
    <col min="60" max="60" width="14.44140625" hidden="1" customWidth="1"/>
    <col min="61" max="61" width="15.88671875" hidden="1" customWidth="1"/>
    <col min="62" max="62" width="8.6640625" hidden="1" customWidth="1"/>
    <col min="63" max="63" width="20" hidden="1" customWidth="1"/>
    <col min="64" max="64" width="18.5546875" hidden="1" customWidth="1"/>
    <col min="65" max="65" width="16.6640625" hidden="1" customWidth="1"/>
    <col min="66" max="66" width="20.88671875" hidden="1" customWidth="1"/>
    <col min="67" max="67" width="14.44140625" hidden="1" customWidth="1"/>
    <col min="68" max="68" width="15.88671875" hidden="1" customWidth="1"/>
    <col min="69" max="69" width="5.5546875" hidden="1" customWidth="1"/>
    <col min="70" max="71" width="12.44140625" hidden="1" customWidth="1"/>
    <col min="72" max="72" width="17.6640625" hidden="1" customWidth="1"/>
    <col min="73" max="73" width="13.33203125" hidden="1" customWidth="1"/>
    <col min="74" max="74" width="17.109375" hidden="1" customWidth="1"/>
    <col min="75" max="75" width="13.109375" hidden="1" customWidth="1"/>
    <col min="76" max="76" width="20.33203125" hidden="1" customWidth="1"/>
    <col min="77" max="77" width="12" hidden="1" customWidth="1"/>
    <col min="78" max="78" width="12.5546875" hidden="1" customWidth="1"/>
    <col min="79" max="79" width="15.109375" hidden="1" customWidth="1"/>
    <col min="80" max="80" width="14.44140625" hidden="1" customWidth="1"/>
    <col min="81" max="81" width="19.88671875" hidden="1" customWidth="1"/>
    <col min="82" max="82" width="33.44140625" hidden="1" customWidth="1"/>
    <col min="83" max="83" width="17.109375" hidden="1" customWidth="1"/>
    <col min="84" max="84" width="11.44140625" hidden="1" customWidth="1"/>
    <col min="85" max="85" width="10.44140625" hidden="1" customWidth="1"/>
    <col min="86" max="87" width="11.109375" hidden="1" customWidth="1"/>
    <col min="88" max="88" width="26.6640625" hidden="1" customWidth="1"/>
    <col min="89" max="89" width="14.5546875" hidden="1" customWidth="1"/>
    <col min="90" max="90" width="15.109375" hidden="1" customWidth="1"/>
    <col min="91" max="91" width="12.88671875" hidden="1" customWidth="1"/>
    <col min="92" max="92" width="19" hidden="1" customWidth="1"/>
    <col min="93" max="93" width="23.44140625" hidden="1" customWidth="1"/>
    <col min="97" max="97" width="45.33203125" customWidth="1"/>
    <col min="98" max="98" width="20.44140625" customWidth="1"/>
    <col min="99" max="99" width="14.33203125" customWidth="1"/>
    <col min="100" max="100" width="32" bestFit="1" customWidth="1"/>
    <col min="101" max="101" width="21" bestFit="1" customWidth="1"/>
    <col min="102" max="102" width="20.6640625" bestFit="1" customWidth="1"/>
  </cols>
  <sheetData>
    <row r="1" spans="1:101" ht="36">
      <c r="A1" s="498" t="s">
        <v>149</v>
      </c>
      <c r="B1" s="499" t="s">
        <v>3129</v>
      </c>
      <c r="C1" s="499" t="s">
        <v>3130</v>
      </c>
      <c r="D1" s="500" t="s">
        <v>3131</v>
      </c>
      <c r="E1" s="500" t="s">
        <v>210</v>
      </c>
      <c r="F1" s="500" t="s">
        <v>1</v>
      </c>
      <c r="G1" s="500" t="s">
        <v>218</v>
      </c>
      <c r="H1" s="500" t="s">
        <v>3132</v>
      </c>
      <c r="I1" s="500" t="s">
        <v>3133</v>
      </c>
      <c r="J1" s="501" t="s">
        <v>4913</v>
      </c>
      <c r="K1" s="502" t="s">
        <v>3134</v>
      </c>
      <c r="L1" s="500" t="s">
        <v>3135</v>
      </c>
      <c r="M1" s="500" t="s">
        <v>3136</v>
      </c>
      <c r="N1" s="500" t="s">
        <v>3137</v>
      </c>
      <c r="O1" s="500" t="s">
        <v>0</v>
      </c>
      <c r="P1" s="500" t="s">
        <v>3138</v>
      </c>
      <c r="Q1" s="500" t="s">
        <v>4</v>
      </c>
      <c r="R1" s="503" t="s">
        <v>3139</v>
      </c>
      <c r="S1" s="503" t="s">
        <v>3140</v>
      </c>
      <c r="T1" s="503" t="s">
        <v>3141</v>
      </c>
      <c r="U1" s="504" t="s">
        <v>3142</v>
      </c>
      <c r="V1" s="505" t="s">
        <v>239</v>
      </c>
      <c r="W1" s="505" t="s">
        <v>3157</v>
      </c>
      <c r="X1" s="505" t="s">
        <v>3158</v>
      </c>
      <c r="Y1" s="505" t="s">
        <v>4914</v>
      </c>
      <c r="Z1" s="505" t="s">
        <v>4915</v>
      </c>
      <c r="AA1" s="503" t="s">
        <v>3150</v>
      </c>
      <c r="AB1" s="503" t="s">
        <v>3151</v>
      </c>
      <c r="AC1" s="503" t="s">
        <v>4916</v>
      </c>
      <c r="AD1" s="504" t="s">
        <v>4917</v>
      </c>
      <c r="AE1" s="505" t="s">
        <v>241</v>
      </c>
      <c r="AF1" s="505" t="s">
        <v>3166</v>
      </c>
      <c r="AG1" s="505" t="s">
        <v>3167</v>
      </c>
      <c r="AH1" s="503" t="s">
        <v>3159</v>
      </c>
      <c r="AI1" s="503" t="s">
        <v>3160</v>
      </c>
      <c r="AJ1" s="503" t="s">
        <v>4918</v>
      </c>
      <c r="AK1" s="504" t="s">
        <v>4919</v>
      </c>
      <c r="AL1" s="505" t="s">
        <v>3086</v>
      </c>
      <c r="AM1" s="505" t="s">
        <v>4920</v>
      </c>
      <c r="AN1" s="505" t="s">
        <v>4921</v>
      </c>
      <c r="AO1" s="503" t="s">
        <v>3168</v>
      </c>
      <c r="AP1" s="503" t="s">
        <v>3169</v>
      </c>
      <c r="AQ1" s="503" t="s">
        <v>4922</v>
      </c>
      <c r="AR1" s="504" t="s">
        <v>4923</v>
      </c>
      <c r="AS1" s="505" t="s">
        <v>3088</v>
      </c>
      <c r="AT1" s="505" t="s">
        <v>4924</v>
      </c>
      <c r="AU1" s="505" t="s">
        <v>4925</v>
      </c>
      <c r="AV1" s="503" t="s">
        <v>3176</v>
      </c>
      <c r="AW1" s="503" t="s">
        <v>3177</v>
      </c>
      <c r="AX1" s="503" t="s">
        <v>3178</v>
      </c>
      <c r="AY1" s="504" t="s">
        <v>4926</v>
      </c>
      <c r="AZ1" s="505" t="s">
        <v>3083</v>
      </c>
      <c r="BA1" s="505" t="s">
        <v>4927</v>
      </c>
      <c r="BB1" s="505" t="s">
        <v>4928</v>
      </c>
      <c r="BC1" s="503" t="s">
        <v>3184</v>
      </c>
      <c r="BD1" s="503" t="s">
        <v>3185</v>
      </c>
      <c r="BE1" s="503" t="s">
        <v>3186</v>
      </c>
      <c r="BF1" s="504" t="s">
        <v>4929</v>
      </c>
      <c r="BG1" s="505" t="s">
        <v>256</v>
      </c>
      <c r="BH1" s="505" t="s">
        <v>4930</v>
      </c>
      <c r="BI1" s="505" t="s">
        <v>4931</v>
      </c>
      <c r="BJ1" s="503" t="s">
        <v>4932</v>
      </c>
      <c r="BK1" s="503" t="s">
        <v>4933</v>
      </c>
      <c r="BL1" s="503" t="s">
        <v>4934</v>
      </c>
      <c r="BM1" s="504" t="s">
        <v>4935</v>
      </c>
      <c r="BN1" s="505" t="s">
        <v>4936</v>
      </c>
      <c r="BO1" s="505" t="s">
        <v>4937</v>
      </c>
      <c r="BP1" s="505" t="s">
        <v>4938</v>
      </c>
      <c r="BQ1" s="541" t="s">
        <v>211</v>
      </c>
      <c r="BR1" s="506" t="s">
        <v>3190</v>
      </c>
      <c r="BS1" s="506" t="s">
        <v>3191</v>
      </c>
      <c r="BT1" s="507" t="s">
        <v>4939</v>
      </c>
      <c r="BU1" s="507" t="s">
        <v>3193</v>
      </c>
      <c r="BV1" s="507" t="s">
        <v>3194</v>
      </c>
      <c r="BW1" s="507" t="s">
        <v>3195</v>
      </c>
      <c r="BX1" s="507" t="s">
        <v>3196</v>
      </c>
      <c r="BY1" s="507" t="s">
        <v>3197</v>
      </c>
      <c r="BZ1" s="507" t="s">
        <v>3198</v>
      </c>
      <c r="CA1" s="507" t="s">
        <v>3199</v>
      </c>
      <c r="CB1" s="507" t="s">
        <v>3200</v>
      </c>
      <c r="CC1" s="507" t="s">
        <v>3201</v>
      </c>
      <c r="CD1" s="507" t="s">
        <v>3202</v>
      </c>
      <c r="CE1" s="507" t="s">
        <v>3203</v>
      </c>
      <c r="CF1" s="507" t="s">
        <v>3204</v>
      </c>
      <c r="CG1" s="507" t="s">
        <v>3205</v>
      </c>
      <c r="CH1" s="507" t="s">
        <v>4940</v>
      </c>
      <c r="CI1" s="507" t="s">
        <v>4941</v>
      </c>
      <c r="CJ1" s="508" t="s">
        <v>4942</v>
      </c>
      <c r="CK1" s="509" t="s">
        <v>4943</v>
      </c>
      <c r="CL1" s="510" t="s">
        <v>4944</v>
      </c>
      <c r="CM1" s="511" t="s">
        <v>4945</v>
      </c>
      <c r="CN1" s="512" t="s">
        <v>3207</v>
      </c>
      <c r="CO1" s="511" t="s">
        <v>3208</v>
      </c>
      <c r="CP1" s="1"/>
      <c r="CQ1" s="1"/>
      <c r="CR1" s="770" t="s">
        <v>149</v>
      </c>
      <c r="CS1" s="770" t="s">
        <v>4946</v>
      </c>
      <c r="CT1" s="770" t="s">
        <v>4947</v>
      </c>
    </row>
    <row r="2" spans="1:101" ht="28.8">
      <c r="A2" s="129">
        <v>1</v>
      </c>
      <c r="B2" s="15" t="s">
        <v>4948</v>
      </c>
      <c r="C2" s="17" t="s">
        <v>942</v>
      </c>
      <c r="D2" s="14" t="s">
        <v>4949</v>
      </c>
      <c r="E2" s="13" t="s">
        <v>4950</v>
      </c>
      <c r="F2" s="13">
        <v>2020</v>
      </c>
      <c r="G2" s="13"/>
      <c r="H2" s="13"/>
      <c r="I2" s="15"/>
      <c r="J2" s="362"/>
      <c r="K2" s="453">
        <v>6500000</v>
      </c>
      <c r="L2" s="15"/>
      <c r="M2" s="13"/>
      <c r="N2" s="23"/>
      <c r="O2" s="14" t="s">
        <v>3223</v>
      </c>
      <c r="P2" s="13"/>
      <c r="Q2" s="15" t="s">
        <v>4951</v>
      </c>
      <c r="R2" s="13">
        <v>6680685</v>
      </c>
      <c r="S2" s="23" t="s">
        <v>21</v>
      </c>
      <c r="T2" s="16" t="s">
        <v>944</v>
      </c>
      <c r="U2" s="186">
        <f>K2/3</f>
        <v>2166666.6666666665</v>
      </c>
      <c r="V2" s="15" t="s">
        <v>155</v>
      </c>
      <c r="W2" s="15" t="s">
        <v>3224</v>
      </c>
      <c r="X2" s="15" t="s">
        <v>3216</v>
      </c>
      <c r="Y2" s="8">
        <v>8140</v>
      </c>
      <c r="Z2" s="187" t="s">
        <v>3291</v>
      </c>
      <c r="AA2" s="8">
        <v>6680708</v>
      </c>
      <c r="AB2" s="10" t="s">
        <v>2436</v>
      </c>
      <c r="AC2" s="6" t="s">
        <v>4952</v>
      </c>
      <c r="AD2" s="188">
        <f>U2</f>
        <v>2166666.6666666665</v>
      </c>
      <c r="AE2" s="15" t="s">
        <v>155</v>
      </c>
      <c r="AF2" s="15" t="s">
        <v>3224</v>
      </c>
      <c r="AG2" s="15" t="s">
        <v>3216</v>
      </c>
      <c r="AH2" s="13">
        <v>6680612</v>
      </c>
      <c r="AI2" s="16" t="s">
        <v>960</v>
      </c>
      <c r="AJ2" s="6" t="s">
        <v>19</v>
      </c>
      <c r="AK2" s="188">
        <f>U2</f>
        <v>2166666.6666666665</v>
      </c>
      <c r="AL2" s="15" t="s">
        <v>155</v>
      </c>
      <c r="AM2" s="15" t="s">
        <v>3224</v>
      </c>
      <c r="AN2" s="15" t="s">
        <v>3216</v>
      </c>
      <c r="AO2" s="19"/>
      <c r="AP2" s="19"/>
      <c r="AQ2" s="15"/>
      <c r="AR2" s="189"/>
      <c r="AS2" s="19"/>
      <c r="AT2" s="19"/>
      <c r="AU2" s="19"/>
      <c r="AV2" s="19"/>
      <c r="AW2" s="19"/>
      <c r="AX2" s="19"/>
      <c r="AY2" s="189"/>
      <c r="AZ2" s="19"/>
      <c r="BA2" s="19"/>
      <c r="BB2" s="19"/>
      <c r="BC2" s="19"/>
      <c r="BD2" s="19"/>
      <c r="BE2" s="19"/>
      <c r="BF2" s="189"/>
      <c r="BG2" s="19"/>
      <c r="BH2" s="19"/>
      <c r="BI2" s="19"/>
      <c r="BJ2" s="19"/>
      <c r="BK2" s="19"/>
      <c r="BL2" s="19"/>
      <c r="BM2" s="189"/>
      <c r="BN2" s="19"/>
      <c r="BO2" s="19"/>
      <c r="BP2" s="19"/>
      <c r="BQ2" s="19"/>
      <c r="BR2" s="141" t="s">
        <v>3190</v>
      </c>
      <c r="BS2" s="141" t="s">
        <v>3191</v>
      </c>
      <c r="BT2" s="15"/>
      <c r="BU2" s="14"/>
      <c r="BV2" s="15"/>
      <c r="BW2" s="14"/>
      <c r="BX2" s="15"/>
      <c r="BY2" s="14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295"/>
      <c r="CM2" s="296"/>
      <c r="CN2" s="19"/>
      <c r="CO2" s="19"/>
      <c r="CR2" s="3">
        <v>1</v>
      </c>
      <c r="CS2" s="108" t="s">
        <v>4953</v>
      </c>
      <c r="CT2" s="5">
        <f>CW4+CW9</f>
        <v>4</v>
      </c>
    </row>
    <row r="3" spans="1:101" ht="28.8">
      <c r="A3" s="129">
        <v>2</v>
      </c>
      <c r="B3" s="15" t="s">
        <v>4948</v>
      </c>
      <c r="C3" s="17" t="s">
        <v>942</v>
      </c>
      <c r="D3" s="14" t="s">
        <v>4954</v>
      </c>
      <c r="E3" s="13" t="s">
        <v>4950</v>
      </c>
      <c r="F3" s="13">
        <v>2020</v>
      </c>
      <c r="G3" s="13"/>
      <c r="H3" s="13"/>
      <c r="I3" s="15"/>
      <c r="J3" s="362"/>
      <c r="K3" s="453">
        <v>6500000</v>
      </c>
      <c r="L3" s="15"/>
      <c r="M3" s="13" t="s">
        <v>942</v>
      </c>
      <c r="N3" s="23"/>
      <c r="O3" s="14" t="s">
        <v>3223</v>
      </c>
      <c r="P3" s="13"/>
      <c r="Q3" s="15" t="s">
        <v>4951</v>
      </c>
      <c r="R3" s="13">
        <v>6680683</v>
      </c>
      <c r="S3" s="23" t="s">
        <v>10</v>
      </c>
      <c r="T3" s="16" t="s">
        <v>2454</v>
      </c>
      <c r="U3" s="186">
        <f>K3/3</f>
        <v>2166666.6666666665</v>
      </c>
      <c r="V3" s="15" t="s">
        <v>166</v>
      </c>
      <c r="W3" s="15" t="s">
        <v>3217</v>
      </c>
      <c r="X3" s="15" t="s">
        <v>3216</v>
      </c>
      <c r="Y3" s="8">
        <v>8140</v>
      </c>
      <c r="Z3" s="187" t="s">
        <v>3291</v>
      </c>
      <c r="AA3" s="8">
        <v>6680678</v>
      </c>
      <c r="AB3" s="10" t="s">
        <v>1725</v>
      </c>
      <c r="AC3" s="6" t="s">
        <v>14</v>
      </c>
      <c r="AD3" s="188">
        <f>U3</f>
        <v>2166666.6666666665</v>
      </c>
      <c r="AE3" s="15" t="s">
        <v>151</v>
      </c>
      <c r="AF3" s="15" t="s">
        <v>3224</v>
      </c>
      <c r="AG3" s="15" t="s">
        <v>3216</v>
      </c>
      <c r="AH3" s="8">
        <v>6680633</v>
      </c>
      <c r="AI3" s="190" t="s">
        <v>3322</v>
      </c>
      <c r="AJ3" s="6" t="s">
        <v>18</v>
      </c>
      <c r="AK3" s="188">
        <f>U3</f>
        <v>2166666.6666666665</v>
      </c>
      <c r="AL3" s="15" t="s">
        <v>156</v>
      </c>
      <c r="AM3" s="15" t="s">
        <v>3217</v>
      </c>
      <c r="AN3" s="15" t="s">
        <v>3216</v>
      </c>
      <c r="AO3" s="19"/>
      <c r="AP3" s="19"/>
      <c r="AQ3" s="15"/>
      <c r="AR3" s="189"/>
      <c r="AS3" s="19"/>
      <c r="AT3" s="19"/>
      <c r="AU3" s="19"/>
      <c r="AV3" s="19"/>
      <c r="AW3" s="19"/>
      <c r="AX3" s="19"/>
      <c r="AY3" s="189"/>
      <c r="AZ3" s="19"/>
      <c r="BA3" s="19"/>
      <c r="BB3" s="19"/>
      <c r="BC3" s="19"/>
      <c r="BD3" s="19"/>
      <c r="BE3" s="19"/>
      <c r="BF3" s="189"/>
      <c r="BG3" s="19"/>
      <c r="BH3" s="19"/>
      <c r="BI3" s="19"/>
      <c r="BJ3" s="19"/>
      <c r="BK3" s="19"/>
      <c r="BL3" s="19"/>
      <c r="BM3" s="189"/>
      <c r="BN3" s="19"/>
      <c r="BO3" s="19"/>
      <c r="BP3" s="19"/>
      <c r="BQ3" s="19"/>
      <c r="BR3" s="141" t="s">
        <v>3190</v>
      </c>
      <c r="BS3" s="141" t="s">
        <v>3191</v>
      </c>
      <c r="BT3" s="15"/>
      <c r="BU3" s="14"/>
      <c r="BV3" s="15"/>
      <c r="BW3" s="14"/>
      <c r="BX3" s="15"/>
      <c r="BY3" s="14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295"/>
      <c r="CM3" s="296"/>
      <c r="CN3" s="19"/>
      <c r="CO3" s="19"/>
      <c r="CR3" s="3">
        <v>2</v>
      </c>
      <c r="CS3" s="114" t="s">
        <v>4955</v>
      </c>
      <c r="CT3" s="5">
        <f>CW6+CW7+CW8</f>
        <v>17</v>
      </c>
      <c r="CV3" s="49" t="s">
        <v>4</v>
      </c>
      <c r="CW3" t="s">
        <v>4956</v>
      </c>
    </row>
    <row r="4" spans="1:101" ht="28.8">
      <c r="A4" s="129">
        <v>3</v>
      </c>
      <c r="B4" s="17"/>
      <c r="C4" s="17" t="s">
        <v>942</v>
      </c>
      <c r="D4" s="184" t="s">
        <v>4957</v>
      </c>
      <c r="E4" s="13" t="s">
        <v>4958</v>
      </c>
      <c r="F4" s="13">
        <v>2020</v>
      </c>
      <c r="G4" s="13">
        <v>2020</v>
      </c>
      <c r="H4" s="13">
        <v>4</v>
      </c>
      <c r="I4" s="15" t="s">
        <v>4959</v>
      </c>
      <c r="J4" s="362"/>
      <c r="K4" s="453">
        <v>4475000</v>
      </c>
      <c r="L4" s="15"/>
      <c r="M4" s="13" t="s">
        <v>942</v>
      </c>
      <c r="N4" s="23"/>
      <c r="O4" s="14" t="s">
        <v>3223</v>
      </c>
      <c r="P4" s="13"/>
      <c r="Q4" s="15" t="s">
        <v>4951</v>
      </c>
      <c r="R4" s="13">
        <v>6681032</v>
      </c>
      <c r="S4" s="23" t="s">
        <v>76</v>
      </c>
      <c r="T4" s="13">
        <v>715039004</v>
      </c>
      <c r="U4" s="186">
        <f>K4/2</f>
        <v>2237500</v>
      </c>
      <c r="V4" s="15" t="s">
        <v>166</v>
      </c>
      <c r="W4" s="15" t="s">
        <v>3217</v>
      </c>
      <c r="X4" s="15" t="s">
        <v>3216</v>
      </c>
      <c r="Y4" s="8">
        <v>8140</v>
      </c>
      <c r="Z4" s="187" t="s">
        <v>3291</v>
      </c>
      <c r="AA4" s="8">
        <v>6680625</v>
      </c>
      <c r="AB4" s="10" t="s">
        <v>1782</v>
      </c>
      <c r="AC4" s="6" t="s">
        <v>23</v>
      </c>
      <c r="AD4" s="188">
        <f>K4/2</f>
        <v>2237500</v>
      </c>
      <c r="AE4" s="15" t="s">
        <v>154</v>
      </c>
      <c r="AF4" s="15" t="s">
        <v>3224</v>
      </c>
      <c r="AG4" s="15" t="s">
        <v>3216</v>
      </c>
      <c r="AH4" s="8"/>
      <c r="AI4" s="191"/>
      <c r="AJ4" s="6"/>
      <c r="AK4" s="188"/>
      <c r="AL4" s="15"/>
      <c r="AM4" s="15"/>
      <c r="AN4" s="19"/>
      <c r="AO4" s="19"/>
      <c r="AP4" s="19"/>
      <c r="AQ4" s="15"/>
      <c r="AR4" s="189"/>
      <c r="AS4" s="19"/>
      <c r="AT4" s="19"/>
      <c r="AU4" s="19"/>
      <c r="AV4" s="19"/>
      <c r="AW4" s="19"/>
      <c r="AX4" s="19"/>
      <c r="AY4" s="189"/>
      <c r="AZ4" s="19"/>
      <c r="BA4" s="19"/>
      <c r="BB4" s="19"/>
      <c r="BC4" s="19"/>
      <c r="BD4" s="19"/>
      <c r="BE4" s="19"/>
      <c r="BF4" s="189"/>
      <c r="BG4" s="19"/>
      <c r="BH4" s="19"/>
      <c r="BI4" s="19"/>
      <c r="BJ4" s="19"/>
      <c r="BK4" s="19"/>
      <c r="BL4" s="19"/>
      <c r="BM4" s="189"/>
      <c r="BN4" s="19"/>
      <c r="BO4" s="19"/>
      <c r="BP4" s="19"/>
      <c r="BQ4" s="19"/>
      <c r="BR4" s="141" t="s">
        <v>3190</v>
      </c>
      <c r="BS4" s="141" t="s">
        <v>3191</v>
      </c>
      <c r="BT4" s="15"/>
      <c r="BU4" s="14"/>
      <c r="BV4" s="15"/>
      <c r="BW4" s="14"/>
      <c r="BX4" s="15"/>
      <c r="BY4" s="14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295"/>
      <c r="CM4" s="296"/>
      <c r="CN4" s="19"/>
      <c r="CO4" s="19"/>
      <c r="CR4" s="3">
        <v>3</v>
      </c>
      <c r="CS4" s="108" t="s">
        <v>4960</v>
      </c>
      <c r="CT4" s="5">
        <v>0</v>
      </c>
      <c r="CV4" t="s">
        <v>4961</v>
      </c>
      <c r="CW4">
        <v>3</v>
      </c>
    </row>
    <row r="5" spans="1:101" ht="36">
      <c r="A5" s="129">
        <v>5</v>
      </c>
      <c r="B5" s="17"/>
      <c r="C5" s="17" t="s">
        <v>942</v>
      </c>
      <c r="D5" s="184" t="s">
        <v>4962</v>
      </c>
      <c r="E5" s="13" t="s">
        <v>4958</v>
      </c>
      <c r="F5" s="13">
        <v>2020</v>
      </c>
      <c r="G5" s="13">
        <v>2020</v>
      </c>
      <c r="H5" s="13"/>
      <c r="I5" s="15"/>
      <c r="J5" s="362"/>
      <c r="K5" s="453">
        <v>4000000</v>
      </c>
      <c r="L5" s="15"/>
      <c r="M5" s="13" t="s">
        <v>942</v>
      </c>
      <c r="N5" s="23"/>
      <c r="O5" s="14" t="s">
        <v>3223</v>
      </c>
      <c r="P5" s="13"/>
      <c r="Q5" s="15" t="s">
        <v>4951</v>
      </c>
      <c r="R5" s="13">
        <v>6681032</v>
      </c>
      <c r="S5" s="23" t="s">
        <v>76</v>
      </c>
      <c r="T5" s="13">
        <v>715039004</v>
      </c>
      <c r="U5" s="186">
        <f>K5/5</f>
        <v>800000</v>
      </c>
      <c r="V5" s="15" t="s">
        <v>166</v>
      </c>
      <c r="W5" s="15" t="s">
        <v>3217</v>
      </c>
      <c r="X5" s="15" t="s">
        <v>3216</v>
      </c>
      <c r="Y5" s="8">
        <v>8140</v>
      </c>
      <c r="Z5" s="187" t="s">
        <v>3291</v>
      </c>
      <c r="AA5" s="8">
        <v>259781</v>
      </c>
      <c r="AB5" s="10" t="s">
        <v>982</v>
      </c>
      <c r="AC5" s="6" t="s">
        <v>26</v>
      </c>
      <c r="AD5" s="188">
        <f>U5</f>
        <v>800000</v>
      </c>
      <c r="AE5" s="15" t="s">
        <v>3093</v>
      </c>
      <c r="AF5" s="15" t="s">
        <v>3217</v>
      </c>
      <c r="AG5" s="15" t="s">
        <v>3216</v>
      </c>
      <c r="AH5" s="8">
        <v>6680634</v>
      </c>
      <c r="AI5" s="10" t="s">
        <v>989</v>
      </c>
      <c r="AJ5" s="6" t="s">
        <v>47</v>
      </c>
      <c r="AK5" s="188">
        <f>U5</f>
        <v>800000</v>
      </c>
      <c r="AL5" s="15" t="s">
        <v>166</v>
      </c>
      <c r="AM5" s="15" t="s">
        <v>3217</v>
      </c>
      <c r="AN5" s="15" t="s">
        <v>3216</v>
      </c>
      <c r="AO5" s="8">
        <v>6680643</v>
      </c>
      <c r="AP5" s="10" t="s">
        <v>1017</v>
      </c>
      <c r="AQ5" s="15" t="s">
        <v>8</v>
      </c>
      <c r="AR5" s="58">
        <f>U5</f>
        <v>800000</v>
      </c>
      <c r="AS5" s="19" t="s">
        <v>172</v>
      </c>
      <c r="AT5" s="19" t="s">
        <v>3224</v>
      </c>
      <c r="AU5" s="15" t="s">
        <v>3216</v>
      </c>
      <c r="AV5" s="19">
        <v>6724784</v>
      </c>
      <c r="AW5" s="19">
        <v>722119101</v>
      </c>
      <c r="AX5" s="19" t="s">
        <v>4516</v>
      </c>
      <c r="AY5" s="58">
        <f>U5</f>
        <v>800000</v>
      </c>
      <c r="AZ5" s="19" t="s">
        <v>154</v>
      </c>
      <c r="BA5" s="19" t="s">
        <v>3224</v>
      </c>
      <c r="BB5" s="15" t="s">
        <v>3216</v>
      </c>
      <c r="BC5" s="19"/>
      <c r="BD5" s="19"/>
      <c r="BE5" s="19"/>
      <c r="BF5" s="189"/>
      <c r="BG5" s="19"/>
      <c r="BH5" s="19"/>
      <c r="BI5" s="19"/>
      <c r="BJ5" s="19"/>
      <c r="BK5" s="19"/>
      <c r="BL5" s="19"/>
      <c r="BM5" s="58"/>
      <c r="BN5" s="19"/>
      <c r="BO5" s="19"/>
      <c r="BP5" s="19"/>
      <c r="BQ5" s="19"/>
      <c r="BR5" s="141" t="s">
        <v>3190</v>
      </c>
      <c r="BS5" s="141" t="s">
        <v>3191</v>
      </c>
      <c r="BT5" s="15"/>
      <c r="BU5" s="14"/>
      <c r="BV5" s="15"/>
      <c r="BW5" s="14"/>
      <c r="BX5" s="15"/>
      <c r="BY5" s="14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295"/>
      <c r="CM5" s="296"/>
      <c r="CN5" s="19"/>
      <c r="CO5" s="19"/>
      <c r="CR5" s="3">
        <v>4</v>
      </c>
      <c r="CS5" s="108" t="s">
        <v>4963</v>
      </c>
      <c r="CT5" s="5">
        <f>6+30+37+44+42+28</f>
        <v>187</v>
      </c>
      <c r="CV5" t="s">
        <v>4951</v>
      </c>
      <c r="CW5">
        <v>138</v>
      </c>
    </row>
    <row r="6" spans="1:101" ht="36">
      <c r="A6" s="129">
        <v>6</v>
      </c>
      <c r="B6" s="17"/>
      <c r="C6" s="17" t="s">
        <v>942</v>
      </c>
      <c r="D6" s="184" t="s">
        <v>4964</v>
      </c>
      <c r="E6" s="13" t="s">
        <v>4958</v>
      </c>
      <c r="F6" s="13">
        <v>2020</v>
      </c>
      <c r="G6" s="13">
        <v>2020</v>
      </c>
      <c r="H6" s="13">
        <v>1</v>
      </c>
      <c r="I6" s="15"/>
      <c r="J6" s="362"/>
      <c r="K6" s="453">
        <v>6400000</v>
      </c>
      <c r="L6" s="15"/>
      <c r="M6" s="13" t="s">
        <v>942</v>
      </c>
      <c r="N6" s="23"/>
      <c r="O6" s="14" t="s">
        <v>3223</v>
      </c>
      <c r="P6" s="13"/>
      <c r="Q6" s="15" t="s">
        <v>4951</v>
      </c>
      <c r="R6" s="13">
        <v>6680648</v>
      </c>
      <c r="S6" s="23" t="s">
        <v>17</v>
      </c>
      <c r="T6" s="16" t="s">
        <v>1036</v>
      </c>
      <c r="U6" s="186">
        <f>K6/5</f>
        <v>1280000</v>
      </c>
      <c r="V6" s="15" t="s">
        <v>166</v>
      </c>
      <c r="W6" s="15" t="s">
        <v>3217</v>
      </c>
      <c r="X6" s="15" t="s">
        <v>3216</v>
      </c>
      <c r="Y6" s="8">
        <v>8140</v>
      </c>
      <c r="Z6" s="187" t="s">
        <v>3291</v>
      </c>
      <c r="AA6" s="8">
        <v>6665306</v>
      </c>
      <c r="AB6" s="10" t="s">
        <v>1727</v>
      </c>
      <c r="AC6" s="6" t="s">
        <v>28</v>
      </c>
      <c r="AD6" s="188">
        <f>U6</f>
        <v>1280000</v>
      </c>
      <c r="AE6" s="15" t="s">
        <v>166</v>
      </c>
      <c r="AF6" s="15" t="s">
        <v>3217</v>
      </c>
      <c r="AG6" s="15" t="s">
        <v>3216</v>
      </c>
      <c r="AH6" s="13">
        <v>6764236</v>
      </c>
      <c r="AI6" s="16" t="s">
        <v>1684</v>
      </c>
      <c r="AJ6" s="6" t="s">
        <v>25</v>
      </c>
      <c r="AK6" s="188">
        <f>U6</f>
        <v>1280000</v>
      </c>
      <c r="AL6" s="15" t="s">
        <v>166</v>
      </c>
      <c r="AM6" s="15" t="s">
        <v>3217</v>
      </c>
      <c r="AN6" s="15" t="s">
        <v>3216</v>
      </c>
      <c r="AO6" s="19">
        <v>6680627</v>
      </c>
      <c r="AP6" s="192" t="s">
        <v>1912</v>
      </c>
      <c r="AQ6" s="15" t="s">
        <v>88</v>
      </c>
      <c r="AR6" s="58">
        <f>U6</f>
        <v>1280000</v>
      </c>
      <c r="AS6" s="19" t="s">
        <v>160</v>
      </c>
      <c r="AT6" s="19" t="s">
        <v>3224</v>
      </c>
      <c r="AU6" s="15" t="s">
        <v>3216</v>
      </c>
      <c r="AV6" s="8">
        <v>6658545</v>
      </c>
      <c r="AW6" s="10" t="s">
        <v>984</v>
      </c>
      <c r="AX6" s="19" t="s">
        <v>40</v>
      </c>
      <c r="AY6" s="58">
        <f>U6</f>
        <v>1280000</v>
      </c>
      <c r="AZ6" s="19" t="s">
        <v>160</v>
      </c>
      <c r="BA6" s="19" t="s">
        <v>3224</v>
      </c>
      <c r="BB6" s="15" t="s">
        <v>3216</v>
      </c>
      <c r="BC6" s="19"/>
      <c r="BD6" s="19"/>
      <c r="BE6" s="19"/>
      <c r="BF6" s="189"/>
      <c r="BG6" s="19"/>
      <c r="BH6" s="19"/>
      <c r="BI6" s="19"/>
      <c r="BJ6" s="19"/>
      <c r="BK6" s="19"/>
      <c r="BL6" s="19"/>
      <c r="BM6" s="58"/>
      <c r="BN6" s="19"/>
      <c r="BO6" s="19"/>
      <c r="BP6" s="19"/>
      <c r="BQ6" s="19"/>
      <c r="BR6" s="141" t="s">
        <v>3190</v>
      </c>
      <c r="BS6" s="141" t="s">
        <v>3191</v>
      </c>
      <c r="BT6" s="15" t="s">
        <v>3094</v>
      </c>
      <c r="BU6" s="14"/>
      <c r="BV6" s="15" t="s">
        <v>4965</v>
      </c>
      <c r="BW6" s="14"/>
      <c r="BX6" s="15" t="s">
        <v>1377</v>
      </c>
      <c r="BY6" s="14"/>
      <c r="BZ6" s="19" t="s">
        <v>4966</v>
      </c>
      <c r="CA6" s="19"/>
      <c r="CB6" s="19"/>
      <c r="CC6" s="19"/>
      <c r="CD6" s="19"/>
      <c r="CE6" s="19"/>
      <c r="CF6" s="19"/>
      <c r="CG6" s="19"/>
      <c r="CH6" s="19"/>
      <c r="CI6" s="19"/>
      <c r="CJ6" s="19" t="s">
        <v>3251</v>
      </c>
      <c r="CK6" s="19" t="s">
        <v>4967</v>
      </c>
      <c r="CL6" s="295"/>
      <c r="CM6" s="296" t="s">
        <v>4968</v>
      </c>
      <c r="CN6" s="19"/>
      <c r="CO6" s="19"/>
      <c r="CR6" s="3">
        <v>5</v>
      </c>
      <c r="CS6" s="108" t="s">
        <v>4969</v>
      </c>
      <c r="CT6" s="769" t="e">
        <f>#REF!</f>
        <v>#REF!</v>
      </c>
      <c r="CV6" t="s">
        <v>4970</v>
      </c>
      <c r="CW6">
        <v>9</v>
      </c>
    </row>
    <row r="7" spans="1:101" ht="28.8">
      <c r="A7" s="43"/>
      <c r="B7" s="39"/>
      <c r="C7" s="50"/>
      <c r="D7" s="38"/>
      <c r="E7" s="37"/>
      <c r="F7" s="37"/>
      <c r="G7" s="37"/>
      <c r="H7" s="37"/>
      <c r="I7" s="39"/>
      <c r="J7" s="478"/>
      <c r="K7" s="454"/>
      <c r="L7" s="39"/>
      <c r="M7" s="37"/>
      <c r="N7" s="50"/>
      <c r="O7" s="38"/>
      <c r="P7" s="37"/>
      <c r="Q7" s="37"/>
      <c r="R7" s="37"/>
      <c r="S7" s="50"/>
      <c r="T7" s="37"/>
      <c r="U7" s="195"/>
      <c r="V7" s="39"/>
      <c r="W7" s="39"/>
      <c r="X7" s="39"/>
      <c r="Y7" s="196"/>
      <c r="Z7" s="197"/>
      <c r="AA7" s="196"/>
      <c r="AB7" s="198"/>
      <c r="AC7" s="199"/>
      <c r="AD7" s="194"/>
      <c r="AE7" s="39"/>
      <c r="AF7" s="39"/>
      <c r="AG7" s="39"/>
      <c r="AH7" s="196"/>
      <c r="AI7" s="198"/>
      <c r="AJ7" s="199"/>
      <c r="AK7" s="194"/>
      <c r="AL7" s="39"/>
      <c r="AM7" s="39"/>
      <c r="AN7" s="193"/>
      <c r="AO7" s="193"/>
      <c r="AP7" s="193"/>
      <c r="AQ7" s="39"/>
      <c r="AR7" s="193"/>
      <c r="AS7" s="193"/>
      <c r="AT7" s="193"/>
      <c r="AU7" s="193"/>
      <c r="AV7" s="193"/>
      <c r="AW7" s="193"/>
      <c r="AX7" s="193"/>
      <c r="AY7" s="193"/>
      <c r="AZ7" s="193"/>
      <c r="BA7" s="193"/>
      <c r="BB7" s="193"/>
      <c r="BC7" s="193"/>
      <c r="BD7" s="193"/>
      <c r="BE7" s="193"/>
      <c r="BF7" s="189"/>
      <c r="BG7" s="193"/>
      <c r="BH7" s="193"/>
      <c r="BI7" s="193"/>
      <c r="BJ7" s="193"/>
      <c r="BK7" s="193"/>
      <c r="BL7" s="193"/>
      <c r="BM7" s="193"/>
      <c r="BN7" s="193"/>
      <c r="BO7" s="193"/>
      <c r="BP7" s="193"/>
      <c r="BQ7" s="193"/>
      <c r="BR7" s="37"/>
      <c r="BS7" s="37"/>
      <c r="BT7" s="39"/>
      <c r="BU7" s="38"/>
      <c r="BV7" s="39"/>
      <c r="BW7" s="38"/>
      <c r="BX7" s="39"/>
      <c r="BY7" s="38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200"/>
      <c r="CM7" s="201"/>
      <c r="CN7" s="40"/>
      <c r="CO7" s="40"/>
      <c r="CR7" s="3">
        <v>6</v>
      </c>
      <c r="CS7" s="108" t="s">
        <v>4971</v>
      </c>
      <c r="CT7" s="5">
        <v>0</v>
      </c>
      <c r="CV7" t="s">
        <v>4972</v>
      </c>
      <c r="CW7">
        <v>1</v>
      </c>
    </row>
    <row r="8" spans="1:101" ht="36">
      <c r="A8" s="129">
        <v>1</v>
      </c>
      <c r="B8" s="322" t="s">
        <v>4973</v>
      </c>
      <c r="C8" s="328" t="s">
        <v>4974</v>
      </c>
      <c r="D8" s="14" t="s">
        <v>4975</v>
      </c>
      <c r="E8" s="13" t="s">
        <v>4976</v>
      </c>
      <c r="F8" s="13">
        <v>2021</v>
      </c>
      <c r="G8" s="13">
        <v>2021</v>
      </c>
      <c r="H8" s="13">
        <v>6</v>
      </c>
      <c r="I8" s="15" t="s">
        <v>4977</v>
      </c>
      <c r="J8" s="362">
        <f t="shared" ref="J8:J27" si="0">K8</f>
        <v>7000000</v>
      </c>
      <c r="K8" s="453">
        <v>7000000</v>
      </c>
      <c r="L8" s="15" t="s">
        <v>3216</v>
      </c>
      <c r="M8" s="13">
        <v>7</v>
      </c>
      <c r="N8" s="15" t="s">
        <v>4978</v>
      </c>
      <c r="O8" s="14" t="s">
        <v>3223</v>
      </c>
      <c r="P8" s="13" t="s">
        <v>3215</v>
      </c>
      <c r="Q8" s="15" t="s">
        <v>4951</v>
      </c>
      <c r="R8" s="13">
        <v>6680698</v>
      </c>
      <c r="S8" s="23" t="s">
        <v>165</v>
      </c>
      <c r="T8" s="16" t="s">
        <v>1002</v>
      </c>
      <c r="U8" s="186">
        <f t="shared" ref="U8:U14" si="1">K8/3</f>
        <v>2333333.3333333335</v>
      </c>
      <c r="V8" s="15" t="s">
        <v>164</v>
      </c>
      <c r="W8" s="15" t="s">
        <v>3217</v>
      </c>
      <c r="X8" s="15" t="s">
        <v>3216</v>
      </c>
      <c r="Y8" s="8">
        <v>8140</v>
      </c>
      <c r="Z8" s="187" t="s">
        <v>3291</v>
      </c>
      <c r="AA8" s="8">
        <v>6680628</v>
      </c>
      <c r="AB8" s="10" t="s">
        <v>1007</v>
      </c>
      <c r="AC8" s="6" t="s">
        <v>89</v>
      </c>
      <c r="AD8" s="188">
        <f t="shared" ref="AD8:AD14" si="2">K8/3</f>
        <v>2333333.3333333335</v>
      </c>
      <c r="AE8" s="15" t="s">
        <v>164</v>
      </c>
      <c r="AF8" s="15" t="s">
        <v>3224</v>
      </c>
      <c r="AG8" s="15" t="s">
        <v>3216</v>
      </c>
      <c r="AH8" s="8">
        <v>6680626</v>
      </c>
      <c r="AI8" s="10" t="s">
        <v>1008</v>
      </c>
      <c r="AJ8" s="6" t="s">
        <v>38</v>
      </c>
      <c r="AK8" s="188">
        <f t="shared" ref="AK8:AK14" si="3">K8/3</f>
        <v>2333333.3333333335</v>
      </c>
      <c r="AL8" s="15" t="s">
        <v>171</v>
      </c>
      <c r="AM8" s="15" t="s">
        <v>3217</v>
      </c>
      <c r="AN8" s="15" t="s">
        <v>3216</v>
      </c>
      <c r="AO8" s="19"/>
      <c r="AP8" s="19"/>
      <c r="AQ8" s="15"/>
      <c r="AR8" s="189"/>
      <c r="AS8" s="19"/>
      <c r="AT8" s="19"/>
      <c r="AU8" s="19"/>
      <c r="AV8" s="19"/>
      <c r="AW8" s="19"/>
      <c r="AX8" s="19"/>
      <c r="AY8" s="189"/>
      <c r="AZ8" s="19"/>
      <c r="BA8" s="19"/>
      <c r="BB8" s="19"/>
      <c r="BC8" s="19"/>
      <c r="BD8" s="19"/>
      <c r="BE8" s="19"/>
      <c r="BF8" s="189"/>
      <c r="BG8" s="19"/>
      <c r="BH8" s="19"/>
      <c r="BI8" s="19"/>
      <c r="BJ8" s="19"/>
      <c r="BK8" s="19"/>
      <c r="BL8" s="19"/>
      <c r="BM8" s="189"/>
      <c r="BN8" s="19"/>
      <c r="BO8" s="19"/>
      <c r="BP8" s="19"/>
      <c r="BQ8" s="19"/>
      <c r="BR8" s="141" t="s">
        <v>3190</v>
      </c>
      <c r="BS8" s="141" t="s">
        <v>3191</v>
      </c>
      <c r="BT8" s="15" t="s">
        <v>4979</v>
      </c>
      <c r="BU8" s="14"/>
      <c r="BV8" s="15" t="s">
        <v>2216</v>
      </c>
      <c r="BW8" s="14"/>
      <c r="BX8" s="15" t="s">
        <v>4980</v>
      </c>
      <c r="BY8" s="14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61" t="s">
        <v>3061</v>
      </c>
      <c r="CK8" s="262" t="s">
        <v>4981</v>
      </c>
      <c r="CL8" s="262" t="s">
        <v>4982</v>
      </c>
      <c r="CM8" s="262" t="s">
        <v>3739</v>
      </c>
      <c r="CN8" s="262" t="s">
        <v>3739</v>
      </c>
      <c r="CO8" s="262" t="s">
        <v>3739</v>
      </c>
      <c r="CR8" s="3">
        <v>7</v>
      </c>
      <c r="CS8" s="108" t="s">
        <v>4983</v>
      </c>
      <c r="CT8" s="771">
        <v>3292660845</v>
      </c>
      <c r="CV8" t="s">
        <v>4239</v>
      </c>
      <c r="CW8">
        <v>7</v>
      </c>
    </row>
    <row r="9" spans="1:101" ht="36.6">
      <c r="A9" s="129">
        <v>2</v>
      </c>
      <c r="B9" s="322" t="s">
        <v>4973</v>
      </c>
      <c r="C9" s="322" t="s">
        <v>4984</v>
      </c>
      <c r="D9" s="14" t="s">
        <v>4985</v>
      </c>
      <c r="E9" s="13" t="s">
        <v>4976</v>
      </c>
      <c r="F9" s="13">
        <v>2021</v>
      </c>
      <c r="G9" s="13">
        <v>2021</v>
      </c>
      <c r="H9" s="13">
        <v>6</v>
      </c>
      <c r="I9" s="15" t="s">
        <v>4986</v>
      </c>
      <c r="J9" s="362">
        <f t="shared" si="0"/>
        <v>6750000</v>
      </c>
      <c r="K9" s="453">
        <v>6750000</v>
      </c>
      <c r="L9" s="15" t="s">
        <v>3216</v>
      </c>
      <c r="M9" s="13">
        <v>7</v>
      </c>
      <c r="N9" s="15" t="s">
        <v>4978</v>
      </c>
      <c r="O9" s="14" t="s">
        <v>3223</v>
      </c>
      <c r="P9" s="13" t="s">
        <v>3215</v>
      </c>
      <c r="Q9" s="15" t="s">
        <v>4951</v>
      </c>
      <c r="R9" s="13">
        <v>6682237</v>
      </c>
      <c r="S9" s="23" t="s">
        <v>13</v>
      </c>
      <c r="T9" s="16" t="s">
        <v>1736</v>
      </c>
      <c r="U9" s="186">
        <f t="shared" si="1"/>
        <v>2250000</v>
      </c>
      <c r="V9" s="15" t="s">
        <v>160</v>
      </c>
      <c r="W9" s="15" t="s">
        <v>3217</v>
      </c>
      <c r="X9" s="15" t="s">
        <v>3216</v>
      </c>
      <c r="Y9" s="8">
        <v>8140</v>
      </c>
      <c r="Z9" s="187" t="s">
        <v>3291</v>
      </c>
      <c r="AA9" s="13">
        <v>6680618</v>
      </c>
      <c r="AB9" s="16" t="s">
        <v>1737</v>
      </c>
      <c r="AC9" s="15" t="s">
        <v>24</v>
      </c>
      <c r="AD9" s="188">
        <f t="shared" si="2"/>
        <v>2250000</v>
      </c>
      <c r="AE9" s="15" t="s">
        <v>160</v>
      </c>
      <c r="AF9" s="15" t="s">
        <v>3224</v>
      </c>
      <c r="AG9" s="15" t="s">
        <v>3216</v>
      </c>
      <c r="AH9" s="8">
        <v>6681051</v>
      </c>
      <c r="AI9" s="10" t="s">
        <v>1657</v>
      </c>
      <c r="AJ9" s="6" t="s">
        <v>6</v>
      </c>
      <c r="AK9" s="188">
        <f t="shared" si="3"/>
        <v>2250000</v>
      </c>
      <c r="AL9" s="15" t="s">
        <v>160</v>
      </c>
      <c r="AM9" s="15" t="s">
        <v>3224</v>
      </c>
      <c r="AN9" s="15" t="s">
        <v>3216</v>
      </c>
      <c r="AO9" s="19"/>
      <c r="AP9" s="19"/>
      <c r="AQ9" s="15"/>
      <c r="AR9" s="189"/>
      <c r="AS9" s="19"/>
      <c r="AT9" s="19"/>
      <c r="AU9" s="19"/>
      <c r="AV9" s="19"/>
      <c r="AW9" s="19"/>
      <c r="AX9" s="19"/>
      <c r="AY9" s="189"/>
      <c r="AZ9" s="19"/>
      <c r="BA9" s="19"/>
      <c r="BB9" s="19"/>
      <c r="BC9" s="19"/>
      <c r="BD9" s="19"/>
      <c r="BE9" s="19"/>
      <c r="BF9" s="189"/>
      <c r="BG9" s="19"/>
      <c r="BH9" s="19"/>
      <c r="BI9" s="19"/>
      <c r="BJ9" s="19"/>
      <c r="BK9" s="19"/>
      <c r="BL9" s="19"/>
      <c r="BM9" s="189"/>
      <c r="BN9" s="19"/>
      <c r="BO9" s="19"/>
      <c r="BP9" s="19"/>
      <c r="BQ9" s="19"/>
      <c r="BR9" s="141" t="s">
        <v>3190</v>
      </c>
      <c r="BS9" s="141" t="s">
        <v>3191</v>
      </c>
      <c r="BT9" s="15" t="s">
        <v>4987</v>
      </c>
      <c r="BU9" s="14"/>
      <c r="BV9" s="15" t="s">
        <v>4988</v>
      </c>
      <c r="BW9" s="14"/>
      <c r="BX9" s="15" t="s">
        <v>4989</v>
      </c>
      <c r="BY9" s="14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63" t="s">
        <v>4990</v>
      </c>
      <c r="CK9" s="264" t="s">
        <v>4981</v>
      </c>
      <c r="CL9" s="264" t="s">
        <v>4991</v>
      </c>
      <c r="CM9" s="264" t="s">
        <v>4992</v>
      </c>
      <c r="CN9" s="264" t="s">
        <v>3739</v>
      </c>
      <c r="CO9" s="264" t="s">
        <v>3739</v>
      </c>
      <c r="CV9" t="s">
        <v>4993</v>
      </c>
      <c r="CW9">
        <v>1</v>
      </c>
    </row>
    <row r="10" spans="1:101" ht="36.6">
      <c r="A10" s="129">
        <v>3</v>
      </c>
      <c r="B10" s="322" t="s">
        <v>4973</v>
      </c>
      <c r="C10" s="322" t="s">
        <v>4994</v>
      </c>
      <c r="D10" s="14" t="s">
        <v>4995</v>
      </c>
      <c r="E10" s="13" t="s">
        <v>4976</v>
      </c>
      <c r="F10" s="13">
        <v>2021</v>
      </c>
      <c r="G10" s="13">
        <v>2021</v>
      </c>
      <c r="H10" s="13">
        <v>6</v>
      </c>
      <c r="I10" s="15" t="s">
        <v>4986</v>
      </c>
      <c r="J10" s="362">
        <f t="shared" si="0"/>
        <v>6750000</v>
      </c>
      <c r="K10" s="453">
        <v>6750000</v>
      </c>
      <c r="L10" s="15" t="s">
        <v>3216</v>
      </c>
      <c r="M10" s="13">
        <v>7</v>
      </c>
      <c r="N10" s="15" t="s">
        <v>4978</v>
      </c>
      <c r="O10" s="14" t="s">
        <v>3223</v>
      </c>
      <c r="P10" s="13" t="s">
        <v>3215</v>
      </c>
      <c r="Q10" s="15" t="s">
        <v>4951</v>
      </c>
      <c r="R10" s="13">
        <v>6680618</v>
      </c>
      <c r="S10" s="23" t="s">
        <v>24</v>
      </c>
      <c r="T10" s="16" t="s">
        <v>1737</v>
      </c>
      <c r="U10" s="186">
        <f t="shared" si="1"/>
        <v>2250000</v>
      </c>
      <c r="V10" s="15" t="s">
        <v>160</v>
      </c>
      <c r="W10" s="15" t="s">
        <v>3217</v>
      </c>
      <c r="X10" s="15" t="s">
        <v>3216</v>
      </c>
      <c r="Y10" s="8">
        <v>8140</v>
      </c>
      <c r="Z10" s="187" t="s">
        <v>3291</v>
      </c>
      <c r="AA10" s="8">
        <v>6680643</v>
      </c>
      <c r="AB10" s="10" t="s">
        <v>1017</v>
      </c>
      <c r="AC10" s="15" t="s">
        <v>8</v>
      </c>
      <c r="AD10" s="188">
        <f t="shared" si="2"/>
        <v>2250000</v>
      </c>
      <c r="AE10" s="15" t="s">
        <v>172</v>
      </c>
      <c r="AF10" s="15" t="s">
        <v>3217</v>
      </c>
      <c r="AG10" s="15" t="s">
        <v>3216</v>
      </c>
      <c r="AH10" s="8">
        <v>6658545</v>
      </c>
      <c r="AI10" s="10" t="s">
        <v>984</v>
      </c>
      <c r="AJ10" s="6" t="s">
        <v>40</v>
      </c>
      <c r="AK10" s="188">
        <f t="shared" si="3"/>
        <v>2250000</v>
      </c>
      <c r="AL10" s="15" t="s">
        <v>160</v>
      </c>
      <c r="AM10" s="15" t="s">
        <v>3224</v>
      </c>
      <c r="AN10" s="15" t="s">
        <v>3216</v>
      </c>
      <c r="AO10" s="19"/>
      <c r="AP10" s="19"/>
      <c r="AQ10" s="15"/>
      <c r="AR10" s="189"/>
      <c r="AS10" s="19"/>
      <c r="AT10" s="19"/>
      <c r="AU10" s="19"/>
      <c r="AV10" s="19"/>
      <c r="AW10" s="19"/>
      <c r="AX10" s="15"/>
      <c r="AY10" s="189"/>
      <c r="AZ10" s="19"/>
      <c r="BA10" s="19"/>
      <c r="BB10" s="19"/>
      <c r="BC10" s="19"/>
      <c r="BD10" s="19"/>
      <c r="BE10" s="19"/>
      <c r="BF10" s="189"/>
      <c r="BG10" s="19"/>
      <c r="BH10" s="19"/>
      <c r="BI10" s="19"/>
      <c r="BJ10" s="19"/>
      <c r="BK10" s="19"/>
      <c r="BL10" s="19"/>
      <c r="BM10" s="189"/>
      <c r="BN10" s="19"/>
      <c r="BO10" s="19"/>
      <c r="BP10" s="19"/>
      <c r="BQ10" s="19"/>
      <c r="BR10" s="141" t="s">
        <v>3190</v>
      </c>
      <c r="BS10" s="141" t="s">
        <v>3191</v>
      </c>
      <c r="BT10" s="15" t="s">
        <v>4996</v>
      </c>
      <c r="BU10" s="14"/>
      <c r="BV10" s="15" t="s">
        <v>4997</v>
      </c>
      <c r="BW10" s="14"/>
      <c r="BX10" s="15"/>
      <c r="BY10" s="14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63" t="s">
        <v>3061</v>
      </c>
      <c r="CK10" s="264" t="s">
        <v>4998</v>
      </c>
      <c r="CL10" s="264" t="s">
        <v>4991</v>
      </c>
      <c r="CM10" s="264" t="s">
        <v>3739</v>
      </c>
      <c r="CN10" s="264" t="s">
        <v>3739</v>
      </c>
      <c r="CO10" s="264" t="s">
        <v>3739</v>
      </c>
      <c r="CV10" t="s">
        <v>3072</v>
      </c>
      <c r="CW10">
        <v>27</v>
      </c>
    </row>
    <row r="11" spans="1:101" ht="60.6">
      <c r="A11" s="129">
        <v>4</v>
      </c>
      <c r="B11" s="322" t="s">
        <v>4973</v>
      </c>
      <c r="C11" s="322" t="s">
        <v>4999</v>
      </c>
      <c r="D11" s="14" t="s">
        <v>5000</v>
      </c>
      <c r="E11" s="13" t="s">
        <v>4976</v>
      </c>
      <c r="F11" s="13">
        <v>2021</v>
      </c>
      <c r="G11" s="13">
        <v>2021</v>
      </c>
      <c r="H11" s="13">
        <v>6</v>
      </c>
      <c r="I11" s="15" t="s">
        <v>4977</v>
      </c>
      <c r="J11" s="362">
        <f t="shared" si="0"/>
        <v>6750000</v>
      </c>
      <c r="K11" s="453">
        <v>6750000</v>
      </c>
      <c r="L11" s="15" t="s">
        <v>3216</v>
      </c>
      <c r="M11" s="13">
        <v>7</v>
      </c>
      <c r="N11" s="15" t="s">
        <v>4978</v>
      </c>
      <c r="O11" s="14" t="s">
        <v>3223</v>
      </c>
      <c r="P11" s="13" t="s">
        <v>3215</v>
      </c>
      <c r="Q11" s="15" t="s">
        <v>4951</v>
      </c>
      <c r="R11" s="13">
        <v>6680687</v>
      </c>
      <c r="S11" s="23" t="s">
        <v>29</v>
      </c>
      <c r="T11" s="13">
        <v>702048705</v>
      </c>
      <c r="U11" s="186">
        <f t="shared" si="1"/>
        <v>2250000</v>
      </c>
      <c r="V11" s="15" t="s">
        <v>160</v>
      </c>
      <c r="W11" s="15" t="s">
        <v>3217</v>
      </c>
      <c r="X11" s="15" t="s">
        <v>3216</v>
      </c>
      <c r="Y11" s="8">
        <v>8140</v>
      </c>
      <c r="Z11" s="187" t="s">
        <v>3291</v>
      </c>
      <c r="AA11" s="202">
        <v>6680726</v>
      </c>
      <c r="AB11" s="15">
        <v>719069101</v>
      </c>
      <c r="AC11" s="15" t="s">
        <v>93</v>
      </c>
      <c r="AD11" s="188">
        <f t="shared" si="2"/>
        <v>2250000</v>
      </c>
      <c r="AE11" s="15" t="s">
        <v>156</v>
      </c>
      <c r="AF11" s="15" t="s">
        <v>3217</v>
      </c>
      <c r="AG11" s="15" t="s">
        <v>3216</v>
      </c>
      <c r="AH11" s="15">
        <v>6778837</v>
      </c>
      <c r="AI11" s="15">
        <v>711039403</v>
      </c>
      <c r="AJ11" s="15" t="s">
        <v>71</v>
      </c>
      <c r="AK11" s="188">
        <f t="shared" si="3"/>
        <v>2250000</v>
      </c>
      <c r="AL11" s="15" t="s">
        <v>171</v>
      </c>
      <c r="AM11" s="15" t="s">
        <v>3217</v>
      </c>
      <c r="AN11" s="15" t="s">
        <v>3216</v>
      </c>
      <c r="AO11" s="19"/>
      <c r="AP11" s="19"/>
      <c r="AQ11" s="15"/>
      <c r="AR11" s="189"/>
      <c r="AS11" s="19"/>
      <c r="AT11" s="19"/>
      <c r="AU11" s="19"/>
      <c r="AV11" s="19"/>
      <c r="AW11" s="19"/>
      <c r="AX11" s="15"/>
      <c r="AY11" s="189"/>
      <c r="AZ11" s="19"/>
      <c r="BA11" s="19"/>
      <c r="BB11" s="19"/>
      <c r="BC11" s="19"/>
      <c r="BD11" s="19"/>
      <c r="BE11" s="19"/>
      <c r="BF11" s="189"/>
      <c r="BG11" s="19"/>
      <c r="BH11" s="19"/>
      <c r="BI11" s="19"/>
      <c r="BJ11" s="19"/>
      <c r="BK11" s="19"/>
      <c r="BL11" s="19"/>
      <c r="BM11" s="189"/>
      <c r="BN11" s="19"/>
      <c r="BO11" s="19"/>
      <c r="BP11" s="19"/>
      <c r="BQ11" s="19"/>
      <c r="BR11" s="141" t="s">
        <v>3190</v>
      </c>
      <c r="BS11" s="141" t="s">
        <v>3191</v>
      </c>
      <c r="BT11" s="15" t="s">
        <v>2892</v>
      </c>
      <c r="BU11" s="14" t="s">
        <v>3589</v>
      </c>
      <c r="BV11" s="15" t="s">
        <v>5001</v>
      </c>
      <c r="BW11" s="14"/>
      <c r="BX11" s="15" t="s">
        <v>619</v>
      </c>
      <c r="BY11" s="14" t="s">
        <v>3737</v>
      </c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63" t="s">
        <v>5002</v>
      </c>
      <c r="CK11" s="264" t="s">
        <v>4981</v>
      </c>
      <c r="CL11" s="264" t="s">
        <v>5003</v>
      </c>
      <c r="CM11" s="264" t="s">
        <v>5004</v>
      </c>
      <c r="CN11" s="264" t="s">
        <v>3739</v>
      </c>
      <c r="CO11" s="264" t="s">
        <v>3739</v>
      </c>
      <c r="CV11" t="s">
        <v>65</v>
      </c>
    </row>
    <row r="12" spans="1:101" ht="72.599999999999994">
      <c r="A12" s="129">
        <v>5</v>
      </c>
      <c r="B12" s="322" t="s">
        <v>4973</v>
      </c>
      <c r="C12" s="322" t="s">
        <v>5005</v>
      </c>
      <c r="D12" s="14" t="s">
        <v>5006</v>
      </c>
      <c r="E12" s="13" t="s">
        <v>4976</v>
      </c>
      <c r="F12" s="13">
        <v>2021</v>
      </c>
      <c r="G12" s="13">
        <v>2021</v>
      </c>
      <c r="H12" s="13">
        <v>6</v>
      </c>
      <c r="I12" s="15" t="s">
        <v>4977</v>
      </c>
      <c r="J12" s="362">
        <f t="shared" si="0"/>
        <v>6900000</v>
      </c>
      <c r="K12" s="453">
        <v>6900000</v>
      </c>
      <c r="L12" s="15" t="s">
        <v>3216</v>
      </c>
      <c r="M12" s="13">
        <v>7</v>
      </c>
      <c r="N12" s="15" t="s">
        <v>4978</v>
      </c>
      <c r="O12" s="14" t="s">
        <v>3223</v>
      </c>
      <c r="P12" s="13" t="s">
        <v>3215</v>
      </c>
      <c r="Q12" s="15" t="s">
        <v>4951</v>
      </c>
      <c r="R12" s="13">
        <v>258471</v>
      </c>
      <c r="S12" s="23" t="s">
        <v>60</v>
      </c>
      <c r="T12" s="16" t="s">
        <v>3504</v>
      </c>
      <c r="U12" s="186">
        <f t="shared" si="1"/>
        <v>2300000</v>
      </c>
      <c r="V12" s="15" t="s">
        <v>155</v>
      </c>
      <c r="W12" s="15" t="s">
        <v>3224</v>
      </c>
      <c r="X12" s="15" t="s">
        <v>3216</v>
      </c>
      <c r="Y12" s="8">
        <v>8140</v>
      </c>
      <c r="Z12" s="187" t="s">
        <v>3291</v>
      </c>
      <c r="AA12" s="8">
        <v>6680685</v>
      </c>
      <c r="AB12" s="203" t="s">
        <v>944</v>
      </c>
      <c r="AC12" s="6" t="s">
        <v>21</v>
      </c>
      <c r="AD12" s="188">
        <f t="shared" si="2"/>
        <v>2300000</v>
      </c>
      <c r="AE12" s="15" t="s">
        <v>155</v>
      </c>
      <c r="AF12" s="15" t="s">
        <v>3224</v>
      </c>
      <c r="AG12" s="15" t="s">
        <v>3216</v>
      </c>
      <c r="AH12" s="202">
        <v>6853203</v>
      </c>
      <c r="AI12" s="204" t="s">
        <v>3905</v>
      </c>
      <c r="AJ12" s="15" t="s">
        <v>191</v>
      </c>
      <c r="AK12" s="188">
        <f t="shared" si="3"/>
        <v>2300000</v>
      </c>
      <c r="AL12" s="15" t="s">
        <v>155</v>
      </c>
      <c r="AM12" s="15" t="s">
        <v>3224</v>
      </c>
      <c r="AN12" s="15" t="s">
        <v>3216</v>
      </c>
      <c r="AO12" s="19"/>
      <c r="AP12" s="19"/>
      <c r="AQ12" s="15"/>
      <c r="AR12" s="189"/>
      <c r="AS12" s="19"/>
      <c r="AT12" s="19"/>
      <c r="AU12" s="19"/>
      <c r="AV12" s="19"/>
      <c r="AW12" s="19"/>
      <c r="AX12" s="15"/>
      <c r="AY12" s="189"/>
      <c r="AZ12" s="19"/>
      <c r="BA12" s="19"/>
      <c r="BB12" s="19"/>
      <c r="BC12" s="19"/>
      <c r="BD12" s="19"/>
      <c r="BE12" s="19"/>
      <c r="BF12" s="189"/>
      <c r="BG12" s="19"/>
      <c r="BH12" s="19"/>
      <c r="BI12" s="19"/>
      <c r="BJ12" s="19"/>
      <c r="BK12" s="19"/>
      <c r="BL12" s="19"/>
      <c r="BM12" s="189"/>
      <c r="BN12" s="19"/>
      <c r="BO12" s="19"/>
      <c r="BP12" s="19"/>
      <c r="BQ12" s="19"/>
      <c r="BR12" s="141" t="s">
        <v>3190</v>
      </c>
      <c r="BS12" s="141" t="s">
        <v>3191</v>
      </c>
      <c r="BT12" s="15" t="s">
        <v>3121</v>
      </c>
      <c r="BU12" s="14"/>
      <c r="BV12" s="15" t="s">
        <v>5007</v>
      </c>
      <c r="BW12" s="14"/>
      <c r="BX12" s="15" t="s">
        <v>5008</v>
      </c>
      <c r="BY12" s="14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63" t="s">
        <v>3251</v>
      </c>
      <c r="CK12" s="264" t="s">
        <v>4981</v>
      </c>
      <c r="CL12" s="264" t="s">
        <v>5009</v>
      </c>
      <c r="CM12" s="264" t="s">
        <v>5010</v>
      </c>
      <c r="CN12" s="264" t="s">
        <v>3739</v>
      </c>
      <c r="CO12" s="264" t="s">
        <v>3739</v>
      </c>
      <c r="CV12" t="s">
        <v>3</v>
      </c>
      <c r="CW12">
        <v>186</v>
      </c>
    </row>
    <row r="13" spans="1:101" ht="36.6">
      <c r="A13" s="129">
        <v>6</v>
      </c>
      <c r="B13" s="322" t="s">
        <v>4973</v>
      </c>
      <c r="C13" s="322" t="s">
        <v>5011</v>
      </c>
      <c r="D13" s="14" t="s">
        <v>5012</v>
      </c>
      <c r="E13" s="13" t="s">
        <v>4976</v>
      </c>
      <c r="F13" s="13">
        <v>2021</v>
      </c>
      <c r="G13" s="13">
        <v>2021</v>
      </c>
      <c r="H13" s="13">
        <v>6</v>
      </c>
      <c r="I13" s="15" t="s">
        <v>4977</v>
      </c>
      <c r="J13" s="362">
        <f t="shared" si="0"/>
        <v>6900000</v>
      </c>
      <c r="K13" s="453">
        <v>6900000</v>
      </c>
      <c r="L13" s="15" t="s">
        <v>3216</v>
      </c>
      <c r="M13" s="13">
        <v>7</v>
      </c>
      <c r="N13" s="15" t="s">
        <v>4978</v>
      </c>
      <c r="O13" s="14" t="s">
        <v>3223</v>
      </c>
      <c r="P13" s="13" t="s">
        <v>3215</v>
      </c>
      <c r="Q13" s="15" t="s">
        <v>4951</v>
      </c>
      <c r="R13" s="13">
        <v>6680625</v>
      </c>
      <c r="S13" s="23" t="s">
        <v>23</v>
      </c>
      <c r="T13" s="16" t="s">
        <v>1782</v>
      </c>
      <c r="U13" s="186">
        <f t="shared" si="1"/>
        <v>2300000</v>
      </c>
      <c r="V13" s="15" t="s">
        <v>154</v>
      </c>
      <c r="W13" s="15" t="s">
        <v>3224</v>
      </c>
      <c r="X13" s="15" t="s">
        <v>3216</v>
      </c>
      <c r="Y13" s="8">
        <v>8140</v>
      </c>
      <c r="Z13" s="187" t="s">
        <v>3291</v>
      </c>
      <c r="AA13" s="6">
        <v>6680645</v>
      </c>
      <c r="AB13" s="6" t="s">
        <v>2849</v>
      </c>
      <c r="AC13" s="6" t="s">
        <v>83</v>
      </c>
      <c r="AD13" s="188">
        <f t="shared" si="2"/>
        <v>2300000</v>
      </c>
      <c r="AE13" s="15" t="s">
        <v>154</v>
      </c>
      <c r="AF13" s="15" t="s">
        <v>3224</v>
      </c>
      <c r="AG13" s="15" t="s">
        <v>3216</v>
      </c>
      <c r="AH13" s="205">
        <v>6680741</v>
      </c>
      <c r="AI13" s="190" t="s">
        <v>1838</v>
      </c>
      <c r="AJ13" s="6" t="s">
        <v>16</v>
      </c>
      <c r="AK13" s="188">
        <f t="shared" si="3"/>
        <v>2300000</v>
      </c>
      <c r="AL13" s="15" t="s">
        <v>154</v>
      </c>
      <c r="AM13" s="15" t="s">
        <v>3224</v>
      </c>
      <c r="AN13" s="15" t="s">
        <v>3216</v>
      </c>
      <c r="AO13" s="19"/>
      <c r="AP13" s="19"/>
      <c r="AQ13" s="15"/>
      <c r="AR13" s="189"/>
      <c r="AS13" s="19"/>
      <c r="AT13" s="19"/>
      <c r="AU13" s="19"/>
      <c r="AV13" s="19"/>
      <c r="AW13" s="19"/>
      <c r="AX13" s="15"/>
      <c r="AY13" s="189"/>
      <c r="AZ13" s="19"/>
      <c r="BA13" s="19"/>
      <c r="BB13" s="19"/>
      <c r="BC13" s="19"/>
      <c r="BD13" s="19"/>
      <c r="BE13" s="19"/>
      <c r="BF13" s="189"/>
      <c r="BG13" s="19"/>
      <c r="BH13" s="19"/>
      <c r="BI13" s="19"/>
      <c r="BJ13" s="19"/>
      <c r="BK13" s="19"/>
      <c r="BL13" s="19"/>
      <c r="BM13" s="189"/>
      <c r="BN13" s="19"/>
      <c r="BO13" s="19"/>
      <c r="BP13" s="19"/>
      <c r="BQ13" s="19"/>
      <c r="BR13" s="141" t="s">
        <v>3190</v>
      </c>
      <c r="BS13" s="141" t="s">
        <v>3191</v>
      </c>
      <c r="BT13" s="15" t="s">
        <v>5013</v>
      </c>
      <c r="BU13" s="14"/>
      <c r="BV13" s="15" t="s">
        <v>3065</v>
      </c>
      <c r="BW13" s="14"/>
      <c r="BX13" s="15" t="s">
        <v>5014</v>
      </c>
      <c r="BY13" s="14"/>
      <c r="BZ13" s="20" t="s">
        <v>5015</v>
      </c>
      <c r="CA13" s="20"/>
      <c r="CB13" s="20"/>
      <c r="CC13" s="20"/>
      <c r="CD13" s="20"/>
      <c r="CE13" s="20"/>
      <c r="CF13" s="20"/>
      <c r="CG13" s="20"/>
      <c r="CH13" s="20"/>
      <c r="CI13" s="20"/>
      <c r="CJ13" s="263" t="s">
        <v>3061</v>
      </c>
      <c r="CK13" s="264" t="s">
        <v>4981</v>
      </c>
      <c r="CL13" s="264" t="s">
        <v>4991</v>
      </c>
      <c r="CM13" s="264" t="s">
        <v>3739</v>
      </c>
      <c r="CN13" s="264" t="s">
        <v>3739</v>
      </c>
      <c r="CO13" s="264" t="s">
        <v>3739</v>
      </c>
    </row>
    <row r="14" spans="1:101" ht="36">
      <c r="A14" s="129">
        <v>7</v>
      </c>
      <c r="B14" s="322" t="s">
        <v>4973</v>
      </c>
      <c r="C14" s="322" t="s">
        <v>5016</v>
      </c>
      <c r="D14" s="14" t="s">
        <v>5017</v>
      </c>
      <c r="E14" s="13" t="s">
        <v>4976</v>
      </c>
      <c r="F14" s="13">
        <v>2021</v>
      </c>
      <c r="G14" s="13">
        <v>2021</v>
      </c>
      <c r="H14" s="13">
        <v>6</v>
      </c>
      <c r="I14" s="15" t="s">
        <v>4977</v>
      </c>
      <c r="J14" s="362">
        <f t="shared" si="0"/>
        <v>6749500</v>
      </c>
      <c r="K14" s="453">
        <v>6749500</v>
      </c>
      <c r="L14" s="15" t="s">
        <v>3216</v>
      </c>
      <c r="M14" s="13">
        <v>7</v>
      </c>
      <c r="N14" s="15" t="s">
        <v>4978</v>
      </c>
      <c r="O14" s="14" t="s">
        <v>3223</v>
      </c>
      <c r="P14" s="13" t="s">
        <v>3215</v>
      </c>
      <c r="Q14" s="15" t="s">
        <v>4951</v>
      </c>
      <c r="R14" s="13">
        <v>6680623</v>
      </c>
      <c r="S14" s="23" t="s">
        <v>30</v>
      </c>
      <c r="T14" s="16" t="s">
        <v>1841</v>
      </c>
      <c r="U14" s="186">
        <f t="shared" si="1"/>
        <v>2249833.3333333335</v>
      </c>
      <c r="V14" s="15" t="s">
        <v>166</v>
      </c>
      <c r="W14" s="15" t="s">
        <v>3217</v>
      </c>
      <c r="X14" s="15" t="s">
        <v>3216</v>
      </c>
      <c r="Y14" s="8">
        <v>8140</v>
      </c>
      <c r="Z14" s="187" t="s">
        <v>3291</v>
      </c>
      <c r="AA14" s="8">
        <v>6680648</v>
      </c>
      <c r="AB14" s="6" t="s">
        <v>1036</v>
      </c>
      <c r="AC14" s="6" t="s">
        <v>17</v>
      </c>
      <c r="AD14" s="188">
        <f t="shared" si="2"/>
        <v>2249833.3333333335</v>
      </c>
      <c r="AE14" s="15" t="s">
        <v>166</v>
      </c>
      <c r="AF14" s="15" t="s">
        <v>3217</v>
      </c>
      <c r="AG14" s="15" t="s">
        <v>3216</v>
      </c>
      <c r="AH14" s="13">
        <v>6665306</v>
      </c>
      <c r="AI14" s="16" t="s">
        <v>1727</v>
      </c>
      <c r="AJ14" s="15" t="s">
        <v>28</v>
      </c>
      <c r="AK14" s="188">
        <f t="shared" si="3"/>
        <v>2249833.3333333335</v>
      </c>
      <c r="AL14" s="15" t="s">
        <v>166</v>
      </c>
      <c r="AM14" s="15" t="s">
        <v>3217</v>
      </c>
      <c r="AN14" s="15" t="s">
        <v>3216</v>
      </c>
      <c r="AO14" s="19"/>
      <c r="AP14" s="19"/>
      <c r="AQ14" s="15"/>
      <c r="AR14" s="189"/>
      <c r="AS14" s="19"/>
      <c r="AT14" s="19"/>
      <c r="AU14" s="19"/>
      <c r="AV14" s="19"/>
      <c r="AW14" s="19"/>
      <c r="AX14" s="15"/>
      <c r="AY14" s="189"/>
      <c r="AZ14" s="19"/>
      <c r="BA14" s="19"/>
      <c r="BB14" s="19"/>
      <c r="BC14" s="19"/>
      <c r="BD14" s="19"/>
      <c r="BE14" s="19"/>
      <c r="BF14" s="189"/>
      <c r="BG14" s="19"/>
      <c r="BH14" s="19"/>
      <c r="BI14" s="19"/>
      <c r="BJ14" s="19"/>
      <c r="BK14" s="19"/>
      <c r="BL14" s="19"/>
      <c r="BM14" s="189"/>
      <c r="BN14" s="19"/>
      <c r="BO14" s="19"/>
      <c r="BP14" s="19"/>
      <c r="BQ14" s="19"/>
      <c r="BR14" s="141" t="s">
        <v>3190</v>
      </c>
      <c r="BS14" s="141" t="s">
        <v>3191</v>
      </c>
      <c r="BT14" s="15" t="s">
        <v>5018</v>
      </c>
      <c r="BU14" s="14"/>
      <c r="BV14" s="15" t="s">
        <v>441</v>
      </c>
      <c r="BW14" s="14"/>
      <c r="BX14" s="15" t="s">
        <v>3237</v>
      </c>
      <c r="BY14" s="14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63" t="s">
        <v>4990</v>
      </c>
      <c r="CK14" s="264" t="s">
        <v>4981</v>
      </c>
      <c r="CL14" s="264" t="s">
        <v>5009</v>
      </c>
      <c r="CM14" s="264" t="s">
        <v>3739</v>
      </c>
      <c r="CN14" s="264" t="s">
        <v>3739</v>
      </c>
      <c r="CO14" s="264" t="s">
        <v>3739</v>
      </c>
    </row>
    <row r="15" spans="1:101" ht="36.6">
      <c r="A15" s="129">
        <v>8</v>
      </c>
      <c r="B15" s="322" t="s">
        <v>4973</v>
      </c>
      <c r="C15" s="322" t="s">
        <v>5019</v>
      </c>
      <c r="D15" s="14" t="s">
        <v>5020</v>
      </c>
      <c r="E15" s="13" t="s">
        <v>4976</v>
      </c>
      <c r="F15" s="13">
        <v>2021</v>
      </c>
      <c r="G15" s="13">
        <v>2021</v>
      </c>
      <c r="H15" s="13">
        <v>6</v>
      </c>
      <c r="I15" s="15" t="s">
        <v>4986</v>
      </c>
      <c r="J15" s="362">
        <f t="shared" si="0"/>
        <v>3400000</v>
      </c>
      <c r="K15" s="453">
        <v>3400000</v>
      </c>
      <c r="L15" s="15" t="s">
        <v>3216</v>
      </c>
      <c r="M15" s="13">
        <v>7</v>
      </c>
      <c r="N15" s="15" t="s">
        <v>4978</v>
      </c>
      <c r="O15" s="14" t="s">
        <v>3223</v>
      </c>
      <c r="P15" s="13" t="s">
        <v>3215</v>
      </c>
      <c r="Q15" s="15" t="s">
        <v>4951</v>
      </c>
      <c r="R15" s="13">
        <v>6681032</v>
      </c>
      <c r="S15" s="23" t="s">
        <v>76</v>
      </c>
      <c r="T15" s="16" t="s">
        <v>3423</v>
      </c>
      <c r="U15" s="186">
        <f>K15/2</f>
        <v>1700000</v>
      </c>
      <c r="V15" s="15" t="s">
        <v>166</v>
      </c>
      <c r="W15" s="15" t="s">
        <v>3217</v>
      </c>
      <c r="X15" s="15" t="s">
        <v>3216</v>
      </c>
      <c r="Y15" s="8">
        <v>8140</v>
      </c>
      <c r="Z15" s="187" t="s">
        <v>3291</v>
      </c>
      <c r="AA15" s="13">
        <v>6764236</v>
      </c>
      <c r="AB15" s="16" t="s">
        <v>1684</v>
      </c>
      <c r="AC15" s="15" t="s">
        <v>25</v>
      </c>
      <c r="AD15" s="188">
        <f>K15/2</f>
        <v>1700000</v>
      </c>
      <c r="AE15" s="15" t="s">
        <v>166</v>
      </c>
      <c r="AF15" s="15" t="s">
        <v>3217</v>
      </c>
      <c r="AG15" s="15" t="s">
        <v>3216</v>
      </c>
      <c r="AH15" s="202"/>
      <c r="AI15" s="15"/>
      <c r="AJ15" s="15"/>
      <c r="AK15" s="206"/>
      <c r="AL15" s="15"/>
      <c r="AM15" s="15"/>
      <c r="AN15" s="19"/>
      <c r="AO15" s="19"/>
      <c r="AP15" s="19"/>
      <c r="AQ15" s="15"/>
      <c r="AR15" s="189"/>
      <c r="AS15" s="19"/>
      <c r="AT15" s="19"/>
      <c r="AU15" s="19"/>
      <c r="AV15" s="19"/>
      <c r="AW15" s="19"/>
      <c r="AX15" s="15"/>
      <c r="AY15" s="189"/>
      <c r="AZ15" s="19"/>
      <c r="BA15" s="19"/>
      <c r="BB15" s="19"/>
      <c r="BC15" s="19"/>
      <c r="BD15" s="19"/>
      <c r="BE15" s="19"/>
      <c r="BF15" s="189"/>
      <c r="BG15" s="19"/>
      <c r="BH15" s="19"/>
      <c r="BI15" s="19"/>
      <c r="BJ15" s="19"/>
      <c r="BK15" s="19"/>
      <c r="BL15" s="19"/>
      <c r="BM15" s="189"/>
      <c r="BN15" s="19"/>
      <c r="BO15" s="19"/>
      <c r="BP15" s="19"/>
      <c r="BQ15" s="19"/>
      <c r="BR15" s="141" t="s">
        <v>3190</v>
      </c>
      <c r="BS15" s="141" t="s">
        <v>3191</v>
      </c>
      <c r="BT15" s="15" t="s">
        <v>442</v>
      </c>
      <c r="BU15" s="14"/>
      <c r="BV15" s="15" t="s">
        <v>740</v>
      </c>
      <c r="BW15" s="14"/>
      <c r="BX15" s="15" t="s">
        <v>3042</v>
      </c>
      <c r="BY15" s="14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63" t="s">
        <v>4990</v>
      </c>
      <c r="CK15" s="264" t="s">
        <v>4981</v>
      </c>
      <c r="CL15" s="264" t="s">
        <v>4991</v>
      </c>
      <c r="CM15" s="264" t="s">
        <v>5021</v>
      </c>
      <c r="CN15" s="264" t="s">
        <v>5022</v>
      </c>
      <c r="CO15" s="264" t="s">
        <v>3739</v>
      </c>
    </row>
    <row r="16" spans="1:101" ht="36.6">
      <c r="A16" s="129">
        <v>9</v>
      </c>
      <c r="B16" s="322" t="s">
        <v>4973</v>
      </c>
      <c r="C16" s="322" t="s">
        <v>5023</v>
      </c>
      <c r="D16" s="14" t="s">
        <v>5024</v>
      </c>
      <c r="E16" s="13" t="s">
        <v>4976</v>
      </c>
      <c r="F16" s="13">
        <v>2021</v>
      </c>
      <c r="G16" s="13">
        <v>2021</v>
      </c>
      <c r="H16" s="13">
        <v>6</v>
      </c>
      <c r="I16" s="15" t="s">
        <v>4977</v>
      </c>
      <c r="J16" s="362">
        <f t="shared" si="0"/>
        <v>6950000</v>
      </c>
      <c r="K16" s="453">
        <v>6950000</v>
      </c>
      <c r="L16" s="15" t="s">
        <v>3216</v>
      </c>
      <c r="M16" s="13">
        <v>7</v>
      </c>
      <c r="N16" s="15" t="s">
        <v>4978</v>
      </c>
      <c r="O16" s="14" t="s">
        <v>3223</v>
      </c>
      <c r="P16" s="13" t="s">
        <v>3215</v>
      </c>
      <c r="Q16" s="15" t="s">
        <v>4951</v>
      </c>
      <c r="R16" s="13">
        <v>6764236</v>
      </c>
      <c r="S16" s="23" t="s">
        <v>25</v>
      </c>
      <c r="T16" s="16" t="s">
        <v>1684</v>
      </c>
      <c r="U16" s="186">
        <f>K16/2</f>
        <v>3475000</v>
      </c>
      <c r="V16" s="15" t="s">
        <v>166</v>
      </c>
      <c r="W16" s="15" t="s">
        <v>3217</v>
      </c>
      <c r="X16" s="15" t="s">
        <v>3216</v>
      </c>
      <c r="Y16" s="8">
        <v>8140</v>
      </c>
      <c r="Z16" s="187" t="s">
        <v>3291</v>
      </c>
      <c r="AA16" s="13">
        <v>6681032</v>
      </c>
      <c r="AB16" s="16" t="s">
        <v>3423</v>
      </c>
      <c r="AC16" s="15" t="s">
        <v>76</v>
      </c>
      <c r="AD16" s="188">
        <f>K16/2</f>
        <v>3475000</v>
      </c>
      <c r="AE16" s="15" t="s">
        <v>166</v>
      </c>
      <c r="AF16" s="15" t="s">
        <v>3217</v>
      </c>
      <c r="AG16" s="15" t="s">
        <v>3216</v>
      </c>
      <c r="AH16" s="202"/>
      <c r="AI16" s="15"/>
      <c r="AJ16" s="15"/>
      <c r="AK16" s="206"/>
      <c r="AL16" s="15"/>
      <c r="AM16" s="15"/>
      <c r="AN16" s="19"/>
      <c r="AO16" s="19"/>
      <c r="AP16" s="19"/>
      <c r="AQ16" s="15"/>
      <c r="AR16" s="189"/>
      <c r="AS16" s="19"/>
      <c r="AT16" s="19"/>
      <c r="AU16" s="19"/>
      <c r="AV16" s="19"/>
      <c r="AW16" s="19"/>
      <c r="AX16" s="15"/>
      <c r="AY16" s="189"/>
      <c r="AZ16" s="19"/>
      <c r="BA16" s="19"/>
      <c r="BB16" s="19"/>
      <c r="BC16" s="19"/>
      <c r="BD16" s="19"/>
      <c r="BE16" s="19"/>
      <c r="BF16" s="189"/>
      <c r="BG16" s="19"/>
      <c r="BH16" s="19"/>
      <c r="BI16" s="19"/>
      <c r="BJ16" s="19"/>
      <c r="BK16" s="19"/>
      <c r="BL16" s="19"/>
      <c r="BM16" s="189"/>
      <c r="BN16" s="19"/>
      <c r="BO16" s="19"/>
      <c r="BP16" s="19"/>
      <c r="BQ16" s="19"/>
      <c r="BR16" s="141" t="s">
        <v>3190</v>
      </c>
      <c r="BS16" s="141" t="s">
        <v>3191</v>
      </c>
      <c r="BT16" s="15" t="s">
        <v>5025</v>
      </c>
      <c r="BU16" s="14"/>
      <c r="BV16" s="15" t="s">
        <v>5026</v>
      </c>
      <c r="BW16" s="14"/>
      <c r="BX16" s="15" t="s">
        <v>5027</v>
      </c>
      <c r="BY16" s="14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63" t="s">
        <v>3251</v>
      </c>
      <c r="CK16" s="264" t="s">
        <v>4998</v>
      </c>
      <c r="CL16" s="264" t="s">
        <v>4991</v>
      </c>
      <c r="CM16" s="264" t="s">
        <v>5028</v>
      </c>
      <c r="CN16" s="264" t="s">
        <v>3739</v>
      </c>
      <c r="CO16" s="264" t="s">
        <v>3739</v>
      </c>
    </row>
    <row r="17" spans="1:93" ht="60.6">
      <c r="A17" s="129">
        <v>10</v>
      </c>
      <c r="B17" s="322" t="s">
        <v>4973</v>
      </c>
      <c r="C17" s="322" t="s">
        <v>5029</v>
      </c>
      <c r="D17" s="14" t="s">
        <v>5030</v>
      </c>
      <c r="E17" s="15" t="s">
        <v>5031</v>
      </c>
      <c r="F17" s="13">
        <v>2021</v>
      </c>
      <c r="G17" s="13">
        <v>2021</v>
      </c>
      <c r="H17" s="13">
        <v>6</v>
      </c>
      <c r="I17" s="15" t="s">
        <v>4977</v>
      </c>
      <c r="J17" s="362">
        <f t="shared" si="0"/>
        <v>15670000</v>
      </c>
      <c r="K17" s="453">
        <v>15670000</v>
      </c>
      <c r="L17" s="15" t="s">
        <v>3216</v>
      </c>
      <c r="M17" s="13">
        <v>7</v>
      </c>
      <c r="N17" s="15" t="s">
        <v>4978</v>
      </c>
      <c r="O17" s="14" t="s">
        <v>3223</v>
      </c>
      <c r="P17" s="13" t="s">
        <v>3215</v>
      </c>
      <c r="Q17" s="15" t="s">
        <v>4951</v>
      </c>
      <c r="R17" s="13">
        <v>6680664</v>
      </c>
      <c r="S17" s="23" t="s">
        <v>15</v>
      </c>
      <c r="T17" s="16" t="s">
        <v>2288</v>
      </c>
      <c r="U17" s="186">
        <f>K17/3</f>
        <v>5223333.333333333</v>
      </c>
      <c r="V17" s="15" t="s">
        <v>156</v>
      </c>
      <c r="W17" s="15" t="s">
        <v>3217</v>
      </c>
      <c r="X17" s="15" t="s">
        <v>3216</v>
      </c>
      <c r="Y17" s="8">
        <v>8140</v>
      </c>
      <c r="Z17" s="187" t="s">
        <v>3291</v>
      </c>
      <c r="AA17" s="8">
        <v>6680680</v>
      </c>
      <c r="AB17" s="10" t="s">
        <v>959</v>
      </c>
      <c r="AC17" s="6" t="s">
        <v>9</v>
      </c>
      <c r="AD17" s="188">
        <f>K17/3</f>
        <v>5223333.333333333</v>
      </c>
      <c r="AE17" s="15" t="s">
        <v>156</v>
      </c>
      <c r="AF17" s="15" t="s">
        <v>3217</v>
      </c>
      <c r="AG17" s="15" t="s">
        <v>3216</v>
      </c>
      <c r="AH17" s="202">
        <v>6680726</v>
      </c>
      <c r="AI17" s="15">
        <v>719069101</v>
      </c>
      <c r="AJ17" s="15" t="s">
        <v>93</v>
      </c>
      <c r="AK17" s="188">
        <f>K17/3</f>
        <v>5223333.333333333</v>
      </c>
      <c r="AL17" s="15" t="s">
        <v>156</v>
      </c>
      <c r="AM17" s="15" t="s">
        <v>3217</v>
      </c>
      <c r="AN17" s="15" t="s">
        <v>3216</v>
      </c>
      <c r="AO17" s="19"/>
      <c r="AP17" s="19"/>
      <c r="AQ17" s="15"/>
      <c r="AR17" s="189"/>
      <c r="AS17" s="19"/>
      <c r="AT17" s="19"/>
      <c r="AU17" s="19"/>
      <c r="AV17" s="19"/>
      <c r="AW17" s="19"/>
      <c r="AX17" s="15"/>
      <c r="AY17" s="189"/>
      <c r="AZ17" s="19"/>
      <c r="BA17" s="19"/>
      <c r="BB17" s="19"/>
      <c r="BC17" s="19"/>
      <c r="BD17" s="19"/>
      <c r="BE17" s="19"/>
      <c r="BF17" s="189"/>
      <c r="BG17" s="19"/>
      <c r="BH17" s="19"/>
      <c r="BI17" s="19"/>
      <c r="BJ17" s="19"/>
      <c r="BK17" s="19"/>
      <c r="BL17" s="19"/>
      <c r="BM17" s="189"/>
      <c r="BN17" s="19"/>
      <c r="BO17" s="19"/>
      <c r="BP17" s="19"/>
      <c r="BQ17" s="19"/>
      <c r="BR17" s="141" t="s">
        <v>3190</v>
      </c>
      <c r="BS17" s="141" t="s">
        <v>3191</v>
      </c>
      <c r="BT17" s="15" t="s">
        <v>612</v>
      </c>
      <c r="BU17" s="14" t="s">
        <v>3589</v>
      </c>
      <c r="BV17" s="15" t="s">
        <v>2668</v>
      </c>
      <c r="BW17" s="14" t="s">
        <v>3589</v>
      </c>
      <c r="BX17" s="15" t="s">
        <v>2669</v>
      </c>
      <c r="BY17" s="14" t="s">
        <v>3589</v>
      </c>
      <c r="BZ17" s="20" t="s">
        <v>610</v>
      </c>
      <c r="CA17" s="20" t="s">
        <v>3589</v>
      </c>
      <c r="CB17" s="20" t="s">
        <v>611</v>
      </c>
      <c r="CC17" s="20" t="s">
        <v>3589</v>
      </c>
      <c r="CD17" s="20"/>
      <c r="CE17" s="20"/>
      <c r="CF17" s="20"/>
      <c r="CG17" s="20"/>
      <c r="CH17" s="20"/>
      <c r="CI17" s="20"/>
      <c r="CJ17" s="263" t="s">
        <v>3251</v>
      </c>
      <c r="CK17" s="264" t="s">
        <v>4998</v>
      </c>
      <c r="CL17" s="264" t="s">
        <v>4991</v>
      </c>
      <c r="CM17" s="264" t="s">
        <v>5032</v>
      </c>
      <c r="CN17" s="264" t="s">
        <v>5033</v>
      </c>
      <c r="CO17" s="264" t="s">
        <v>3419</v>
      </c>
    </row>
    <row r="18" spans="1:93" ht="36.6">
      <c r="A18" s="129">
        <v>11</v>
      </c>
      <c r="B18" s="322" t="s">
        <v>4973</v>
      </c>
      <c r="C18" s="322" t="s">
        <v>5034</v>
      </c>
      <c r="D18" s="14" t="s">
        <v>5035</v>
      </c>
      <c r="E18" s="15" t="s">
        <v>5031</v>
      </c>
      <c r="F18" s="13">
        <v>2021</v>
      </c>
      <c r="G18" s="13">
        <v>2021</v>
      </c>
      <c r="H18" s="13">
        <v>6</v>
      </c>
      <c r="I18" s="15" t="s">
        <v>4986</v>
      </c>
      <c r="J18" s="362">
        <f t="shared" si="0"/>
        <v>15300000</v>
      </c>
      <c r="K18" s="453">
        <v>15300000</v>
      </c>
      <c r="L18" s="15" t="s">
        <v>3216</v>
      </c>
      <c r="M18" s="13">
        <v>7</v>
      </c>
      <c r="N18" s="15" t="s">
        <v>4978</v>
      </c>
      <c r="O18" s="14" t="s">
        <v>3223</v>
      </c>
      <c r="P18" s="13" t="s">
        <v>3215</v>
      </c>
      <c r="Q18" s="15" t="s">
        <v>4951</v>
      </c>
      <c r="R18" s="13">
        <v>259781</v>
      </c>
      <c r="S18" s="23" t="s">
        <v>26</v>
      </c>
      <c r="T18" s="16" t="s">
        <v>982</v>
      </c>
      <c r="U18" s="186">
        <f>K18/3</f>
        <v>5100000</v>
      </c>
      <c r="V18" s="15" t="s">
        <v>164</v>
      </c>
      <c r="W18" s="15" t="s">
        <v>3217</v>
      </c>
      <c r="X18" s="15" t="s">
        <v>3216</v>
      </c>
      <c r="Y18" s="8">
        <v>8140</v>
      </c>
      <c r="Z18" s="187" t="s">
        <v>3291</v>
      </c>
      <c r="AA18" s="8">
        <v>6658545</v>
      </c>
      <c r="AB18" s="10" t="s">
        <v>984</v>
      </c>
      <c r="AC18" s="6" t="s">
        <v>40</v>
      </c>
      <c r="AD18" s="188">
        <f>K18/3</f>
        <v>5100000</v>
      </c>
      <c r="AE18" s="15" t="s">
        <v>160</v>
      </c>
      <c r="AF18" s="15" t="s">
        <v>3224</v>
      </c>
      <c r="AG18" s="15" t="s">
        <v>3216</v>
      </c>
      <c r="AH18" s="6">
        <v>6680622</v>
      </c>
      <c r="AI18" s="6" t="s">
        <v>983</v>
      </c>
      <c r="AJ18" s="6" t="s">
        <v>11</v>
      </c>
      <c r="AK18" s="188">
        <f>K18/3</f>
        <v>5100000</v>
      </c>
      <c r="AL18" s="15" t="s">
        <v>164</v>
      </c>
      <c r="AM18" s="15" t="s">
        <v>3224</v>
      </c>
      <c r="AN18" s="15" t="s">
        <v>3216</v>
      </c>
      <c r="AO18" s="19"/>
      <c r="AP18" s="19"/>
      <c r="AQ18" s="15"/>
      <c r="AR18" s="189"/>
      <c r="AS18" s="19"/>
      <c r="AT18" s="19"/>
      <c r="AU18" s="19"/>
      <c r="AV18" s="19"/>
      <c r="AW18" s="19"/>
      <c r="AX18" s="15"/>
      <c r="AY18" s="189"/>
      <c r="AZ18" s="19"/>
      <c r="BA18" s="19"/>
      <c r="BB18" s="19"/>
      <c r="BC18" s="19"/>
      <c r="BD18" s="19"/>
      <c r="BE18" s="19"/>
      <c r="BF18" s="189"/>
      <c r="BG18" s="19"/>
      <c r="BH18" s="19"/>
      <c r="BI18" s="19"/>
      <c r="BJ18" s="19"/>
      <c r="BK18" s="19"/>
      <c r="BL18" s="19"/>
      <c r="BM18" s="189"/>
      <c r="BN18" s="19"/>
      <c r="BO18" s="19"/>
      <c r="BP18" s="19"/>
      <c r="BQ18" s="19"/>
      <c r="BR18" s="141" t="s">
        <v>3190</v>
      </c>
      <c r="BS18" s="141" t="s">
        <v>3191</v>
      </c>
      <c r="BT18" s="15" t="s">
        <v>354</v>
      </c>
      <c r="BU18" s="14"/>
      <c r="BV18" s="15" t="s">
        <v>355</v>
      </c>
      <c r="BW18" s="14"/>
      <c r="BX18" s="15"/>
      <c r="BY18" s="14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63" t="s">
        <v>3251</v>
      </c>
      <c r="CK18" s="264" t="s">
        <v>4981</v>
      </c>
      <c r="CL18" s="264" t="s">
        <v>4991</v>
      </c>
      <c r="CM18" s="264" t="s">
        <v>5036</v>
      </c>
      <c r="CN18" s="264" t="s">
        <v>3684</v>
      </c>
      <c r="CO18" s="264" t="s">
        <v>3092</v>
      </c>
    </row>
    <row r="19" spans="1:93" ht="36.6">
      <c r="A19" s="129">
        <v>12</v>
      </c>
      <c r="B19" s="322" t="s">
        <v>5037</v>
      </c>
      <c r="C19" s="322" t="s">
        <v>5038</v>
      </c>
      <c r="D19" s="14" t="s">
        <v>5039</v>
      </c>
      <c r="E19" s="13" t="s">
        <v>5040</v>
      </c>
      <c r="F19" s="13">
        <v>2021</v>
      </c>
      <c r="G19" s="13">
        <v>2021</v>
      </c>
      <c r="H19" s="13">
        <v>6</v>
      </c>
      <c r="I19" s="15" t="s">
        <v>4986</v>
      </c>
      <c r="J19" s="362">
        <f t="shared" si="0"/>
        <v>20000000</v>
      </c>
      <c r="K19" s="453">
        <v>20000000</v>
      </c>
      <c r="L19" s="15" t="s">
        <v>3216</v>
      </c>
      <c r="M19" s="13">
        <v>7</v>
      </c>
      <c r="N19" s="15" t="s">
        <v>4978</v>
      </c>
      <c r="O19" s="14" t="s">
        <v>3223</v>
      </c>
      <c r="P19" s="13" t="s">
        <v>3215</v>
      </c>
      <c r="Q19" s="15" t="s">
        <v>4951</v>
      </c>
      <c r="R19" s="13">
        <v>6680651</v>
      </c>
      <c r="S19" s="23" t="s">
        <v>12</v>
      </c>
      <c r="T19" s="16" t="s">
        <v>1016</v>
      </c>
      <c r="U19" s="186">
        <f>K19/5</f>
        <v>4000000</v>
      </c>
      <c r="V19" s="15" t="s">
        <v>155</v>
      </c>
      <c r="W19" s="15" t="s">
        <v>3224</v>
      </c>
      <c r="X19" s="15" t="s">
        <v>3216</v>
      </c>
      <c r="Y19" s="8">
        <v>8140</v>
      </c>
      <c r="Z19" s="187" t="s">
        <v>3291</v>
      </c>
      <c r="AA19" s="13">
        <v>6680612</v>
      </c>
      <c r="AB19" s="16" t="s">
        <v>960</v>
      </c>
      <c r="AC19" s="15" t="s">
        <v>19</v>
      </c>
      <c r="AD19" s="188">
        <f>K19/5</f>
        <v>4000000</v>
      </c>
      <c r="AE19" s="15" t="s">
        <v>155</v>
      </c>
      <c r="AF19" s="15" t="s">
        <v>3224</v>
      </c>
      <c r="AG19" s="15" t="s">
        <v>3216</v>
      </c>
      <c r="AH19" s="8">
        <v>6680708</v>
      </c>
      <c r="AI19" s="10" t="s">
        <v>2436</v>
      </c>
      <c r="AJ19" s="15" t="s">
        <v>85</v>
      </c>
      <c r="AK19" s="188">
        <f>K19/5</f>
        <v>4000000</v>
      </c>
      <c r="AL19" s="15" t="s">
        <v>155</v>
      </c>
      <c r="AM19" s="15" t="s">
        <v>3224</v>
      </c>
      <c r="AN19" s="15" t="s">
        <v>3216</v>
      </c>
      <c r="AO19" s="8">
        <v>6680641</v>
      </c>
      <c r="AP19" s="203" t="s">
        <v>1794</v>
      </c>
      <c r="AQ19" s="6" t="s">
        <v>3231</v>
      </c>
      <c r="AR19" s="58">
        <f>K19/5</f>
        <v>4000000</v>
      </c>
      <c r="AS19" s="19" t="s">
        <v>151</v>
      </c>
      <c r="AT19" s="15" t="s">
        <v>3217</v>
      </c>
      <c r="AU19" s="15" t="s">
        <v>3216</v>
      </c>
      <c r="AV19" s="13">
        <v>6682174</v>
      </c>
      <c r="AW19" s="16" t="s">
        <v>2285</v>
      </c>
      <c r="AX19" s="15" t="s">
        <v>20</v>
      </c>
      <c r="AY19" s="58">
        <f>K19/5</f>
        <v>4000000</v>
      </c>
      <c r="AZ19" s="15" t="s">
        <v>156</v>
      </c>
      <c r="BA19" s="15" t="s">
        <v>3217</v>
      </c>
      <c r="BB19" s="15" t="s">
        <v>3216</v>
      </c>
      <c r="BC19" s="19"/>
      <c r="BD19" s="19"/>
      <c r="BE19" s="19"/>
      <c r="BF19" s="189"/>
      <c r="BG19" s="19"/>
      <c r="BH19" s="19"/>
      <c r="BI19" s="19"/>
      <c r="BJ19" s="19"/>
      <c r="BK19" s="19"/>
      <c r="BL19" s="19"/>
      <c r="BM19" s="58"/>
      <c r="BN19" s="19"/>
      <c r="BO19" s="19"/>
      <c r="BP19" s="19"/>
      <c r="BQ19" s="19"/>
      <c r="BR19" s="141" t="s">
        <v>3190</v>
      </c>
      <c r="BS19" s="141" t="s">
        <v>3191</v>
      </c>
      <c r="BT19" s="15" t="s">
        <v>1082</v>
      </c>
      <c r="BU19" s="14"/>
      <c r="BV19" s="15" t="s">
        <v>1118</v>
      </c>
      <c r="BW19" s="14"/>
      <c r="BX19" s="15" t="s">
        <v>5041</v>
      </c>
      <c r="BY19" s="14"/>
      <c r="BZ19" s="20" t="s">
        <v>5042</v>
      </c>
      <c r="CA19" s="20"/>
      <c r="CB19" s="20" t="s">
        <v>550</v>
      </c>
      <c r="CC19" s="20"/>
      <c r="CD19" s="20" t="s">
        <v>3068</v>
      </c>
      <c r="CE19" s="20"/>
      <c r="CF19" s="20" t="s">
        <v>5043</v>
      </c>
      <c r="CG19" s="20"/>
      <c r="CH19" s="20" t="s">
        <v>3588</v>
      </c>
      <c r="CI19" s="20"/>
      <c r="CJ19" s="263" t="s">
        <v>3061</v>
      </c>
      <c r="CK19" s="264" t="s">
        <v>4981</v>
      </c>
      <c r="CL19" s="264" t="s">
        <v>5009</v>
      </c>
      <c r="CM19" s="264" t="s">
        <v>5044</v>
      </c>
      <c r="CN19" s="265" t="s">
        <v>942</v>
      </c>
      <c r="CO19" s="264" t="s">
        <v>3739</v>
      </c>
    </row>
    <row r="20" spans="1:93" ht="36">
      <c r="A20" s="297">
        <v>13</v>
      </c>
      <c r="B20" s="322" t="s">
        <v>5045</v>
      </c>
      <c r="C20" s="322" t="s">
        <v>5046</v>
      </c>
      <c r="D20" s="14" t="s">
        <v>5047</v>
      </c>
      <c r="E20" s="13" t="s">
        <v>5040</v>
      </c>
      <c r="F20" s="13">
        <v>2021</v>
      </c>
      <c r="G20" s="13">
        <v>2021</v>
      </c>
      <c r="H20" s="13">
        <v>3</v>
      </c>
      <c r="I20" s="15" t="s">
        <v>4986</v>
      </c>
      <c r="J20" s="362">
        <f t="shared" si="0"/>
        <v>40000000</v>
      </c>
      <c r="K20" s="453">
        <v>40000000</v>
      </c>
      <c r="L20" s="15" t="s">
        <v>3216</v>
      </c>
      <c r="M20" s="13">
        <v>7</v>
      </c>
      <c r="N20" s="15" t="s">
        <v>4978</v>
      </c>
      <c r="O20" s="14" t="s">
        <v>3223</v>
      </c>
      <c r="P20" s="13" t="s">
        <v>3215</v>
      </c>
      <c r="Q20" s="15" t="s">
        <v>4951</v>
      </c>
      <c r="R20" s="13">
        <v>6665306</v>
      </c>
      <c r="S20" s="23" t="s">
        <v>28</v>
      </c>
      <c r="T20" s="16" t="s">
        <v>1727</v>
      </c>
      <c r="U20" s="186">
        <f>K20/4</f>
        <v>10000000</v>
      </c>
      <c r="V20" s="15" t="s">
        <v>166</v>
      </c>
      <c r="W20" s="15" t="s">
        <v>3217</v>
      </c>
      <c r="X20" s="15" t="s">
        <v>3216</v>
      </c>
      <c r="Y20" s="8">
        <v>8140</v>
      </c>
      <c r="Z20" s="187" t="s">
        <v>3291</v>
      </c>
      <c r="AA20" s="8">
        <v>6680633</v>
      </c>
      <c r="AB20" s="190" t="s">
        <v>3322</v>
      </c>
      <c r="AC20" s="6" t="s">
        <v>18</v>
      </c>
      <c r="AD20" s="188">
        <f>K20/4</f>
        <v>10000000</v>
      </c>
      <c r="AE20" s="15" t="s">
        <v>156</v>
      </c>
      <c r="AF20" s="15" t="s">
        <v>3217</v>
      </c>
      <c r="AG20" s="15" t="s">
        <v>3216</v>
      </c>
      <c r="AH20" s="8">
        <v>6680648</v>
      </c>
      <c r="AI20" s="6" t="s">
        <v>1036</v>
      </c>
      <c r="AJ20" s="6" t="s">
        <v>17</v>
      </c>
      <c r="AK20" s="188">
        <f>K20/4</f>
        <v>10000000</v>
      </c>
      <c r="AL20" s="15" t="s">
        <v>166</v>
      </c>
      <c r="AM20" s="15" t="s">
        <v>3217</v>
      </c>
      <c r="AN20" s="15" t="s">
        <v>3216</v>
      </c>
      <c r="AO20" s="205">
        <v>6744406</v>
      </c>
      <c r="AP20" s="207" t="s">
        <v>985</v>
      </c>
      <c r="AQ20" s="6" t="s">
        <v>352</v>
      </c>
      <c r="AR20" s="58">
        <f>K20/4</f>
        <v>10000000</v>
      </c>
      <c r="AS20" s="15" t="s">
        <v>166</v>
      </c>
      <c r="AT20" s="15" t="s">
        <v>3217</v>
      </c>
      <c r="AU20" s="15" t="s">
        <v>3216</v>
      </c>
      <c r="AV20" s="19"/>
      <c r="AW20" s="19"/>
      <c r="AX20" s="15"/>
      <c r="AY20" s="189"/>
      <c r="AZ20" s="19"/>
      <c r="BA20" s="19"/>
      <c r="BB20" s="19"/>
      <c r="BC20" s="19"/>
      <c r="BD20" s="19"/>
      <c r="BE20" s="19"/>
      <c r="BF20" s="189"/>
      <c r="BG20" s="19"/>
      <c r="BH20" s="19"/>
      <c r="BI20" s="19"/>
      <c r="BJ20" s="19"/>
      <c r="BK20" s="19"/>
      <c r="BL20" s="19"/>
      <c r="BM20" s="189"/>
      <c r="BN20" s="19"/>
      <c r="BO20" s="19"/>
      <c r="BP20" s="19"/>
      <c r="BQ20" s="19"/>
      <c r="BR20" s="141" t="s">
        <v>3190</v>
      </c>
      <c r="BS20" s="141" t="s">
        <v>3191</v>
      </c>
      <c r="BT20" s="15" t="s">
        <v>5048</v>
      </c>
      <c r="BU20" s="14" t="s">
        <v>3713</v>
      </c>
      <c r="BV20" s="15" t="s">
        <v>3067</v>
      </c>
      <c r="BW20" s="14" t="s">
        <v>3713</v>
      </c>
      <c r="BX20" s="15" t="s">
        <v>5049</v>
      </c>
      <c r="BY20" s="14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66" t="s">
        <v>942</v>
      </c>
      <c r="CK20" s="264" t="s">
        <v>4981</v>
      </c>
      <c r="CL20" s="265" t="s">
        <v>942</v>
      </c>
      <c r="CM20" s="264" t="s">
        <v>5021</v>
      </c>
      <c r="CN20" s="264" t="s">
        <v>3739</v>
      </c>
      <c r="CO20" s="264" t="s">
        <v>3739</v>
      </c>
    </row>
    <row r="21" spans="1:93" ht="36">
      <c r="A21" s="297">
        <v>14</v>
      </c>
      <c r="B21" s="322" t="s">
        <v>5045</v>
      </c>
      <c r="C21" s="322" t="s">
        <v>5050</v>
      </c>
      <c r="D21" s="14" t="s">
        <v>5051</v>
      </c>
      <c r="E21" s="13" t="s">
        <v>5040</v>
      </c>
      <c r="F21" s="13">
        <v>2021</v>
      </c>
      <c r="G21" s="13">
        <v>2021</v>
      </c>
      <c r="H21" s="13">
        <v>3</v>
      </c>
      <c r="I21" s="15" t="s">
        <v>4986</v>
      </c>
      <c r="J21" s="362">
        <f t="shared" si="0"/>
        <v>40000000</v>
      </c>
      <c r="K21" s="453">
        <v>40000000</v>
      </c>
      <c r="L21" s="15" t="s">
        <v>3216</v>
      </c>
      <c r="M21" s="13">
        <v>7</v>
      </c>
      <c r="N21" s="15" t="s">
        <v>4978</v>
      </c>
      <c r="O21" s="14" t="s">
        <v>3223</v>
      </c>
      <c r="P21" s="13" t="s">
        <v>3215</v>
      </c>
      <c r="Q21" s="15" t="s">
        <v>4951</v>
      </c>
      <c r="R21" s="13">
        <v>6680623</v>
      </c>
      <c r="S21" s="23" t="s">
        <v>30</v>
      </c>
      <c r="T21" s="16" t="s">
        <v>1841</v>
      </c>
      <c r="U21" s="186">
        <f>K21/4</f>
        <v>10000000</v>
      </c>
      <c r="V21" s="15" t="s">
        <v>166</v>
      </c>
      <c r="W21" s="15" t="s">
        <v>3217</v>
      </c>
      <c r="X21" s="15" t="s">
        <v>3216</v>
      </c>
      <c r="Y21" s="8">
        <v>8140</v>
      </c>
      <c r="Z21" s="187" t="s">
        <v>3291</v>
      </c>
      <c r="AA21" s="8">
        <v>6680633</v>
      </c>
      <c r="AB21" s="190" t="s">
        <v>3322</v>
      </c>
      <c r="AC21" s="6" t="s">
        <v>18</v>
      </c>
      <c r="AD21" s="188">
        <f>K21/4</f>
        <v>10000000</v>
      </c>
      <c r="AE21" s="15" t="s">
        <v>156</v>
      </c>
      <c r="AF21" s="15" t="s">
        <v>3217</v>
      </c>
      <c r="AG21" s="15" t="s">
        <v>3216</v>
      </c>
      <c r="AH21" s="8">
        <v>6681051</v>
      </c>
      <c r="AI21" s="10" t="s">
        <v>1657</v>
      </c>
      <c r="AJ21" s="6" t="s">
        <v>6</v>
      </c>
      <c r="AK21" s="188">
        <f>K21/4</f>
        <v>10000000</v>
      </c>
      <c r="AL21" s="15" t="s">
        <v>155</v>
      </c>
      <c r="AM21" s="15" t="s">
        <v>3224</v>
      </c>
      <c r="AN21" s="15" t="s">
        <v>3216</v>
      </c>
      <c r="AO21" s="13">
        <v>6764236</v>
      </c>
      <c r="AP21" s="16" t="s">
        <v>1684</v>
      </c>
      <c r="AQ21" s="15" t="s">
        <v>5052</v>
      </c>
      <c r="AR21" s="58">
        <f>K21/4</f>
        <v>10000000</v>
      </c>
      <c r="AS21" s="15" t="s">
        <v>166</v>
      </c>
      <c r="AT21" s="15" t="s">
        <v>3217</v>
      </c>
      <c r="AU21" s="15" t="s">
        <v>3216</v>
      </c>
      <c r="AV21" s="19"/>
      <c r="AW21" s="19"/>
      <c r="AX21" s="15"/>
      <c r="AY21" s="189"/>
      <c r="AZ21" s="19"/>
      <c r="BA21" s="19"/>
      <c r="BB21" s="19"/>
      <c r="BC21" s="19"/>
      <c r="BD21" s="19"/>
      <c r="BE21" s="19"/>
      <c r="BF21" s="189"/>
      <c r="BG21" s="19"/>
      <c r="BH21" s="19"/>
      <c r="BI21" s="19"/>
      <c r="BJ21" s="19"/>
      <c r="BK21" s="19"/>
      <c r="BL21" s="19"/>
      <c r="BM21" s="189"/>
      <c r="BN21" s="19"/>
      <c r="BO21" s="19"/>
      <c r="BP21" s="19"/>
      <c r="BQ21" s="19"/>
      <c r="BR21" s="141" t="s">
        <v>3190</v>
      </c>
      <c r="BS21" s="141" t="s">
        <v>3191</v>
      </c>
      <c r="BT21" s="15" t="s">
        <v>1659</v>
      </c>
      <c r="BU21" s="14" t="s">
        <v>3737</v>
      </c>
      <c r="BV21" s="15" t="s">
        <v>5053</v>
      </c>
      <c r="BW21" s="14" t="s">
        <v>3737</v>
      </c>
      <c r="BX21" s="15" t="s">
        <v>5054</v>
      </c>
      <c r="BY21" s="14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66" t="s">
        <v>942</v>
      </c>
      <c r="CK21" s="264" t="s">
        <v>4998</v>
      </c>
      <c r="CL21" s="265" t="s">
        <v>942</v>
      </c>
      <c r="CM21" s="264" t="s">
        <v>3739</v>
      </c>
      <c r="CN21" s="264" t="s">
        <v>3739</v>
      </c>
      <c r="CO21" s="264" t="s">
        <v>3739</v>
      </c>
    </row>
    <row r="22" spans="1:93" ht="48">
      <c r="A22" s="297">
        <v>15</v>
      </c>
      <c r="B22" s="322" t="s">
        <v>5045</v>
      </c>
      <c r="C22" s="322" t="s">
        <v>5055</v>
      </c>
      <c r="D22" s="14" t="s">
        <v>5056</v>
      </c>
      <c r="E22" s="13" t="s">
        <v>5040</v>
      </c>
      <c r="F22" s="13">
        <v>2021</v>
      </c>
      <c r="G22" s="13">
        <v>2021</v>
      </c>
      <c r="H22" s="13">
        <v>3</v>
      </c>
      <c r="I22" s="15" t="s">
        <v>4986</v>
      </c>
      <c r="J22" s="362">
        <f t="shared" si="0"/>
        <v>40000000</v>
      </c>
      <c r="K22" s="453">
        <v>40000000</v>
      </c>
      <c r="L22" s="15" t="s">
        <v>3216</v>
      </c>
      <c r="M22" s="13">
        <v>7</v>
      </c>
      <c r="N22" s="15" t="s">
        <v>4978</v>
      </c>
      <c r="O22" s="14" t="s">
        <v>3223</v>
      </c>
      <c r="P22" s="13" t="s">
        <v>3215</v>
      </c>
      <c r="Q22" s="15" t="s">
        <v>4951</v>
      </c>
      <c r="R22" s="13">
        <v>6680612</v>
      </c>
      <c r="S22" s="23" t="s">
        <v>19</v>
      </c>
      <c r="T22" s="16" t="s">
        <v>960</v>
      </c>
      <c r="U22" s="186">
        <f>K22/5</f>
        <v>8000000</v>
      </c>
      <c r="V22" s="15" t="s">
        <v>155</v>
      </c>
      <c r="W22" s="15" t="s">
        <v>3224</v>
      </c>
      <c r="X22" s="15" t="s">
        <v>3216</v>
      </c>
      <c r="Y22" s="8">
        <v>8140</v>
      </c>
      <c r="Z22" s="187" t="s">
        <v>3291</v>
      </c>
      <c r="AA22" s="8">
        <v>6680633</v>
      </c>
      <c r="AB22" s="190" t="s">
        <v>3322</v>
      </c>
      <c r="AC22" s="6" t="s">
        <v>18</v>
      </c>
      <c r="AD22" s="188">
        <f>K22/5</f>
        <v>8000000</v>
      </c>
      <c r="AE22" s="15" t="s">
        <v>156</v>
      </c>
      <c r="AF22" s="15" t="s">
        <v>3217</v>
      </c>
      <c r="AG22" s="15" t="s">
        <v>3216</v>
      </c>
      <c r="AH22" s="13">
        <v>6680627</v>
      </c>
      <c r="AI22" s="16" t="s">
        <v>1912</v>
      </c>
      <c r="AJ22" s="15" t="s">
        <v>5057</v>
      </c>
      <c r="AK22" s="188">
        <f>K22/5</f>
        <v>8000000</v>
      </c>
      <c r="AL22" s="15" t="s">
        <v>155</v>
      </c>
      <c r="AM22" s="15" t="s">
        <v>3224</v>
      </c>
      <c r="AN22" s="15" t="s">
        <v>3216</v>
      </c>
      <c r="AO22" s="8">
        <v>6680628</v>
      </c>
      <c r="AP22" s="10" t="s">
        <v>1007</v>
      </c>
      <c r="AQ22" s="6" t="s">
        <v>89</v>
      </c>
      <c r="AR22" s="58">
        <f>K22/5</f>
        <v>8000000</v>
      </c>
      <c r="AS22" s="15" t="s">
        <v>164</v>
      </c>
      <c r="AT22" s="15" t="s">
        <v>3224</v>
      </c>
      <c r="AU22" s="15" t="s">
        <v>3216</v>
      </c>
      <c r="AV22" s="13">
        <v>6680698</v>
      </c>
      <c r="AW22" s="16" t="s">
        <v>1002</v>
      </c>
      <c r="AX22" s="15" t="s">
        <v>165</v>
      </c>
      <c r="AY22" s="58">
        <f>K22/5</f>
        <v>8000000</v>
      </c>
      <c r="AZ22" s="15" t="s">
        <v>164</v>
      </c>
      <c r="BA22" s="15" t="s">
        <v>3224</v>
      </c>
      <c r="BB22" s="15" t="s">
        <v>3216</v>
      </c>
      <c r="BC22" s="19"/>
      <c r="BD22" s="19"/>
      <c r="BE22" s="19"/>
      <c r="BF22" s="189"/>
      <c r="BG22" s="19"/>
      <c r="BH22" s="19"/>
      <c r="BI22" s="19"/>
      <c r="BJ22" s="19"/>
      <c r="BK22" s="19"/>
      <c r="BL22" s="19"/>
      <c r="BM22" s="58"/>
      <c r="BN22" s="19"/>
      <c r="BO22" s="19"/>
      <c r="BP22" s="19"/>
      <c r="BQ22" s="19"/>
      <c r="BR22" s="141" t="s">
        <v>3190</v>
      </c>
      <c r="BS22" s="141" t="s">
        <v>3191</v>
      </c>
      <c r="BT22" s="15" t="s">
        <v>5058</v>
      </c>
      <c r="BU22" s="14"/>
      <c r="BV22" s="15" t="s">
        <v>3122</v>
      </c>
      <c r="BW22" s="14" t="s">
        <v>3589</v>
      </c>
      <c r="BX22" s="15" t="s">
        <v>5059</v>
      </c>
      <c r="BY22" s="14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66" t="s">
        <v>942</v>
      </c>
      <c r="CK22" s="264" t="s">
        <v>4998</v>
      </c>
      <c r="CL22" s="265" t="s">
        <v>942</v>
      </c>
      <c r="CM22" s="264" t="s">
        <v>3739</v>
      </c>
      <c r="CN22" s="264" t="s">
        <v>3739</v>
      </c>
      <c r="CO22" s="264" t="s">
        <v>3739</v>
      </c>
    </row>
    <row r="23" spans="1:93" ht="34.5" customHeight="1">
      <c r="A23" s="129">
        <v>16</v>
      </c>
      <c r="B23" s="322" t="s">
        <v>5045</v>
      </c>
      <c r="C23" s="329" t="s">
        <v>5055</v>
      </c>
      <c r="D23" s="103" t="s">
        <v>5060</v>
      </c>
      <c r="E23" s="102" t="s">
        <v>5040</v>
      </c>
      <c r="F23" s="102">
        <v>2021</v>
      </c>
      <c r="G23" s="102">
        <v>2021</v>
      </c>
      <c r="H23" s="102">
        <v>3</v>
      </c>
      <c r="I23" s="15" t="s">
        <v>4986</v>
      </c>
      <c r="J23" s="479">
        <f t="shared" si="0"/>
        <v>450000000</v>
      </c>
      <c r="K23" s="455">
        <v>450000000</v>
      </c>
      <c r="L23" s="104" t="s">
        <v>3216</v>
      </c>
      <c r="M23" s="13">
        <v>7</v>
      </c>
      <c r="N23" s="15" t="s">
        <v>4978</v>
      </c>
      <c r="O23" s="14" t="s">
        <v>3223</v>
      </c>
      <c r="P23" s="102" t="s">
        <v>3215</v>
      </c>
      <c r="Q23" s="15" t="s">
        <v>4951</v>
      </c>
      <c r="R23" s="102">
        <v>6680651</v>
      </c>
      <c r="S23" s="105" t="s">
        <v>12</v>
      </c>
      <c r="T23" s="106" t="s">
        <v>1016</v>
      </c>
      <c r="U23" s="209">
        <f>K23/3</f>
        <v>150000000</v>
      </c>
      <c r="V23" s="104" t="s">
        <v>155</v>
      </c>
      <c r="W23" s="104" t="s">
        <v>3224</v>
      </c>
      <c r="X23" s="104" t="s">
        <v>3216</v>
      </c>
      <c r="Y23" s="210">
        <v>8140</v>
      </c>
      <c r="Z23" s="211" t="s">
        <v>3291</v>
      </c>
      <c r="AA23" s="102">
        <v>6680687</v>
      </c>
      <c r="AB23" s="102">
        <v>702048705</v>
      </c>
      <c r="AC23" s="104" t="s">
        <v>29</v>
      </c>
      <c r="AD23" s="208">
        <f>K23/3</f>
        <v>150000000</v>
      </c>
      <c r="AE23" s="104"/>
      <c r="AF23" s="104"/>
      <c r="AG23" s="104"/>
      <c r="AH23" s="102">
        <v>6680623</v>
      </c>
      <c r="AI23" s="106" t="s">
        <v>1841</v>
      </c>
      <c r="AJ23" s="104" t="s">
        <v>30</v>
      </c>
      <c r="AK23" s="208">
        <f>K23/3</f>
        <v>150000000</v>
      </c>
      <c r="AL23" s="104"/>
      <c r="AM23" s="104"/>
      <c r="AN23" s="212"/>
      <c r="AO23" s="212"/>
      <c r="AP23" s="212"/>
      <c r="AQ23" s="104"/>
      <c r="AR23" s="213"/>
      <c r="AS23" s="212"/>
      <c r="AT23" s="212"/>
      <c r="AU23" s="212"/>
      <c r="AV23" s="212"/>
      <c r="AW23" s="212"/>
      <c r="AX23" s="104"/>
      <c r="AY23" s="212"/>
      <c r="AZ23" s="212"/>
      <c r="BA23" s="212"/>
      <c r="BB23" s="212"/>
      <c r="BC23" s="212"/>
      <c r="BD23" s="212"/>
      <c r="BE23" s="212"/>
      <c r="BF23" s="189"/>
      <c r="BG23" s="212"/>
      <c r="BH23" s="212"/>
      <c r="BI23" s="212"/>
      <c r="BJ23" s="212"/>
      <c r="BK23" s="212"/>
      <c r="BL23" s="212"/>
      <c r="BM23" s="212"/>
      <c r="BN23" s="212"/>
      <c r="BO23" s="212"/>
      <c r="BP23" s="212"/>
      <c r="BQ23" s="212"/>
      <c r="BR23" s="141" t="s">
        <v>3190</v>
      </c>
      <c r="BS23" s="141" t="s">
        <v>3191</v>
      </c>
      <c r="BT23" s="104" t="s">
        <v>3261</v>
      </c>
      <c r="BU23" s="103"/>
      <c r="BV23" s="104" t="s">
        <v>1835</v>
      </c>
      <c r="BW23" s="103" t="s">
        <v>3737</v>
      </c>
      <c r="BX23" s="104" t="s">
        <v>2303</v>
      </c>
      <c r="BY23" s="103"/>
      <c r="BZ23" s="214"/>
      <c r="CA23" s="214"/>
      <c r="CB23" s="214"/>
      <c r="CC23" s="214"/>
      <c r="CD23" s="214"/>
      <c r="CE23" s="214"/>
      <c r="CF23" s="214"/>
      <c r="CG23" s="214"/>
      <c r="CH23" s="214"/>
      <c r="CI23" s="214"/>
      <c r="CJ23" s="267" t="s">
        <v>3739</v>
      </c>
      <c r="CK23" s="268" t="s">
        <v>4981</v>
      </c>
      <c r="CL23" s="268" t="s">
        <v>5009</v>
      </c>
      <c r="CM23" s="268" t="s">
        <v>5061</v>
      </c>
      <c r="CN23" s="268" t="s">
        <v>3739</v>
      </c>
      <c r="CO23" s="268" t="s">
        <v>3739</v>
      </c>
    </row>
    <row r="24" spans="1:93" ht="36">
      <c r="A24" s="297">
        <v>17</v>
      </c>
      <c r="B24" s="322" t="s">
        <v>5045</v>
      </c>
      <c r="C24" s="322" t="s">
        <v>5062</v>
      </c>
      <c r="D24" s="14" t="s">
        <v>5063</v>
      </c>
      <c r="E24" s="13" t="s">
        <v>5040</v>
      </c>
      <c r="F24" s="13">
        <v>2021</v>
      </c>
      <c r="G24" s="13">
        <v>2021</v>
      </c>
      <c r="H24" s="13">
        <v>3</v>
      </c>
      <c r="I24" s="15" t="s">
        <v>4986</v>
      </c>
      <c r="J24" s="362">
        <f t="shared" si="0"/>
        <v>40000000</v>
      </c>
      <c r="K24" s="453">
        <v>40000000</v>
      </c>
      <c r="L24" s="15" t="s">
        <v>3216</v>
      </c>
      <c r="M24" s="13">
        <v>7</v>
      </c>
      <c r="N24" s="15" t="s">
        <v>4978</v>
      </c>
      <c r="O24" s="14" t="s">
        <v>3223</v>
      </c>
      <c r="P24" s="13" t="s">
        <v>3215</v>
      </c>
      <c r="Q24" s="15" t="s">
        <v>4951</v>
      </c>
      <c r="R24" s="13">
        <v>6805206</v>
      </c>
      <c r="S24" s="23" t="s">
        <v>73</v>
      </c>
      <c r="T24" s="13">
        <v>8920230021</v>
      </c>
      <c r="U24" s="186">
        <f>K24/4</f>
        <v>10000000</v>
      </c>
      <c r="V24" s="15" t="s">
        <v>164</v>
      </c>
      <c r="W24" s="15" t="s">
        <v>3217</v>
      </c>
      <c r="X24" s="15" t="s">
        <v>3216</v>
      </c>
      <c r="Y24" s="8">
        <v>8140</v>
      </c>
      <c r="Z24" s="187" t="s">
        <v>3291</v>
      </c>
      <c r="AA24" s="13">
        <v>6682174</v>
      </c>
      <c r="AB24" s="16" t="s">
        <v>2285</v>
      </c>
      <c r="AC24" s="15" t="s">
        <v>20</v>
      </c>
      <c r="AD24" s="188">
        <f>K24/4</f>
        <v>10000000</v>
      </c>
      <c r="AE24" s="15" t="s">
        <v>156</v>
      </c>
      <c r="AF24" s="15" t="s">
        <v>3217</v>
      </c>
      <c r="AG24" s="15" t="s">
        <v>3216</v>
      </c>
      <c r="AH24" s="8">
        <v>6680628</v>
      </c>
      <c r="AI24" s="10" t="s">
        <v>1007</v>
      </c>
      <c r="AJ24" s="6" t="s">
        <v>89</v>
      </c>
      <c r="AK24" s="188">
        <f>K24/4</f>
        <v>10000000</v>
      </c>
      <c r="AL24" s="15"/>
      <c r="AM24" s="15"/>
      <c r="AN24" s="19"/>
      <c r="AO24" s="13">
        <v>6680618</v>
      </c>
      <c r="AP24" s="16" t="s">
        <v>1737</v>
      </c>
      <c r="AQ24" s="15" t="s">
        <v>24</v>
      </c>
      <c r="AR24" s="58">
        <f>K24/4</f>
        <v>10000000</v>
      </c>
      <c r="AS24" s="15" t="s">
        <v>160</v>
      </c>
      <c r="AT24" s="15" t="s">
        <v>3224</v>
      </c>
      <c r="AU24" s="15" t="s">
        <v>3216</v>
      </c>
      <c r="AV24" s="19"/>
      <c r="AW24" s="19"/>
      <c r="AX24" s="15"/>
      <c r="AY24" s="189"/>
      <c r="AZ24" s="19"/>
      <c r="BA24" s="19"/>
      <c r="BB24" s="19"/>
      <c r="BC24" s="19"/>
      <c r="BD24" s="19"/>
      <c r="BE24" s="19"/>
      <c r="BF24" s="189"/>
      <c r="BG24" s="19"/>
      <c r="BH24" s="19"/>
      <c r="BI24" s="19"/>
      <c r="BJ24" s="19"/>
      <c r="BK24" s="19"/>
      <c r="BL24" s="19"/>
      <c r="BM24" s="189"/>
      <c r="BN24" s="19"/>
      <c r="BO24" s="19"/>
      <c r="BP24" s="19"/>
      <c r="BQ24" s="19"/>
      <c r="BR24" s="141" t="s">
        <v>3190</v>
      </c>
      <c r="BS24" s="141" t="s">
        <v>3191</v>
      </c>
      <c r="BT24" s="15" t="s">
        <v>355</v>
      </c>
      <c r="BU24" s="14"/>
      <c r="BV24" s="15" t="s">
        <v>5064</v>
      </c>
      <c r="BW24" s="14"/>
      <c r="BX24" s="15"/>
      <c r="BY24" s="14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63" t="s">
        <v>3739</v>
      </c>
      <c r="CK24" s="264" t="s">
        <v>3739</v>
      </c>
      <c r="CL24" s="264" t="s">
        <v>3739</v>
      </c>
      <c r="CM24" s="264" t="s">
        <v>3739</v>
      </c>
      <c r="CN24" s="264" t="s">
        <v>3739</v>
      </c>
      <c r="CO24" s="264" t="s">
        <v>3739</v>
      </c>
    </row>
    <row r="25" spans="1:93" ht="36">
      <c r="A25" s="129">
        <v>18</v>
      </c>
      <c r="B25" s="322" t="s">
        <v>5065</v>
      </c>
      <c r="C25" s="15" t="s">
        <v>942</v>
      </c>
      <c r="D25" s="336" t="s">
        <v>5066</v>
      </c>
      <c r="E25" s="15" t="s">
        <v>5067</v>
      </c>
      <c r="F25" s="13">
        <v>2021</v>
      </c>
      <c r="G25" s="13">
        <v>2021</v>
      </c>
      <c r="H25" s="13">
        <v>5</v>
      </c>
      <c r="I25" s="15" t="s">
        <v>4977</v>
      </c>
      <c r="J25" s="362">
        <f t="shared" si="0"/>
        <v>48800000</v>
      </c>
      <c r="K25" s="453">
        <v>48800000</v>
      </c>
      <c r="L25" s="15" t="s">
        <v>3216</v>
      </c>
      <c r="M25" s="13">
        <v>7</v>
      </c>
      <c r="N25" s="15" t="s">
        <v>4978</v>
      </c>
      <c r="O25" s="14" t="s">
        <v>3077</v>
      </c>
      <c r="P25" s="13"/>
      <c r="Q25" s="135" t="s">
        <v>4970</v>
      </c>
      <c r="R25" s="13">
        <v>6680627</v>
      </c>
      <c r="S25" s="23" t="s">
        <v>95</v>
      </c>
      <c r="T25" s="16" t="s">
        <v>1912</v>
      </c>
      <c r="U25" s="186">
        <f>K25/2</f>
        <v>24400000</v>
      </c>
      <c r="V25" s="15" t="s">
        <v>160</v>
      </c>
      <c r="W25" s="15" t="s">
        <v>3217</v>
      </c>
      <c r="X25" s="15" t="s">
        <v>3216</v>
      </c>
      <c r="Y25" s="8">
        <v>8140</v>
      </c>
      <c r="Z25" s="187" t="s">
        <v>3291</v>
      </c>
      <c r="AA25" s="17"/>
      <c r="AB25" s="17"/>
      <c r="AC25" s="17" t="s">
        <v>1157</v>
      </c>
      <c r="AD25" s="206"/>
      <c r="AE25" s="15"/>
      <c r="AF25" s="15"/>
      <c r="AG25" s="15"/>
      <c r="AH25" s="8">
        <v>6680708</v>
      </c>
      <c r="AI25" s="10" t="s">
        <v>2436</v>
      </c>
      <c r="AJ25" s="15" t="s">
        <v>85</v>
      </c>
      <c r="AK25" s="188">
        <f>K25/2</f>
        <v>24400000</v>
      </c>
      <c r="AL25" s="15" t="s">
        <v>155</v>
      </c>
      <c r="AM25" s="15" t="s">
        <v>3224</v>
      </c>
      <c r="AN25" s="15" t="s">
        <v>3216</v>
      </c>
      <c r="AO25" s="19"/>
      <c r="AP25" s="19"/>
      <c r="AQ25" s="15"/>
      <c r="AR25" s="189"/>
      <c r="AS25" s="19"/>
      <c r="AT25" s="19"/>
      <c r="AU25" s="19"/>
      <c r="AV25" s="19"/>
      <c r="AW25" s="19"/>
      <c r="AX25" s="15"/>
      <c r="AY25" s="189"/>
      <c r="AZ25" s="19"/>
      <c r="BA25" s="19"/>
      <c r="BB25" s="19"/>
      <c r="BC25" s="19"/>
      <c r="BD25" s="19"/>
      <c r="BE25" s="19"/>
      <c r="BF25" s="189"/>
      <c r="BG25" s="19"/>
      <c r="BH25" s="19"/>
      <c r="BI25" s="19"/>
      <c r="BJ25" s="19"/>
      <c r="BK25" s="19"/>
      <c r="BL25" s="19"/>
      <c r="BM25" s="189"/>
      <c r="BN25" s="19"/>
      <c r="BO25" s="19"/>
      <c r="BP25" s="19"/>
      <c r="BQ25" s="19"/>
      <c r="BR25" s="142" t="s">
        <v>3190</v>
      </c>
      <c r="BS25" s="142" t="s">
        <v>3191</v>
      </c>
      <c r="BT25" s="15"/>
      <c r="BU25" s="14"/>
      <c r="BV25" s="15"/>
      <c r="BW25" s="14"/>
      <c r="BX25" s="15"/>
      <c r="BY25" s="14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63" t="s">
        <v>3739</v>
      </c>
      <c r="CK25" s="264" t="s">
        <v>3739</v>
      </c>
      <c r="CL25" s="264" t="s">
        <v>3739</v>
      </c>
      <c r="CM25" s="264" t="s">
        <v>3739</v>
      </c>
      <c r="CN25" s="264" t="s">
        <v>3739</v>
      </c>
      <c r="CO25" s="264" t="s">
        <v>3739</v>
      </c>
    </row>
    <row r="26" spans="1:93" ht="36">
      <c r="A26" s="129">
        <v>19</v>
      </c>
      <c r="B26" s="322" t="s">
        <v>5068</v>
      </c>
      <c r="C26" s="322" t="s">
        <v>5069</v>
      </c>
      <c r="D26" s="14" t="s">
        <v>5070</v>
      </c>
      <c r="E26" s="13" t="s">
        <v>4976</v>
      </c>
      <c r="F26" s="13">
        <v>2021</v>
      </c>
      <c r="G26" s="13">
        <v>2021</v>
      </c>
      <c r="H26" s="13">
        <v>5</v>
      </c>
      <c r="I26" s="15" t="s">
        <v>4977</v>
      </c>
      <c r="J26" s="362">
        <f t="shared" si="0"/>
        <v>3456000</v>
      </c>
      <c r="K26" s="453">
        <v>3456000</v>
      </c>
      <c r="L26" s="15" t="s">
        <v>3216</v>
      </c>
      <c r="M26" s="13">
        <v>7</v>
      </c>
      <c r="N26" s="15" t="s">
        <v>4978</v>
      </c>
      <c r="O26" s="14" t="s">
        <v>3223</v>
      </c>
      <c r="P26" s="13"/>
      <c r="Q26" s="15" t="s">
        <v>4951</v>
      </c>
      <c r="R26" s="13">
        <v>6680683</v>
      </c>
      <c r="S26" s="23" t="s">
        <v>10</v>
      </c>
      <c r="T26" s="16" t="s">
        <v>2454</v>
      </c>
      <c r="U26" s="186">
        <f>K26/2</f>
        <v>1728000</v>
      </c>
      <c r="V26" s="15" t="s">
        <v>164</v>
      </c>
      <c r="W26" s="15" t="s">
        <v>3217</v>
      </c>
      <c r="X26" s="15" t="s">
        <v>3216</v>
      </c>
      <c r="Y26" s="8"/>
      <c r="Z26" s="215"/>
      <c r="AA26" s="202">
        <v>6680629</v>
      </c>
      <c r="AB26" s="216" t="s">
        <v>5071</v>
      </c>
      <c r="AC26" s="202" t="s">
        <v>27</v>
      </c>
      <c r="AD26" s="188">
        <f>K26/2</f>
        <v>1728000</v>
      </c>
      <c r="AE26" s="15" t="s">
        <v>151</v>
      </c>
      <c r="AF26" s="15" t="s">
        <v>3224</v>
      </c>
      <c r="AG26" s="15" t="s">
        <v>3216</v>
      </c>
      <c r="AH26" s="8"/>
      <c r="AI26" s="766"/>
      <c r="AJ26" s="15"/>
      <c r="AK26" s="188"/>
      <c r="AL26" s="15"/>
      <c r="AM26" s="15"/>
      <c r="AN26" s="19"/>
      <c r="AO26" s="19"/>
      <c r="AP26" s="19"/>
      <c r="AQ26" s="15"/>
      <c r="AR26" s="189"/>
      <c r="AS26" s="19"/>
      <c r="AT26" s="19"/>
      <c r="AU26" s="19"/>
      <c r="AV26" s="19"/>
      <c r="AW26" s="19"/>
      <c r="AX26" s="15"/>
      <c r="AY26" s="189"/>
      <c r="AZ26" s="19"/>
      <c r="BA26" s="19"/>
      <c r="BB26" s="19"/>
      <c r="BC26" s="19"/>
      <c r="BD26" s="19"/>
      <c r="BE26" s="19"/>
      <c r="BF26" s="189"/>
      <c r="BG26" s="19"/>
      <c r="BH26" s="19"/>
      <c r="BI26" s="19"/>
      <c r="BJ26" s="19"/>
      <c r="BK26" s="19"/>
      <c r="BL26" s="19"/>
      <c r="BM26" s="189"/>
      <c r="BN26" s="19"/>
      <c r="BO26" s="19"/>
      <c r="BP26" s="19"/>
      <c r="BQ26" s="19"/>
      <c r="BR26" s="141" t="s">
        <v>3190</v>
      </c>
      <c r="BS26" s="141" t="s">
        <v>3191</v>
      </c>
      <c r="BT26" s="15" t="s">
        <v>550</v>
      </c>
      <c r="BU26" s="14"/>
      <c r="BV26" s="15" t="s">
        <v>5072</v>
      </c>
      <c r="BW26" s="14"/>
      <c r="BX26" s="15"/>
      <c r="BY26" s="14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63" t="s">
        <v>3739</v>
      </c>
      <c r="CK26" s="264" t="s">
        <v>4981</v>
      </c>
      <c r="CL26" s="264" t="s">
        <v>5009</v>
      </c>
      <c r="CM26" s="264" t="s">
        <v>5073</v>
      </c>
      <c r="CN26" s="264" t="s">
        <v>3739</v>
      </c>
      <c r="CO26" s="264" t="s">
        <v>3739</v>
      </c>
    </row>
    <row r="27" spans="1:93" ht="36">
      <c r="A27" s="129">
        <v>20</v>
      </c>
      <c r="B27" s="322" t="s">
        <v>5068</v>
      </c>
      <c r="C27" s="322" t="s">
        <v>5074</v>
      </c>
      <c r="D27" s="14" t="s">
        <v>5075</v>
      </c>
      <c r="E27" s="13" t="s">
        <v>4976</v>
      </c>
      <c r="F27" s="13">
        <v>2021</v>
      </c>
      <c r="G27" s="13">
        <v>2021</v>
      </c>
      <c r="H27" s="13">
        <v>5</v>
      </c>
      <c r="I27" s="15" t="s">
        <v>4977</v>
      </c>
      <c r="J27" s="362">
        <f t="shared" si="0"/>
        <v>1000000</v>
      </c>
      <c r="K27" s="453">
        <v>1000000</v>
      </c>
      <c r="L27" s="15" t="s">
        <v>3216</v>
      </c>
      <c r="M27" s="13">
        <v>7</v>
      </c>
      <c r="N27" s="15" t="s">
        <v>4978</v>
      </c>
      <c r="O27" s="14" t="s">
        <v>3223</v>
      </c>
      <c r="P27" s="13"/>
      <c r="Q27" s="15" t="s">
        <v>4951</v>
      </c>
      <c r="R27" s="13">
        <v>6680678</v>
      </c>
      <c r="S27" s="23" t="s">
        <v>14</v>
      </c>
      <c r="T27" s="16" t="s">
        <v>1725</v>
      </c>
      <c r="U27" s="186">
        <f>K27/2</f>
        <v>500000</v>
      </c>
      <c r="V27" s="15" t="s">
        <v>151</v>
      </c>
      <c r="W27" s="15" t="s">
        <v>3224</v>
      </c>
      <c r="X27" s="15" t="s">
        <v>3216</v>
      </c>
      <c r="Y27" s="8"/>
      <c r="Z27" s="215"/>
      <c r="AA27" s="202">
        <v>6680683</v>
      </c>
      <c r="AB27" s="216" t="s">
        <v>2454</v>
      </c>
      <c r="AC27" s="202" t="s">
        <v>10</v>
      </c>
      <c r="AD27" s="188">
        <f>K27/2</f>
        <v>500000</v>
      </c>
      <c r="AE27" s="15" t="s">
        <v>164</v>
      </c>
      <c r="AF27" s="15" t="s">
        <v>3217</v>
      </c>
      <c r="AG27" s="15" t="s">
        <v>3216</v>
      </c>
      <c r="AH27" s="8"/>
      <c r="AI27" s="766"/>
      <c r="AJ27" s="15"/>
      <c r="AK27" s="188"/>
      <c r="AL27" s="15"/>
      <c r="AM27" s="15"/>
      <c r="AN27" s="19"/>
      <c r="AO27" s="19"/>
      <c r="AP27" s="19"/>
      <c r="AQ27" s="15"/>
      <c r="AR27" s="189"/>
      <c r="AS27" s="19"/>
      <c r="AT27" s="19"/>
      <c r="AU27" s="19"/>
      <c r="AV27" s="19"/>
      <c r="AW27" s="19"/>
      <c r="AX27" s="15"/>
      <c r="AY27" s="189"/>
      <c r="AZ27" s="19"/>
      <c r="BA27" s="19"/>
      <c r="BB27" s="19"/>
      <c r="BC27" s="19"/>
      <c r="BD27" s="19"/>
      <c r="BE27" s="19"/>
      <c r="BF27" s="189"/>
      <c r="BG27" s="19"/>
      <c r="BH27" s="19"/>
      <c r="BI27" s="19"/>
      <c r="BJ27" s="19"/>
      <c r="BK27" s="19"/>
      <c r="BL27" s="19"/>
      <c r="BM27" s="189"/>
      <c r="BN27" s="19"/>
      <c r="BO27" s="19"/>
      <c r="BP27" s="19"/>
      <c r="BQ27" s="19"/>
      <c r="BR27" s="141" t="s">
        <v>3190</v>
      </c>
      <c r="BS27" s="142" t="s">
        <v>3191</v>
      </c>
      <c r="BT27" s="15" t="s">
        <v>3078</v>
      </c>
      <c r="BU27" s="14"/>
      <c r="BV27" s="15"/>
      <c r="BW27" s="14"/>
      <c r="BX27" s="15"/>
      <c r="BY27" s="14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66" t="s">
        <v>942</v>
      </c>
      <c r="CK27" s="264" t="s">
        <v>4998</v>
      </c>
      <c r="CL27" s="265" t="s">
        <v>942</v>
      </c>
      <c r="CM27" s="264" t="s">
        <v>5076</v>
      </c>
      <c r="CN27" s="264" t="s">
        <v>3739</v>
      </c>
      <c r="CO27" s="264" t="s">
        <v>3739</v>
      </c>
    </row>
    <row r="28" spans="1:93" ht="60.6">
      <c r="A28" s="129">
        <v>21</v>
      </c>
      <c r="B28" s="322" t="s">
        <v>5068</v>
      </c>
      <c r="C28" s="15" t="s">
        <v>942</v>
      </c>
      <c r="D28" s="336" t="s">
        <v>5077</v>
      </c>
      <c r="E28" s="15" t="s">
        <v>5078</v>
      </c>
      <c r="F28" s="13">
        <v>2021</v>
      </c>
      <c r="G28" s="13">
        <v>2021</v>
      </c>
      <c r="H28" s="13">
        <v>5</v>
      </c>
      <c r="I28" s="15" t="s">
        <v>4977</v>
      </c>
      <c r="J28" s="362">
        <v>0</v>
      </c>
      <c r="K28" s="453">
        <v>5000000</v>
      </c>
      <c r="L28" s="15" t="s">
        <v>3216</v>
      </c>
      <c r="M28" s="13">
        <v>7</v>
      </c>
      <c r="N28" s="15" t="s">
        <v>4978</v>
      </c>
      <c r="O28" s="14" t="s">
        <v>3223</v>
      </c>
      <c r="P28" s="13"/>
      <c r="Q28" s="15" t="s">
        <v>4951</v>
      </c>
      <c r="R28" s="18"/>
      <c r="S28" s="7" t="s">
        <v>1573</v>
      </c>
      <c r="T28" s="18"/>
      <c r="U28" s="186">
        <f>K28/2</f>
        <v>2500000</v>
      </c>
      <c r="V28" s="15"/>
      <c r="W28" s="15"/>
      <c r="X28" s="15"/>
      <c r="Y28" s="8"/>
      <c r="Z28" s="215"/>
      <c r="AA28" s="6">
        <v>6801989</v>
      </c>
      <c r="AB28" s="6" t="s">
        <v>1890</v>
      </c>
      <c r="AC28" s="6" t="s">
        <v>174</v>
      </c>
      <c r="AD28" s="188">
        <f>K28/2</f>
        <v>2500000</v>
      </c>
      <c r="AE28" s="15" t="s">
        <v>3093</v>
      </c>
      <c r="AF28" s="15" t="s">
        <v>3217</v>
      </c>
      <c r="AG28" s="15" t="s">
        <v>3216</v>
      </c>
      <c r="AH28" s="8"/>
      <c r="AI28" s="766"/>
      <c r="AJ28" s="15"/>
      <c r="AK28" s="188"/>
      <c r="AL28" s="15"/>
      <c r="AM28" s="15"/>
      <c r="AN28" s="19"/>
      <c r="AO28" s="19"/>
      <c r="AP28" s="19"/>
      <c r="AQ28" s="15"/>
      <c r="AR28" s="189"/>
      <c r="AS28" s="19"/>
      <c r="AT28" s="19"/>
      <c r="AU28" s="19"/>
      <c r="AV28" s="19"/>
      <c r="AW28" s="19"/>
      <c r="AX28" s="15"/>
      <c r="AY28" s="189"/>
      <c r="AZ28" s="19"/>
      <c r="BA28" s="19"/>
      <c r="BB28" s="19"/>
      <c r="BC28" s="19"/>
      <c r="BD28" s="19"/>
      <c r="BE28" s="19"/>
      <c r="BF28" s="189"/>
      <c r="BG28" s="19"/>
      <c r="BH28" s="19"/>
      <c r="BI28" s="19"/>
      <c r="BJ28" s="19"/>
      <c r="BK28" s="19"/>
      <c r="BL28" s="19"/>
      <c r="BM28" s="189"/>
      <c r="BN28" s="19"/>
      <c r="BO28" s="19"/>
      <c r="BP28" s="19"/>
      <c r="BQ28" s="19"/>
      <c r="BR28" s="141" t="s">
        <v>3190</v>
      </c>
      <c r="BS28" s="141" t="s">
        <v>3191</v>
      </c>
      <c r="BT28" s="15" t="s">
        <v>5079</v>
      </c>
      <c r="BU28" s="14" t="s">
        <v>3737</v>
      </c>
      <c r="BV28" s="15" t="s">
        <v>1720</v>
      </c>
      <c r="BW28" s="14"/>
      <c r="BX28" s="15" t="s">
        <v>5080</v>
      </c>
      <c r="BY28" s="14" t="s">
        <v>3737</v>
      </c>
      <c r="BZ28" s="15" t="s">
        <v>5081</v>
      </c>
      <c r="CA28" s="20"/>
      <c r="CB28" s="15" t="s">
        <v>5082</v>
      </c>
      <c r="CC28" s="20"/>
      <c r="CD28" s="15" t="s">
        <v>5083</v>
      </c>
      <c r="CE28" s="20"/>
      <c r="CF28" s="20"/>
      <c r="CG28" s="20"/>
      <c r="CH28" s="20"/>
      <c r="CI28" s="20"/>
      <c r="CJ28" s="266" t="s">
        <v>942</v>
      </c>
      <c r="CK28" s="264" t="s">
        <v>4981</v>
      </c>
      <c r="CL28" s="264" t="s">
        <v>4991</v>
      </c>
      <c r="CM28" s="264" t="s">
        <v>5084</v>
      </c>
      <c r="CN28" s="264" t="s">
        <v>3739</v>
      </c>
      <c r="CO28" s="264" t="s">
        <v>3739</v>
      </c>
    </row>
    <row r="29" spans="1:93" ht="48">
      <c r="A29" s="297">
        <v>22</v>
      </c>
      <c r="B29" s="322" t="s">
        <v>5068</v>
      </c>
      <c r="C29" s="322" t="s">
        <v>5085</v>
      </c>
      <c r="D29" s="14" t="s">
        <v>5086</v>
      </c>
      <c r="E29" s="15" t="s">
        <v>5078</v>
      </c>
      <c r="F29" s="13">
        <v>2021</v>
      </c>
      <c r="G29" s="13">
        <v>2021</v>
      </c>
      <c r="H29" s="13">
        <v>5</v>
      </c>
      <c r="I29" s="15" t="s">
        <v>4977</v>
      </c>
      <c r="J29" s="362">
        <v>0</v>
      </c>
      <c r="K29" s="453">
        <v>5000000</v>
      </c>
      <c r="L29" s="15" t="s">
        <v>3216</v>
      </c>
      <c r="M29" s="13">
        <v>7</v>
      </c>
      <c r="N29" s="15" t="s">
        <v>4978</v>
      </c>
      <c r="O29" s="14" t="s">
        <v>3223</v>
      </c>
      <c r="P29" s="13"/>
      <c r="Q29" s="15" t="s">
        <v>4951</v>
      </c>
      <c r="R29" s="8">
        <v>6756318</v>
      </c>
      <c r="S29" s="7" t="s">
        <v>62</v>
      </c>
      <c r="T29" s="60" t="s">
        <v>950</v>
      </c>
      <c r="U29" s="186">
        <f>K29/3</f>
        <v>1666666.6666666667</v>
      </c>
      <c r="V29" s="15" t="s">
        <v>175</v>
      </c>
      <c r="W29" s="15" t="s">
        <v>3217</v>
      </c>
      <c r="X29" s="15" t="s">
        <v>3216</v>
      </c>
      <c r="Y29" s="8"/>
      <c r="Z29" s="215"/>
      <c r="AA29" s="202">
        <v>6778519</v>
      </c>
      <c r="AB29" s="216" t="s">
        <v>1876</v>
      </c>
      <c r="AC29" s="202" t="s">
        <v>177</v>
      </c>
      <c r="AD29" s="188">
        <f>K29/3</f>
        <v>1666666.6666666667</v>
      </c>
      <c r="AE29" s="15" t="s">
        <v>172</v>
      </c>
      <c r="AF29" s="15" t="s">
        <v>3224</v>
      </c>
      <c r="AG29" s="15" t="s">
        <v>3216</v>
      </c>
      <c r="AH29" s="8">
        <v>6793410</v>
      </c>
      <c r="AI29" s="60" t="s">
        <v>947</v>
      </c>
      <c r="AJ29" s="15" t="s">
        <v>79</v>
      </c>
      <c r="AK29" s="188">
        <f>K29/3</f>
        <v>1666666.6666666667</v>
      </c>
      <c r="AL29" s="15" t="s">
        <v>175</v>
      </c>
      <c r="AM29" s="15" t="s">
        <v>3217</v>
      </c>
      <c r="AN29" s="15" t="s">
        <v>3216</v>
      </c>
      <c r="AO29" s="19"/>
      <c r="AP29" s="19"/>
      <c r="AQ29" s="15"/>
      <c r="AR29" s="189"/>
      <c r="AS29" s="19"/>
      <c r="AT29" s="19"/>
      <c r="AU29" s="19"/>
      <c r="AV29" s="19"/>
      <c r="AW29" s="19"/>
      <c r="AX29" s="15"/>
      <c r="AY29" s="189"/>
      <c r="AZ29" s="19"/>
      <c r="BA29" s="19"/>
      <c r="BB29" s="19"/>
      <c r="BC29" s="19"/>
      <c r="BD29" s="19"/>
      <c r="BE29" s="19"/>
      <c r="BF29" s="189"/>
      <c r="BG29" s="19"/>
      <c r="BH29" s="19"/>
      <c r="BI29" s="19"/>
      <c r="BJ29" s="19"/>
      <c r="BK29" s="19"/>
      <c r="BL29" s="19"/>
      <c r="BM29" s="189"/>
      <c r="BN29" s="19"/>
      <c r="BO29" s="19"/>
      <c r="BP29" s="19"/>
      <c r="BQ29" s="19"/>
      <c r="BR29" s="141" t="s">
        <v>3190</v>
      </c>
      <c r="BS29" s="141" t="s">
        <v>3191</v>
      </c>
      <c r="BT29" s="15" t="s">
        <v>5087</v>
      </c>
      <c r="BU29" s="14" t="s">
        <v>3589</v>
      </c>
      <c r="BV29" s="15" t="s">
        <v>5088</v>
      </c>
      <c r="BW29" s="14" t="s">
        <v>3589</v>
      </c>
      <c r="BX29" s="15" t="s">
        <v>5089</v>
      </c>
      <c r="BY29" s="14" t="s">
        <v>3589</v>
      </c>
      <c r="BZ29" s="15" t="s">
        <v>5090</v>
      </c>
      <c r="CA29" s="20" t="s">
        <v>3589</v>
      </c>
      <c r="CB29" s="15" t="s">
        <v>5091</v>
      </c>
      <c r="CC29" s="20" t="s">
        <v>3589</v>
      </c>
      <c r="CD29" s="15"/>
      <c r="CE29" s="20"/>
      <c r="CF29" s="20"/>
      <c r="CG29" s="20"/>
      <c r="CH29" s="20"/>
      <c r="CI29" s="20"/>
      <c r="CJ29" s="263" t="s">
        <v>3739</v>
      </c>
      <c r="CK29" s="264" t="s">
        <v>5092</v>
      </c>
      <c r="CL29" s="264" t="s">
        <v>4991</v>
      </c>
      <c r="CM29" s="264" t="s">
        <v>5093</v>
      </c>
      <c r="CN29" s="264" t="s">
        <v>5094</v>
      </c>
      <c r="CO29" s="264" t="s">
        <v>5095</v>
      </c>
    </row>
    <row r="30" spans="1:93" ht="48">
      <c r="A30" s="297">
        <v>23</v>
      </c>
      <c r="B30" s="322" t="s">
        <v>5068</v>
      </c>
      <c r="C30" s="322" t="s">
        <v>5096</v>
      </c>
      <c r="D30" s="14" t="s">
        <v>5097</v>
      </c>
      <c r="E30" s="15" t="s">
        <v>5078</v>
      </c>
      <c r="F30" s="13">
        <v>2021</v>
      </c>
      <c r="G30" s="13">
        <v>2021</v>
      </c>
      <c r="H30" s="13">
        <v>5</v>
      </c>
      <c r="I30" s="15" t="s">
        <v>4986</v>
      </c>
      <c r="J30" s="362">
        <v>0</v>
      </c>
      <c r="K30" s="453">
        <v>5000000</v>
      </c>
      <c r="L30" s="15" t="s">
        <v>3216</v>
      </c>
      <c r="M30" s="13">
        <v>7</v>
      </c>
      <c r="N30" s="15" t="s">
        <v>4978</v>
      </c>
      <c r="O30" s="14" t="s">
        <v>3223</v>
      </c>
      <c r="P30" s="13"/>
      <c r="Q30" s="15" t="s">
        <v>4951</v>
      </c>
      <c r="R30" s="8">
        <v>6756318</v>
      </c>
      <c r="S30" s="7" t="s">
        <v>62</v>
      </c>
      <c r="T30" s="60" t="s">
        <v>950</v>
      </c>
      <c r="U30" s="186">
        <f>K30/3</f>
        <v>1666666.6666666667</v>
      </c>
      <c r="V30" s="15" t="s">
        <v>175</v>
      </c>
      <c r="W30" s="15" t="s">
        <v>3217</v>
      </c>
      <c r="X30" s="15" t="s">
        <v>3216</v>
      </c>
      <c r="Y30" s="8"/>
      <c r="Z30" s="215"/>
      <c r="AA30" s="202">
        <v>6778519</v>
      </c>
      <c r="AB30" s="216" t="s">
        <v>1876</v>
      </c>
      <c r="AC30" s="202" t="s">
        <v>177</v>
      </c>
      <c r="AD30" s="188">
        <f>K30/3</f>
        <v>1666666.6666666667</v>
      </c>
      <c r="AE30" s="15" t="s">
        <v>172</v>
      </c>
      <c r="AF30" s="15" t="s">
        <v>3224</v>
      </c>
      <c r="AG30" s="15" t="s">
        <v>3216</v>
      </c>
      <c r="AH30" s="8">
        <v>6793410</v>
      </c>
      <c r="AI30" s="60" t="s">
        <v>947</v>
      </c>
      <c r="AJ30" s="15" t="s">
        <v>79</v>
      </c>
      <c r="AK30" s="188">
        <f>K30/3</f>
        <v>1666666.6666666667</v>
      </c>
      <c r="AL30" s="15" t="s">
        <v>175</v>
      </c>
      <c r="AM30" s="15" t="s">
        <v>3217</v>
      </c>
      <c r="AN30" s="15" t="s">
        <v>3216</v>
      </c>
      <c r="AO30" s="19"/>
      <c r="AP30" s="19"/>
      <c r="AQ30" s="15"/>
      <c r="AR30" s="189"/>
      <c r="AS30" s="19"/>
      <c r="AT30" s="19"/>
      <c r="AU30" s="19"/>
      <c r="AV30" s="19"/>
      <c r="AW30" s="19"/>
      <c r="AX30" s="15"/>
      <c r="AY30" s="189"/>
      <c r="AZ30" s="19"/>
      <c r="BA30" s="19"/>
      <c r="BB30" s="19"/>
      <c r="BC30" s="19"/>
      <c r="BD30" s="19"/>
      <c r="BE30" s="19"/>
      <c r="BF30" s="189"/>
      <c r="BG30" s="19"/>
      <c r="BH30" s="19"/>
      <c r="BI30" s="19"/>
      <c r="BJ30" s="19"/>
      <c r="BK30" s="19"/>
      <c r="BL30" s="19"/>
      <c r="BM30" s="189"/>
      <c r="BN30" s="19"/>
      <c r="BO30" s="19"/>
      <c r="BP30" s="19"/>
      <c r="BQ30" s="19"/>
      <c r="BR30" s="141" t="s">
        <v>3190</v>
      </c>
      <c r="BS30" s="141" t="s">
        <v>3191</v>
      </c>
      <c r="BT30" s="15" t="s">
        <v>5087</v>
      </c>
      <c r="BU30" s="14" t="s">
        <v>3589</v>
      </c>
      <c r="BV30" s="15" t="s">
        <v>5088</v>
      </c>
      <c r="BW30" s="14" t="s">
        <v>3589</v>
      </c>
      <c r="BX30" s="15" t="s">
        <v>5089</v>
      </c>
      <c r="BY30" s="14" t="s">
        <v>3589</v>
      </c>
      <c r="BZ30" s="15" t="s">
        <v>5090</v>
      </c>
      <c r="CA30" s="20" t="s">
        <v>3589</v>
      </c>
      <c r="CB30" s="15" t="s">
        <v>5091</v>
      </c>
      <c r="CC30" s="20" t="s">
        <v>3589</v>
      </c>
      <c r="CD30" s="15"/>
      <c r="CE30" s="20"/>
      <c r="CF30" s="20"/>
      <c r="CG30" s="20"/>
      <c r="CH30" s="20"/>
      <c r="CI30" s="20"/>
      <c r="CJ30" s="263" t="s">
        <v>3739</v>
      </c>
      <c r="CK30" s="264" t="s">
        <v>5092</v>
      </c>
      <c r="CL30" s="264" t="s">
        <v>4991</v>
      </c>
      <c r="CM30" s="264" t="s">
        <v>3739</v>
      </c>
      <c r="CN30" s="264" t="s">
        <v>5098</v>
      </c>
      <c r="CO30" s="264" t="s">
        <v>3739</v>
      </c>
    </row>
    <row r="31" spans="1:93" ht="48.6">
      <c r="A31" s="129">
        <v>24</v>
      </c>
      <c r="B31" s="322" t="s">
        <v>5068</v>
      </c>
      <c r="C31" s="15" t="s">
        <v>942</v>
      </c>
      <c r="D31" s="14" t="s">
        <v>5099</v>
      </c>
      <c r="E31" s="15" t="s">
        <v>5078</v>
      </c>
      <c r="F31" s="13">
        <v>2021</v>
      </c>
      <c r="G31" s="13">
        <v>2021</v>
      </c>
      <c r="H31" s="13">
        <v>5</v>
      </c>
      <c r="I31" s="15" t="s">
        <v>4977</v>
      </c>
      <c r="J31" s="362">
        <v>0</v>
      </c>
      <c r="K31" s="453">
        <v>4850000</v>
      </c>
      <c r="L31" s="15" t="s">
        <v>3216</v>
      </c>
      <c r="M31" s="13">
        <v>7</v>
      </c>
      <c r="N31" s="15" t="s">
        <v>4978</v>
      </c>
      <c r="O31" s="14" t="s">
        <v>3223</v>
      </c>
      <c r="P31" s="13"/>
      <c r="Q31" s="15" t="s">
        <v>4951</v>
      </c>
      <c r="R31" s="6">
        <v>6784457</v>
      </c>
      <c r="S31" s="7" t="s">
        <v>44</v>
      </c>
      <c r="T31" s="6" t="s">
        <v>1754</v>
      </c>
      <c r="U31" s="186"/>
      <c r="V31" s="15" t="s">
        <v>172</v>
      </c>
      <c r="W31" s="15" t="s">
        <v>3224</v>
      </c>
      <c r="X31" s="15" t="s">
        <v>3216</v>
      </c>
      <c r="Y31" s="8"/>
      <c r="Z31" s="215"/>
      <c r="AA31" s="17"/>
      <c r="AB31" s="17"/>
      <c r="AC31" s="202" t="s">
        <v>80</v>
      </c>
      <c r="AD31" s="206"/>
      <c r="AE31" s="15"/>
      <c r="AF31" s="15"/>
      <c r="AG31" s="15"/>
      <c r="AH31" s="8"/>
      <c r="AI31" s="766"/>
      <c r="AJ31" s="15"/>
      <c r="AK31" s="188"/>
      <c r="AL31" s="15"/>
      <c r="AM31" s="15"/>
      <c r="AN31" s="19"/>
      <c r="AO31" s="19"/>
      <c r="AP31" s="19"/>
      <c r="AQ31" s="15"/>
      <c r="AR31" s="189"/>
      <c r="AS31" s="19"/>
      <c r="AT31" s="19"/>
      <c r="AU31" s="19"/>
      <c r="AV31" s="19"/>
      <c r="AW31" s="19"/>
      <c r="AX31" s="15"/>
      <c r="AY31" s="189"/>
      <c r="AZ31" s="19"/>
      <c r="BA31" s="19"/>
      <c r="BB31" s="19"/>
      <c r="BC31" s="19"/>
      <c r="BD31" s="19"/>
      <c r="BE31" s="19"/>
      <c r="BF31" s="189"/>
      <c r="BG31" s="19"/>
      <c r="BH31" s="19"/>
      <c r="BI31" s="19"/>
      <c r="BJ31" s="19"/>
      <c r="BK31" s="19"/>
      <c r="BL31" s="19"/>
      <c r="BM31" s="189"/>
      <c r="BN31" s="19"/>
      <c r="BO31" s="19"/>
      <c r="BP31" s="19"/>
      <c r="BQ31" s="19"/>
      <c r="BR31" s="141" t="s">
        <v>3190</v>
      </c>
      <c r="BS31" s="141" t="s">
        <v>3191</v>
      </c>
      <c r="BT31" s="15" t="s">
        <v>5100</v>
      </c>
      <c r="BU31" s="14" t="s">
        <v>3589</v>
      </c>
      <c r="BV31" s="15" t="s">
        <v>1224</v>
      </c>
      <c r="BW31" s="14" t="s">
        <v>3589</v>
      </c>
      <c r="BX31" s="15" t="s">
        <v>5101</v>
      </c>
      <c r="BY31" s="14" t="s">
        <v>3589</v>
      </c>
      <c r="BZ31" s="15" t="s">
        <v>5102</v>
      </c>
      <c r="CA31" s="20" t="s">
        <v>3589</v>
      </c>
      <c r="CB31" s="15" t="s">
        <v>5103</v>
      </c>
      <c r="CC31" s="20" t="s">
        <v>3589</v>
      </c>
      <c r="CD31" s="15"/>
      <c r="CE31" s="20"/>
      <c r="CF31" s="20"/>
      <c r="CG31" s="20"/>
      <c r="CH31" s="20"/>
      <c r="CI31" s="20"/>
      <c r="CJ31" s="263" t="s">
        <v>4990</v>
      </c>
      <c r="CK31" s="264" t="s">
        <v>4998</v>
      </c>
      <c r="CL31" s="264" t="s">
        <v>4991</v>
      </c>
      <c r="CM31" s="264" t="s">
        <v>5104</v>
      </c>
      <c r="CN31" s="264" t="s">
        <v>3739</v>
      </c>
      <c r="CO31" s="264" t="s">
        <v>3739</v>
      </c>
    </row>
    <row r="32" spans="1:93" ht="72.599999999999994">
      <c r="A32" s="129">
        <v>25</v>
      </c>
      <c r="B32" s="322" t="s">
        <v>5068</v>
      </c>
      <c r="C32" s="15" t="s">
        <v>942</v>
      </c>
      <c r="D32" s="14" t="s">
        <v>5105</v>
      </c>
      <c r="E32" s="15" t="s">
        <v>5078</v>
      </c>
      <c r="F32" s="13">
        <v>2021</v>
      </c>
      <c r="G32" s="13">
        <v>2021</v>
      </c>
      <c r="H32" s="13">
        <v>5</v>
      </c>
      <c r="I32" s="15" t="s">
        <v>4977</v>
      </c>
      <c r="J32" s="362">
        <v>0</v>
      </c>
      <c r="K32" s="453">
        <v>5000000</v>
      </c>
      <c r="L32" s="15" t="s">
        <v>3216</v>
      </c>
      <c r="M32" s="13">
        <v>7</v>
      </c>
      <c r="N32" s="15" t="s">
        <v>4978</v>
      </c>
      <c r="O32" s="14" t="s">
        <v>3223</v>
      </c>
      <c r="P32" s="13"/>
      <c r="Q32" s="15" t="s">
        <v>4951</v>
      </c>
      <c r="R32" s="18"/>
      <c r="S32" s="183" t="s">
        <v>3097</v>
      </c>
      <c r="T32" s="18"/>
      <c r="U32" s="186"/>
      <c r="V32" s="15"/>
      <c r="W32" s="15"/>
      <c r="X32" s="15"/>
      <c r="Y32" s="8"/>
      <c r="Z32" s="215"/>
      <c r="AA32" s="32"/>
      <c r="AB32" s="761"/>
      <c r="AC32" s="6" t="s">
        <v>3098</v>
      </c>
      <c r="AD32" s="206"/>
      <c r="AE32" s="15"/>
      <c r="AF32" s="15"/>
      <c r="AG32" s="15"/>
      <c r="AH32" s="8"/>
      <c r="AI32" s="766"/>
      <c r="AJ32" s="15"/>
      <c r="AK32" s="188"/>
      <c r="AL32" s="15"/>
      <c r="AM32" s="15"/>
      <c r="AN32" s="19"/>
      <c r="AO32" s="19"/>
      <c r="AP32" s="19"/>
      <c r="AQ32" s="15"/>
      <c r="AR32" s="189"/>
      <c r="AS32" s="19"/>
      <c r="AT32" s="19"/>
      <c r="AU32" s="19"/>
      <c r="AV32" s="19"/>
      <c r="AW32" s="19"/>
      <c r="AX32" s="15"/>
      <c r="AY32" s="189"/>
      <c r="AZ32" s="19"/>
      <c r="BA32" s="19"/>
      <c r="BB32" s="19"/>
      <c r="BC32" s="19"/>
      <c r="BD32" s="19"/>
      <c r="BE32" s="19"/>
      <c r="BF32" s="189"/>
      <c r="BG32" s="19"/>
      <c r="BH32" s="19"/>
      <c r="BI32" s="19"/>
      <c r="BJ32" s="19"/>
      <c r="BK32" s="19"/>
      <c r="BL32" s="19"/>
      <c r="BM32" s="189"/>
      <c r="BN32" s="19"/>
      <c r="BO32" s="19"/>
      <c r="BP32" s="19"/>
      <c r="BQ32" s="19"/>
      <c r="BR32" s="141" t="s">
        <v>3190</v>
      </c>
      <c r="BS32" s="141" t="s">
        <v>3191</v>
      </c>
      <c r="BT32" s="15" t="s">
        <v>5106</v>
      </c>
      <c r="BU32" s="14"/>
      <c r="BV32" s="15" t="s">
        <v>5107</v>
      </c>
      <c r="BW32" s="14"/>
      <c r="BX32" s="15" t="s">
        <v>5108</v>
      </c>
      <c r="BY32" s="14"/>
      <c r="BZ32" s="15" t="s">
        <v>5109</v>
      </c>
      <c r="CA32" s="20"/>
      <c r="CB32" s="15" t="s">
        <v>5110</v>
      </c>
      <c r="CC32" s="20"/>
      <c r="CD32" s="15" t="s">
        <v>5111</v>
      </c>
      <c r="CE32" s="20"/>
      <c r="CF32" s="20"/>
      <c r="CG32" s="20"/>
      <c r="CH32" s="20"/>
      <c r="CI32" s="20"/>
      <c r="CJ32" s="266" t="s">
        <v>942</v>
      </c>
      <c r="CK32" s="264" t="s">
        <v>4981</v>
      </c>
      <c r="CL32" s="264" t="s">
        <v>4991</v>
      </c>
      <c r="CM32" s="264" t="s">
        <v>5112</v>
      </c>
      <c r="CN32" s="264" t="s">
        <v>3739</v>
      </c>
      <c r="CO32" s="264" t="s">
        <v>3739</v>
      </c>
    </row>
    <row r="33" spans="1:93" ht="72.599999999999994">
      <c r="A33" s="129">
        <v>26</v>
      </c>
      <c r="B33" s="322" t="s">
        <v>5068</v>
      </c>
      <c r="C33" s="15" t="s">
        <v>942</v>
      </c>
      <c r="D33" s="14" t="s">
        <v>5113</v>
      </c>
      <c r="E33" s="15" t="s">
        <v>5078</v>
      </c>
      <c r="F33" s="13">
        <v>2021</v>
      </c>
      <c r="G33" s="13">
        <v>2021</v>
      </c>
      <c r="H33" s="13">
        <v>5</v>
      </c>
      <c r="I33" s="15" t="s">
        <v>4977</v>
      </c>
      <c r="J33" s="362">
        <v>0</v>
      </c>
      <c r="K33" s="453">
        <v>5000000</v>
      </c>
      <c r="L33" s="15" t="s">
        <v>3216</v>
      </c>
      <c r="M33" s="13">
        <v>7</v>
      </c>
      <c r="N33" s="15" t="s">
        <v>4978</v>
      </c>
      <c r="O33" s="14" t="s">
        <v>3223</v>
      </c>
      <c r="P33" s="13"/>
      <c r="Q33" s="15" t="s">
        <v>4951</v>
      </c>
      <c r="R33" s="18"/>
      <c r="S33" s="183" t="s">
        <v>1405</v>
      </c>
      <c r="T33" s="18"/>
      <c r="U33" s="186"/>
      <c r="V33" s="15"/>
      <c r="W33" s="15"/>
      <c r="X33" s="15"/>
      <c r="Y33" s="8"/>
      <c r="Z33" s="215"/>
      <c r="AA33" s="8">
        <v>6787821</v>
      </c>
      <c r="AB33" s="10" t="s">
        <v>1756</v>
      </c>
      <c r="AC33" s="15" t="s">
        <v>43</v>
      </c>
      <c r="AD33" s="206"/>
      <c r="AE33" s="15" t="s">
        <v>172</v>
      </c>
      <c r="AF33" s="15" t="s">
        <v>3224</v>
      </c>
      <c r="AG33" s="15" t="s">
        <v>3216</v>
      </c>
      <c r="AH33" s="8"/>
      <c r="AI33" s="766"/>
      <c r="AJ33" s="15"/>
      <c r="AK33" s="188"/>
      <c r="AL33" s="15"/>
      <c r="AM33" s="15"/>
      <c r="AN33" s="19"/>
      <c r="AO33" s="19"/>
      <c r="AP33" s="19"/>
      <c r="AQ33" s="15"/>
      <c r="AR33" s="189"/>
      <c r="AS33" s="19"/>
      <c r="AT33" s="19"/>
      <c r="AU33" s="19"/>
      <c r="AV33" s="19"/>
      <c r="AW33" s="19"/>
      <c r="AX33" s="15"/>
      <c r="AY33" s="189"/>
      <c r="AZ33" s="19"/>
      <c r="BA33" s="19"/>
      <c r="BB33" s="19"/>
      <c r="BC33" s="19"/>
      <c r="BD33" s="19"/>
      <c r="BE33" s="19"/>
      <c r="BF33" s="189"/>
      <c r="BG33" s="19"/>
      <c r="BH33" s="19"/>
      <c r="BI33" s="19"/>
      <c r="BJ33" s="19"/>
      <c r="BK33" s="19"/>
      <c r="BL33" s="19"/>
      <c r="BM33" s="189"/>
      <c r="BN33" s="19"/>
      <c r="BO33" s="19"/>
      <c r="BP33" s="19"/>
      <c r="BQ33" s="19"/>
      <c r="BR33" s="141" t="s">
        <v>3190</v>
      </c>
      <c r="BS33" s="141" t="s">
        <v>3191</v>
      </c>
      <c r="BT33" s="15" t="s">
        <v>1517</v>
      </c>
      <c r="BU33" s="14" t="s">
        <v>3713</v>
      </c>
      <c r="BV33" s="15" t="s">
        <v>3067</v>
      </c>
      <c r="BW33" s="14" t="s">
        <v>3713</v>
      </c>
      <c r="BX33" s="15" t="s">
        <v>1383</v>
      </c>
      <c r="BY33" s="14" t="s">
        <v>3713</v>
      </c>
      <c r="BZ33" s="15" t="s">
        <v>1688</v>
      </c>
      <c r="CA33" s="20" t="s">
        <v>3713</v>
      </c>
      <c r="CB33" s="15" t="s">
        <v>412</v>
      </c>
      <c r="CC33" s="20" t="s">
        <v>3713</v>
      </c>
      <c r="CD33" s="15" t="s">
        <v>5114</v>
      </c>
      <c r="CE33" s="20" t="s">
        <v>3713</v>
      </c>
      <c r="CF33" s="20"/>
      <c r="CG33" s="20"/>
      <c r="CH33" s="20"/>
      <c r="CI33" s="20"/>
      <c r="CJ33" s="263" t="s">
        <v>4990</v>
      </c>
      <c r="CK33" s="264" t="s">
        <v>4998</v>
      </c>
      <c r="CL33" s="264" t="s">
        <v>4991</v>
      </c>
      <c r="CM33" s="264" t="s">
        <v>5115</v>
      </c>
      <c r="CN33" s="264" t="s">
        <v>3739</v>
      </c>
      <c r="CO33" s="264" t="s">
        <v>3739</v>
      </c>
    </row>
    <row r="34" spans="1:93" ht="36.6">
      <c r="A34" s="297">
        <v>27</v>
      </c>
      <c r="B34" s="322" t="s">
        <v>5068</v>
      </c>
      <c r="C34" s="322" t="s">
        <v>5116</v>
      </c>
      <c r="D34" s="14" t="s">
        <v>5117</v>
      </c>
      <c r="E34" s="15" t="s">
        <v>5078</v>
      </c>
      <c r="F34" s="13">
        <v>2021</v>
      </c>
      <c r="G34" s="13">
        <v>2021</v>
      </c>
      <c r="H34" s="13">
        <v>5</v>
      </c>
      <c r="I34" s="15" t="s">
        <v>4986</v>
      </c>
      <c r="J34" s="362">
        <v>0</v>
      </c>
      <c r="K34" s="453">
        <v>5575000</v>
      </c>
      <c r="L34" s="15" t="s">
        <v>3216</v>
      </c>
      <c r="M34" s="13">
        <v>7</v>
      </c>
      <c r="N34" s="15" t="s">
        <v>4978</v>
      </c>
      <c r="O34" s="14" t="s">
        <v>3223</v>
      </c>
      <c r="P34" s="13"/>
      <c r="Q34" s="15" t="s">
        <v>4951</v>
      </c>
      <c r="R34" s="8">
        <v>6760392</v>
      </c>
      <c r="S34" s="7" t="s">
        <v>75</v>
      </c>
      <c r="T34" s="10" t="s">
        <v>948</v>
      </c>
      <c r="U34" s="186"/>
      <c r="V34" s="15" t="s">
        <v>175</v>
      </c>
      <c r="W34" s="15" t="s">
        <v>3217</v>
      </c>
      <c r="X34" s="15" t="s">
        <v>3216</v>
      </c>
      <c r="Y34" s="8"/>
      <c r="Z34" s="215"/>
      <c r="AA34" s="218">
        <v>6756289</v>
      </c>
      <c r="AB34" s="219" t="s">
        <v>1755</v>
      </c>
      <c r="AC34" s="220" t="s">
        <v>81</v>
      </c>
      <c r="AD34" s="206"/>
      <c r="AE34" s="221" t="s">
        <v>172</v>
      </c>
      <c r="AF34" s="221" t="s">
        <v>3281</v>
      </c>
      <c r="AG34" s="221" t="s">
        <v>3216</v>
      </c>
      <c r="AH34" s="8"/>
      <c r="AI34" s="766"/>
      <c r="AJ34" s="15"/>
      <c r="AK34" s="188"/>
      <c r="AL34" s="15"/>
      <c r="AM34" s="15"/>
      <c r="AN34" s="19"/>
      <c r="AO34" s="19"/>
      <c r="AP34" s="19"/>
      <c r="AQ34" s="15"/>
      <c r="AR34" s="189"/>
      <c r="AS34" s="19"/>
      <c r="AT34" s="19"/>
      <c r="AU34" s="19"/>
      <c r="AV34" s="19"/>
      <c r="AW34" s="19"/>
      <c r="AX34" s="15"/>
      <c r="AY34" s="189"/>
      <c r="AZ34" s="19"/>
      <c r="BA34" s="19"/>
      <c r="BB34" s="19"/>
      <c r="BC34" s="19"/>
      <c r="BD34" s="19"/>
      <c r="BE34" s="19"/>
      <c r="BF34" s="189"/>
      <c r="BG34" s="19"/>
      <c r="BH34" s="19"/>
      <c r="BI34" s="19"/>
      <c r="BJ34" s="19"/>
      <c r="BK34" s="19"/>
      <c r="BL34" s="19"/>
      <c r="BM34" s="189"/>
      <c r="BN34" s="19"/>
      <c r="BO34" s="19"/>
      <c r="BP34" s="19"/>
      <c r="BQ34" s="19"/>
      <c r="BR34" s="141" t="s">
        <v>3190</v>
      </c>
      <c r="BS34" s="141" t="s">
        <v>3191</v>
      </c>
      <c r="BT34" s="15" t="s">
        <v>5118</v>
      </c>
      <c r="BU34" s="14"/>
      <c r="BV34" s="15" t="s">
        <v>5119</v>
      </c>
      <c r="BW34" s="14"/>
      <c r="BX34" s="15" t="s">
        <v>2711</v>
      </c>
      <c r="BY34" s="14"/>
      <c r="BZ34" s="15" t="s">
        <v>5120</v>
      </c>
      <c r="CA34" s="20"/>
      <c r="CB34" s="15" t="s">
        <v>1428</v>
      </c>
      <c r="CC34" s="20"/>
      <c r="CD34" s="15" t="s">
        <v>3101</v>
      </c>
      <c r="CE34" s="20"/>
      <c r="CF34" s="20"/>
      <c r="CG34" s="20"/>
      <c r="CH34" s="20"/>
      <c r="CI34" s="20"/>
      <c r="CJ34" s="263" t="s">
        <v>4990</v>
      </c>
      <c r="CK34" s="264" t="s">
        <v>4998</v>
      </c>
      <c r="CL34" s="264" t="s">
        <v>4991</v>
      </c>
      <c r="CM34" s="264" t="s">
        <v>5121</v>
      </c>
      <c r="CN34" s="264" t="s">
        <v>3739</v>
      </c>
      <c r="CO34" s="264" t="s">
        <v>3739</v>
      </c>
    </row>
    <row r="35" spans="1:93" ht="36.6">
      <c r="A35" s="129">
        <v>28</v>
      </c>
      <c r="B35" s="322" t="s">
        <v>5068</v>
      </c>
      <c r="C35" s="15" t="s">
        <v>942</v>
      </c>
      <c r="D35" s="14" t="s">
        <v>5122</v>
      </c>
      <c r="E35" s="15" t="s">
        <v>5078</v>
      </c>
      <c r="F35" s="13">
        <v>2021</v>
      </c>
      <c r="G35" s="13">
        <v>2021</v>
      </c>
      <c r="H35" s="13">
        <v>5</v>
      </c>
      <c r="I35" s="15" t="s">
        <v>4986</v>
      </c>
      <c r="J35" s="362">
        <v>0</v>
      </c>
      <c r="K35" s="453">
        <v>5000000</v>
      </c>
      <c r="L35" s="15" t="s">
        <v>3216</v>
      </c>
      <c r="M35" s="13">
        <v>7</v>
      </c>
      <c r="N35" s="15" t="s">
        <v>4978</v>
      </c>
      <c r="O35" s="14" t="s">
        <v>3223</v>
      </c>
      <c r="P35" s="13"/>
      <c r="Q35" s="15" t="s">
        <v>4951</v>
      </c>
      <c r="R35" s="8">
        <v>6767777</v>
      </c>
      <c r="S35" s="7" t="s">
        <v>34</v>
      </c>
      <c r="T35" s="10" t="s">
        <v>2673</v>
      </c>
      <c r="U35" s="186"/>
      <c r="V35" s="15" t="s">
        <v>171</v>
      </c>
      <c r="W35" s="15" t="s">
        <v>3217</v>
      </c>
      <c r="X35" s="15" t="s">
        <v>3216</v>
      </c>
      <c r="Y35" s="8"/>
      <c r="Z35" s="215"/>
      <c r="AA35" s="8">
        <v>6768348</v>
      </c>
      <c r="AB35" s="203" t="s">
        <v>2044</v>
      </c>
      <c r="AC35" s="6" t="s">
        <v>53</v>
      </c>
      <c r="AD35" s="206"/>
      <c r="AE35" s="15" t="s">
        <v>171</v>
      </c>
      <c r="AF35" s="15" t="s">
        <v>3217</v>
      </c>
      <c r="AG35" s="15" t="s">
        <v>3216</v>
      </c>
      <c r="AH35" s="6">
        <v>6773159</v>
      </c>
      <c r="AI35" s="6" t="s">
        <v>3683</v>
      </c>
      <c r="AJ35" s="6" t="s">
        <v>46</v>
      </c>
      <c r="AK35" s="188"/>
      <c r="AL35" s="15" t="s">
        <v>171</v>
      </c>
      <c r="AM35" s="15" t="s">
        <v>3217</v>
      </c>
      <c r="AN35" s="15" t="s">
        <v>3216</v>
      </c>
      <c r="AO35" s="19"/>
      <c r="AP35" s="19"/>
      <c r="AQ35" s="15"/>
      <c r="AR35" s="189"/>
      <c r="AS35" s="19"/>
      <c r="AT35" s="19"/>
      <c r="AU35" s="19"/>
      <c r="AV35" s="19"/>
      <c r="AW35" s="19"/>
      <c r="AX35" s="15"/>
      <c r="AY35" s="189"/>
      <c r="AZ35" s="19"/>
      <c r="BA35" s="19"/>
      <c r="BB35" s="19"/>
      <c r="BC35" s="19"/>
      <c r="BD35" s="19"/>
      <c r="BE35" s="19"/>
      <c r="BF35" s="189"/>
      <c r="BG35" s="19"/>
      <c r="BH35" s="19"/>
      <c r="BI35" s="19"/>
      <c r="BJ35" s="19"/>
      <c r="BK35" s="19"/>
      <c r="BL35" s="19"/>
      <c r="BM35" s="189"/>
      <c r="BN35" s="19"/>
      <c r="BO35" s="19"/>
      <c r="BP35" s="19"/>
      <c r="BQ35" s="19"/>
      <c r="BR35" s="141" t="s">
        <v>3190</v>
      </c>
      <c r="BS35" s="141" t="s">
        <v>3191</v>
      </c>
      <c r="BT35" s="15" t="s">
        <v>5123</v>
      </c>
      <c r="BU35" s="14"/>
      <c r="BV35" s="15" t="s">
        <v>5124</v>
      </c>
      <c r="BW35" s="14"/>
      <c r="BX35" s="15" t="s">
        <v>5125</v>
      </c>
      <c r="BY35" s="14"/>
      <c r="BZ35" s="15" t="s">
        <v>5126</v>
      </c>
      <c r="CA35" s="20"/>
      <c r="CB35" s="15" t="s">
        <v>5127</v>
      </c>
      <c r="CC35" s="20"/>
      <c r="CD35" s="15" t="s">
        <v>5128</v>
      </c>
      <c r="CE35" s="20"/>
      <c r="CF35" s="20"/>
      <c r="CG35" s="20"/>
      <c r="CH35" s="20"/>
      <c r="CI35" s="20"/>
      <c r="CJ35" s="263" t="s">
        <v>4990</v>
      </c>
      <c r="CK35" s="264" t="s">
        <v>4981</v>
      </c>
      <c r="CL35" s="264" t="s">
        <v>5009</v>
      </c>
      <c r="CM35" s="264" t="s">
        <v>5129</v>
      </c>
      <c r="CN35" s="264" t="s">
        <v>5130</v>
      </c>
      <c r="CO35" s="264" t="s">
        <v>3528</v>
      </c>
    </row>
    <row r="36" spans="1:93" ht="24">
      <c r="A36" s="129">
        <v>29</v>
      </c>
      <c r="B36" s="322" t="s">
        <v>5131</v>
      </c>
      <c r="C36" s="15"/>
      <c r="D36" s="14" t="s">
        <v>5132</v>
      </c>
      <c r="E36" s="15" t="s">
        <v>5133</v>
      </c>
      <c r="F36" s="13">
        <v>2021</v>
      </c>
      <c r="G36" s="13">
        <v>2021</v>
      </c>
      <c r="H36" s="13">
        <v>8</v>
      </c>
      <c r="I36" s="15" t="s">
        <v>4986</v>
      </c>
      <c r="J36" s="362">
        <v>45000000</v>
      </c>
      <c r="K36" s="453">
        <v>45000000</v>
      </c>
      <c r="L36" s="15" t="s">
        <v>3216</v>
      </c>
      <c r="M36" s="13">
        <v>7</v>
      </c>
      <c r="N36" s="23"/>
      <c r="O36" s="14" t="s">
        <v>3077</v>
      </c>
      <c r="P36" s="13"/>
      <c r="Q36" s="15" t="s">
        <v>4961</v>
      </c>
      <c r="R36" s="13">
        <v>6682174</v>
      </c>
      <c r="S36" s="23" t="s">
        <v>20</v>
      </c>
      <c r="T36" s="16" t="s">
        <v>2285</v>
      </c>
      <c r="U36" s="186">
        <f>K36/3</f>
        <v>15000000</v>
      </c>
      <c r="V36" s="15" t="s">
        <v>156</v>
      </c>
      <c r="W36" s="15" t="s">
        <v>3217</v>
      </c>
      <c r="X36" s="15" t="s">
        <v>3216</v>
      </c>
      <c r="Y36" s="8">
        <v>8140</v>
      </c>
      <c r="Z36" s="187" t="s">
        <v>3291</v>
      </c>
      <c r="AA36" s="51">
        <v>6680633</v>
      </c>
      <c r="AB36" s="222" t="s">
        <v>3322</v>
      </c>
      <c r="AC36" s="72" t="s">
        <v>18</v>
      </c>
      <c r="AD36" s="188">
        <f>K36/3</f>
        <v>15000000</v>
      </c>
      <c r="AE36" s="15" t="s">
        <v>156</v>
      </c>
      <c r="AF36" s="15" t="s">
        <v>3217</v>
      </c>
      <c r="AG36" s="15" t="s">
        <v>3216</v>
      </c>
      <c r="AH36" s="8">
        <v>6681205</v>
      </c>
      <c r="AI36" s="10" t="s">
        <v>1705</v>
      </c>
      <c r="AJ36" s="72" t="s">
        <v>48</v>
      </c>
      <c r="AK36" s="188">
        <f>K36/3</f>
        <v>15000000</v>
      </c>
      <c r="AL36" s="15" t="s">
        <v>156</v>
      </c>
      <c r="AM36" s="15" t="s">
        <v>3217</v>
      </c>
      <c r="AN36" s="15" t="s">
        <v>3216</v>
      </c>
      <c r="AO36" s="19"/>
      <c r="AP36" s="19"/>
      <c r="AQ36" s="15"/>
      <c r="AR36" s="189"/>
      <c r="AS36" s="19"/>
      <c r="AT36" s="19"/>
      <c r="AU36" s="19"/>
      <c r="AV36" s="19"/>
      <c r="AW36" s="19"/>
      <c r="AX36" s="15"/>
      <c r="AY36" s="189"/>
      <c r="AZ36" s="19"/>
      <c r="BA36" s="19"/>
      <c r="BB36" s="19"/>
      <c r="BC36" s="19"/>
      <c r="BD36" s="19"/>
      <c r="BE36" s="19"/>
      <c r="BF36" s="189"/>
      <c r="BG36" s="19"/>
      <c r="BH36" s="19"/>
      <c r="BI36" s="19"/>
      <c r="BJ36" s="19"/>
      <c r="BK36" s="19"/>
      <c r="BL36" s="19"/>
      <c r="BM36" s="189"/>
      <c r="BN36" s="19"/>
      <c r="BO36" s="19"/>
      <c r="BP36" s="19"/>
      <c r="BQ36" s="19"/>
      <c r="BR36" s="142" t="s">
        <v>3190</v>
      </c>
      <c r="BS36" s="142" t="s">
        <v>3191</v>
      </c>
      <c r="BT36" s="15"/>
      <c r="BU36" s="14"/>
      <c r="BV36" s="15"/>
      <c r="BW36" s="14"/>
      <c r="BX36" s="15"/>
      <c r="BY36" s="14"/>
      <c r="BZ36" s="15"/>
      <c r="CA36" s="20"/>
      <c r="CB36" s="15"/>
      <c r="CC36" s="20"/>
      <c r="CD36" s="15"/>
      <c r="CE36" s="20"/>
      <c r="CF36" s="20"/>
      <c r="CG36" s="20"/>
      <c r="CH36" s="20"/>
      <c r="CI36" s="20"/>
      <c r="CJ36" s="263" t="s">
        <v>3739</v>
      </c>
      <c r="CK36" s="264" t="s">
        <v>3739</v>
      </c>
      <c r="CL36" s="264" t="s">
        <v>3739</v>
      </c>
      <c r="CM36" s="264" t="s">
        <v>3739</v>
      </c>
      <c r="CN36" s="264" t="s">
        <v>3739</v>
      </c>
      <c r="CO36" s="264" t="s">
        <v>3739</v>
      </c>
    </row>
    <row r="37" spans="1:93" ht="48">
      <c r="A37" s="129">
        <v>30</v>
      </c>
      <c r="B37" s="323" t="s">
        <v>5134</v>
      </c>
      <c r="C37" s="25"/>
      <c r="D37" s="519" t="s">
        <v>5135</v>
      </c>
      <c r="E37" s="25" t="s">
        <v>5136</v>
      </c>
      <c r="F37" s="13">
        <v>2021</v>
      </c>
      <c r="G37" s="13">
        <v>2021</v>
      </c>
      <c r="H37" s="26">
        <v>2</v>
      </c>
      <c r="I37" s="15" t="s">
        <v>4986</v>
      </c>
      <c r="J37" s="480" t="s">
        <v>942</v>
      </c>
      <c r="K37" s="456">
        <v>17500000</v>
      </c>
      <c r="L37" s="15" t="s">
        <v>3216</v>
      </c>
      <c r="M37" s="13">
        <v>7</v>
      </c>
      <c r="N37" s="24"/>
      <c r="O37" s="14" t="s">
        <v>3077</v>
      </c>
      <c r="P37" s="26"/>
      <c r="Q37" s="15" t="s">
        <v>4951</v>
      </c>
      <c r="R37" s="202">
        <v>6680726</v>
      </c>
      <c r="S37" s="24" t="s">
        <v>93</v>
      </c>
      <c r="T37" s="15">
        <v>719069101</v>
      </c>
      <c r="U37" s="223"/>
      <c r="V37" s="25"/>
      <c r="W37" s="25"/>
      <c r="X37" s="25"/>
      <c r="Y37" s="129"/>
      <c r="Z37" s="224"/>
      <c r="AA37" s="129"/>
      <c r="AB37" s="767"/>
      <c r="AC37" s="145"/>
      <c r="AD37" s="226"/>
      <c r="AE37" s="25"/>
      <c r="AF37" s="25"/>
      <c r="AG37" s="25"/>
      <c r="AH37" s="129"/>
      <c r="AI37" s="768"/>
      <c r="AJ37" s="145"/>
      <c r="AK37" s="226"/>
      <c r="AL37" s="25"/>
      <c r="AM37" s="25"/>
      <c r="AN37" s="25"/>
      <c r="AO37" s="28"/>
      <c r="AP37" s="28"/>
      <c r="AQ37" s="25"/>
      <c r="AR37" s="228"/>
      <c r="AS37" s="28"/>
      <c r="AT37" s="28"/>
      <c r="AU37" s="28"/>
      <c r="AV37" s="28"/>
      <c r="AW37" s="28"/>
      <c r="AX37" s="25"/>
      <c r="AY37" s="228"/>
      <c r="AZ37" s="28"/>
      <c r="BA37" s="28"/>
      <c r="BB37" s="28"/>
      <c r="BC37" s="28"/>
      <c r="BD37" s="28"/>
      <c r="BE37" s="28"/>
      <c r="BF37" s="228"/>
      <c r="BG37" s="28"/>
      <c r="BH37" s="28"/>
      <c r="BI37" s="28"/>
      <c r="BJ37" s="28"/>
      <c r="BK37" s="28"/>
      <c r="BL37" s="28"/>
      <c r="BM37" s="228"/>
      <c r="BN37" s="28"/>
      <c r="BO37" s="28"/>
      <c r="BP37" s="28"/>
      <c r="BQ37" s="28"/>
      <c r="BR37" s="142" t="s">
        <v>3190</v>
      </c>
      <c r="BS37" s="142" t="s">
        <v>3191</v>
      </c>
      <c r="BT37" s="25" t="s">
        <v>5103</v>
      </c>
      <c r="BU37" s="14" t="s">
        <v>3589</v>
      </c>
      <c r="BV37" s="25" t="s">
        <v>5088</v>
      </c>
      <c r="BW37" s="14" t="s">
        <v>3589</v>
      </c>
      <c r="BX37" s="25" t="s">
        <v>651</v>
      </c>
      <c r="BY37" s="14" t="s">
        <v>3589</v>
      </c>
      <c r="BZ37" s="25"/>
      <c r="CA37" s="96"/>
      <c r="CB37" s="25"/>
      <c r="CC37" s="96"/>
      <c r="CD37" s="25"/>
      <c r="CE37" s="96"/>
      <c r="CF37" s="96"/>
      <c r="CG37" s="96"/>
      <c r="CH37" s="96"/>
      <c r="CI37" s="96"/>
      <c r="CJ37" s="269"/>
      <c r="CK37" s="270"/>
      <c r="CL37" s="271"/>
      <c r="CM37" s="270"/>
      <c r="CN37" s="270"/>
      <c r="CO37" s="270"/>
    </row>
    <row r="38" spans="1:93">
      <c r="A38" s="43"/>
      <c r="B38" s="174"/>
      <c r="C38" s="174"/>
      <c r="D38" s="173"/>
      <c r="E38" s="174"/>
      <c r="F38" s="172"/>
      <c r="G38" s="172"/>
      <c r="H38" s="172"/>
      <c r="I38" s="174"/>
      <c r="J38" s="481"/>
      <c r="K38" s="457"/>
      <c r="L38" s="174"/>
      <c r="M38" s="37"/>
      <c r="N38" s="175"/>
      <c r="O38" s="173"/>
      <c r="P38" s="172"/>
      <c r="Q38" s="174"/>
      <c r="R38" s="172"/>
      <c r="S38" s="175"/>
      <c r="T38" s="172"/>
      <c r="U38" s="172"/>
      <c r="V38" s="172"/>
      <c r="W38" s="172"/>
      <c r="X38" s="172"/>
      <c r="Y38" s="172"/>
      <c r="Z38" s="172"/>
      <c r="AA38" s="174"/>
      <c r="AB38" s="174"/>
      <c r="AC38" s="174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325"/>
      <c r="BG38" s="229"/>
      <c r="BH38" s="229"/>
      <c r="BI38" s="229"/>
      <c r="BJ38" s="174"/>
      <c r="BK38" s="174"/>
      <c r="BL38" s="174"/>
      <c r="BM38" s="174"/>
      <c r="BN38" s="229"/>
      <c r="BO38" s="229"/>
      <c r="BP38" s="229"/>
      <c r="BQ38" s="229"/>
      <c r="BR38" s="172"/>
      <c r="BS38" s="172"/>
      <c r="BT38" s="174"/>
      <c r="BU38" s="173"/>
      <c r="BV38" s="174"/>
      <c r="BW38" s="173"/>
      <c r="BX38" s="174"/>
      <c r="BY38" s="173"/>
      <c r="BZ38" s="230"/>
      <c r="CA38" s="230"/>
      <c r="CB38" s="230"/>
      <c r="CC38" s="230"/>
      <c r="CD38" s="230"/>
      <c r="CE38" s="230"/>
      <c r="CF38" s="230"/>
      <c r="CG38" s="230"/>
      <c r="CH38" s="230"/>
      <c r="CI38" s="230"/>
      <c r="CJ38" s="230"/>
      <c r="CK38" s="230"/>
      <c r="CL38" s="231"/>
      <c r="CM38" s="232"/>
      <c r="CN38" s="230"/>
      <c r="CO38" s="230"/>
    </row>
    <row r="39" spans="1:93" ht="48">
      <c r="A39" s="298">
        <v>1</v>
      </c>
      <c r="B39" s="143" t="s">
        <v>5137</v>
      </c>
      <c r="C39" s="143" t="s">
        <v>5138</v>
      </c>
      <c r="D39" s="161" t="s">
        <v>5139</v>
      </c>
      <c r="E39" s="6" t="s">
        <v>5140</v>
      </c>
      <c r="F39" s="8">
        <v>2022</v>
      </c>
      <c r="G39" s="8">
        <v>2022</v>
      </c>
      <c r="H39" s="8"/>
      <c r="I39" s="6" t="s">
        <v>5141</v>
      </c>
      <c r="J39" s="482"/>
      <c r="K39" s="458">
        <v>16408500</v>
      </c>
      <c r="L39" s="6" t="s">
        <v>3216</v>
      </c>
      <c r="M39" s="8">
        <v>7</v>
      </c>
      <c r="N39" s="6" t="s">
        <v>4978</v>
      </c>
      <c r="O39" s="9" t="s">
        <v>3223</v>
      </c>
      <c r="P39" s="8" t="s">
        <v>3215</v>
      </c>
      <c r="Q39" s="15" t="s">
        <v>4951</v>
      </c>
      <c r="R39" s="8">
        <v>6099359</v>
      </c>
      <c r="S39" s="7" t="s">
        <v>67</v>
      </c>
      <c r="T39" s="162" t="s">
        <v>977</v>
      </c>
      <c r="U39" s="109">
        <f>K39/4</f>
        <v>4102125</v>
      </c>
      <c r="V39" s="6" t="s">
        <v>166</v>
      </c>
      <c r="W39" s="6" t="s">
        <v>3286</v>
      </c>
      <c r="X39" s="6" t="s">
        <v>3216</v>
      </c>
      <c r="Y39" s="8"/>
      <c r="Z39" s="8"/>
      <c r="AA39" s="8">
        <v>6680623</v>
      </c>
      <c r="AB39" s="162" t="s">
        <v>1841</v>
      </c>
      <c r="AC39" s="6" t="s">
        <v>30</v>
      </c>
      <c r="AD39" s="57">
        <f t="shared" ref="AD39:AD48" si="4">U39</f>
        <v>4102125</v>
      </c>
      <c r="AE39" s="6" t="s">
        <v>166</v>
      </c>
      <c r="AF39" s="6" t="s">
        <v>3286</v>
      </c>
      <c r="AG39" s="6" t="s">
        <v>3216</v>
      </c>
      <c r="AH39" s="8">
        <v>6680633</v>
      </c>
      <c r="AI39" s="190" t="s">
        <v>3322</v>
      </c>
      <c r="AJ39" s="6" t="s">
        <v>18</v>
      </c>
      <c r="AK39" s="57">
        <f t="shared" ref="AK39:AK45" si="5">U39</f>
        <v>4102125</v>
      </c>
      <c r="AL39" s="6" t="s">
        <v>156</v>
      </c>
      <c r="AM39" s="6" t="s">
        <v>3286</v>
      </c>
      <c r="AN39" s="6" t="s">
        <v>3216</v>
      </c>
      <c r="AO39" s="99">
        <v>6680629</v>
      </c>
      <c r="AP39" s="116" t="s">
        <v>5071</v>
      </c>
      <c r="AQ39" s="6" t="s">
        <v>27</v>
      </c>
      <c r="AR39" s="57">
        <f>U39</f>
        <v>4102125</v>
      </c>
      <c r="AS39" s="6" t="s">
        <v>151</v>
      </c>
      <c r="AT39" s="6" t="s">
        <v>3281</v>
      </c>
      <c r="AU39" s="33"/>
      <c r="AV39" s="33"/>
      <c r="AW39" s="33"/>
      <c r="AX39" s="33"/>
      <c r="AY39" s="233"/>
      <c r="AZ39" s="33"/>
      <c r="BA39" s="33"/>
      <c r="BB39" s="33"/>
      <c r="BC39" s="33"/>
      <c r="BD39" s="33"/>
      <c r="BE39" s="33"/>
      <c r="BF39" s="233"/>
      <c r="BG39" s="33"/>
      <c r="BH39" s="33"/>
      <c r="BI39" s="33"/>
      <c r="BJ39" s="33"/>
      <c r="BK39" s="33"/>
      <c r="BL39" s="33"/>
      <c r="BM39" s="233"/>
      <c r="BN39" s="33"/>
      <c r="BO39" s="33"/>
      <c r="BP39" s="33"/>
      <c r="BQ39" s="33"/>
      <c r="BR39" s="256" t="s">
        <v>3190</v>
      </c>
      <c r="BS39" s="256" t="s">
        <v>3191</v>
      </c>
      <c r="BT39" s="6" t="s">
        <v>1049</v>
      </c>
      <c r="BU39" s="9"/>
      <c r="BV39" s="6" t="s">
        <v>1050</v>
      </c>
      <c r="BW39" s="9"/>
      <c r="BX39" s="6"/>
      <c r="BY39" s="9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272" t="s">
        <v>5142</v>
      </c>
      <c r="CK39" s="273" t="s">
        <v>3739</v>
      </c>
      <c r="CL39" s="273" t="s">
        <v>3739</v>
      </c>
      <c r="CM39" s="272" t="s">
        <v>3419</v>
      </c>
      <c r="CN39" s="273" t="s">
        <v>3739</v>
      </c>
      <c r="CO39" s="273" t="s">
        <v>3739</v>
      </c>
    </row>
    <row r="40" spans="1:93" ht="36.6">
      <c r="A40" s="8">
        <v>2</v>
      </c>
      <c r="B40" s="143" t="s">
        <v>5137</v>
      </c>
      <c r="C40" s="143" t="s">
        <v>5143</v>
      </c>
      <c r="D40" s="161" t="s">
        <v>1445</v>
      </c>
      <c r="E40" s="8" t="s">
        <v>4976</v>
      </c>
      <c r="F40" s="8">
        <v>2022</v>
      </c>
      <c r="G40" s="8">
        <v>2022</v>
      </c>
      <c r="H40" s="8"/>
      <c r="I40" s="6" t="s">
        <v>5141</v>
      </c>
      <c r="J40" s="482"/>
      <c r="K40" s="458">
        <v>6000000</v>
      </c>
      <c r="L40" s="6" t="s">
        <v>3216</v>
      </c>
      <c r="M40" s="8">
        <v>7</v>
      </c>
      <c r="N40" s="6" t="s">
        <v>4978</v>
      </c>
      <c r="O40" s="9" t="s">
        <v>3223</v>
      </c>
      <c r="P40" s="8" t="s">
        <v>3215</v>
      </c>
      <c r="Q40" s="15" t="s">
        <v>4951</v>
      </c>
      <c r="R40" s="8">
        <v>6768348</v>
      </c>
      <c r="S40" s="7" t="s">
        <v>53</v>
      </c>
      <c r="T40" s="162" t="s">
        <v>2044</v>
      </c>
      <c r="U40" s="109">
        <f t="shared" ref="U40:U45" si="6">K40/3</f>
        <v>2000000</v>
      </c>
      <c r="V40" s="6" t="s">
        <v>171</v>
      </c>
      <c r="W40" s="6" t="s">
        <v>3286</v>
      </c>
      <c r="X40" s="6" t="s">
        <v>3216</v>
      </c>
      <c r="Y40" s="8"/>
      <c r="Z40" s="8"/>
      <c r="AA40" s="6">
        <v>6773159</v>
      </c>
      <c r="AB40" s="6" t="s">
        <v>3683</v>
      </c>
      <c r="AC40" s="6" t="s">
        <v>46</v>
      </c>
      <c r="AD40" s="57">
        <f t="shared" si="4"/>
        <v>2000000</v>
      </c>
      <c r="AE40" s="6" t="s">
        <v>171</v>
      </c>
      <c r="AF40" s="6" t="s">
        <v>3286</v>
      </c>
      <c r="AG40" s="6" t="s">
        <v>3216</v>
      </c>
      <c r="AH40" s="6">
        <v>6785861</v>
      </c>
      <c r="AI40" s="11" t="s">
        <v>1904</v>
      </c>
      <c r="AJ40" s="6" t="s">
        <v>775</v>
      </c>
      <c r="AK40" s="57">
        <f t="shared" si="5"/>
        <v>2000000</v>
      </c>
      <c r="AL40" s="6" t="s">
        <v>166</v>
      </c>
      <c r="AM40" s="6" t="s">
        <v>3286</v>
      </c>
      <c r="AN40" s="6" t="s">
        <v>3216</v>
      </c>
      <c r="AO40" s="33"/>
      <c r="AP40" s="33"/>
      <c r="AQ40" s="6"/>
      <c r="AR40" s="234"/>
      <c r="AS40" s="33"/>
      <c r="AT40" s="33"/>
      <c r="AU40" s="33"/>
      <c r="AV40" s="33"/>
      <c r="AW40" s="33"/>
      <c r="AX40" s="33"/>
      <c r="AY40" s="233"/>
      <c r="AZ40" s="33"/>
      <c r="BA40" s="33"/>
      <c r="BB40" s="33"/>
      <c r="BC40" s="33"/>
      <c r="BD40" s="33"/>
      <c r="BE40" s="33"/>
      <c r="BF40" s="233"/>
      <c r="BG40" s="33"/>
      <c r="BH40" s="33"/>
      <c r="BI40" s="33"/>
      <c r="BJ40" s="33"/>
      <c r="BK40" s="33"/>
      <c r="BL40" s="33"/>
      <c r="BM40" s="233"/>
      <c r="BN40" s="33"/>
      <c r="BO40" s="33"/>
      <c r="BP40" s="33"/>
      <c r="BQ40" s="33"/>
      <c r="BR40" s="160" t="s">
        <v>3190</v>
      </c>
      <c r="BS40" s="160" t="s">
        <v>3191</v>
      </c>
      <c r="BT40" s="6" t="s">
        <v>5144</v>
      </c>
      <c r="BU40" s="9" t="s">
        <v>3748</v>
      </c>
      <c r="BV40" s="6" t="s">
        <v>5145</v>
      </c>
      <c r="BW40" s="9" t="s">
        <v>5146</v>
      </c>
      <c r="BX40" s="6" t="s">
        <v>5147</v>
      </c>
      <c r="BY40" s="9" t="s">
        <v>5146</v>
      </c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115" t="s">
        <v>3251</v>
      </c>
      <c r="CK40" s="115" t="s">
        <v>4981</v>
      </c>
      <c r="CL40" s="115" t="s">
        <v>4991</v>
      </c>
      <c r="CM40" s="115" t="s">
        <v>5148</v>
      </c>
      <c r="CN40" s="273" t="s">
        <v>3739</v>
      </c>
      <c r="CO40" s="273" t="s">
        <v>3739</v>
      </c>
    </row>
    <row r="41" spans="1:93" ht="48.6">
      <c r="A41" s="8">
        <v>3</v>
      </c>
      <c r="B41" s="143" t="s">
        <v>5137</v>
      </c>
      <c r="C41" s="143" t="s">
        <v>5149</v>
      </c>
      <c r="D41" s="161" t="s">
        <v>5150</v>
      </c>
      <c r="E41" s="8" t="s">
        <v>4976</v>
      </c>
      <c r="F41" s="8">
        <v>2022</v>
      </c>
      <c r="G41" s="8">
        <v>2022</v>
      </c>
      <c r="H41" s="8"/>
      <c r="I41" s="6" t="s">
        <v>5151</v>
      </c>
      <c r="J41" s="482"/>
      <c r="K41" s="458">
        <v>7000000</v>
      </c>
      <c r="L41" s="6" t="s">
        <v>3216</v>
      </c>
      <c r="M41" s="8">
        <v>7</v>
      </c>
      <c r="N41" s="6" t="s">
        <v>4978</v>
      </c>
      <c r="O41" s="9" t="s">
        <v>3223</v>
      </c>
      <c r="P41" s="8" t="s">
        <v>3215</v>
      </c>
      <c r="Q41" s="15" t="s">
        <v>4951</v>
      </c>
      <c r="R41" s="8">
        <v>6680708</v>
      </c>
      <c r="S41" s="7" t="s">
        <v>85</v>
      </c>
      <c r="T41" s="162" t="s">
        <v>2436</v>
      </c>
      <c r="U41" s="109">
        <f t="shared" si="6"/>
        <v>2333333.3333333335</v>
      </c>
      <c r="V41" s="6" t="s">
        <v>155</v>
      </c>
      <c r="W41" s="6" t="s">
        <v>3281</v>
      </c>
      <c r="X41" s="6" t="s">
        <v>3216</v>
      </c>
      <c r="Y41" s="8"/>
      <c r="Z41" s="8"/>
      <c r="AA41" s="8">
        <v>258471</v>
      </c>
      <c r="AB41" s="162" t="s">
        <v>3504</v>
      </c>
      <c r="AC41" s="6" t="s">
        <v>60</v>
      </c>
      <c r="AD41" s="57">
        <f t="shared" si="4"/>
        <v>2333333.3333333335</v>
      </c>
      <c r="AE41" s="6" t="s">
        <v>155</v>
      </c>
      <c r="AF41" s="6" t="s">
        <v>3281</v>
      </c>
      <c r="AG41" s="6" t="s">
        <v>3216</v>
      </c>
      <c r="AH41" s="8">
        <v>6680685</v>
      </c>
      <c r="AI41" s="203" t="s">
        <v>944</v>
      </c>
      <c r="AJ41" s="6" t="s">
        <v>21</v>
      </c>
      <c r="AK41" s="57">
        <f t="shared" si="5"/>
        <v>2333333.3333333335</v>
      </c>
      <c r="AL41" s="6" t="s">
        <v>155</v>
      </c>
      <c r="AM41" s="6" t="s">
        <v>3281</v>
      </c>
      <c r="AN41" s="6" t="s">
        <v>3216</v>
      </c>
      <c r="AO41" s="33"/>
      <c r="AP41" s="33"/>
      <c r="AQ41" s="6"/>
      <c r="AR41" s="234"/>
      <c r="AS41" s="33"/>
      <c r="AT41" s="33"/>
      <c r="AU41" s="33"/>
      <c r="AV41" s="33"/>
      <c r="AW41" s="33"/>
      <c r="AX41" s="33"/>
      <c r="AY41" s="233"/>
      <c r="AZ41" s="33"/>
      <c r="BA41" s="33"/>
      <c r="BB41" s="33"/>
      <c r="BC41" s="33"/>
      <c r="BD41" s="33"/>
      <c r="BE41" s="33"/>
      <c r="BF41" s="233"/>
      <c r="BG41" s="33"/>
      <c r="BH41" s="33"/>
      <c r="BI41" s="33"/>
      <c r="BJ41" s="33"/>
      <c r="BK41" s="33"/>
      <c r="BL41" s="33"/>
      <c r="BM41" s="233"/>
      <c r="BN41" s="33"/>
      <c r="BO41" s="33"/>
      <c r="BP41" s="33"/>
      <c r="BQ41" s="33"/>
      <c r="BR41" s="160" t="s">
        <v>3190</v>
      </c>
      <c r="BS41" s="160" t="s">
        <v>3191</v>
      </c>
      <c r="BT41" s="6" t="s">
        <v>5152</v>
      </c>
      <c r="BU41" s="9"/>
      <c r="BV41" s="6" t="s">
        <v>1087</v>
      </c>
      <c r="BW41" s="9"/>
      <c r="BX41" s="6" t="s">
        <v>1088</v>
      </c>
      <c r="BY41" s="9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115" t="s">
        <v>3061</v>
      </c>
      <c r="CK41" s="115" t="s">
        <v>4981</v>
      </c>
      <c r="CL41" s="115" t="s">
        <v>5009</v>
      </c>
      <c r="CM41" s="115" t="s">
        <v>5153</v>
      </c>
      <c r="CN41" s="273" t="s">
        <v>3309</v>
      </c>
      <c r="CO41" s="273" t="s">
        <v>3739</v>
      </c>
    </row>
    <row r="42" spans="1:93" ht="48">
      <c r="A42" s="8">
        <v>4</v>
      </c>
      <c r="B42" s="143" t="s">
        <v>5137</v>
      </c>
      <c r="C42" s="143" t="s">
        <v>5154</v>
      </c>
      <c r="D42" s="161" t="s">
        <v>5155</v>
      </c>
      <c r="E42" s="8" t="s">
        <v>4976</v>
      </c>
      <c r="F42" s="8">
        <v>2022</v>
      </c>
      <c r="G42" s="8">
        <v>2022</v>
      </c>
      <c r="H42" s="8"/>
      <c r="I42" s="6" t="s">
        <v>5151</v>
      </c>
      <c r="J42" s="482"/>
      <c r="K42" s="458">
        <v>6425000</v>
      </c>
      <c r="L42" s="6" t="s">
        <v>3216</v>
      </c>
      <c r="M42" s="8">
        <v>7</v>
      </c>
      <c r="N42" s="6" t="s">
        <v>4978</v>
      </c>
      <c r="O42" s="9" t="s">
        <v>3223</v>
      </c>
      <c r="P42" s="8" t="s">
        <v>3215</v>
      </c>
      <c r="Q42" s="15" t="s">
        <v>4951</v>
      </c>
      <c r="R42" s="8">
        <v>6681205</v>
      </c>
      <c r="S42" s="7" t="s">
        <v>48</v>
      </c>
      <c r="T42" s="162" t="s">
        <v>1705</v>
      </c>
      <c r="U42" s="109">
        <f t="shared" si="6"/>
        <v>2141666.6666666665</v>
      </c>
      <c r="V42" s="6" t="s">
        <v>156</v>
      </c>
      <c r="W42" s="6" t="s">
        <v>3286</v>
      </c>
      <c r="X42" s="6" t="s">
        <v>3216</v>
      </c>
      <c r="Y42" s="8"/>
      <c r="Z42" s="8"/>
      <c r="AA42" s="8">
        <v>6680664</v>
      </c>
      <c r="AB42" s="162" t="s">
        <v>2288</v>
      </c>
      <c r="AC42" s="6" t="s">
        <v>15</v>
      </c>
      <c r="AD42" s="57">
        <f t="shared" si="4"/>
        <v>2141666.6666666665</v>
      </c>
      <c r="AE42" s="6" t="s">
        <v>156</v>
      </c>
      <c r="AF42" s="6" t="s">
        <v>3286</v>
      </c>
      <c r="AG42" s="6" t="s">
        <v>3216</v>
      </c>
      <c r="AH42" s="8">
        <v>6680680</v>
      </c>
      <c r="AI42" s="10" t="s">
        <v>959</v>
      </c>
      <c r="AJ42" s="6" t="s">
        <v>9</v>
      </c>
      <c r="AK42" s="57">
        <f t="shared" si="5"/>
        <v>2141666.6666666665</v>
      </c>
      <c r="AL42" s="6" t="s">
        <v>156</v>
      </c>
      <c r="AM42" s="6" t="s">
        <v>3286</v>
      </c>
      <c r="AN42" s="6" t="s">
        <v>3216</v>
      </c>
      <c r="AO42" s="33"/>
      <c r="AP42" s="33"/>
      <c r="AQ42" s="33"/>
      <c r="AR42" s="233"/>
      <c r="AS42" s="33"/>
      <c r="AT42" s="33"/>
      <c r="AU42" s="33"/>
      <c r="AV42" s="33"/>
      <c r="AW42" s="33"/>
      <c r="AX42" s="33"/>
      <c r="AY42" s="233"/>
      <c r="AZ42" s="33"/>
      <c r="BA42" s="33"/>
      <c r="BB42" s="33"/>
      <c r="BC42" s="33"/>
      <c r="BD42" s="33"/>
      <c r="BE42" s="33"/>
      <c r="BF42" s="233"/>
      <c r="BG42" s="33"/>
      <c r="BH42" s="33"/>
      <c r="BI42" s="33"/>
      <c r="BJ42" s="33"/>
      <c r="BK42" s="33"/>
      <c r="BL42" s="33"/>
      <c r="BM42" s="233"/>
      <c r="BN42" s="33"/>
      <c r="BO42" s="33"/>
      <c r="BP42" s="33"/>
      <c r="BQ42" s="33"/>
      <c r="BR42" s="160" t="s">
        <v>3190</v>
      </c>
      <c r="BS42" s="160" t="s">
        <v>3191</v>
      </c>
      <c r="BT42" s="6" t="s">
        <v>5103</v>
      </c>
      <c r="BU42" s="9" t="s">
        <v>3589</v>
      </c>
      <c r="BV42" s="6" t="s">
        <v>3926</v>
      </c>
      <c r="BW42" s="9" t="s">
        <v>3589</v>
      </c>
      <c r="BX42" s="6" t="s">
        <v>651</v>
      </c>
      <c r="BY42" s="9" t="s">
        <v>3589</v>
      </c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115" t="s">
        <v>3251</v>
      </c>
      <c r="CK42" s="115" t="s">
        <v>4981</v>
      </c>
      <c r="CL42" s="115" t="s">
        <v>4991</v>
      </c>
      <c r="CM42" s="274" t="s">
        <v>3795</v>
      </c>
      <c r="CN42" s="273" t="s">
        <v>3739</v>
      </c>
      <c r="CO42" s="273" t="s">
        <v>3739</v>
      </c>
    </row>
    <row r="43" spans="1:93" ht="36.6">
      <c r="A43" s="8">
        <v>5</v>
      </c>
      <c r="B43" s="143" t="s">
        <v>5137</v>
      </c>
      <c r="C43" s="143" t="s">
        <v>5156</v>
      </c>
      <c r="D43" s="161" t="s">
        <v>5157</v>
      </c>
      <c r="E43" s="8" t="s">
        <v>4976</v>
      </c>
      <c r="F43" s="8">
        <v>2022</v>
      </c>
      <c r="G43" s="8">
        <v>2022</v>
      </c>
      <c r="H43" s="8"/>
      <c r="I43" s="6" t="s">
        <v>5141</v>
      </c>
      <c r="J43" s="482"/>
      <c r="K43" s="458">
        <v>7000000</v>
      </c>
      <c r="L43" s="6" t="s">
        <v>3216</v>
      </c>
      <c r="M43" s="8">
        <v>7</v>
      </c>
      <c r="N43" s="6" t="s">
        <v>4978</v>
      </c>
      <c r="O43" s="9" t="s">
        <v>3223</v>
      </c>
      <c r="P43" s="8" t="s">
        <v>3215</v>
      </c>
      <c r="Q43" s="15" t="s">
        <v>4951</v>
      </c>
      <c r="R43" s="8">
        <v>6681051</v>
      </c>
      <c r="S43" s="7" t="s">
        <v>6</v>
      </c>
      <c r="T43" s="162" t="s">
        <v>1657</v>
      </c>
      <c r="U43" s="109">
        <f t="shared" si="6"/>
        <v>2333333.3333333335</v>
      </c>
      <c r="V43" s="6" t="s">
        <v>160</v>
      </c>
      <c r="W43" s="6" t="s">
        <v>3281</v>
      </c>
      <c r="X43" s="6" t="s">
        <v>3216</v>
      </c>
      <c r="Y43" s="8"/>
      <c r="Z43" s="8"/>
      <c r="AA43" s="8">
        <v>6658545</v>
      </c>
      <c r="AB43" s="10" t="s">
        <v>984</v>
      </c>
      <c r="AC43" s="6" t="s">
        <v>40</v>
      </c>
      <c r="AD43" s="57">
        <f t="shared" si="4"/>
        <v>2333333.3333333335</v>
      </c>
      <c r="AE43" s="6" t="s">
        <v>160</v>
      </c>
      <c r="AF43" s="6" t="s">
        <v>3281</v>
      </c>
      <c r="AG43" s="6" t="s">
        <v>3216</v>
      </c>
      <c r="AH43" s="8">
        <v>6680618</v>
      </c>
      <c r="AI43" s="162" t="s">
        <v>1737</v>
      </c>
      <c r="AJ43" s="6" t="s">
        <v>24</v>
      </c>
      <c r="AK43" s="57">
        <f t="shared" si="5"/>
        <v>2333333.3333333335</v>
      </c>
      <c r="AL43" s="6" t="s">
        <v>160</v>
      </c>
      <c r="AM43" s="6" t="s">
        <v>3281</v>
      </c>
      <c r="AN43" s="6" t="s">
        <v>3216</v>
      </c>
      <c r="AO43" s="33"/>
      <c r="AP43" s="33"/>
      <c r="AQ43" s="33"/>
      <c r="AR43" s="233"/>
      <c r="AS43" s="33"/>
      <c r="AT43" s="33"/>
      <c r="AU43" s="33"/>
      <c r="AV43" s="33"/>
      <c r="AW43" s="33"/>
      <c r="AX43" s="33"/>
      <c r="AY43" s="233"/>
      <c r="AZ43" s="33"/>
      <c r="BA43" s="33"/>
      <c r="BB43" s="33"/>
      <c r="BC43" s="33"/>
      <c r="BD43" s="33"/>
      <c r="BE43" s="33"/>
      <c r="BF43" s="233"/>
      <c r="BG43" s="33"/>
      <c r="BH43" s="33"/>
      <c r="BI43" s="33"/>
      <c r="BJ43" s="33"/>
      <c r="BK43" s="33"/>
      <c r="BL43" s="33"/>
      <c r="BM43" s="233"/>
      <c r="BN43" s="33"/>
      <c r="BO43" s="33"/>
      <c r="BP43" s="33"/>
      <c r="BQ43" s="33"/>
      <c r="BR43" s="160" t="s">
        <v>3190</v>
      </c>
      <c r="BS43" s="160" t="s">
        <v>3191</v>
      </c>
      <c r="BT43" s="6" t="s">
        <v>1936</v>
      </c>
      <c r="BU43" s="9"/>
      <c r="BV43" s="6" t="s">
        <v>392</v>
      </c>
      <c r="BW43" s="9" t="s">
        <v>3737</v>
      </c>
      <c r="BX43" s="6" t="s">
        <v>1934</v>
      </c>
      <c r="BY43" s="9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115" t="s">
        <v>3061</v>
      </c>
      <c r="CK43" s="115" t="s">
        <v>4981</v>
      </c>
      <c r="CL43" s="115" t="s">
        <v>4991</v>
      </c>
      <c r="CM43" s="115" t="s">
        <v>5158</v>
      </c>
      <c r="CN43" s="273" t="s">
        <v>3739</v>
      </c>
      <c r="CO43" s="273" t="s">
        <v>3739</v>
      </c>
    </row>
    <row r="44" spans="1:93" ht="84.6">
      <c r="A44" s="8">
        <v>6</v>
      </c>
      <c r="B44" s="143" t="s">
        <v>5137</v>
      </c>
      <c r="C44" s="143" t="s">
        <v>5159</v>
      </c>
      <c r="D44" s="161" t="s">
        <v>5160</v>
      </c>
      <c r="E44" s="8" t="s">
        <v>4976</v>
      </c>
      <c r="F44" s="8">
        <v>2022</v>
      </c>
      <c r="G44" s="8">
        <v>2022</v>
      </c>
      <c r="H44" s="8"/>
      <c r="I44" s="6" t="s">
        <v>5151</v>
      </c>
      <c r="J44" s="482"/>
      <c r="K44" s="458">
        <v>7000000</v>
      </c>
      <c r="L44" s="6" t="s">
        <v>3216</v>
      </c>
      <c r="M44" s="8">
        <v>7</v>
      </c>
      <c r="N44" s="6" t="s">
        <v>4978</v>
      </c>
      <c r="O44" s="9" t="s">
        <v>3223</v>
      </c>
      <c r="P44" s="8" t="s">
        <v>3215</v>
      </c>
      <c r="Q44" s="15" t="s">
        <v>4951</v>
      </c>
      <c r="R44" s="8">
        <v>6680641</v>
      </c>
      <c r="S44" s="7" t="s">
        <v>92</v>
      </c>
      <c r="T44" s="162" t="s">
        <v>1794</v>
      </c>
      <c r="U44" s="109">
        <f t="shared" si="6"/>
        <v>2333333.3333333335</v>
      </c>
      <c r="V44" s="6" t="s">
        <v>151</v>
      </c>
      <c r="W44" s="6" t="s">
        <v>3281</v>
      </c>
      <c r="X44" s="6" t="s">
        <v>3216</v>
      </c>
      <c r="Y44" s="8"/>
      <c r="Z44" s="8"/>
      <c r="AA44" s="8">
        <v>6680618</v>
      </c>
      <c r="AB44" s="162" t="s">
        <v>1737</v>
      </c>
      <c r="AC44" s="6" t="s">
        <v>24</v>
      </c>
      <c r="AD44" s="57">
        <f t="shared" si="4"/>
        <v>2333333.3333333335</v>
      </c>
      <c r="AE44" s="6" t="s">
        <v>160</v>
      </c>
      <c r="AF44" s="6" t="s">
        <v>3281</v>
      </c>
      <c r="AG44" s="6" t="s">
        <v>3216</v>
      </c>
      <c r="AH44" s="8">
        <v>6680678</v>
      </c>
      <c r="AI44" s="162" t="s">
        <v>1725</v>
      </c>
      <c r="AJ44" s="6" t="s">
        <v>14</v>
      </c>
      <c r="AK44" s="57">
        <f t="shared" si="5"/>
        <v>2333333.3333333335</v>
      </c>
      <c r="AL44" s="6" t="s">
        <v>151</v>
      </c>
      <c r="AM44" s="6" t="s">
        <v>3281</v>
      </c>
      <c r="AN44" s="6" t="s">
        <v>3216</v>
      </c>
      <c r="AO44" s="33"/>
      <c r="AP44" s="33"/>
      <c r="AQ44" s="33"/>
      <c r="AR44" s="233"/>
      <c r="AS44" s="33"/>
      <c r="AT44" s="33"/>
      <c r="AU44" s="33"/>
      <c r="AV44" s="33"/>
      <c r="AW44" s="33"/>
      <c r="AX44" s="33"/>
      <c r="AY44" s="233"/>
      <c r="AZ44" s="33"/>
      <c r="BA44" s="33"/>
      <c r="BB44" s="33"/>
      <c r="BC44" s="33"/>
      <c r="BD44" s="33"/>
      <c r="BE44" s="33"/>
      <c r="BF44" s="233"/>
      <c r="BG44" s="33"/>
      <c r="BH44" s="33"/>
      <c r="BI44" s="33"/>
      <c r="BJ44" s="33"/>
      <c r="BK44" s="33"/>
      <c r="BL44" s="33"/>
      <c r="BM44" s="233"/>
      <c r="BN44" s="33"/>
      <c r="BO44" s="33"/>
      <c r="BP44" s="33"/>
      <c r="BQ44" s="33"/>
      <c r="BR44" s="160" t="s">
        <v>3190</v>
      </c>
      <c r="BS44" s="160" t="s">
        <v>3191</v>
      </c>
      <c r="BT44" s="6" t="s">
        <v>550</v>
      </c>
      <c r="BU44" s="9"/>
      <c r="BV44" s="6" t="s">
        <v>4142</v>
      </c>
      <c r="BW44" s="9"/>
      <c r="BX44" s="6" t="s">
        <v>5161</v>
      </c>
      <c r="BY44" s="9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115" t="s">
        <v>3061</v>
      </c>
      <c r="CK44" s="115" t="s">
        <v>4981</v>
      </c>
      <c r="CL44" s="115" t="s">
        <v>5009</v>
      </c>
      <c r="CM44" s="115" t="s">
        <v>5162</v>
      </c>
      <c r="CN44" s="273" t="s">
        <v>3739</v>
      </c>
      <c r="CO44" s="273" t="s">
        <v>3739</v>
      </c>
    </row>
    <row r="45" spans="1:93" ht="36.6">
      <c r="A45" s="8">
        <v>7</v>
      </c>
      <c r="B45" s="143" t="s">
        <v>5137</v>
      </c>
      <c r="C45" s="143" t="s">
        <v>5163</v>
      </c>
      <c r="D45" s="161" t="s">
        <v>5164</v>
      </c>
      <c r="E45" s="8" t="s">
        <v>4976</v>
      </c>
      <c r="F45" s="8">
        <v>2022</v>
      </c>
      <c r="G45" s="8">
        <v>2022</v>
      </c>
      <c r="H45" s="8"/>
      <c r="I45" s="6" t="s">
        <v>5141</v>
      </c>
      <c r="J45" s="482"/>
      <c r="K45" s="458">
        <v>6900000</v>
      </c>
      <c r="L45" s="6" t="s">
        <v>3216</v>
      </c>
      <c r="M45" s="8">
        <v>7</v>
      </c>
      <c r="N45" s="6" t="s">
        <v>4978</v>
      </c>
      <c r="O45" s="9" t="s">
        <v>3223</v>
      </c>
      <c r="P45" s="8" t="s">
        <v>3215</v>
      </c>
      <c r="Q45" s="15" t="s">
        <v>4951</v>
      </c>
      <c r="R45" s="8">
        <v>6764236</v>
      </c>
      <c r="S45" s="7" t="s">
        <v>25</v>
      </c>
      <c r="T45" s="162" t="s">
        <v>1684</v>
      </c>
      <c r="U45" s="109">
        <f t="shared" si="6"/>
        <v>2300000</v>
      </c>
      <c r="V45" s="6" t="s">
        <v>166</v>
      </c>
      <c r="W45" s="6" t="s">
        <v>3286</v>
      </c>
      <c r="X45" s="6" t="s">
        <v>3216</v>
      </c>
      <c r="Y45" s="8"/>
      <c r="Z45" s="8"/>
      <c r="AA45" s="205">
        <v>6744406</v>
      </c>
      <c r="AB45" s="207" t="s">
        <v>985</v>
      </c>
      <c r="AC45" s="6" t="s">
        <v>352</v>
      </c>
      <c r="AD45" s="57">
        <f t="shared" si="4"/>
        <v>2300000</v>
      </c>
      <c r="AE45" s="6" t="s">
        <v>166</v>
      </c>
      <c r="AF45" s="6" t="s">
        <v>3286</v>
      </c>
      <c r="AG45" s="6" t="s">
        <v>3216</v>
      </c>
      <c r="AH45" s="8">
        <v>6680634</v>
      </c>
      <c r="AI45" s="10" t="s">
        <v>989</v>
      </c>
      <c r="AJ45" s="6" t="s">
        <v>47</v>
      </c>
      <c r="AK45" s="57">
        <f t="shared" si="5"/>
        <v>2300000</v>
      </c>
      <c r="AL45" s="6" t="s">
        <v>166</v>
      </c>
      <c r="AM45" s="6" t="s">
        <v>3286</v>
      </c>
      <c r="AN45" s="6" t="s">
        <v>3216</v>
      </c>
      <c r="AO45" s="33"/>
      <c r="AP45" s="33"/>
      <c r="AQ45" s="33"/>
      <c r="AR45" s="233"/>
      <c r="AS45" s="33"/>
      <c r="AT45" s="33"/>
      <c r="AU45" s="33"/>
      <c r="AV45" s="33"/>
      <c r="AW45" s="33"/>
      <c r="AX45" s="33"/>
      <c r="AY45" s="233"/>
      <c r="AZ45" s="33"/>
      <c r="BA45" s="33"/>
      <c r="BB45" s="33"/>
      <c r="BC45" s="33"/>
      <c r="BD45" s="33"/>
      <c r="BE45" s="33"/>
      <c r="BF45" s="233"/>
      <c r="BG45" s="33"/>
      <c r="BH45" s="33"/>
      <c r="BI45" s="33"/>
      <c r="BJ45" s="33"/>
      <c r="BK45" s="33"/>
      <c r="BL45" s="33"/>
      <c r="BM45" s="233"/>
      <c r="BN45" s="33"/>
      <c r="BO45" s="33"/>
      <c r="BP45" s="33"/>
      <c r="BQ45" s="33"/>
      <c r="BR45" s="160" t="s">
        <v>3190</v>
      </c>
      <c r="BS45" s="160" t="s">
        <v>3191</v>
      </c>
      <c r="BT45" s="6" t="s">
        <v>1688</v>
      </c>
      <c r="BU45" s="9" t="s">
        <v>3713</v>
      </c>
      <c r="BV45" s="6" t="s">
        <v>1689</v>
      </c>
      <c r="BW45" s="9"/>
      <c r="BX45" s="6"/>
      <c r="BY45" s="9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115" t="s">
        <v>3251</v>
      </c>
      <c r="CK45" s="115" t="s">
        <v>4981</v>
      </c>
      <c r="CL45" s="115" t="s">
        <v>5009</v>
      </c>
      <c r="CM45" s="115" t="s">
        <v>5165</v>
      </c>
      <c r="CN45" s="273" t="s">
        <v>3739</v>
      </c>
      <c r="CO45" s="273" t="s">
        <v>3739</v>
      </c>
    </row>
    <row r="46" spans="1:93" ht="48">
      <c r="A46" s="8">
        <v>8</v>
      </c>
      <c r="B46" s="143" t="s">
        <v>5137</v>
      </c>
      <c r="C46" s="143" t="s">
        <v>5166</v>
      </c>
      <c r="D46" s="161" t="s">
        <v>5167</v>
      </c>
      <c r="E46" s="8" t="s">
        <v>4976</v>
      </c>
      <c r="F46" s="8">
        <v>2022</v>
      </c>
      <c r="G46" s="8">
        <v>2022</v>
      </c>
      <c r="H46" s="8"/>
      <c r="I46" s="6" t="s">
        <v>5141</v>
      </c>
      <c r="J46" s="482"/>
      <c r="K46" s="458">
        <v>6000000</v>
      </c>
      <c r="L46" s="6" t="s">
        <v>3216</v>
      </c>
      <c r="M46" s="8">
        <v>7</v>
      </c>
      <c r="N46" s="6" t="s">
        <v>4978</v>
      </c>
      <c r="O46" s="9" t="s">
        <v>3223</v>
      </c>
      <c r="P46" s="8" t="s">
        <v>3215</v>
      </c>
      <c r="Q46" s="15" t="s">
        <v>4951</v>
      </c>
      <c r="R46" s="8">
        <v>6682794</v>
      </c>
      <c r="S46" s="7" t="s">
        <v>49</v>
      </c>
      <c r="T46" s="162" t="s">
        <v>1744</v>
      </c>
      <c r="U46" s="109">
        <f>K46/2</f>
        <v>3000000</v>
      </c>
      <c r="V46" s="6" t="s">
        <v>164</v>
      </c>
      <c r="W46" s="6" t="s">
        <v>3286</v>
      </c>
      <c r="X46" s="6" t="s">
        <v>3216</v>
      </c>
      <c r="Y46" s="8"/>
      <c r="Z46" s="8"/>
      <c r="AA46" s="8">
        <v>6680626</v>
      </c>
      <c r="AB46" s="10" t="s">
        <v>1008</v>
      </c>
      <c r="AC46" s="6" t="s">
        <v>38</v>
      </c>
      <c r="AD46" s="57">
        <f t="shared" si="4"/>
        <v>3000000</v>
      </c>
      <c r="AE46" s="6" t="s">
        <v>171</v>
      </c>
      <c r="AF46" s="6" t="s">
        <v>3286</v>
      </c>
      <c r="AG46" s="6" t="s">
        <v>3216</v>
      </c>
      <c r="AH46" s="99"/>
      <c r="AI46" s="6"/>
      <c r="AJ46" s="6"/>
      <c r="AK46" s="57"/>
      <c r="AL46" s="6"/>
      <c r="AM46" s="6"/>
      <c r="AN46" s="33"/>
      <c r="AO46" s="33"/>
      <c r="AP46" s="33"/>
      <c r="AQ46" s="33"/>
      <c r="AR46" s="233"/>
      <c r="AS46" s="33"/>
      <c r="AT46" s="33"/>
      <c r="AU46" s="33"/>
      <c r="AV46" s="33"/>
      <c r="AW46" s="33"/>
      <c r="AX46" s="33"/>
      <c r="AY46" s="233"/>
      <c r="AZ46" s="33"/>
      <c r="BA46" s="33"/>
      <c r="BB46" s="33"/>
      <c r="BC46" s="33"/>
      <c r="BD46" s="33"/>
      <c r="BE46" s="33"/>
      <c r="BF46" s="233"/>
      <c r="BG46" s="33"/>
      <c r="BH46" s="33"/>
      <c r="BI46" s="33"/>
      <c r="BJ46" s="33"/>
      <c r="BK46" s="33"/>
      <c r="BL46" s="33"/>
      <c r="BM46" s="233"/>
      <c r="BN46" s="33"/>
      <c r="BO46" s="33"/>
      <c r="BP46" s="33"/>
      <c r="BQ46" s="33"/>
      <c r="BR46" s="160" t="s">
        <v>3190</v>
      </c>
      <c r="BS46" s="160" t="s">
        <v>3191</v>
      </c>
      <c r="BT46" s="6" t="s">
        <v>5168</v>
      </c>
      <c r="BU46" s="9" t="s">
        <v>3759</v>
      </c>
      <c r="BV46" s="6" t="s">
        <v>2371</v>
      </c>
      <c r="BW46" s="9" t="s">
        <v>3759</v>
      </c>
      <c r="BX46" s="6"/>
      <c r="BY46" s="9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115" t="s">
        <v>3061</v>
      </c>
      <c r="CK46" s="115" t="s">
        <v>4981</v>
      </c>
      <c r="CL46" s="115" t="s">
        <v>5009</v>
      </c>
      <c r="CM46" s="115" t="s">
        <v>5165</v>
      </c>
      <c r="CN46" s="115" t="s">
        <v>5169</v>
      </c>
      <c r="CO46" s="273" t="s">
        <v>3528</v>
      </c>
    </row>
    <row r="47" spans="1:93" ht="36.6">
      <c r="A47" s="8">
        <v>9</v>
      </c>
      <c r="B47" s="143" t="s">
        <v>5137</v>
      </c>
      <c r="C47" s="143" t="s">
        <v>5170</v>
      </c>
      <c r="D47" s="161" t="s">
        <v>5171</v>
      </c>
      <c r="E47" s="8" t="s">
        <v>4976</v>
      </c>
      <c r="F47" s="8">
        <v>2022</v>
      </c>
      <c r="G47" s="8">
        <v>2022</v>
      </c>
      <c r="H47" s="8"/>
      <c r="I47" s="6" t="s">
        <v>5151</v>
      </c>
      <c r="J47" s="482"/>
      <c r="K47" s="458">
        <v>7000000</v>
      </c>
      <c r="L47" s="6" t="s">
        <v>3216</v>
      </c>
      <c r="M47" s="8">
        <v>7</v>
      </c>
      <c r="N47" s="6" t="s">
        <v>4978</v>
      </c>
      <c r="O47" s="9" t="s">
        <v>3223</v>
      </c>
      <c r="P47" s="8" t="s">
        <v>3215</v>
      </c>
      <c r="Q47" s="15" t="s">
        <v>4951</v>
      </c>
      <c r="R47" s="8">
        <v>6680625</v>
      </c>
      <c r="S47" s="7" t="s">
        <v>23</v>
      </c>
      <c r="T47" s="162" t="s">
        <v>1782</v>
      </c>
      <c r="U47" s="109">
        <f>K47/3</f>
        <v>2333333.3333333335</v>
      </c>
      <c r="V47" s="6" t="s">
        <v>154</v>
      </c>
      <c r="W47" s="6" t="s">
        <v>3281</v>
      </c>
      <c r="X47" s="6" t="s">
        <v>3216</v>
      </c>
      <c r="Y47" s="8"/>
      <c r="Z47" s="8"/>
      <c r="AA47" s="33">
        <v>6724784</v>
      </c>
      <c r="AB47" s="33">
        <v>722119101</v>
      </c>
      <c r="AC47" s="6" t="s">
        <v>108</v>
      </c>
      <c r="AD47" s="57">
        <f t="shared" si="4"/>
        <v>2333333.3333333335</v>
      </c>
      <c r="AE47" s="6" t="s">
        <v>154</v>
      </c>
      <c r="AF47" s="6" t="s">
        <v>3281</v>
      </c>
      <c r="AG47" s="6" t="s">
        <v>3216</v>
      </c>
      <c r="AH47" s="205">
        <v>6680741</v>
      </c>
      <c r="AI47" s="190" t="s">
        <v>1838</v>
      </c>
      <c r="AJ47" s="6" t="s">
        <v>16</v>
      </c>
      <c r="AK47" s="57">
        <f>U47</f>
        <v>2333333.3333333335</v>
      </c>
      <c r="AL47" s="6" t="s">
        <v>154</v>
      </c>
      <c r="AM47" s="6" t="s">
        <v>3281</v>
      </c>
      <c r="AN47" s="6" t="s">
        <v>3216</v>
      </c>
      <c r="AO47" s="33"/>
      <c r="AP47" s="33"/>
      <c r="AQ47" s="33"/>
      <c r="AR47" s="233"/>
      <c r="AS47" s="33"/>
      <c r="AT47" s="33"/>
      <c r="AU47" s="33"/>
      <c r="AV47" s="33"/>
      <c r="AW47" s="33"/>
      <c r="AX47" s="33"/>
      <c r="AY47" s="233"/>
      <c r="AZ47" s="33"/>
      <c r="BA47" s="33"/>
      <c r="BB47" s="33"/>
      <c r="BC47" s="33"/>
      <c r="BD47" s="33"/>
      <c r="BE47" s="33"/>
      <c r="BF47" s="233"/>
      <c r="BG47" s="33"/>
      <c r="BH47" s="33"/>
      <c r="BI47" s="33"/>
      <c r="BJ47" s="33"/>
      <c r="BK47" s="33"/>
      <c r="BL47" s="33"/>
      <c r="BM47" s="233"/>
      <c r="BN47" s="33"/>
      <c r="BO47" s="33"/>
      <c r="BP47" s="33"/>
      <c r="BQ47" s="33"/>
      <c r="BR47" s="160" t="s">
        <v>3190</v>
      </c>
      <c r="BS47" s="160" t="s">
        <v>3191</v>
      </c>
      <c r="BT47" s="6" t="s">
        <v>5172</v>
      </c>
      <c r="BU47" s="9"/>
      <c r="BV47" s="6" t="s">
        <v>5173</v>
      </c>
      <c r="BW47" s="9"/>
      <c r="BX47" s="6"/>
      <c r="BY47" s="9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115" t="s">
        <v>3061</v>
      </c>
      <c r="CK47" s="115" t="s">
        <v>4981</v>
      </c>
      <c r="CL47" s="115" t="s">
        <v>4991</v>
      </c>
      <c r="CM47" s="115" t="s">
        <v>5174</v>
      </c>
      <c r="CN47" s="273" t="s">
        <v>3739</v>
      </c>
      <c r="CO47" s="273" t="s">
        <v>3739</v>
      </c>
    </row>
    <row r="48" spans="1:93" ht="48.6">
      <c r="A48" s="8">
        <v>10</v>
      </c>
      <c r="B48" s="143" t="s">
        <v>5137</v>
      </c>
      <c r="C48" s="143" t="s">
        <v>5175</v>
      </c>
      <c r="D48" s="161" t="s">
        <v>5176</v>
      </c>
      <c r="E48" s="8" t="s">
        <v>4976</v>
      </c>
      <c r="F48" s="8">
        <v>2022</v>
      </c>
      <c r="G48" s="8">
        <v>2022</v>
      </c>
      <c r="H48" s="8"/>
      <c r="I48" s="6" t="s">
        <v>5151</v>
      </c>
      <c r="J48" s="482"/>
      <c r="K48" s="458">
        <v>6500000</v>
      </c>
      <c r="L48" s="6" t="s">
        <v>3216</v>
      </c>
      <c r="M48" s="8">
        <v>7</v>
      </c>
      <c r="N48" s="6" t="s">
        <v>4978</v>
      </c>
      <c r="O48" s="9" t="s">
        <v>3223</v>
      </c>
      <c r="P48" s="8" t="s">
        <v>3215</v>
      </c>
      <c r="Q48" s="15" t="s">
        <v>4951</v>
      </c>
      <c r="R48" s="8">
        <v>6680645</v>
      </c>
      <c r="S48" s="7" t="s">
        <v>83</v>
      </c>
      <c r="T48" s="162" t="s">
        <v>2849</v>
      </c>
      <c r="U48" s="109">
        <f>K48/3</f>
        <v>2166666.6666666665</v>
      </c>
      <c r="V48" s="6" t="s">
        <v>154</v>
      </c>
      <c r="W48" s="6" t="s">
        <v>3281</v>
      </c>
      <c r="X48" s="6" t="s">
        <v>3216</v>
      </c>
      <c r="Y48" s="8"/>
      <c r="Z48" s="8"/>
      <c r="AA48" s="8">
        <v>6680625</v>
      </c>
      <c r="AB48" s="162" t="s">
        <v>1782</v>
      </c>
      <c r="AC48" s="6" t="s">
        <v>23</v>
      </c>
      <c r="AD48" s="57">
        <f t="shared" si="4"/>
        <v>2166666.6666666665</v>
      </c>
      <c r="AE48" s="6" t="s">
        <v>154</v>
      </c>
      <c r="AF48" s="6" t="s">
        <v>3281</v>
      </c>
      <c r="AG48" s="6" t="s">
        <v>3216</v>
      </c>
      <c r="AH48" s="8">
        <v>6829130</v>
      </c>
      <c r="AI48" s="203" t="s">
        <v>3020</v>
      </c>
      <c r="AJ48" s="6" t="s">
        <v>173</v>
      </c>
      <c r="AK48" s="57">
        <f>U48</f>
        <v>2166666.6666666665</v>
      </c>
      <c r="AL48" s="6" t="s">
        <v>154</v>
      </c>
      <c r="AM48" s="6" t="s">
        <v>3281</v>
      </c>
      <c r="AN48" s="6" t="s">
        <v>3216</v>
      </c>
      <c r="AO48" s="33"/>
      <c r="AP48" s="33"/>
      <c r="AQ48" s="33"/>
      <c r="AR48" s="233"/>
      <c r="AS48" s="33"/>
      <c r="AT48" s="33"/>
      <c r="AU48" s="33"/>
      <c r="AV48" s="33"/>
      <c r="AW48" s="33"/>
      <c r="AX48" s="33"/>
      <c r="AY48" s="233"/>
      <c r="AZ48" s="33"/>
      <c r="BA48" s="33"/>
      <c r="BB48" s="33"/>
      <c r="BC48" s="33"/>
      <c r="BD48" s="33"/>
      <c r="BE48" s="33"/>
      <c r="BF48" s="233"/>
      <c r="BG48" s="33"/>
      <c r="BH48" s="33"/>
      <c r="BI48" s="33"/>
      <c r="BJ48" s="33"/>
      <c r="BK48" s="33"/>
      <c r="BL48" s="33"/>
      <c r="BM48" s="233"/>
      <c r="BN48" s="33"/>
      <c r="BO48" s="33"/>
      <c r="BP48" s="33"/>
      <c r="BQ48" s="33"/>
      <c r="BR48" s="160" t="s">
        <v>3190</v>
      </c>
      <c r="BS48" s="160" t="s">
        <v>3191</v>
      </c>
      <c r="BT48" s="6" t="s">
        <v>3065</v>
      </c>
      <c r="BU48" s="9"/>
      <c r="BV48" s="6"/>
      <c r="BW48" s="9"/>
      <c r="BX48" s="6"/>
      <c r="BY48" s="9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115" t="s">
        <v>3061</v>
      </c>
      <c r="CK48" s="115" t="s">
        <v>4981</v>
      </c>
      <c r="CL48" s="115" t="s">
        <v>4991</v>
      </c>
      <c r="CM48" s="274" t="s">
        <v>5177</v>
      </c>
      <c r="CN48" s="273" t="s">
        <v>3739</v>
      </c>
      <c r="CO48" s="273" t="s">
        <v>3739</v>
      </c>
    </row>
    <row r="49" spans="1:93" ht="48">
      <c r="A49" s="8">
        <v>11</v>
      </c>
      <c r="B49" s="143" t="s">
        <v>5137</v>
      </c>
      <c r="C49" s="143" t="s">
        <v>5178</v>
      </c>
      <c r="D49" s="161" t="s">
        <v>5179</v>
      </c>
      <c r="E49" s="8" t="s">
        <v>4976</v>
      </c>
      <c r="F49" s="8">
        <v>2022</v>
      </c>
      <c r="G49" s="8">
        <v>2022</v>
      </c>
      <c r="H49" s="8"/>
      <c r="I49" s="6" t="s">
        <v>5141</v>
      </c>
      <c r="J49" s="482"/>
      <c r="K49" s="458">
        <v>6955000</v>
      </c>
      <c r="L49" s="6" t="s">
        <v>3216</v>
      </c>
      <c r="M49" s="8">
        <v>7</v>
      </c>
      <c r="N49" s="6" t="s">
        <v>4978</v>
      </c>
      <c r="O49" s="9" t="s">
        <v>3223</v>
      </c>
      <c r="P49" s="8" t="s">
        <v>3215</v>
      </c>
      <c r="Q49" s="15" t="s">
        <v>4951</v>
      </c>
      <c r="R49" s="8">
        <v>6680628</v>
      </c>
      <c r="S49" s="7" t="s">
        <v>89</v>
      </c>
      <c r="T49" s="162" t="s">
        <v>1007</v>
      </c>
      <c r="U49" s="109">
        <f>K49/1</f>
        <v>6955000</v>
      </c>
      <c r="V49" s="6" t="s">
        <v>164</v>
      </c>
      <c r="W49" s="6" t="s">
        <v>3286</v>
      </c>
      <c r="X49" s="6" t="s">
        <v>3216</v>
      </c>
      <c r="Y49" s="8"/>
      <c r="Z49" s="8"/>
      <c r="AA49" s="99"/>
      <c r="AB49" s="6"/>
      <c r="AC49" s="6"/>
      <c r="AD49" s="234"/>
      <c r="AE49" s="6"/>
      <c r="AF49" s="6"/>
      <c r="AG49" s="6"/>
      <c r="AH49" s="99"/>
      <c r="AI49" s="6"/>
      <c r="AJ49" s="6"/>
      <c r="AK49" s="234"/>
      <c r="AL49" s="6"/>
      <c r="AM49" s="6"/>
      <c r="AN49" s="33"/>
      <c r="AO49" s="33"/>
      <c r="AP49" s="33"/>
      <c r="AQ49" s="33"/>
      <c r="AR49" s="233"/>
      <c r="AS49" s="33"/>
      <c r="AT49" s="33"/>
      <c r="AU49" s="33"/>
      <c r="AV49" s="33"/>
      <c r="AW49" s="33"/>
      <c r="AX49" s="33"/>
      <c r="AY49" s="233"/>
      <c r="AZ49" s="33"/>
      <c r="BA49" s="33"/>
      <c r="BB49" s="33"/>
      <c r="BC49" s="33"/>
      <c r="BD49" s="33"/>
      <c r="BE49" s="33"/>
      <c r="BF49" s="233"/>
      <c r="BG49" s="33"/>
      <c r="BH49" s="33"/>
      <c r="BI49" s="33"/>
      <c r="BJ49" s="33"/>
      <c r="BK49" s="33"/>
      <c r="BL49" s="33"/>
      <c r="BM49" s="233"/>
      <c r="BN49" s="33"/>
      <c r="BO49" s="33"/>
      <c r="BP49" s="33"/>
      <c r="BQ49" s="33"/>
      <c r="BR49" s="160" t="s">
        <v>3190</v>
      </c>
      <c r="BS49" s="160" t="s">
        <v>3191</v>
      </c>
      <c r="BT49" s="6" t="s">
        <v>1777</v>
      </c>
      <c r="BU49" s="9" t="s">
        <v>3759</v>
      </c>
      <c r="BV49" s="6" t="s">
        <v>5180</v>
      </c>
      <c r="BW49" s="9" t="s">
        <v>3713</v>
      </c>
      <c r="BX49" s="6" t="s">
        <v>2903</v>
      </c>
      <c r="BY49" s="9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115" t="s">
        <v>3061</v>
      </c>
      <c r="CK49" s="273" t="s">
        <v>3739</v>
      </c>
      <c r="CL49" s="273" t="s">
        <v>3739</v>
      </c>
      <c r="CM49" s="274" t="s">
        <v>3814</v>
      </c>
      <c r="CN49" s="273" t="s">
        <v>3739</v>
      </c>
      <c r="CO49" s="273" t="s">
        <v>3739</v>
      </c>
    </row>
    <row r="50" spans="1:93" ht="36.6">
      <c r="A50" s="8">
        <v>12</v>
      </c>
      <c r="B50" s="143" t="s">
        <v>5137</v>
      </c>
      <c r="C50" s="143" t="s">
        <v>5181</v>
      </c>
      <c r="D50" s="161" t="s">
        <v>5182</v>
      </c>
      <c r="E50" s="8" t="s">
        <v>4976</v>
      </c>
      <c r="F50" s="8">
        <v>2022</v>
      </c>
      <c r="G50" s="8">
        <v>2022</v>
      </c>
      <c r="H50" s="8"/>
      <c r="I50" s="6" t="s">
        <v>5141</v>
      </c>
      <c r="J50" s="482"/>
      <c r="K50" s="458">
        <v>6671000</v>
      </c>
      <c r="L50" s="6" t="s">
        <v>3216</v>
      </c>
      <c r="M50" s="8">
        <v>7</v>
      </c>
      <c r="N50" s="6" t="s">
        <v>4978</v>
      </c>
      <c r="O50" s="9" t="s">
        <v>3223</v>
      </c>
      <c r="P50" s="8" t="s">
        <v>3215</v>
      </c>
      <c r="Q50" s="15" t="s">
        <v>4951</v>
      </c>
      <c r="R50" s="8">
        <v>6801989</v>
      </c>
      <c r="S50" s="7" t="s">
        <v>55</v>
      </c>
      <c r="T50" s="162" t="s">
        <v>1890</v>
      </c>
      <c r="U50" s="109">
        <f>K50/3</f>
        <v>2223666.6666666665</v>
      </c>
      <c r="V50" s="6" t="s">
        <v>3093</v>
      </c>
      <c r="W50" s="6" t="s">
        <v>3286</v>
      </c>
      <c r="X50" s="6" t="s">
        <v>3216</v>
      </c>
      <c r="Y50" s="8"/>
      <c r="Z50" s="8"/>
      <c r="AA50" s="55"/>
      <c r="AB50" s="55"/>
      <c r="AC50" s="6" t="s">
        <v>1573</v>
      </c>
      <c r="AD50" s="57">
        <f t="shared" ref="AD50:AD72" si="7">U50</f>
        <v>2223666.6666666665</v>
      </c>
      <c r="AE50" s="55"/>
      <c r="AF50" s="55"/>
      <c r="AG50" s="6" t="s">
        <v>3216</v>
      </c>
      <c r="AH50" s="8">
        <v>6767777</v>
      </c>
      <c r="AI50" s="162" t="s">
        <v>2673</v>
      </c>
      <c r="AJ50" s="6" t="s">
        <v>34</v>
      </c>
      <c r="AK50" s="57">
        <f>U50</f>
        <v>2223666.6666666665</v>
      </c>
      <c r="AL50" s="6" t="s">
        <v>171</v>
      </c>
      <c r="AM50" s="6" t="s">
        <v>3286</v>
      </c>
      <c r="AN50" s="6" t="s">
        <v>3216</v>
      </c>
      <c r="AO50" s="33"/>
      <c r="AP50" s="33"/>
      <c r="AQ50" s="33"/>
      <c r="AR50" s="233"/>
      <c r="AS50" s="33"/>
      <c r="AT50" s="33"/>
      <c r="AU50" s="33"/>
      <c r="AV50" s="33"/>
      <c r="AW50" s="33"/>
      <c r="AX50" s="33"/>
      <c r="AY50" s="233"/>
      <c r="AZ50" s="33"/>
      <c r="BA50" s="33"/>
      <c r="BB50" s="33"/>
      <c r="BC50" s="33"/>
      <c r="BD50" s="33"/>
      <c r="BE50" s="33"/>
      <c r="BF50" s="233"/>
      <c r="BG50" s="33"/>
      <c r="BH50" s="33"/>
      <c r="BI50" s="33"/>
      <c r="BJ50" s="33"/>
      <c r="BK50" s="33"/>
      <c r="BL50" s="33"/>
      <c r="BM50" s="233"/>
      <c r="BN50" s="33"/>
      <c r="BO50" s="33"/>
      <c r="BP50" s="33"/>
      <c r="BQ50" s="33"/>
      <c r="BR50" s="160" t="s">
        <v>3190</v>
      </c>
      <c r="BS50" s="160" t="s">
        <v>3191</v>
      </c>
      <c r="BT50" s="6" t="s">
        <v>5183</v>
      </c>
      <c r="BU50" s="9"/>
      <c r="BV50" s="6" t="s">
        <v>5184</v>
      </c>
      <c r="BW50" s="9" t="s">
        <v>3748</v>
      </c>
      <c r="BX50" s="6" t="s">
        <v>5185</v>
      </c>
      <c r="BY50" s="9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115" t="s">
        <v>3251</v>
      </c>
      <c r="CK50" s="115" t="s">
        <v>4981</v>
      </c>
      <c r="CL50" s="115" t="s">
        <v>4991</v>
      </c>
      <c r="CM50" s="115" t="s">
        <v>5186</v>
      </c>
      <c r="CN50" s="273" t="s">
        <v>3739</v>
      </c>
      <c r="CO50" s="273" t="s">
        <v>3739</v>
      </c>
    </row>
    <row r="51" spans="1:93" ht="60.6">
      <c r="A51" s="8">
        <v>13</v>
      </c>
      <c r="B51" s="143" t="s">
        <v>5137</v>
      </c>
      <c r="C51" s="143" t="s">
        <v>5187</v>
      </c>
      <c r="D51" s="161" t="s">
        <v>5188</v>
      </c>
      <c r="E51" s="8" t="s">
        <v>4976</v>
      </c>
      <c r="F51" s="8">
        <v>2022</v>
      </c>
      <c r="G51" s="8">
        <v>2022</v>
      </c>
      <c r="H51" s="8"/>
      <c r="I51" s="6" t="s">
        <v>5151</v>
      </c>
      <c r="J51" s="482"/>
      <c r="K51" s="458">
        <v>7000000</v>
      </c>
      <c r="L51" s="6" t="s">
        <v>3216</v>
      </c>
      <c r="M51" s="8">
        <v>7</v>
      </c>
      <c r="N51" s="6" t="s">
        <v>4978</v>
      </c>
      <c r="O51" s="9" t="s">
        <v>3223</v>
      </c>
      <c r="P51" s="8" t="s">
        <v>3215</v>
      </c>
      <c r="Q51" s="15" t="s">
        <v>4951</v>
      </c>
      <c r="R51" s="8">
        <v>6680634</v>
      </c>
      <c r="S51" s="7" t="s">
        <v>47</v>
      </c>
      <c r="T51" s="162" t="s">
        <v>989</v>
      </c>
      <c r="U51" s="109">
        <f>K51/3</f>
        <v>2333333.3333333335</v>
      </c>
      <c r="V51" s="6" t="s">
        <v>166</v>
      </c>
      <c r="W51" s="6" t="s">
        <v>3286</v>
      </c>
      <c r="X51" s="6" t="s">
        <v>3216</v>
      </c>
      <c r="Y51" s="8"/>
      <c r="Z51" s="8"/>
      <c r="AA51" s="205">
        <v>6744406</v>
      </c>
      <c r="AB51" s="207" t="s">
        <v>985</v>
      </c>
      <c r="AC51" s="6" t="s">
        <v>352</v>
      </c>
      <c r="AD51" s="57">
        <f t="shared" si="7"/>
        <v>2333333.3333333335</v>
      </c>
      <c r="AE51" s="6" t="s">
        <v>166</v>
      </c>
      <c r="AF51" s="6" t="s">
        <v>3286</v>
      </c>
      <c r="AG51" s="6" t="s">
        <v>3216</v>
      </c>
      <c r="AH51" s="8">
        <v>6764236</v>
      </c>
      <c r="AI51" s="162" t="s">
        <v>1684</v>
      </c>
      <c r="AJ51" s="6" t="s">
        <v>25</v>
      </c>
      <c r="AK51" s="57">
        <f>U51</f>
        <v>2333333.3333333335</v>
      </c>
      <c r="AL51" s="6" t="s">
        <v>166</v>
      </c>
      <c r="AM51" s="6" t="s">
        <v>3286</v>
      </c>
      <c r="AN51" s="6" t="s">
        <v>3216</v>
      </c>
      <c r="AO51" s="33"/>
      <c r="AP51" s="33"/>
      <c r="AQ51" s="33"/>
      <c r="AR51" s="233"/>
      <c r="AS51" s="33"/>
      <c r="AT51" s="33"/>
      <c r="AU51" s="33"/>
      <c r="AV51" s="33"/>
      <c r="AW51" s="33"/>
      <c r="AX51" s="33"/>
      <c r="AY51" s="233"/>
      <c r="AZ51" s="33"/>
      <c r="BA51" s="33"/>
      <c r="BB51" s="33"/>
      <c r="BC51" s="33"/>
      <c r="BD51" s="33"/>
      <c r="BE51" s="33"/>
      <c r="BF51" s="233"/>
      <c r="BG51" s="33"/>
      <c r="BH51" s="33"/>
      <c r="BI51" s="33"/>
      <c r="BJ51" s="33"/>
      <c r="BK51" s="33"/>
      <c r="BL51" s="33"/>
      <c r="BM51" s="233"/>
      <c r="BN51" s="33"/>
      <c r="BO51" s="33"/>
      <c r="BP51" s="33"/>
      <c r="BQ51" s="33"/>
      <c r="BR51" s="160" t="s">
        <v>3190</v>
      </c>
      <c r="BS51" s="160" t="s">
        <v>3191</v>
      </c>
      <c r="BT51" s="6" t="s">
        <v>1376</v>
      </c>
      <c r="BU51" s="9" t="s">
        <v>3713</v>
      </c>
      <c r="BV51" s="6" t="s">
        <v>5189</v>
      </c>
      <c r="BW51" s="9"/>
      <c r="BX51" s="6" t="s">
        <v>5190</v>
      </c>
      <c r="BY51" s="9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115" t="s">
        <v>3061</v>
      </c>
      <c r="CK51" s="115" t="s">
        <v>4981</v>
      </c>
      <c r="CL51" s="115" t="s">
        <v>4991</v>
      </c>
      <c r="CM51" s="115" t="s">
        <v>5191</v>
      </c>
      <c r="CN51" s="273" t="s">
        <v>3739</v>
      </c>
      <c r="CO51" s="273" t="s">
        <v>3739</v>
      </c>
    </row>
    <row r="52" spans="1:93" ht="48.6">
      <c r="A52" s="8">
        <v>14</v>
      </c>
      <c r="B52" s="143" t="s">
        <v>5137</v>
      </c>
      <c r="C52" s="143" t="s">
        <v>5192</v>
      </c>
      <c r="D52" s="161" t="s">
        <v>5193</v>
      </c>
      <c r="E52" s="8" t="s">
        <v>4976</v>
      </c>
      <c r="F52" s="8">
        <v>2022</v>
      </c>
      <c r="G52" s="8">
        <v>2022</v>
      </c>
      <c r="H52" s="8"/>
      <c r="I52" s="6" t="s">
        <v>5141</v>
      </c>
      <c r="J52" s="482"/>
      <c r="K52" s="458">
        <v>5570000</v>
      </c>
      <c r="L52" s="6" t="s">
        <v>3216</v>
      </c>
      <c r="M52" s="8">
        <v>7</v>
      </c>
      <c r="N52" s="6" t="s">
        <v>4978</v>
      </c>
      <c r="O52" s="9" t="s">
        <v>3223</v>
      </c>
      <c r="P52" s="8" t="s">
        <v>3215</v>
      </c>
      <c r="Q52" s="15" t="s">
        <v>4951</v>
      </c>
      <c r="R52" s="8">
        <v>6680648</v>
      </c>
      <c r="S52" s="7" t="s">
        <v>17</v>
      </c>
      <c r="T52" s="162" t="s">
        <v>1036</v>
      </c>
      <c r="U52" s="109">
        <f>K52/3</f>
        <v>1856666.6666666667</v>
      </c>
      <c r="V52" s="6" t="s">
        <v>166</v>
      </c>
      <c r="W52" s="6" t="s">
        <v>3286</v>
      </c>
      <c r="X52" s="6" t="s">
        <v>3216</v>
      </c>
      <c r="Y52" s="8"/>
      <c r="Z52" s="8"/>
      <c r="AA52" s="8">
        <v>6665306</v>
      </c>
      <c r="AB52" s="162" t="s">
        <v>1727</v>
      </c>
      <c r="AC52" s="6" t="s">
        <v>28</v>
      </c>
      <c r="AD52" s="57">
        <f t="shared" si="7"/>
        <v>1856666.6666666667</v>
      </c>
      <c r="AE52" s="6" t="s">
        <v>166</v>
      </c>
      <c r="AF52" s="6" t="s">
        <v>3286</v>
      </c>
      <c r="AG52" s="6" t="s">
        <v>3216</v>
      </c>
      <c r="AH52" s="8">
        <v>6801883</v>
      </c>
      <c r="AI52" s="162" t="s">
        <v>1751</v>
      </c>
      <c r="AJ52" s="6" t="s">
        <v>39</v>
      </c>
      <c r="AK52" s="57">
        <f>U52</f>
        <v>1856666.6666666667</v>
      </c>
      <c r="AL52" s="6" t="s">
        <v>166</v>
      </c>
      <c r="AM52" s="6" t="s">
        <v>3286</v>
      </c>
      <c r="AN52" s="6" t="s">
        <v>3216</v>
      </c>
      <c r="AO52" s="33"/>
      <c r="AP52" s="33"/>
      <c r="AQ52" s="33"/>
      <c r="AR52" s="233"/>
      <c r="AS52" s="33"/>
      <c r="AT52" s="33"/>
      <c r="AU52" s="33"/>
      <c r="AV52" s="33"/>
      <c r="AW52" s="33"/>
      <c r="AX52" s="33"/>
      <c r="AY52" s="233"/>
      <c r="AZ52" s="33"/>
      <c r="BA52" s="33"/>
      <c r="BB52" s="33"/>
      <c r="BC52" s="33"/>
      <c r="BD52" s="33"/>
      <c r="BE52" s="33"/>
      <c r="BF52" s="233"/>
      <c r="BG52" s="33"/>
      <c r="BH52" s="33"/>
      <c r="BI52" s="33"/>
      <c r="BJ52" s="33"/>
      <c r="BK52" s="33"/>
      <c r="BL52" s="33"/>
      <c r="BM52" s="233"/>
      <c r="BN52" s="33"/>
      <c r="BO52" s="33"/>
      <c r="BP52" s="33"/>
      <c r="BQ52" s="33"/>
      <c r="BR52" s="160" t="s">
        <v>3190</v>
      </c>
      <c r="BS52" s="160" t="s">
        <v>3191</v>
      </c>
      <c r="BT52" s="6" t="s">
        <v>1658</v>
      </c>
      <c r="BU52" s="9"/>
      <c r="BV52" s="6" t="s">
        <v>5194</v>
      </c>
      <c r="BW52" s="9"/>
      <c r="BX52" s="6"/>
      <c r="BY52" s="9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115" t="s">
        <v>3251</v>
      </c>
      <c r="CK52" s="115" t="s">
        <v>4998</v>
      </c>
      <c r="CL52" s="115" t="s">
        <v>4991</v>
      </c>
      <c r="CM52" s="274" t="s">
        <v>5195</v>
      </c>
      <c r="CN52" s="273" t="s">
        <v>3739</v>
      </c>
      <c r="CO52" s="273" t="s">
        <v>3739</v>
      </c>
    </row>
    <row r="53" spans="1:93" ht="36.6">
      <c r="A53" s="298">
        <v>15</v>
      </c>
      <c r="B53" s="143" t="s">
        <v>5137</v>
      </c>
      <c r="C53" s="143" t="s">
        <v>5196</v>
      </c>
      <c r="D53" s="161" t="s">
        <v>5197</v>
      </c>
      <c r="E53" s="8" t="s">
        <v>4976</v>
      </c>
      <c r="F53" s="8">
        <v>2022</v>
      </c>
      <c r="G53" s="8">
        <v>2022</v>
      </c>
      <c r="H53" s="8"/>
      <c r="I53" s="6" t="s">
        <v>5141</v>
      </c>
      <c r="J53" s="482"/>
      <c r="K53" s="458">
        <v>7000000</v>
      </c>
      <c r="L53" s="6" t="s">
        <v>3216</v>
      </c>
      <c r="M53" s="8">
        <v>7</v>
      </c>
      <c r="N53" s="6" t="s">
        <v>4978</v>
      </c>
      <c r="O53" s="9" t="s">
        <v>3223</v>
      </c>
      <c r="P53" s="8" t="s">
        <v>3215</v>
      </c>
      <c r="Q53" s="15" t="s">
        <v>4951</v>
      </c>
      <c r="R53" s="8">
        <v>6680629</v>
      </c>
      <c r="S53" s="7" t="s">
        <v>27</v>
      </c>
      <c r="T53" s="162" t="s">
        <v>2424</v>
      </c>
      <c r="U53" s="109">
        <f>K53/3</f>
        <v>2333333.3333333335</v>
      </c>
      <c r="V53" s="6" t="s">
        <v>151</v>
      </c>
      <c r="W53" s="6" t="s">
        <v>3281</v>
      </c>
      <c r="X53" s="6" t="s">
        <v>3216</v>
      </c>
      <c r="Y53" s="8"/>
      <c r="Z53" s="8"/>
      <c r="AA53" s="33">
        <v>6663582</v>
      </c>
      <c r="AB53" s="164" t="s">
        <v>1668</v>
      </c>
      <c r="AC53" s="6" t="s">
        <v>94</v>
      </c>
      <c r="AD53" s="57">
        <f t="shared" si="7"/>
        <v>2333333.3333333335</v>
      </c>
      <c r="AE53" s="6" t="s">
        <v>151</v>
      </c>
      <c r="AF53" s="6" t="s">
        <v>3281</v>
      </c>
      <c r="AG53" s="6" t="s">
        <v>3216</v>
      </c>
      <c r="AH53" s="8">
        <v>6680633</v>
      </c>
      <c r="AI53" s="190" t="s">
        <v>3322</v>
      </c>
      <c r="AJ53" s="6" t="s">
        <v>18</v>
      </c>
      <c r="AK53" s="57">
        <f>U53</f>
        <v>2333333.3333333335</v>
      </c>
      <c r="AL53" s="6" t="s">
        <v>156</v>
      </c>
      <c r="AM53" s="6" t="s">
        <v>3286</v>
      </c>
      <c r="AN53" s="6" t="s">
        <v>3216</v>
      </c>
      <c r="AO53" s="33"/>
      <c r="AP53" s="33"/>
      <c r="AQ53" s="33"/>
      <c r="AR53" s="233"/>
      <c r="AS53" s="33"/>
      <c r="AT53" s="33"/>
      <c r="AU53" s="33"/>
      <c r="AV53" s="33"/>
      <c r="AW53" s="33"/>
      <c r="AX53" s="33"/>
      <c r="AY53" s="233"/>
      <c r="AZ53" s="33"/>
      <c r="BA53" s="33"/>
      <c r="BB53" s="33"/>
      <c r="BC53" s="33"/>
      <c r="BD53" s="33"/>
      <c r="BE53" s="33"/>
      <c r="BF53" s="233"/>
      <c r="BG53" s="33"/>
      <c r="BH53" s="33"/>
      <c r="BI53" s="33"/>
      <c r="BJ53" s="33"/>
      <c r="BK53" s="33"/>
      <c r="BL53" s="33"/>
      <c r="BM53" s="233"/>
      <c r="BN53" s="33"/>
      <c r="BO53" s="33"/>
      <c r="BP53" s="33"/>
      <c r="BQ53" s="33"/>
      <c r="BR53" s="160" t="s">
        <v>3190</v>
      </c>
      <c r="BS53" s="160" t="s">
        <v>3191</v>
      </c>
      <c r="BT53" s="6" t="s">
        <v>2151</v>
      </c>
      <c r="BU53" s="9"/>
      <c r="BV53" s="6" t="s">
        <v>5198</v>
      </c>
      <c r="BW53" s="9"/>
      <c r="BX53" s="6" t="s">
        <v>5199</v>
      </c>
      <c r="BY53" s="9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275" t="s">
        <v>942</v>
      </c>
      <c r="CK53" s="115" t="s">
        <v>4981</v>
      </c>
      <c r="CL53" s="115" t="s">
        <v>4991</v>
      </c>
      <c r="CM53" s="274" t="s">
        <v>5200</v>
      </c>
      <c r="CN53" s="273" t="s">
        <v>3739</v>
      </c>
      <c r="CO53" s="273" t="s">
        <v>3739</v>
      </c>
    </row>
    <row r="54" spans="1:93" ht="36">
      <c r="A54" s="8">
        <v>16</v>
      </c>
      <c r="B54" s="143" t="s">
        <v>5137</v>
      </c>
      <c r="C54" s="6" t="s">
        <v>942</v>
      </c>
      <c r="D54" s="161" t="s">
        <v>5201</v>
      </c>
      <c r="E54" s="8" t="s">
        <v>5040</v>
      </c>
      <c r="F54" s="8">
        <v>2022</v>
      </c>
      <c r="G54" s="8">
        <v>2022</v>
      </c>
      <c r="H54" s="8"/>
      <c r="I54" s="6" t="s">
        <v>5141</v>
      </c>
      <c r="J54" s="482"/>
      <c r="K54" s="458">
        <v>10000000</v>
      </c>
      <c r="L54" s="6" t="s">
        <v>3216</v>
      </c>
      <c r="M54" s="8">
        <v>7</v>
      </c>
      <c r="N54" s="6" t="s">
        <v>4978</v>
      </c>
      <c r="O54" s="9" t="s">
        <v>3223</v>
      </c>
      <c r="P54" s="8" t="s">
        <v>3215</v>
      </c>
      <c r="Q54" s="15" t="s">
        <v>4951</v>
      </c>
      <c r="R54" s="8">
        <v>6680687</v>
      </c>
      <c r="S54" s="7" t="s">
        <v>29</v>
      </c>
      <c r="T54" s="162" t="s">
        <v>1693</v>
      </c>
      <c r="U54" s="109">
        <f>K54/3</f>
        <v>3333333.3333333335</v>
      </c>
      <c r="V54" s="6" t="s">
        <v>160</v>
      </c>
      <c r="W54" s="6" t="s">
        <v>3281</v>
      </c>
      <c r="X54" s="6" t="s">
        <v>3216</v>
      </c>
      <c r="Y54" s="8"/>
      <c r="Z54" s="8"/>
      <c r="AA54" s="8">
        <v>6680698</v>
      </c>
      <c r="AB54" s="162" t="s">
        <v>1002</v>
      </c>
      <c r="AC54" s="6" t="s">
        <v>165</v>
      </c>
      <c r="AD54" s="57">
        <f t="shared" si="7"/>
        <v>3333333.3333333335</v>
      </c>
      <c r="AE54" s="6" t="s">
        <v>164</v>
      </c>
      <c r="AF54" s="6" t="s">
        <v>3286</v>
      </c>
      <c r="AG54" s="6" t="s">
        <v>3216</v>
      </c>
      <c r="AH54" s="6">
        <v>259781</v>
      </c>
      <c r="AI54" s="11" t="s">
        <v>982</v>
      </c>
      <c r="AJ54" s="6" t="s">
        <v>26</v>
      </c>
      <c r="AK54" s="57">
        <f>U54</f>
        <v>3333333.3333333335</v>
      </c>
      <c r="AL54" s="6" t="s">
        <v>164</v>
      </c>
      <c r="AM54" s="6" t="s">
        <v>3286</v>
      </c>
      <c r="AN54" s="6" t="s">
        <v>3216</v>
      </c>
      <c r="AO54" s="33"/>
      <c r="AP54" s="33"/>
      <c r="AQ54" s="33"/>
      <c r="AR54" s="233"/>
      <c r="AS54" s="33"/>
      <c r="AT54" s="33"/>
      <c r="AU54" s="33"/>
      <c r="AV54" s="33"/>
      <c r="AW54" s="33"/>
      <c r="AX54" s="33"/>
      <c r="AY54" s="233"/>
      <c r="AZ54" s="33"/>
      <c r="BA54" s="33"/>
      <c r="BB54" s="33"/>
      <c r="BC54" s="33"/>
      <c r="BD54" s="33"/>
      <c r="BE54" s="33"/>
      <c r="BF54" s="233"/>
      <c r="BG54" s="33"/>
      <c r="BH54" s="33"/>
      <c r="BI54" s="33"/>
      <c r="BJ54" s="33"/>
      <c r="BK54" s="33"/>
      <c r="BL54" s="33"/>
      <c r="BM54" s="233"/>
      <c r="BN54" s="33"/>
      <c r="BO54" s="33"/>
      <c r="BP54" s="33"/>
      <c r="BQ54" s="33"/>
      <c r="BR54" s="160" t="s">
        <v>3190</v>
      </c>
      <c r="BS54" s="160" t="s">
        <v>3191</v>
      </c>
      <c r="BT54" s="6"/>
      <c r="BU54" s="9"/>
      <c r="BV54" s="6"/>
      <c r="BW54" s="9"/>
      <c r="BX54" s="6"/>
      <c r="BY54" s="9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115" t="s">
        <v>3061</v>
      </c>
      <c r="CK54" s="273" t="s">
        <v>3739</v>
      </c>
      <c r="CL54" s="273" t="s">
        <v>3739</v>
      </c>
      <c r="CM54" s="115" t="s">
        <v>5202</v>
      </c>
      <c r="CN54" s="273" t="s">
        <v>3739</v>
      </c>
      <c r="CO54" s="273" t="s">
        <v>3739</v>
      </c>
    </row>
    <row r="55" spans="1:93" ht="36.6">
      <c r="A55" s="8">
        <v>17</v>
      </c>
      <c r="B55" s="143" t="s">
        <v>5137</v>
      </c>
      <c r="C55" s="143" t="s">
        <v>5203</v>
      </c>
      <c r="D55" s="161" t="s">
        <v>5204</v>
      </c>
      <c r="E55" s="8" t="s">
        <v>4976</v>
      </c>
      <c r="F55" s="8">
        <v>2022</v>
      </c>
      <c r="G55" s="8">
        <v>2022</v>
      </c>
      <c r="H55" s="8"/>
      <c r="I55" s="6" t="s">
        <v>4986</v>
      </c>
      <c r="J55" s="482"/>
      <c r="K55" s="458">
        <v>6971250</v>
      </c>
      <c r="L55" s="6" t="s">
        <v>3216</v>
      </c>
      <c r="M55" s="8">
        <v>7</v>
      </c>
      <c r="N55" s="6" t="s">
        <v>4978</v>
      </c>
      <c r="O55" s="9" t="s">
        <v>3223</v>
      </c>
      <c r="P55" s="8" t="s">
        <v>3215</v>
      </c>
      <c r="Q55" s="15" t="s">
        <v>4951</v>
      </c>
      <c r="R55" s="8">
        <v>6787821</v>
      </c>
      <c r="S55" s="7" t="s">
        <v>43</v>
      </c>
      <c r="T55" s="10" t="s">
        <v>1756</v>
      </c>
      <c r="U55" s="109">
        <f>K55/2</f>
        <v>3485625</v>
      </c>
      <c r="V55" s="6" t="s">
        <v>172</v>
      </c>
      <c r="W55" s="6" t="s">
        <v>3281</v>
      </c>
      <c r="X55" s="6" t="s">
        <v>3216</v>
      </c>
      <c r="Y55" s="8"/>
      <c r="Z55" s="8"/>
      <c r="AA55" s="99">
        <v>6778519</v>
      </c>
      <c r="AB55" s="116" t="s">
        <v>1876</v>
      </c>
      <c r="AC55" s="6" t="s">
        <v>177</v>
      </c>
      <c r="AD55" s="57">
        <f t="shared" si="7"/>
        <v>3485625</v>
      </c>
      <c r="AE55" s="6" t="s">
        <v>172</v>
      </c>
      <c r="AF55" s="6" t="s">
        <v>3281</v>
      </c>
      <c r="AG55" s="6" t="s">
        <v>3216</v>
      </c>
      <c r="AH55" s="99"/>
      <c r="AI55" s="6"/>
      <c r="AJ55" s="6"/>
      <c r="AK55" s="234"/>
      <c r="AL55" s="6"/>
      <c r="AM55" s="6"/>
      <c r="AN55" s="33"/>
      <c r="AO55" s="33"/>
      <c r="AP55" s="33"/>
      <c r="AQ55" s="33"/>
      <c r="AR55" s="233"/>
      <c r="AS55" s="33"/>
      <c r="AT55" s="33"/>
      <c r="AU55" s="33"/>
      <c r="AV55" s="33"/>
      <c r="AW55" s="33"/>
      <c r="AX55" s="33"/>
      <c r="AY55" s="233"/>
      <c r="AZ55" s="33"/>
      <c r="BA55" s="33"/>
      <c r="BB55" s="33"/>
      <c r="BC55" s="33"/>
      <c r="BD55" s="33"/>
      <c r="BE55" s="33"/>
      <c r="BF55" s="233"/>
      <c r="BG55" s="33"/>
      <c r="BH55" s="33"/>
      <c r="BI55" s="33"/>
      <c r="BJ55" s="33"/>
      <c r="BK55" s="33"/>
      <c r="BL55" s="33"/>
      <c r="BM55" s="233"/>
      <c r="BN55" s="33"/>
      <c r="BO55" s="33"/>
      <c r="BP55" s="33"/>
      <c r="BQ55" s="33"/>
      <c r="BR55" s="160" t="s">
        <v>3190</v>
      </c>
      <c r="BS55" s="160" t="s">
        <v>3191</v>
      </c>
      <c r="BT55" s="6" t="s">
        <v>2137</v>
      </c>
      <c r="BU55" s="9"/>
      <c r="BV55" s="6" t="s">
        <v>5205</v>
      </c>
      <c r="BW55" s="9"/>
      <c r="BX55" s="6" t="s">
        <v>5206</v>
      </c>
      <c r="BY55" s="9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273" t="s">
        <v>4990</v>
      </c>
      <c r="CK55" s="115" t="s">
        <v>4998</v>
      </c>
      <c r="CL55" s="115" t="s">
        <v>4991</v>
      </c>
      <c r="CM55" s="115" t="s">
        <v>5202</v>
      </c>
      <c r="CN55" s="273" t="s">
        <v>3739</v>
      </c>
      <c r="CO55" s="273" t="s">
        <v>3739</v>
      </c>
    </row>
    <row r="56" spans="1:93" ht="72.599999999999994">
      <c r="A56" s="8">
        <v>18</v>
      </c>
      <c r="B56" s="143" t="s">
        <v>5207</v>
      </c>
      <c r="C56" s="143" t="s">
        <v>5208</v>
      </c>
      <c r="D56" s="161" t="s">
        <v>5209</v>
      </c>
      <c r="E56" s="8" t="s">
        <v>4976</v>
      </c>
      <c r="F56" s="8">
        <v>2022</v>
      </c>
      <c r="G56" s="8">
        <v>2022</v>
      </c>
      <c r="H56" s="8"/>
      <c r="I56" s="6" t="s">
        <v>4977</v>
      </c>
      <c r="J56" s="482"/>
      <c r="K56" s="458">
        <v>6941000</v>
      </c>
      <c r="L56" s="6" t="s">
        <v>3216</v>
      </c>
      <c r="M56" s="8">
        <v>7</v>
      </c>
      <c r="N56" s="6" t="s">
        <v>4978</v>
      </c>
      <c r="O56" s="9" t="s">
        <v>3223</v>
      </c>
      <c r="P56" s="8" t="s">
        <v>3215</v>
      </c>
      <c r="Q56" s="15" t="s">
        <v>4951</v>
      </c>
      <c r="R56" s="8">
        <v>6727245</v>
      </c>
      <c r="S56" s="7" t="s">
        <v>96</v>
      </c>
      <c r="T56" s="162" t="s">
        <v>1889</v>
      </c>
      <c r="U56" s="109">
        <f>K56/2</f>
        <v>3470500</v>
      </c>
      <c r="V56" s="6" t="s">
        <v>3093</v>
      </c>
      <c r="W56" s="6" t="s">
        <v>3286</v>
      </c>
      <c r="X56" s="6" t="s">
        <v>3216</v>
      </c>
      <c r="Y56" s="8"/>
      <c r="Z56" s="8"/>
      <c r="AA56" s="162" t="s">
        <v>3985</v>
      </c>
      <c r="AB56" s="162" t="s">
        <v>2730</v>
      </c>
      <c r="AC56" s="6" t="s">
        <v>42</v>
      </c>
      <c r="AD56" s="57">
        <f t="shared" si="7"/>
        <v>3470500</v>
      </c>
      <c r="AE56" s="6" t="s">
        <v>175</v>
      </c>
      <c r="AF56" s="6" t="s">
        <v>3286</v>
      </c>
      <c r="AG56" s="6" t="s">
        <v>3216</v>
      </c>
      <c r="AH56" s="55"/>
      <c r="AI56" s="55"/>
      <c r="AJ56" s="55" t="s">
        <v>5210</v>
      </c>
      <c r="AK56" s="57">
        <v>0</v>
      </c>
      <c r="AL56" s="55"/>
      <c r="AM56" s="55"/>
      <c r="AN56" s="32"/>
      <c r="AO56" s="33"/>
      <c r="AP56" s="33"/>
      <c r="AQ56" s="33"/>
      <c r="AR56" s="233"/>
      <c r="AS56" s="33"/>
      <c r="AT56" s="33"/>
      <c r="AU56" s="33"/>
      <c r="AV56" s="33"/>
      <c r="AW56" s="33"/>
      <c r="AX56" s="33"/>
      <c r="AY56" s="233"/>
      <c r="AZ56" s="33"/>
      <c r="BA56" s="33"/>
      <c r="BB56" s="33"/>
      <c r="BC56" s="33"/>
      <c r="BD56" s="33"/>
      <c r="BE56" s="33"/>
      <c r="BF56" s="233"/>
      <c r="BG56" s="33"/>
      <c r="BH56" s="33"/>
      <c r="BI56" s="33"/>
      <c r="BJ56" s="33"/>
      <c r="BK56" s="33"/>
      <c r="BL56" s="33"/>
      <c r="BM56" s="233"/>
      <c r="BN56" s="33"/>
      <c r="BO56" s="33"/>
      <c r="BP56" s="33"/>
      <c r="BQ56" s="33"/>
      <c r="BR56" s="160" t="s">
        <v>3190</v>
      </c>
      <c r="BS56" s="160" t="s">
        <v>3191</v>
      </c>
      <c r="BT56" s="6" t="s">
        <v>1329</v>
      </c>
      <c r="BU56" s="9"/>
      <c r="BV56" s="6" t="s">
        <v>5211</v>
      </c>
      <c r="BW56" s="9"/>
      <c r="BX56" s="6" t="s">
        <v>5212</v>
      </c>
      <c r="BY56" s="9"/>
      <c r="BZ56" s="33" t="s">
        <v>5213</v>
      </c>
      <c r="CA56" s="33"/>
      <c r="CB56" s="33"/>
      <c r="CC56" s="33"/>
      <c r="CD56" s="33"/>
      <c r="CE56" s="33"/>
      <c r="CF56" s="33"/>
      <c r="CG56" s="33"/>
      <c r="CH56" s="33"/>
      <c r="CI56" s="33"/>
      <c r="CJ56" s="115" t="s">
        <v>3061</v>
      </c>
      <c r="CK56" s="115" t="s">
        <v>4998</v>
      </c>
      <c r="CL56" s="115" t="s">
        <v>4991</v>
      </c>
      <c r="CM56" s="115" t="s">
        <v>5214</v>
      </c>
      <c r="CN56" s="273" t="s">
        <v>3739</v>
      </c>
      <c r="CO56" s="273" t="s">
        <v>3739</v>
      </c>
    </row>
    <row r="57" spans="1:93" ht="36.6">
      <c r="A57" s="8">
        <v>19</v>
      </c>
      <c r="B57" s="143" t="s">
        <v>5207</v>
      </c>
      <c r="C57" s="143" t="s">
        <v>5215</v>
      </c>
      <c r="D57" s="161" t="s">
        <v>5216</v>
      </c>
      <c r="E57" s="8" t="s">
        <v>4976</v>
      </c>
      <c r="F57" s="8">
        <v>2022</v>
      </c>
      <c r="G57" s="8">
        <v>2022</v>
      </c>
      <c r="H57" s="8"/>
      <c r="I57" s="6" t="s">
        <v>4977</v>
      </c>
      <c r="J57" s="482"/>
      <c r="K57" s="458">
        <v>7000000</v>
      </c>
      <c r="L57" s="6" t="s">
        <v>3216</v>
      </c>
      <c r="M57" s="8">
        <v>7</v>
      </c>
      <c r="N57" s="6" t="s">
        <v>4978</v>
      </c>
      <c r="O57" s="9" t="s">
        <v>3223</v>
      </c>
      <c r="P57" s="8" t="s">
        <v>3215</v>
      </c>
      <c r="Q57" s="15" t="s">
        <v>4951</v>
      </c>
      <c r="R57" s="8">
        <v>6680698</v>
      </c>
      <c r="S57" s="7" t="s">
        <v>165</v>
      </c>
      <c r="T57" s="162" t="s">
        <v>1002</v>
      </c>
      <c r="U57" s="109">
        <f t="shared" ref="U57:U63" si="8">K57/3</f>
        <v>2333333.3333333335</v>
      </c>
      <c r="V57" s="6" t="s">
        <v>164</v>
      </c>
      <c r="W57" s="6" t="s">
        <v>3286</v>
      </c>
      <c r="X57" s="6" t="s">
        <v>3216</v>
      </c>
      <c r="Y57" s="8"/>
      <c r="Z57" s="8"/>
      <c r="AA57" s="8">
        <v>259781</v>
      </c>
      <c r="AB57" s="162" t="s">
        <v>982</v>
      </c>
      <c r="AC57" s="6" t="s">
        <v>26</v>
      </c>
      <c r="AD57" s="57">
        <f t="shared" si="7"/>
        <v>2333333.3333333335</v>
      </c>
      <c r="AE57" s="6" t="s">
        <v>164</v>
      </c>
      <c r="AF57" s="6" t="s">
        <v>3286</v>
      </c>
      <c r="AG57" s="6" t="s">
        <v>3216</v>
      </c>
      <c r="AH57" s="6">
        <v>6680622</v>
      </c>
      <c r="AI57" s="6" t="s">
        <v>983</v>
      </c>
      <c r="AJ57" s="6" t="s">
        <v>11</v>
      </c>
      <c r="AK57" s="57">
        <f t="shared" ref="AK57:AK67" si="9">U57</f>
        <v>2333333.3333333335</v>
      </c>
      <c r="AL57" s="6" t="s">
        <v>164</v>
      </c>
      <c r="AM57" s="6" t="s">
        <v>3286</v>
      </c>
      <c r="AN57" s="6" t="s">
        <v>3216</v>
      </c>
      <c r="AO57" s="33"/>
      <c r="AP57" s="33"/>
      <c r="AQ57" s="33"/>
      <c r="AR57" s="233"/>
      <c r="AS57" s="33"/>
      <c r="AT57" s="33"/>
      <c r="AU57" s="33"/>
      <c r="AV57" s="33"/>
      <c r="AW57" s="33"/>
      <c r="AX57" s="33"/>
      <c r="AY57" s="233"/>
      <c r="AZ57" s="33"/>
      <c r="BA57" s="33"/>
      <c r="BB57" s="33"/>
      <c r="BC57" s="33"/>
      <c r="BD57" s="33"/>
      <c r="BE57" s="33"/>
      <c r="BF57" s="233"/>
      <c r="BG57" s="33"/>
      <c r="BH57" s="33"/>
      <c r="BI57" s="33"/>
      <c r="BJ57" s="33"/>
      <c r="BK57" s="33"/>
      <c r="BL57" s="33"/>
      <c r="BM57" s="233"/>
      <c r="BN57" s="33"/>
      <c r="BO57" s="33"/>
      <c r="BP57" s="33"/>
      <c r="BQ57" s="33"/>
      <c r="BR57" s="160" t="s">
        <v>3190</v>
      </c>
      <c r="BS57" s="160" t="s">
        <v>3191</v>
      </c>
      <c r="BT57" s="6" t="s">
        <v>1025</v>
      </c>
      <c r="BU57" s="9"/>
      <c r="BV57" s="6" t="s">
        <v>1026</v>
      </c>
      <c r="BW57" s="9"/>
      <c r="BX57" s="6" t="s">
        <v>2808</v>
      </c>
      <c r="BY57" s="9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115" t="s">
        <v>3061</v>
      </c>
      <c r="CK57" s="115" t="s">
        <v>4981</v>
      </c>
      <c r="CL57" s="115" t="s">
        <v>4991</v>
      </c>
      <c r="CM57" s="115" t="s">
        <v>3739</v>
      </c>
      <c r="CN57" s="273" t="s">
        <v>3739</v>
      </c>
      <c r="CO57" s="273" t="s">
        <v>3739</v>
      </c>
    </row>
    <row r="58" spans="1:93" ht="36">
      <c r="A58" s="8">
        <v>20</v>
      </c>
      <c r="B58" s="143" t="s">
        <v>5207</v>
      </c>
      <c r="C58" s="143" t="s">
        <v>5217</v>
      </c>
      <c r="D58" s="161" t="s">
        <v>5218</v>
      </c>
      <c r="E58" s="8" t="s">
        <v>4976</v>
      </c>
      <c r="F58" s="8">
        <v>2022</v>
      </c>
      <c r="G58" s="8">
        <v>2022</v>
      </c>
      <c r="H58" s="8"/>
      <c r="I58" s="6" t="s">
        <v>4977</v>
      </c>
      <c r="J58" s="482"/>
      <c r="K58" s="458">
        <v>6000000</v>
      </c>
      <c r="L58" s="6" t="s">
        <v>3216</v>
      </c>
      <c r="M58" s="8">
        <v>7</v>
      </c>
      <c r="N58" s="6" t="s">
        <v>4978</v>
      </c>
      <c r="O58" s="9" t="s">
        <v>3223</v>
      </c>
      <c r="P58" s="8" t="s">
        <v>3215</v>
      </c>
      <c r="Q58" s="15" t="s">
        <v>4951</v>
      </c>
      <c r="R58" s="8">
        <v>6785861</v>
      </c>
      <c r="S58" s="7" t="s">
        <v>775</v>
      </c>
      <c r="T58" s="162" t="s">
        <v>1904</v>
      </c>
      <c r="U58" s="109">
        <f t="shared" si="8"/>
        <v>2000000</v>
      </c>
      <c r="V58" s="6" t="s">
        <v>3093</v>
      </c>
      <c r="W58" s="6" t="s">
        <v>3286</v>
      </c>
      <c r="X58" s="6" t="s">
        <v>3216</v>
      </c>
      <c r="Y58" s="8"/>
      <c r="Z58" s="8"/>
      <c r="AA58" s="8">
        <v>6768348</v>
      </c>
      <c r="AB58" s="203" t="s">
        <v>2044</v>
      </c>
      <c r="AC58" s="6" t="s">
        <v>53</v>
      </c>
      <c r="AD58" s="57">
        <f t="shared" si="7"/>
        <v>2000000</v>
      </c>
      <c r="AE58" s="6" t="s">
        <v>171</v>
      </c>
      <c r="AF58" s="6" t="s">
        <v>3286</v>
      </c>
      <c r="AG58" s="6" t="s">
        <v>3216</v>
      </c>
      <c r="AH58" s="135">
        <v>6756289</v>
      </c>
      <c r="AI58" s="235" t="s">
        <v>1755</v>
      </c>
      <c r="AJ58" s="6" t="s">
        <v>761</v>
      </c>
      <c r="AK58" s="57">
        <f t="shared" si="9"/>
        <v>2000000</v>
      </c>
      <c r="AL58" s="6" t="s">
        <v>172</v>
      </c>
      <c r="AM58" s="6" t="s">
        <v>3281</v>
      </c>
      <c r="AN58" s="6" t="s">
        <v>3216</v>
      </c>
      <c r="AO58" s="33"/>
      <c r="AP58" s="33"/>
      <c r="AQ58" s="33"/>
      <c r="AR58" s="233"/>
      <c r="AS58" s="33"/>
      <c r="AT58" s="33"/>
      <c r="AU58" s="33"/>
      <c r="AV58" s="33"/>
      <c r="AW58" s="33"/>
      <c r="AX58" s="33"/>
      <c r="AY58" s="233"/>
      <c r="AZ58" s="33"/>
      <c r="BA58" s="33"/>
      <c r="BB58" s="33"/>
      <c r="BC58" s="33"/>
      <c r="BD58" s="33"/>
      <c r="BE58" s="33"/>
      <c r="BF58" s="233"/>
      <c r="BG58" s="33"/>
      <c r="BH58" s="33"/>
      <c r="BI58" s="33"/>
      <c r="BJ58" s="33"/>
      <c r="BK58" s="33"/>
      <c r="BL58" s="33"/>
      <c r="BM58" s="233"/>
      <c r="BN58" s="33"/>
      <c r="BO58" s="33"/>
      <c r="BP58" s="33"/>
      <c r="BQ58" s="33"/>
      <c r="BR58" s="160" t="s">
        <v>3190</v>
      </c>
      <c r="BS58" s="160" t="s">
        <v>3191</v>
      </c>
      <c r="BT58" s="6" t="s">
        <v>2045</v>
      </c>
      <c r="BU58" s="9"/>
      <c r="BV58" s="6" t="s">
        <v>2047</v>
      </c>
      <c r="BW58" s="9"/>
      <c r="BX58" s="6" t="s">
        <v>2046</v>
      </c>
      <c r="BY58" s="9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115" t="s">
        <v>3251</v>
      </c>
      <c r="CK58" s="273" t="s">
        <v>3739</v>
      </c>
      <c r="CL58" s="273" t="s">
        <v>3739</v>
      </c>
      <c r="CM58" s="115" t="s">
        <v>5202</v>
      </c>
      <c r="CN58" s="273" t="s">
        <v>3739</v>
      </c>
      <c r="CO58" s="273" t="s">
        <v>3739</v>
      </c>
    </row>
    <row r="59" spans="1:93" ht="48.6">
      <c r="A59" s="8">
        <v>21</v>
      </c>
      <c r="B59" s="143" t="s">
        <v>5207</v>
      </c>
      <c r="C59" s="143" t="s">
        <v>5219</v>
      </c>
      <c r="D59" s="161" t="s">
        <v>5220</v>
      </c>
      <c r="E59" s="8" t="s">
        <v>4976</v>
      </c>
      <c r="F59" s="8">
        <v>2022</v>
      </c>
      <c r="G59" s="8">
        <v>2022</v>
      </c>
      <c r="H59" s="8"/>
      <c r="I59" s="6" t="s">
        <v>4986</v>
      </c>
      <c r="J59" s="482"/>
      <c r="K59" s="458">
        <v>5500000</v>
      </c>
      <c r="L59" s="6" t="s">
        <v>3216</v>
      </c>
      <c r="M59" s="8">
        <v>7</v>
      </c>
      <c r="N59" s="6" t="s">
        <v>4978</v>
      </c>
      <c r="O59" s="9" t="s">
        <v>3223</v>
      </c>
      <c r="P59" s="8" t="s">
        <v>3215</v>
      </c>
      <c r="Q59" s="15" t="s">
        <v>4951</v>
      </c>
      <c r="R59" s="8">
        <v>6801883</v>
      </c>
      <c r="S59" s="7" t="s">
        <v>39</v>
      </c>
      <c r="T59" s="162" t="s">
        <v>1751</v>
      </c>
      <c r="U59" s="109">
        <f t="shared" si="8"/>
        <v>1833333.3333333333</v>
      </c>
      <c r="V59" s="6" t="s">
        <v>166</v>
      </c>
      <c r="W59" s="6" t="s">
        <v>3286</v>
      </c>
      <c r="X59" s="6" t="s">
        <v>3216</v>
      </c>
      <c r="Y59" s="8"/>
      <c r="Z59" s="8"/>
      <c r="AA59" s="8">
        <v>6787771</v>
      </c>
      <c r="AB59" s="162" t="s">
        <v>1676</v>
      </c>
      <c r="AC59" s="6" t="s">
        <v>180</v>
      </c>
      <c r="AD59" s="57">
        <f t="shared" si="7"/>
        <v>1833333.3333333333</v>
      </c>
      <c r="AE59" s="6" t="s">
        <v>166</v>
      </c>
      <c r="AF59" s="6" t="s">
        <v>3286</v>
      </c>
      <c r="AG59" s="6" t="s">
        <v>3216</v>
      </c>
      <c r="AH59" s="8">
        <v>6789028</v>
      </c>
      <c r="AI59" s="162" t="s">
        <v>1917</v>
      </c>
      <c r="AJ59" s="6" t="s">
        <v>179</v>
      </c>
      <c r="AK59" s="57">
        <f t="shared" si="9"/>
        <v>1833333.3333333333</v>
      </c>
      <c r="AL59" s="6" t="s">
        <v>166</v>
      </c>
      <c r="AM59" s="6" t="s">
        <v>3286</v>
      </c>
      <c r="AN59" s="6" t="s">
        <v>3216</v>
      </c>
      <c r="AO59" s="33"/>
      <c r="AP59" s="33"/>
      <c r="AQ59" s="33"/>
      <c r="AR59" s="233"/>
      <c r="AS59" s="33"/>
      <c r="AT59" s="33"/>
      <c r="AU59" s="33"/>
      <c r="AV59" s="33"/>
      <c r="AW59" s="33"/>
      <c r="AX59" s="33"/>
      <c r="AY59" s="233"/>
      <c r="AZ59" s="33"/>
      <c r="BA59" s="33"/>
      <c r="BB59" s="33"/>
      <c r="BC59" s="33"/>
      <c r="BD59" s="33"/>
      <c r="BE59" s="33"/>
      <c r="BF59" s="233"/>
      <c r="BG59" s="33"/>
      <c r="BH59" s="33"/>
      <c r="BI59" s="33"/>
      <c r="BJ59" s="33"/>
      <c r="BK59" s="33"/>
      <c r="BL59" s="33"/>
      <c r="BM59" s="233"/>
      <c r="BN59" s="33"/>
      <c r="BO59" s="33"/>
      <c r="BP59" s="33"/>
      <c r="BQ59" s="33"/>
      <c r="BR59" s="160" t="s">
        <v>3190</v>
      </c>
      <c r="BS59" s="160" t="s">
        <v>3191</v>
      </c>
      <c r="BT59" s="6" t="s">
        <v>2140</v>
      </c>
      <c r="BU59" s="9"/>
      <c r="BV59" s="6" t="s">
        <v>5221</v>
      </c>
      <c r="BW59" s="9"/>
      <c r="BX59" s="6" t="s">
        <v>2142</v>
      </c>
      <c r="BY59" s="9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115" t="s">
        <v>3061</v>
      </c>
      <c r="CK59" s="115" t="s">
        <v>4981</v>
      </c>
      <c r="CL59" s="115" t="s">
        <v>4991</v>
      </c>
      <c r="CM59" s="115" t="s">
        <v>5222</v>
      </c>
      <c r="CN59" s="273" t="s">
        <v>3739</v>
      </c>
      <c r="CO59" s="273" t="s">
        <v>3739</v>
      </c>
    </row>
    <row r="60" spans="1:93" ht="36.6">
      <c r="A60" s="8">
        <v>22</v>
      </c>
      <c r="B60" s="143" t="s">
        <v>5207</v>
      </c>
      <c r="C60" s="143" t="s">
        <v>5223</v>
      </c>
      <c r="D60" s="161" t="s">
        <v>5224</v>
      </c>
      <c r="E60" s="8" t="s">
        <v>4976</v>
      </c>
      <c r="F60" s="8">
        <v>2022</v>
      </c>
      <c r="G60" s="8">
        <v>2022</v>
      </c>
      <c r="H60" s="8"/>
      <c r="I60" s="6" t="s">
        <v>4986</v>
      </c>
      <c r="J60" s="482"/>
      <c r="K60" s="458">
        <v>6960000</v>
      </c>
      <c r="L60" s="6" t="s">
        <v>3216</v>
      </c>
      <c r="M60" s="8">
        <v>7</v>
      </c>
      <c r="N60" s="6" t="s">
        <v>4978</v>
      </c>
      <c r="O60" s="9" t="s">
        <v>3223</v>
      </c>
      <c r="P60" s="8" t="s">
        <v>3215</v>
      </c>
      <c r="Q60" s="15" t="s">
        <v>4951</v>
      </c>
      <c r="R60" s="8">
        <v>6756289</v>
      </c>
      <c r="S60" s="7" t="s">
        <v>81</v>
      </c>
      <c r="T60" s="162" t="s">
        <v>1755</v>
      </c>
      <c r="U60" s="109">
        <f t="shared" si="8"/>
        <v>2320000</v>
      </c>
      <c r="V60" s="6" t="s">
        <v>172</v>
      </c>
      <c r="W60" s="6" t="s">
        <v>3281</v>
      </c>
      <c r="X60" s="6" t="s">
        <v>3216</v>
      </c>
      <c r="Y60" s="8"/>
      <c r="Z60" s="8"/>
      <c r="AA60" s="33">
        <v>6784457</v>
      </c>
      <c r="AB60" s="164" t="s">
        <v>1754</v>
      </c>
      <c r="AC60" s="6" t="s">
        <v>44</v>
      </c>
      <c r="AD60" s="57">
        <f t="shared" si="7"/>
        <v>2320000</v>
      </c>
      <c r="AE60" s="6" t="s">
        <v>172</v>
      </c>
      <c r="AF60" s="6" t="s">
        <v>3281</v>
      </c>
      <c r="AG60" s="6" t="s">
        <v>3216</v>
      </c>
      <c r="AH60" s="6">
        <v>6778837</v>
      </c>
      <c r="AI60" s="6">
        <v>711039403</v>
      </c>
      <c r="AJ60" s="6" t="s">
        <v>71</v>
      </c>
      <c r="AK60" s="57">
        <f t="shared" si="9"/>
        <v>2320000</v>
      </c>
      <c r="AL60" s="6" t="s">
        <v>172</v>
      </c>
      <c r="AM60" s="6" t="s">
        <v>3281</v>
      </c>
      <c r="AN60" s="6" t="s">
        <v>3216</v>
      </c>
      <c r="AO60" s="33"/>
      <c r="AP60" s="33"/>
      <c r="AQ60" s="33"/>
      <c r="AR60" s="233"/>
      <c r="AS60" s="33"/>
      <c r="AT60" s="33"/>
      <c r="AU60" s="33"/>
      <c r="AV60" s="33"/>
      <c r="AW60" s="33"/>
      <c r="AX60" s="33"/>
      <c r="AY60" s="233"/>
      <c r="AZ60" s="33"/>
      <c r="BA60" s="33"/>
      <c r="BB60" s="33"/>
      <c r="BC60" s="33"/>
      <c r="BD60" s="33"/>
      <c r="BE60" s="33"/>
      <c r="BF60" s="233"/>
      <c r="BG60" s="33"/>
      <c r="BH60" s="33"/>
      <c r="BI60" s="33"/>
      <c r="BJ60" s="33"/>
      <c r="BK60" s="33"/>
      <c r="BL60" s="33"/>
      <c r="BM60" s="233"/>
      <c r="BN60" s="33"/>
      <c r="BO60" s="33"/>
      <c r="BP60" s="33"/>
      <c r="BQ60" s="33"/>
      <c r="BR60" s="160" t="s">
        <v>3190</v>
      </c>
      <c r="BS60" s="160" t="s">
        <v>3191</v>
      </c>
      <c r="BT60" s="6" t="s">
        <v>1757</v>
      </c>
      <c r="BU60" s="9" t="s">
        <v>3757</v>
      </c>
      <c r="BV60" s="6" t="s">
        <v>5225</v>
      </c>
      <c r="BW60" s="9" t="s">
        <v>3757</v>
      </c>
      <c r="BX60" s="6" t="s">
        <v>5226</v>
      </c>
      <c r="BY60" s="9" t="s">
        <v>3757</v>
      </c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115" t="s">
        <v>3061</v>
      </c>
      <c r="CK60" s="115" t="s">
        <v>4998</v>
      </c>
      <c r="CL60" s="115" t="s">
        <v>4991</v>
      </c>
      <c r="CM60" s="115" t="s">
        <v>5202</v>
      </c>
      <c r="CN60" s="115" t="s">
        <v>5227</v>
      </c>
      <c r="CO60" s="273" t="s">
        <v>3739</v>
      </c>
    </row>
    <row r="61" spans="1:93" ht="60.6">
      <c r="A61" s="8">
        <v>23</v>
      </c>
      <c r="B61" s="143" t="s">
        <v>5207</v>
      </c>
      <c r="C61" s="143" t="s">
        <v>5228</v>
      </c>
      <c r="D61" s="161" t="s">
        <v>5229</v>
      </c>
      <c r="E61" s="8" t="s">
        <v>4976</v>
      </c>
      <c r="F61" s="8">
        <v>2022</v>
      </c>
      <c r="G61" s="8">
        <v>2022</v>
      </c>
      <c r="H61" s="8">
        <v>7</v>
      </c>
      <c r="I61" s="6" t="s">
        <v>4986</v>
      </c>
      <c r="J61" s="482"/>
      <c r="K61" s="458">
        <v>6000000</v>
      </c>
      <c r="L61" s="6" t="s">
        <v>3216</v>
      </c>
      <c r="M61" s="8">
        <v>7</v>
      </c>
      <c r="N61" s="6" t="s">
        <v>4978</v>
      </c>
      <c r="O61" s="9" t="s">
        <v>3223</v>
      </c>
      <c r="P61" s="8" t="s">
        <v>3215</v>
      </c>
      <c r="Q61" s="15" t="s">
        <v>4951</v>
      </c>
      <c r="R61" s="8">
        <v>6682237</v>
      </c>
      <c r="S61" s="7" t="s">
        <v>13</v>
      </c>
      <c r="T61" s="162" t="s">
        <v>1736</v>
      </c>
      <c r="U61" s="109">
        <f t="shared" si="8"/>
        <v>2000000</v>
      </c>
      <c r="V61" s="6" t="s">
        <v>160</v>
      </c>
      <c r="W61" s="6" t="s">
        <v>3281</v>
      </c>
      <c r="X61" s="6" t="s">
        <v>3216</v>
      </c>
      <c r="Y61" s="8"/>
      <c r="Z61" s="8"/>
      <c r="AA61" s="33">
        <v>6680627</v>
      </c>
      <c r="AB61" s="164" t="s">
        <v>1912</v>
      </c>
      <c r="AC61" s="6" t="s">
        <v>88</v>
      </c>
      <c r="AD61" s="57">
        <f t="shared" si="7"/>
        <v>2000000</v>
      </c>
      <c r="AE61" s="6" t="s">
        <v>160</v>
      </c>
      <c r="AF61" s="6" t="s">
        <v>3281</v>
      </c>
      <c r="AG61" s="6" t="s">
        <v>3216</v>
      </c>
      <c r="AH61" s="8">
        <v>6795859</v>
      </c>
      <c r="AI61" s="162" t="s">
        <v>1672</v>
      </c>
      <c r="AJ61" s="6" t="s">
        <v>56</v>
      </c>
      <c r="AK61" s="57">
        <f t="shared" si="9"/>
        <v>2000000</v>
      </c>
      <c r="AL61" s="6" t="s">
        <v>160</v>
      </c>
      <c r="AM61" s="6" t="s">
        <v>3281</v>
      </c>
      <c r="AN61" s="6" t="s">
        <v>3216</v>
      </c>
      <c r="AO61" s="33"/>
      <c r="AP61" s="33"/>
      <c r="AQ61" s="33"/>
      <c r="AR61" s="233"/>
      <c r="AS61" s="33"/>
      <c r="AT61" s="33"/>
      <c r="AU61" s="33"/>
      <c r="AV61" s="33"/>
      <c r="AW61" s="33"/>
      <c r="AX61" s="33"/>
      <c r="AY61" s="233"/>
      <c r="AZ61" s="33"/>
      <c r="BA61" s="33"/>
      <c r="BB61" s="33"/>
      <c r="BC61" s="33"/>
      <c r="BD61" s="33"/>
      <c r="BE61" s="33"/>
      <c r="BF61" s="233"/>
      <c r="BG61" s="33"/>
      <c r="BH61" s="33"/>
      <c r="BI61" s="33"/>
      <c r="BJ61" s="33"/>
      <c r="BK61" s="33"/>
      <c r="BL61" s="33"/>
      <c r="BM61" s="233"/>
      <c r="BN61" s="33"/>
      <c r="BO61" s="33"/>
      <c r="BP61" s="33"/>
      <c r="BQ61" s="33"/>
      <c r="BR61" s="160" t="s">
        <v>3190</v>
      </c>
      <c r="BS61" s="160" t="s">
        <v>3191</v>
      </c>
      <c r="BT61" s="6" t="s">
        <v>5230</v>
      </c>
      <c r="BU61" s="9"/>
      <c r="BV61" s="6" t="s">
        <v>1914</v>
      </c>
      <c r="BW61" s="9"/>
      <c r="BX61" s="6"/>
      <c r="BY61" s="9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115" t="s">
        <v>3251</v>
      </c>
      <c r="CK61" s="115" t="s">
        <v>4981</v>
      </c>
      <c r="CL61" s="115" t="s">
        <v>5009</v>
      </c>
      <c r="CM61" s="115" t="s">
        <v>5231</v>
      </c>
      <c r="CN61" s="115" t="s">
        <v>4998</v>
      </c>
      <c r="CO61" s="273" t="s">
        <v>3528</v>
      </c>
    </row>
    <row r="62" spans="1:93" ht="48">
      <c r="A62" s="298">
        <v>24</v>
      </c>
      <c r="B62" s="143" t="s">
        <v>5207</v>
      </c>
      <c r="C62" s="143" t="s">
        <v>5232</v>
      </c>
      <c r="D62" s="161" t="s">
        <v>5233</v>
      </c>
      <c r="E62" s="8" t="s">
        <v>4976</v>
      </c>
      <c r="F62" s="8">
        <v>2022</v>
      </c>
      <c r="G62" s="8">
        <v>2022</v>
      </c>
      <c r="H62" s="8"/>
      <c r="I62" s="6" t="s">
        <v>4986</v>
      </c>
      <c r="J62" s="482"/>
      <c r="K62" s="458">
        <v>5250000</v>
      </c>
      <c r="L62" s="6" t="s">
        <v>3216</v>
      </c>
      <c r="M62" s="8">
        <v>7</v>
      </c>
      <c r="N62" s="6" t="s">
        <v>4978</v>
      </c>
      <c r="O62" s="9" t="s">
        <v>3223</v>
      </c>
      <c r="P62" s="8" t="s">
        <v>3215</v>
      </c>
      <c r="Q62" s="15" t="s">
        <v>4951</v>
      </c>
      <c r="R62" s="162" t="s">
        <v>5234</v>
      </c>
      <c r="S62" s="7" t="s">
        <v>178</v>
      </c>
      <c r="T62" s="162" t="s">
        <v>978</v>
      </c>
      <c r="U62" s="109">
        <f t="shared" si="8"/>
        <v>1750000</v>
      </c>
      <c r="V62" s="6" t="s">
        <v>166</v>
      </c>
      <c r="W62" s="6" t="s">
        <v>3286</v>
      </c>
      <c r="X62" s="6" t="s">
        <v>3216</v>
      </c>
      <c r="Y62" s="8"/>
      <c r="Z62" s="8"/>
      <c r="AA62" s="8">
        <v>6680633</v>
      </c>
      <c r="AB62" s="190" t="s">
        <v>3322</v>
      </c>
      <c r="AC62" s="6" t="s">
        <v>18</v>
      </c>
      <c r="AD62" s="57">
        <f t="shared" si="7"/>
        <v>1750000</v>
      </c>
      <c r="AE62" s="6" t="s">
        <v>156</v>
      </c>
      <c r="AF62" s="6" t="s">
        <v>3286</v>
      </c>
      <c r="AG62" s="6" t="s">
        <v>3216</v>
      </c>
      <c r="AH62" s="8">
        <v>6680623</v>
      </c>
      <c r="AI62" s="162" t="s">
        <v>1841</v>
      </c>
      <c r="AJ62" s="6" t="s">
        <v>30</v>
      </c>
      <c r="AK62" s="57">
        <f t="shared" si="9"/>
        <v>1750000</v>
      </c>
      <c r="AL62" s="6" t="s">
        <v>166</v>
      </c>
      <c r="AM62" s="6" t="s">
        <v>3286</v>
      </c>
      <c r="AN62" s="6" t="s">
        <v>3216</v>
      </c>
      <c r="AO62" s="33"/>
      <c r="AP62" s="33"/>
      <c r="AQ62" s="33"/>
      <c r="AR62" s="233"/>
      <c r="AS62" s="33"/>
      <c r="AT62" s="33"/>
      <c r="AU62" s="33"/>
      <c r="AV62" s="33"/>
      <c r="AW62" s="33"/>
      <c r="AX62" s="33"/>
      <c r="AY62" s="233"/>
      <c r="AZ62" s="33"/>
      <c r="BA62" s="33"/>
      <c r="BB62" s="33"/>
      <c r="BC62" s="33"/>
      <c r="BD62" s="33"/>
      <c r="BE62" s="33"/>
      <c r="BF62" s="233"/>
      <c r="BG62" s="33"/>
      <c r="BH62" s="33"/>
      <c r="BI62" s="33"/>
      <c r="BJ62" s="33"/>
      <c r="BK62" s="33"/>
      <c r="BL62" s="33"/>
      <c r="BM62" s="233"/>
      <c r="BN62" s="33"/>
      <c r="BO62" s="33"/>
      <c r="BP62" s="33"/>
      <c r="BQ62" s="33"/>
      <c r="BR62" s="160" t="s">
        <v>3190</v>
      </c>
      <c r="BS62" s="160" t="s">
        <v>3191</v>
      </c>
      <c r="BT62" s="6" t="s">
        <v>5235</v>
      </c>
      <c r="BU62" s="9" t="s">
        <v>3713</v>
      </c>
      <c r="BV62" s="6" t="s">
        <v>5236</v>
      </c>
      <c r="BW62" s="9" t="s">
        <v>3713</v>
      </c>
      <c r="BX62" s="6" t="s">
        <v>5237</v>
      </c>
      <c r="BY62" s="9" t="s">
        <v>3713</v>
      </c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273" t="s">
        <v>4990</v>
      </c>
      <c r="CK62" s="273" t="s">
        <v>4998</v>
      </c>
      <c r="CL62" s="273" t="s">
        <v>3739</v>
      </c>
      <c r="CM62" s="115" t="s">
        <v>5238</v>
      </c>
      <c r="CN62" s="273" t="s">
        <v>3739</v>
      </c>
      <c r="CO62" s="273" t="s">
        <v>3739</v>
      </c>
    </row>
    <row r="63" spans="1:93" ht="36">
      <c r="A63" s="8">
        <v>25</v>
      </c>
      <c r="B63" s="143" t="s">
        <v>5207</v>
      </c>
      <c r="C63" s="6" t="s">
        <v>942</v>
      </c>
      <c r="D63" s="161" t="s">
        <v>5239</v>
      </c>
      <c r="E63" s="8" t="s">
        <v>4976</v>
      </c>
      <c r="F63" s="8">
        <v>2022</v>
      </c>
      <c r="G63" s="8">
        <v>2022</v>
      </c>
      <c r="H63" s="8"/>
      <c r="I63" s="6" t="s">
        <v>4986</v>
      </c>
      <c r="J63" s="482"/>
      <c r="K63" s="458">
        <v>6000000</v>
      </c>
      <c r="L63" s="6" t="s">
        <v>3216</v>
      </c>
      <c r="M63" s="8">
        <v>7</v>
      </c>
      <c r="N63" s="6" t="s">
        <v>4978</v>
      </c>
      <c r="O63" s="9" t="s">
        <v>3223</v>
      </c>
      <c r="P63" s="8" t="s">
        <v>3215</v>
      </c>
      <c r="Q63" s="15" t="s">
        <v>4951</v>
      </c>
      <c r="R63" s="8">
        <v>6680623</v>
      </c>
      <c r="S63" s="7" t="s">
        <v>30</v>
      </c>
      <c r="T63" s="162" t="s">
        <v>1841</v>
      </c>
      <c r="U63" s="109">
        <f t="shared" si="8"/>
        <v>2000000</v>
      </c>
      <c r="V63" s="6" t="s">
        <v>166</v>
      </c>
      <c r="W63" s="6" t="s">
        <v>3286</v>
      </c>
      <c r="X63" s="6" t="s">
        <v>3216</v>
      </c>
      <c r="Y63" s="8"/>
      <c r="Z63" s="8"/>
      <c r="AA63" s="162" t="s">
        <v>5234</v>
      </c>
      <c r="AB63" s="162" t="s">
        <v>978</v>
      </c>
      <c r="AC63" s="6" t="s">
        <v>178</v>
      </c>
      <c r="AD63" s="57">
        <f t="shared" si="7"/>
        <v>2000000</v>
      </c>
      <c r="AE63" s="6" t="s">
        <v>166</v>
      </c>
      <c r="AF63" s="6" t="s">
        <v>3286</v>
      </c>
      <c r="AG63" s="6" t="s">
        <v>3216</v>
      </c>
      <c r="AH63" s="8">
        <v>6801883</v>
      </c>
      <c r="AI63" s="162" t="s">
        <v>1751</v>
      </c>
      <c r="AJ63" s="6" t="s">
        <v>39</v>
      </c>
      <c r="AK63" s="57">
        <f t="shared" si="9"/>
        <v>2000000</v>
      </c>
      <c r="AL63" s="6" t="s">
        <v>166</v>
      </c>
      <c r="AM63" s="6" t="s">
        <v>3286</v>
      </c>
      <c r="AN63" s="6" t="s">
        <v>3216</v>
      </c>
      <c r="AO63" s="33"/>
      <c r="AP63" s="33"/>
      <c r="AQ63" s="241"/>
      <c r="AR63" s="299"/>
      <c r="AS63" s="33"/>
      <c r="AT63" s="33"/>
      <c r="AU63" s="33"/>
      <c r="AV63" s="33"/>
      <c r="AW63" s="33"/>
      <c r="AX63" s="33"/>
      <c r="AY63" s="233"/>
      <c r="AZ63" s="33"/>
      <c r="BA63" s="33"/>
      <c r="BB63" s="33"/>
      <c r="BC63" s="33"/>
      <c r="BD63" s="33"/>
      <c r="BE63" s="33"/>
      <c r="BF63" s="233"/>
      <c r="BG63" s="33"/>
      <c r="BH63" s="33"/>
      <c r="BI63" s="33"/>
      <c r="BJ63" s="33"/>
      <c r="BK63" s="33"/>
      <c r="BL63" s="33"/>
      <c r="BM63" s="233"/>
      <c r="BN63" s="33"/>
      <c r="BO63" s="33"/>
      <c r="BP63" s="33"/>
      <c r="BQ63" s="33"/>
      <c r="BR63" s="163" t="s">
        <v>3190</v>
      </c>
      <c r="BS63" s="163" t="s">
        <v>3191</v>
      </c>
      <c r="BT63" s="6" t="s">
        <v>5235</v>
      </c>
      <c r="BU63" s="9" t="s">
        <v>3713</v>
      </c>
      <c r="BV63" s="6" t="s">
        <v>5236</v>
      </c>
      <c r="BW63" s="9" t="s">
        <v>3713</v>
      </c>
      <c r="BX63" s="6" t="s">
        <v>5240</v>
      </c>
      <c r="BY63" s="9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275" t="s">
        <v>942</v>
      </c>
      <c r="CK63" s="275" t="s">
        <v>942</v>
      </c>
      <c r="CL63" s="275" t="s">
        <v>942</v>
      </c>
      <c r="CM63" s="115" t="s">
        <v>3739</v>
      </c>
      <c r="CN63" s="273" t="s">
        <v>3739</v>
      </c>
      <c r="CO63" s="273" t="s">
        <v>3739</v>
      </c>
    </row>
    <row r="64" spans="1:93" ht="36.6">
      <c r="A64" s="8">
        <v>26</v>
      </c>
      <c r="B64" s="143" t="s">
        <v>5207</v>
      </c>
      <c r="C64" s="6" t="s">
        <v>942</v>
      </c>
      <c r="D64" s="161" t="s">
        <v>5241</v>
      </c>
      <c r="E64" s="8" t="s">
        <v>4976</v>
      </c>
      <c r="F64" s="8">
        <v>2022</v>
      </c>
      <c r="G64" s="8">
        <v>2022</v>
      </c>
      <c r="H64" s="8"/>
      <c r="I64" s="6" t="s">
        <v>4986</v>
      </c>
      <c r="J64" s="482"/>
      <c r="K64" s="458">
        <v>13600000</v>
      </c>
      <c r="L64" s="6" t="s">
        <v>3216</v>
      </c>
      <c r="M64" s="8">
        <v>7</v>
      </c>
      <c r="N64" s="6" t="s">
        <v>4978</v>
      </c>
      <c r="O64" s="9" t="s">
        <v>3223</v>
      </c>
      <c r="P64" s="8" t="s">
        <v>3215</v>
      </c>
      <c r="Q64" s="15" t="s">
        <v>4951</v>
      </c>
      <c r="R64" s="8">
        <v>6744406</v>
      </c>
      <c r="S64" s="7" t="s">
        <v>352</v>
      </c>
      <c r="T64" s="162" t="s">
        <v>985</v>
      </c>
      <c r="U64" s="109">
        <f>K64/4</f>
        <v>3400000</v>
      </c>
      <c r="V64" s="6" t="s">
        <v>166</v>
      </c>
      <c r="W64" s="6" t="s">
        <v>3286</v>
      </c>
      <c r="X64" s="6" t="s">
        <v>3216</v>
      </c>
      <c r="Y64" s="8"/>
      <c r="Z64" s="8"/>
      <c r="AA64" s="8">
        <v>6099359</v>
      </c>
      <c r="AB64" s="162" t="s">
        <v>977</v>
      </c>
      <c r="AC64" s="6" t="s">
        <v>67</v>
      </c>
      <c r="AD64" s="57">
        <f t="shared" si="7"/>
        <v>3400000</v>
      </c>
      <c r="AE64" s="6" t="s">
        <v>166</v>
      </c>
      <c r="AF64" s="6" t="s">
        <v>3286</v>
      </c>
      <c r="AG64" s="6" t="s">
        <v>3216</v>
      </c>
      <c r="AH64" s="99">
        <v>6658755</v>
      </c>
      <c r="AI64" s="11" t="s">
        <v>1901</v>
      </c>
      <c r="AJ64" s="6" t="s">
        <v>32</v>
      </c>
      <c r="AK64" s="57">
        <f t="shared" si="9"/>
        <v>3400000</v>
      </c>
      <c r="AL64" s="6" t="s">
        <v>164</v>
      </c>
      <c r="AM64" s="6" t="s">
        <v>3286</v>
      </c>
      <c r="AN64" s="6" t="s">
        <v>3216</v>
      </c>
      <c r="AO64" s="6">
        <v>259781</v>
      </c>
      <c r="AP64" s="11" t="s">
        <v>982</v>
      </c>
      <c r="AQ64" s="6" t="s">
        <v>26</v>
      </c>
      <c r="AR64" s="236">
        <f>U64</f>
        <v>3400000</v>
      </c>
      <c r="AS64" s="6" t="s">
        <v>164</v>
      </c>
      <c r="AT64" s="6" t="s">
        <v>3286</v>
      </c>
      <c r="AU64" s="6" t="s">
        <v>3216</v>
      </c>
      <c r="AV64" s="33"/>
      <c r="AW64" s="33"/>
      <c r="AX64" s="33"/>
      <c r="AY64" s="233"/>
      <c r="AZ64" s="33"/>
      <c r="BA64" s="33"/>
      <c r="BB64" s="33"/>
      <c r="BC64" s="33"/>
      <c r="BD64" s="33"/>
      <c r="BE64" s="33"/>
      <c r="BF64" s="233"/>
      <c r="BG64" s="33"/>
      <c r="BH64" s="33"/>
      <c r="BI64" s="33"/>
      <c r="BJ64" s="33"/>
      <c r="BK64" s="33"/>
      <c r="BL64" s="33"/>
      <c r="BM64" s="233"/>
      <c r="BN64" s="33"/>
      <c r="BO64" s="33"/>
      <c r="BP64" s="33"/>
      <c r="BQ64" s="33"/>
      <c r="BR64" s="163" t="s">
        <v>3190</v>
      </c>
      <c r="BS64" s="163" t="s">
        <v>3191</v>
      </c>
      <c r="BT64" s="6" t="s">
        <v>1043</v>
      </c>
      <c r="BU64" s="9"/>
      <c r="BV64" s="6" t="s">
        <v>5242</v>
      </c>
      <c r="BW64" s="9"/>
      <c r="BX64" s="6" t="s">
        <v>1051</v>
      </c>
      <c r="BY64" s="9"/>
      <c r="BZ64" s="33" t="s">
        <v>1025</v>
      </c>
      <c r="CA64" s="33"/>
      <c r="CB64" s="33"/>
      <c r="CC64" s="33"/>
      <c r="CD64" s="33"/>
      <c r="CE64" s="33"/>
      <c r="CF64" s="33"/>
      <c r="CG64" s="33"/>
      <c r="CH64" s="33"/>
      <c r="CI64" s="33"/>
      <c r="CJ64" s="115" t="s">
        <v>3061</v>
      </c>
      <c r="CK64" s="273" t="s">
        <v>3739</v>
      </c>
      <c r="CL64" s="273" t="s">
        <v>3739</v>
      </c>
      <c r="CM64" s="274" t="s">
        <v>5243</v>
      </c>
      <c r="CN64" s="273" t="s">
        <v>3739</v>
      </c>
      <c r="CO64" s="273" t="s">
        <v>3739</v>
      </c>
    </row>
    <row r="65" spans="1:97" ht="96.6">
      <c r="A65" s="298">
        <v>27</v>
      </c>
      <c r="B65" s="143" t="s">
        <v>5207</v>
      </c>
      <c r="C65" s="143" t="s">
        <v>5244</v>
      </c>
      <c r="D65" s="161" t="s">
        <v>2616</v>
      </c>
      <c r="E65" s="8" t="s">
        <v>4976</v>
      </c>
      <c r="F65" s="8">
        <v>2022</v>
      </c>
      <c r="G65" s="8">
        <v>2022</v>
      </c>
      <c r="H65" s="8"/>
      <c r="I65" s="6" t="s">
        <v>4977</v>
      </c>
      <c r="J65" s="482"/>
      <c r="K65" s="458">
        <v>5000000</v>
      </c>
      <c r="L65" s="6" t="s">
        <v>3216</v>
      </c>
      <c r="M65" s="8">
        <v>7</v>
      </c>
      <c r="N65" s="6" t="s">
        <v>4978</v>
      </c>
      <c r="O65" s="9" t="s">
        <v>3223</v>
      </c>
      <c r="P65" s="8" t="s">
        <v>3215</v>
      </c>
      <c r="Q65" s="15" t="s">
        <v>4951</v>
      </c>
      <c r="R65" s="8">
        <v>6806664</v>
      </c>
      <c r="S65" s="7" t="s">
        <v>121</v>
      </c>
      <c r="T65" s="162" t="s">
        <v>2333</v>
      </c>
      <c r="U65" s="109">
        <f>K65/3</f>
        <v>1666666.6666666667</v>
      </c>
      <c r="V65" s="6" t="s">
        <v>175</v>
      </c>
      <c r="W65" s="6" t="s">
        <v>3286</v>
      </c>
      <c r="X65" s="6" t="s">
        <v>3216</v>
      </c>
      <c r="Y65" s="8"/>
      <c r="Z65" s="8"/>
      <c r="AA65" s="8">
        <v>6793410</v>
      </c>
      <c r="AB65" s="10" t="s">
        <v>947</v>
      </c>
      <c r="AC65" s="6" t="s">
        <v>79</v>
      </c>
      <c r="AD65" s="57">
        <f t="shared" si="7"/>
        <v>1666666.6666666667</v>
      </c>
      <c r="AE65" s="6" t="s">
        <v>175</v>
      </c>
      <c r="AF65" s="6" t="s">
        <v>3286</v>
      </c>
      <c r="AG65" s="6" t="s">
        <v>3216</v>
      </c>
      <c r="AH65" s="8">
        <v>6760392</v>
      </c>
      <c r="AI65" s="162" t="s">
        <v>948</v>
      </c>
      <c r="AJ65" s="6" t="s">
        <v>75</v>
      </c>
      <c r="AK65" s="57">
        <f t="shared" si="9"/>
        <v>1666666.6666666667</v>
      </c>
      <c r="AL65" s="6" t="s">
        <v>175</v>
      </c>
      <c r="AM65" s="6" t="s">
        <v>3286</v>
      </c>
      <c r="AN65" s="6" t="s">
        <v>3216</v>
      </c>
      <c r="AO65" s="33"/>
      <c r="AP65" s="33"/>
      <c r="AQ65" s="33"/>
      <c r="AR65" s="233"/>
      <c r="AS65" s="33"/>
      <c r="AT65" s="33"/>
      <c r="AU65" s="33"/>
      <c r="AV65" s="33"/>
      <c r="AW65" s="33"/>
      <c r="AX65" s="33"/>
      <c r="AY65" s="233"/>
      <c r="AZ65" s="33"/>
      <c r="BA65" s="33"/>
      <c r="BB65" s="33"/>
      <c r="BC65" s="33"/>
      <c r="BD65" s="33"/>
      <c r="BE65" s="33"/>
      <c r="BF65" s="233"/>
      <c r="BG65" s="33"/>
      <c r="BH65" s="33"/>
      <c r="BI65" s="33"/>
      <c r="BJ65" s="33"/>
      <c r="BK65" s="33"/>
      <c r="BL65" s="33"/>
      <c r="BM65" s="233"/>
      <c r="BN65" s="33"/>
      <c r="BO65" s="33"/>
      <c r="BP65" s="33"/>
      <c r="BQ65" s="33"/>
      <c r="BR65" s="160" t="s">
        <v>3190</v>
      </c>
      <c r="BS65" s="160" t="s">
        <v>3191</v>
      </c>
      <c r="BT65" s="6" t="s">
        <v>5245</v>
      </c>
      <c r="BU65" s="9"/>
      <c r="BV65" s="6" t="s">
        <v>5246</v>
      </c>
      <c r="BW65" s="9"/>
      <c r="BX65" s="6" t="s">
        <v>2624</v>
      </c>
      <c r="BY65" s="9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115" t="s">
        <v>3061</v>
      </c>
      <c r="CK65" s="115" t="s">
        <v>4981</v>
      </c>
      <c r="CL65" s="115" t="s">
        <v>4991</v>
      </c>
      <c r="CM65" s="274" t="s">
        <v>5247</v>
      </c>
      <c r="CN65" s="273" t="s">
        <v>3739</v>
      </c>
      <c r="CO65" s="273" t="s">
        <v>3739</v>
      </c>
    </row>
    <row r="66" spans="1:97" ht="36.6">
      <c r="A66" s="298">
        <v>28</v>
      </c>
      <c r="B66" s="143" t="s">
        <v>5207</v>
      </c>
      <c r="C66" s="143" t="s">
        <v>5248</v>
      </c>
      <c r="D66" s="161" t="s">
        <v>5249</v>
      </c>
      <c r="E66" s="8" t="s">
        <v>4976</v>
      </c>
      <c r="F66" s="8">
        <v>2022</v>
      </c>
      <c r="G66" s="8">
        <v>2022</v>
      </c>
      <c r="H66" s="8"/>
      <c r="I66" s="6" t="s">
        <v>4977</v>
      </c>
      <c r="J66" s="482"/>
      <c r="K66" s="458">
        <v>6330000</v>
      </c>
      <c r="L66" s="6" t="s">
        <v>3216</v>
      </c>
      <c r="M66" s="8">
        <v>7</v>
      </c>
      <c r="N66" s="6" t="s">
        <v>4978</v>
      </c>
      <c r="O66" s="9" t="s">
        <v>3223</v>
      </c>
      <c r="P66" s="8" t="s">
        <v>3215</v>
      </c>
      <c r="Q66" s="15" t="s">
        <v>4951</v>
      </c>
      <c r="R66" s="8">
        <v>6806662</v>
      </c>
      <c r="S66" s="7" t="s">
        <v>51</v>
      </c>
      <c r="T66" s="162" t="s">
        <v>1897</v>
      </c>
      <c r="U66" s="109">
        <f>K66/3</f>
        <v>2110000</v>
      </c>
      <c r="V66" s="6" t="s">
        <v>175</v>
      </c>
      <c r="W66" s="6" t="s">
        <v>3286</v>
      </c>
      <c r="X66" s="6" t="s">
        <v>3216</v>
      </c>
      <c r="Y66" s="8"/>
      <c r="Z66" s="8"/>
      <c r="AA66" s="8">
        <v>6680680</v>
      </c>
      <c r="AB66" s="10" t="s">
        <v>959</v>
      </c>
      <c r="AC66" s="6" t="s">
        <v>9</v>
      </c>
      <c r="AD66" s="57">
        <f t="shared" si="7"/>
        <v>2110000</v>
      </c>
      <c r="AE66" s="6" t="s">
        <v>156</v>
      </c>
      <c r="AF66" s="6" t="s">
        <v>3286</v>
      </c>
      <c r="AG66" s="6" t="s">
        <v>3216</v>
      </c>
      <c r="AH66" s="8">
        <v>6756318</v>
      </c>
      <c r="AI66" s="10" t="s">
        <v>950</v>
      </c>
      <c r="AJ66" s="6" t="s">
        <v>176</v>
      </c>
      <c r="AK66" s="57">
        <f t="shared" si="9"/>
        <v>2110000</v>
      </c>
      <c r="AL66" s="6" t="s">
        <v>175</v>
      </c>
      <c r="AM66" s="6" t="s">
        <v>3286</v>
      </c>
      <c r="AN66" s="6" t="s">
        <v>3216</v>
      </c>
      <c r="AO66" s="33"/>
      <c r="AP66" s="33"/>
      <c r="AQ66" s="33"/>
      <c r="AR66" s="233"/>
      <c r="AS66" s="33"/>
      <c r="AT66" s="33"/>
      <c r="AU66" s="33"/>
      <c r="AV66" s="33"/>
      <c r="AW66" s="33"/>
      <c r="AX66" s="33"/>
      <c r="AY66" s="233"/>
      <c r="AZ66" s="33"/>
      <c r="BA66" s="33"/>
      <c r="BB66" s="33"/>
      <c r="BC66" s="33"/>
      <c r="BD66" s="33"/>
      <c r="BE66" s="33"/>
      <c r="BF66" s="233"/>
      <c r="BG66" s="33"/>
      <c r="BH66" s="33"/>
      <c r="BI66" s="33"/>
      <c r="BJ66" s="33"/>
      <c r="BK66" s="33"/>
      <c r="BL66" s="33"/>
      <c r="BM66" s="233"/>
      <c r="BN66" s="33"/>
      <c r="BO66" s="33"/>
      <c r="BP66" s="33"/>
      <c r="BQ66" s="33"/>
      <c r="BR66" s="160" t="s">
        <v>3190</v>
      </c>
      <c r="BS66" s="160" t="s">
        <v>3191</v>
      </c>
      <c r="BT66" s="6" t="s">
        <v>5250</v>
      </c>
      <c r="BU66" s="9"/>
      <c r="BV66" s="6" t="s">
        <v>5251</v>
      </c>
      <c r="BW66" s="9"/>
      <c r="BX66" s="6" t="s">
        <v>5252</v>
      </c>
      <c r="BY66" s="9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115" t="s">
        <v>3061</v>
      </c>
      <c r="CK66" s="273" t="s">
        <v>4998</v>
      </c>
      <c r="CL66" s="115" t="s">
        <v>4991</v>
      </c>
      <c r="CM66" s="115" t="s">
        <v>5253</v>
      </c>
      <c r="CN66" s="273" t="s">
        <v>3739</v>
      </c>
      <c r="CO66" s="273" t="s">
        <v>3739</v>
      </c>
      <c r="CP66" s="177"/>
      <c r="CQ66" s="177"/>
      <c r="CR66" s="177"/>
      <c r="CS66" s="177"/>
    </row>
    <row r="67" spans="1:97" ht="24">
      <c r="A67" s="178">
        <v>29</v>
      </c>
      <c r="B67" s="148" t="s">
        <v>942</v>
      </c>
      <c r="C67" s="148" t="s">
        <v>942</v>
      </c>
      <c r="D67" s="518" t="s">
        <v>5254</v>
      </c>
      <c r="E67" s="178" t="s">
        <v>5255</v>
      </c>
      <c r="F67" s="178">
        <v>2022</v>
      </c>
      <c r="G67" s="178">
        <v>2022</v>
      </c>
      <c r="H67" s="178"/>
      <c r="I67" s="148" t="s">
        <v>4977</v>
      </c>
      <c r="J67" s="483"/>
      <c r="K67" s="459">
        <v>100000000</v>
      </c>
      <c r="L67" s="148" t="s">
        <v>3216</v>
      </c>
      <c r="M67" s="8">
        <v>7</v>
      </c>
      <c r="N67" s="149"/>
      <c r="O67" s="151" t="s">
        <v>3077</v>
      </c>
      <c r="P67" s="178" t="s">
        <v>3215</v>
      </c>
      <c r="Q67" s="148" t="s">
        <v>4961</v>
      </c>
      <c r="R67" s="178">
        <v>6680685</v>
      </c>
      <c r="S67" s="149" t="s">
        <v>21</v>
      </c>
      <c r="T67" s="179" t="s">
        <v>944</v>
      </c>
      <c r="U67" s="180">
        <f>K67/3</f>
        <v>33333333.333333332</v>
      </c>
      <c r="V67" s="148" t="s">
        <v>155</v>
      </c>
      <c r="W67" s="148" t="s">
        <v>3281</v>
      </c>
      <c r="X67" s="148" t="s">
        <v>3216</v>
      </c>
      <c r="Y67" s="178"/>
      <c r="Z67" s="178"/>
      <c r="AA67" s="148">
        <v>6859016</v>
      </c>
      <c r="AB67" s="150" t="s">
        <v>2497</v>
      </c>
      <c r="AC67" s="148" t="s">
        <v>3126</v>
      </c>
      <c r="AD67" s="159">
        <f t="shared" si="7"/>
        <v>33333333.333333332</v>
      </c>
      <c r="AE67" s="148" t="s">
        <v>155</v>
      </c>
      <c r="AF67" s="148" t="s">
        <v>3281</v>
      </c>
      <c r="AG67" s="148" t="s">
        <v>3216</v>
      </c>
      <c r="AH67" s="178">
        <v>6795859</v>
      </c>
      <c r="AI67" s="179" t="s">
        <v>1672</v>
      </c>
      <c r="AJ67" s="148" t="s">
        <v>56</v>
      </c>
      <c r="AK67" s="159">
        <f t="shared" si="9"/>
        <v>33333333.333333332</v>
      </c>
      <c r="AL67" s="148" t="s">
        <v>160</v>
      </c>
      <c r="AM67" s="148" t="s">
        <v>3281</v>
      </c>
      <c r="AN67" s="148" t="s">
        <v>3216</v>
      </c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233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78" t="s">
        <v>3190</v>
      </c>
      <c r="BS67" s="178" t="s">
        <v>3191</v>
      </c>
      <c r="BT67" s="148" t="s">
        <v>3893</v>
      </c>
      <c r="BU67" s="151" t="s">
        <v>155</v>
      </c>
      <c r="BV67" s="148" t="s">
        <v>3082</v>
      </c>
      <c r="BW67" s="151" t="s">
        <v>155</v>
      </c>
      <c r="BX67" s="148" t="s">
        <v>3080</v>
      </c>
      <c r="BY67" s="151" t="s">
        <v>155</v>
      </c>
      <c r="BZ67" s="148" t="s">
        <v>487</v>
      </c>
      <c r="CA67" s="151" t="s">
        <v>155</v>
      </c>
      <c r="CB67" s="148" t="s">
        <v>5256</v>
      </c>
      <c r="CC67" s="151" t="s">
        <v>155</v>
      </c>
      <c r="CD67" s="148" t="s">
        <v>3934</v>
      </c>
      <c r="CE67" s="151" t="s">
        <v>155</v>
      </c>
      <c r="CF67" s="148" t="s">
        <v>3935</v>
      </c>
      <c r="CG67" s="151" t="s">
        <v>155</v>
      </c>
      <c r="CH67" s="148" t="s">
        <v>2554</v>
      </c>
      <c r="CI67" s="151" t="s">
        <v>160</v>
      </c>
      <c r="CJ67" s="178"/>
      <c r="CK67" s="151"/>
      <c r="CL67" s="148"/>
      <c r="CM67" s="151"/>
      <c r="CN67" s="148"/>
      <c r="CO67" s="181"/>
    </row>
    <row r="68" spans="1:97" ht="36">
      <c r="A68" s="8">
        <v>30</v>
      </c>
      <c r="B68" s="6" t="s">
        <v>942</v>
      </c>
      <c r="C68" s="6" t="s">
        <v>942</v>
      </c>
      <c r="D68" s="9" t="s">
        <v>5257</v>
      </c>
      <c r="E68" s="6" t="s">
        <v>5133</v>
      </c>
      <c r="F68" s="8">
        <v>2022</v>
      </c>
      <c r="G68" s="8">
        <v>2022</v>
      </c>
      <c r="H68" s="8"/>
      <c r="I68" s="6"/>
      <c r="J68" s="482"/>
      <c r="K68" s="458">
        <v>50000000</v>
      </c>
      <c r="L68" s="6" t="s">
        <v>3216</v>
      </c>
      <c r="M68" s="8">
        <v>7</v>
      </c>
      <c r="N68" s="7"/>
      <c r="O68" s="14" t="s">
        <v>3077</v>
      </c>
      <c r="P68" s="8" t="s">
        <v>3215</v>
      </c>
      <c r="Q68" s="148" t="s">
        <v>4961</v>
      </c>
      <c r="R68" s="8">
        <v>6680634</v>
      </c>
      <c r="S68" s="7" t="s">
        <v>47</v>
      </c>
      <c r="T68" s="162" t="s">
        <v>989</v>
      </c>
      <c r="U68" s="109">
        <f>K68/2</f>
        <v>25000000</v>
      </c>
      <c r="V68" s="6" t="s">
        <v>166</v>
      </c>
      <c r="W68" s="6" t="s">
        <v>3286</v>
      </c>
      <c r="X68" s="6" t="s">
        <v>3216</v>
      </c>
      <c r="Y68" s="8"/>
      <c r="Z68" s="8"/>
      <c r="AA68" s="205">
        <v>6744406</v>
      </c>
      <c r="AB68" s="207" t="s">
        <v>985</v>
      </c>
      <c r="AC68" s="6" t="s">
        <v>352</v>
      </c>
      <c r="AD68" s="57">
        <f t="shared" si="7"/>
        <v>25000000</v>
      </c>
      <c r="AE68" s="6" t="s">
        <v>166</v>
      </c>
      <c r="AF68" s="6" t="s">
        <v>3286</v>
      </c>
      <c r="AG68" s="6" t="s">
        <v>3216</v>
      </c>
      <c r="AH68" s="55"/>
      <c r="AI68" s="55"/>
      <c r="AJ68" s="55" t="s">
        <v>5258</v>
      </c>
      <c r="AK68" s="57"/>
      <c r="AL68" s="55"/>
      <c r="AM68" s="55"/>
      <c r="AN68" s="32"/>
      <c r="AO68" s="33"/>
      <c r="AP68" s="33"/>
      <c r="AQ68" s="33"/>
      <c r="AR68" s="233"/>
      <c r="AS68" s="33"/>
      <c r="AT68" s="33"/>
      <c r="AU68" s="33"/>
      <c r="AV68" s="33"/>
      <c r="AW68" s="33"/>
      <c r="AX68" s="33"/>
      <c r="AY68" s="233"/>
      <c r="AZ68" s="33"/>
      <c r="BA68" s="33"/>
      <c r="BB68" s="33"/>
      <c r="BC68" s="33"/>
      <c r="BD68" s="33"/>
      <c r="BE68" s="33"/>
      <c r="BF68" s="233"/>
      <c r="BG68" s="33"/>
      <c r="BH68" s="33"/>
      <c r="BI68" s="33"/>
      <c r="BJ68" s="33"/>
      <c r="BK68" s="33"/>
      <c r="BL68" s="33"/>
      <c r="BM68" s="233"/>
      <c r="BN68" s="33"/>
      <c r="BO68" s="33"/>
      <c r="BP68" s="33"/>
      <c r="BQ68" s="33"/>
      <c r="BR68" s="160" t="s">
        <v>3190</v>
      </c>
      <c r="BS68" s="163" t="s">
        <v>3191</v>
      </c>
      <c r="BT68" s="6" t="s">
        <v>2316</v>
      </c>
      <c r="BU68" s="9"/>
      <c r="BV68" s="6" t="s">
        <v>1383</v>
      </c>
      <c r="BW68" s="9"/>
      <c r="BX68" s="6"/>
      <c r="BY68" s="9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</row>
    <row r="69" spans="1:97" ht="36">
      <c r="A69" s="8">
        <v>31</v>
      </c>
      <c r="B69" s="55" t="s">
        <v>942</v>
      </c>
      <c r="C69" s="6" t="s">
        <v>942</v>
      </c>
      <c r="D69" s="185" t="s">
        <v>5259</v>
      </c>
      <c r="E69" s="6" t="s">
        <v>5067</v>
      </c>
      <c r="F69" s="8">
        <v>2022</v>
      </c>
      <c r="G69" s="8">
        <v>2022</v>
      </c>
      <c r="H69" s="8"/>
      <c r="I69" s="6" t="s">
        <v>4986</v>
      </c>
      <c r="J69" s="482"/>
      <c r="K69" s="458">
        <v>46175000</v>
      </c>
      <c r="L69" s="6" t="s">
        <v>3216</v>
      </c>
      <c r="M69" s="8">
        <v>7</v>
      </c>
      <c r="N69" s="7"/>
      <c r="O69" s="14" t="s">
        <v>3077</v>
      </c>
      <c r="P69" s="8" t="s">
        <v>3215</v>
      </c>
      <c r="Q69" s="135" t="s">
        <v>4970</v>
      </c>
      <c r="R69" s="8">
        <v>6680708</v>
      </c>
      <c r="S69" s="7" t="s">
        <v>85</v>
      </c>
      <c r="T69" s="162" t="s">
        <v>2436</v>
      </c>
      <c r="U69" s="109">
        <f>K69/3</f>
        <v>15391666.666666666</v>
      </c>
      <c r="V69" s="6" t="s">
        <v>155</v>
      </c>
      <c r="W69" s="6" t="s">
        <v>3281</v>
      </c>
      <c r="X69" s="6" t="s">
        <v>3216</v>
      </c>
      <c r="Y69" s="8"/>
      <c r="Z69" s="8"/>
      <c r="AA69" s="8">
        <v>6665306</v>
      </c>
      <c r="AB69" s="162" t="s">
        <v>1727</v>
      </c>
      <c r="AC69" s="6" t="s">
        <v>28</v>
      </c>
      <c r="AD69" s="57">
        <f t="shared" si="7"/>
        <v>15391666.666666666</v>
      </c>
      <c r="AE69" s="6" t="s">
        <v>166</v>
      </c>
      <c r="AF69" s="6" t="s">
        <v>3286</v>
      </c>
      <c r="AG69" s="6" t="s">
        <v>3216</v>
      </c>
      <c r="AH69" s="99">
        <v>6680683</v>
      </c>
      <c r="AI69" s="116" t="s">
        <v>2454</v>
      </c>
      <c r="AJ69" s="6" t="s">
        <v>10</v>
      </c>
      <c r="AK69" s="57">
        <f>U69</f>
        <v>15391666.666666666</v>
      </c>
      <c r="AL69" s="6" t="s">
        <v>151</v>
      </c>
      <c r="AM69" s="6" t="s">
        <v>3281</v>
      </c>
      <c r="AN69" s="6" t="s">
        <v>3216</v>
      </c>
      <c r="AO69" s="33"/>
      <c r="AP69" s="33"/>
      <c r="AQ69" s="33"/>
      <c r="AR69" s="233"/>
      <c r="AS69" s="33"/>
      <c r="AT69" s="33"/>
      <c r="AU69" s="33"/>
      <c r="AV69" s="33"/>
      <c r="AW69" s="33"/>
      <c r="AX69" s="33"/>
      <c r="AY69" s="233"/>
      <c r="AZ69" s="33"/>
      <c r="BA69" s="33"/>
      <c r="BB69" s="33"/>
      <c r="BC69" s="33"/>
      <c r="BD69" s="33"/>
      <c r="BE69" s="33"/>
      <c r="BF69" s="233"/>
      <c r="BG69" s="33"/>
      <c r="BH69" s="33"/>
      <c r="BI69" s="33"/>
      <c r="BJ69" s="33"/>
      <c r="BK69" s="33"/>
      <c r="BL69" s="33"/>
      <c r="BM69" s="233"/>
      <c r="BN69" s="33"/>
      <c r="BO69" s="33"/>
      <c r="BP69" s="33"/>
      <c r="BQ69" s="33"/>
      <c r="BR69" s="163" t="s">
        <v>3190</v>
      </c>
      <c r="BS69" s="163" t="s">
        <v>3191</v>
      </c>
      <c r="BT69" s="6"/>
      <c r="BU69" s="9"/>
      <c r="BV69" s="6"/>
      <c r="BW69" s="9"/>
      <c r="BX69" s="6"/>
      <c r="BY69" s="9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</row>
    <row r="70" spans="1:97" ht="36">
      <c r="A70" s="298">
        <v>32</v>
      </c>
      <c r="B70" s="308" t="s">
        <v>5260</v>
      </c>
      <c r="C70" s="143" t="s">
        <v>5261</v>
      </c>
      <c r="D70" s="9" t="s">
        <v>5262</v>
      </c>
      <c r="E70" s="6" t="s">
        <v>5067</v>
      </c>
      <c r="F70" s="8">
        <v>2022</v>
      </c>
      <c r="G70" s="8">
        <v>2022</v>
      </c>
      <c r="H70" s="8"/>
      <c r="I70" s="6" t="s">
        <v>5263</v>
      </c>
      <c r="J70" s="482"/>
      <c r="K70" s="458">
        <v>46500000</v>
      </c>
      <c r="L70" s="6" t="s">
        <v>3216</v>
      </c>
      <c r="M70" s="8">
        <v>7</v>
      </c>
      <c r="N70" s="7"/>
      <c r="O70" s="14" t="s">
        <v>3077</v>
      </c>
      <c r="P70" s="8" t="s">
        <v>3215</v>
      </c>
      <c r="Q70" s="135" t="s">
        <v>4970</v>
      </c>
      <c r="R70" s="8">
        <v>6682174</v>
      </c>
      <c r="S70" s="7" t="s">
        <v>20</v>
      </c>
      <c r="T70" s="162" t="s">
        <v>2285</v>
      </c>
      <c r="U70" s="109">
        <f>K70/3</f>
        <v>15500000</v>
      </c>
      <c r="V70" s="6" t="s">
        <v>156</v>
      </c>
      <c r="W70" s="6" t="s">
        <v>3286</v>
      </c>
      <c r="X70" s="6" t="s">
        <v>3216</v>
      </c>
      <c r="Y70" s="8"/>
      <c r="Z70" s="8"/>
      <c r="AA70" s="8">
        <v>6681051</v>
      </c>
      <c r="AB70" s="10" t="s">
        <v>1657</v>
      </c>
      <c r="AC70" s="6" t="s">
        <v>6</v>
      </c>
      <c r="AD70" s="57">
        <f t="shared" si="7"/>
        <v>15500000</v>
      </c>
      <c r="AE70" s="6" t="s">
        <v>160</v>
      </c>
      <c r="AF70" s="6" t="s">
        <v>3281</v>
      </c>
      <c r="AG70" s="6" t="s">
        <v>3216</v>
      </c>
      <c r="AH70" s="33">
        <v>6663582</v>
      </c>
      <c r="AI70" s="164" t="s">
        <v>1668</v>
      </c>
      <c r="AJ70" s="6" t="s">
        <v>94</v>
      </c>
      <c r="AK70" s="57">
        <f>U70</f>
        <v>15500000</v>
      </c>
      <c r="AL70" s="6" t="s">
        <v>151</v>
      </c>
      <c r="AM70" s="6" t="s">
        <v>3281</v>
      </c>
      <c r="AN70" s="6" t="s">
        <v>3216</v>
      </c>
      <c r="AO70" s="33"/>
      <c r="AP70" s="33"/>
      <c r="AQ70" s="33"/>
      <c r="AR70" s="233"/>
      <c r="AS70" s="33"/>
      <c r="AT70" s="33"/>
      <c r="AU70" s="33"/>
      <c r="AV70" s="33"/>
      <c r="AW70" s="33"/>
      <c r="AX70" s="33"/>
      <c r="AY70" s="233"/>
      <c r="AZ70" s="33"/>
      <c r="BA70" s="33"/>
      <c r="BB70" s="33"/>
      <c r="BC70" s="33"/>
      <c r="BD70" s="33"/>
      <c r="BE70" s="33"/>
      <c r="BF70" s="233"/>
      <c r="BG70" s="33"/>
      <c r="BH70" s="33"/>
      <c r="BI70" s="33"/>
      <c r="BJ70" s="33"/>
      <c r="BK70" s="33"/>
      <c r="BL70" s="33"/>
      <c r="BM70" s="233"/>
      <c r="BN70" s="33"/>
      <c r="BO70" s="33"/>
      <c r="BP70" s="33"/>
      <c r="BQ70" s="33"/>
      <c r="BR70" s="256" t="s">
        <v>3190</v>
      </c>
      <c r="BS70" s="256" t="s">
        <v>3191</v>
      </c>
      <c r="BT70" s="6"/>
      <c r="BU70" s="9"/>
      <c r="BV70" s="6"/>
      <c r="BW70" s="9"/>
      <c r="BX70" s="6"/>
      <c r="BY70" s="9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</row>
    <row r="71" spans="1:97" ht="36">
      <c r="A71" s="8">
        <v>33</v>
      </c>
      <c r="B71" s="55" t="s">
        <v>942</v>
      </c>
      <c r="C71" s="6" t="s">
        <v>942</v>
      </c>
      <c r="D71" s="185" t="s">
        <v>5264</v>
      </c>
      <c r="E71" s="6" t="s">
        <v>5067</v>
      </c>
      <c r="F71" s="8">
        <v>2022</v>
      </c>
      <c r="G71" s="8">
        <v>2022</v>
      </c>
      <c r="H71" s="8"/>
      <c r="I71" s="6" t="s">
        <v>4796</v>
      </c>
      <c r="J71" s="482"/>
      <c r="K71" s="458">
        <v>43200000</v>
      </c>
      <c r="L71" s="6" t="s">
        <v>3216</v>
      </c>
      <c r="M71" s="8">
        <v>7</v>
      </c>
      <c r="N71" s="7"/>
      <c r="O71" s="14" t="s">
        <v>3077</v>
      </c>
      <c r="P71" s="8" t="s">
        <v>3215</v>
      </c>
      <c r="Q71" s="135" t="s">
        <v>4970</v>
      </c>
      <c r="R71" s="8">
        <v>6680651</v>
      </c>
      <c r="S71" s="7" t="s">
        <v>12</v>
      </c>
      <c r="T71" s="162" t="s">
        <v>1016</v>
      </c>
      <c r="U71" s="109">
        <f>K71/3</f>
        <v>14400000</v>
      </c>
      <c r="V71" s="6" t="s">
        <v>155</v>
      </c>
      <c r="W71" s="6" t="s">
        <v>3281</v>
      </c>
      <c r="X71" s="6" t="s">
        <v>3216</v>
      </c>
      <c r="Y71" s="8"/>
      <c r="Z71" s="8"/>
      <c r="AA71" s="6">
        <v>259781</v>
      </c>
      <c r="AB71" s="11" t="s">
        <v>982</v>
      </c>
      <c r="AC71" s="6" t="s">
        <v>26</v>
      </c>
      <c r="AD71" s="57">
        <f t="shared" si="7"/>
        <v>14400000</v>
      </c>
      <c r="AE71" s="6" t="s">
        <v>164</v>
      </c>
      <c r="AF71" s="6" t="s">
        <v>3286</v>
      </c>
      <c r="AG71" s="6" t="s">
        <v>3216</v>
      </c>
      <c r="AH71" s="8">
        <v>6680643</v>
      </c>
      <c r="AI71" s="10" t="s">
        <v>1017</v>
      </c>
      <c r="AJ71" s="6" t="s">
        <v>8</v>
      </c>
      <c r="AK71" s="57">
        <f>U71</f>
        <v>14400000</v>
      </c>
      <c r="AL71" s="6" t="s">
        <v>172</v>
      </c>
      <c r="AM71" s="6" t="s">
        <v>3281</v>
      </c>
      <c r="AN71" s="6" t="s">
        <v>3216</v>
      </c>
      <c r="AO71" s="33"/>
      <c r="AP71" s="33"/>
      <c r="AQ71" s="33"/>
      <c r="AR71" s="233"/>
      <c r="AS71" s="33"/>
      <c r="AT71" s="33"/>
      <c r="AU71" s="33"/>
      <c r="AV71" s="33"/>
      <c r="AW71" s="33"/>
      <c r="AX71" s="33"/>
      <c r="AY71" s="233"/>
      <c r="AZ71" s="33"/>
      <c r="BA71" s="33"/>
      <c r="BB71" s="33"/>
      <c r="BC71" s="33"/>
      <c r="BD71" s="33"/>
      <c r="BE71" s="33"/>
      <c r="BF71" s="233"/>
      <c r="BG71" s="33"/>
      <c r="BH71" s="33"/>
      <c r="BI71" s="33"/>
      <c r="BJ71" s="33"/>
      <c r="BK71" s="33"/>
      <c r="BL71" s="33"/>
      <c r="BM71" s="233"/>
      <c r="BN71" s="33"/>
      <c r="BO71" s="33"/>
      <c r="BP71" s="33"/>
      <c r="BQ71" s="33"/>
      <c r="BR71" s="163" t="s">
        <v>3190</v>
      </c>
      <c r="BS71" s="163" t="s">
        <v>3191</v>
      </c>
      <c r="BT71" s="6"/>
      <c r="BU71" s="9"/>
      <c r="BV71" s="6"/>
      <c r="BW71" s="9"/>
      <c r="BX71" s="6"/>
      <c r="BY71" s="9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</row>
    <row r="72" spans="1:97" ht="36.6">
      <c r="A72" s="298">
        <v>34</v>
      </c>
      <c r="B72" s="324" t="s">
        <v>5265</v>
      </c>
      <c r="C72" s="143" t="s">
        <v>5266</v>
      </c>
      <c r="D72" s="151" t="s">
        <v>5267</v>
      </c>
      <c r="E72" s="6" t="s">
        <v>5268</v>
      </c>
      <c r="F72" s="8">
        <v>2022</v>
      </c>
      <c r="G72" s="8">
        <v>2022</v>
      </c>
      <c r="H72" s="8"/>
      <c r="I72" s="6" t="s">
        <v>4977</v>
      </c>
      <c r="J72" s="482"/>
      <c r="K72" s="458">
        <v>5000000</v>
      </c>
      <c r="L72" s="6" t="s">
        <v>3216</v>
      </c>
      <c r="M72" s="8">
        <v>7</v>
      </c>
      <c r="N72" s="7" t="s">
        <v>5269</v>
      </c>
      <c r="O72" s="9" t="s">
        <v>3223</v>
      </c>
      <c r="P72" s="8" t="s">
        <v>3215</v>
      </c>
      <c r="Q72" s="15" t="s">
        <v>4951</v>
      </c>
      <c r="R72" s="8">
        <v>6793410</v>
      </c>
      <c r="S72" s="7" t="s">
        <v>79</v>
      </c>
      <c r="T72" s="162" t="s">
        <v>947</v>
      </c>
      <c r="U72" s="109">
        <f>K72/3</f>
        <v>1666666.6666666667</v>
      </c>
      <c r="V72" s="6" t="s">
        <v>175</v>
      </c>
      <c r="W72" s="6" t="s">
        <v>3286</v>
      </c>
      <c r="X72" s="6" t="s">
        <v>3216</v>
      </c>
      <c r="Y72" s="8">
        <v>8140</v>
      </c>
      <c r="Z72" s="187" t="s">
        <v>3291</v>
      </c>
      <c r="AA72" s="6">
        <v>6806664</v>
      </c>
      <c r="AB72" s="11" t="s">
        <v>2333</v>
      </c>
      <c r="AC72" s="6" t="s">
        <v>121</v>
      </c>
      <c r="AD72" s="57">
        <f t="shared" si="7"/>
        <v>1666666.6666666667</v>
      </c>
      <c r="AE72" s="6" t="s">
        <v>175</v>
      </c>
      <c r="AF72" s="6" t="s">
        <v>3286</v>
      </c>
      <c r="AG72" s="6" t="s">
        <v>3216</v>
      </c>
      <c r="AH72" s="8">
        <v>6806662</v>
      </c>
      <c r="AI72" s="191">
        <v>714069008</v>
      </c>
      <c r="AJ72" s="6" t="s">
        <v>4331</v>
      </c>
      <c r="AK72" s="57">
        <f>U72</f>
        <v>1666666.6666666667</v>
      </c>
      <c r="AL72" s="6" t="s">
        <v>175</v>
      </c>
      <c r="AM72" s="6" t="s">
        <v>3286</v>
      </c>
      <c r="AN72" s="6" t="s">
        <v>3216</v>
      </c>
      <c r="AO72" s="33"/>
      <c r="AP72" s="33"/>
      <c r="AQ72" s="33"/>
      <c r="AR72" s="233"/>
      <c r="AS72" s="33"/>
      <c r="AT72" s="33"/>
      <c r="AU72" s="33"/>
      <c r="AV72" s="33"/>
      <c r="AW72" s="33"/>
      <c r="AX72" s="33"/>
      <c r="AY72" s="233"/>
      <c r="AZ72" s="33"/>
      <c r="BA72" s="33"/>
      <c r="BB72" s="33"/>
      <c r="BC72" s="33"/>
      <c r="BD72" s="33"/>
      <c r="BE72" s="33"/>
      <c r="BF72" s="233"/>
      <c r="BG72" s="33"/>
      <c r="BH72" s="33"/>
      <c r="BI72" s="33"/>
      <c r="BJ72" s="33"/>
      <c r="BK72" s="33"/>
      <c r="BL72" s="33"/>
      <c r="BM72" s="233"/>
      <c r="BN72" s="33"/>
      <c r="BO72" s="33"/>
      <c r="BP72" s="33"/>
      <c r="BQ72" s="33"/>
      <c r="BR72" s="256" t="s">
        <v>3190</v>
      </c>
      <c r="BS72" s="256" t="s">
        <v>3191</v>
      </c>
      <c r="BT72" s="6"/>
      <c r="BU72" s="9"/>
      <c r="BV72" s="6"/>
      <c r="BW72" s="9"/>
      <c r="BX72" s="6"/>
      <c r="BY72" s="9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115" t="s">
        <v>3061</v>
      </c>
      <c r="CK72" s="33"/>
      <c r="CL72" s="33"/>
      <c r="CM72" s="33" t="s">
        <v>5270</v>
      </c>
      <c r="CN72" s="33" t="s">
        <v>5271</v>
      </c>
      <c r="CO72" s="33" t="s">
        <v>5272</v>
      </c>
    </row>
    <row r="73" spans="1:97" ht="36">
      <c r="A73" s="8">
        <v>35</v>
      </c>
      <c r="B73" s="6" t="s">
        <v>5273</v>
      </c>
      <c r="C73" s="6" t="s">
        <v>5274</v>
      </c>
      <c r="D73" s="9" t="s">
        <v>5275</v>
      </c>
      <c r="E73" s="6" t="s">
        <v>5276</v>
      </c>
      <c r="F73" s="8">
        <v>2022</v>
      </c>
      <c r="G73" s="8">
        <v>2022</v>
      </c>
      <c r="H73" s="8">
        <v>6</v>
      </c>
      <c r="I73" s="6" t="s">
        <v>4977</v>
      </c>
      <c r="J73" s="482"/>
      <c r="K73" s="458">
        <v>13201608</v>
      </c>
      <c r="L73" s="6" t="s">
        <v>3216</v>
      </c>
      <c r="M73" s="8">
        <v>7</v>
      </c>
      <c r="N73" s="7"/>
      <c r="O73" s="9" t="s">
        <v>3223</v>
      </c>
      <c r="P73" s="8"/>
      <c r="Q73" s="15" t="s">
        <v>4951</v>
      </c>
      <c r="R73" s="8">
        <v>6099359</v>
      </c>
      <c r="S73" s="7" t="s">
        <v>67</v>
      </c>
      <c r="T73" s="162" t="s">
        <v>977</v>
      </c>
      <c r="U73" s="257">
        <f>K73</f>
        <v>13201608</v>
      </c>
      <c r="V73" s="6" t="s">
        <v>166</v>
      </c>
      <c r="W73" s="6"/>
      <c r="X73" s="6"/>
      <c r="Y73" s="8"/>
      <c r="Z73" s="8"/>
      <c r="AA73" s="6"/>
      <c r="AB73" s="6"/>
      <c r="AC73" s="6"/>
      <c r="AD73" s="258"/>
      <c r="AE73" s="6"/>
      <c r="AF73" s="6"/>
      <c r="AG73" s="6"/>
      <c r="AH73" s="6"/>
      <c r="AI73" s="6"/>
      <c r="AJ73" s="6"/>
      <c r="AK73" s="258"/>
      <c r="AL73" s="6"/>
      <c r="AM73" s="6"/>
      <c r="AN73" s="6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2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163" t="s">
        <v>3190</v>
      </c>
      <c r="BS73" s="163" t="s">
        <v>3191</v>
      </c>
      <c r="BT73" s="6" t="s">
        <v>1043</v>
      </c>
      <c r="BU73" s="9" t="s">
        <v>3832</v>
      </c>
      <c r="BV73" s="6" t="s">
        <v>2164</v>
      </c>
      <c r="BW73" s="9" t="s">
        <v>3832</v>
      </c>
      <c r="BX73" s="6" t="s">
        <v>5277</v>
      </c>
      <c r="BY73" s="9" t="s">
        <v>3832</v>
      </c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</row>
    <row r="74" spans="1:97" ht="36">
      <c r="A74" s="8">
        <v>36</v>
      </c>
      <c r="B74" s="6" t="s">
        <v>5273</v>
      </c>
      <c r="C74" s="6" t="s">
        <v>5278</v>
      </c>
      <c r="D74" s="9" t="s">
        <v>5279</v>
      </c>
      <c r="E74" s="6" t="s">
        <v>5276</v>
      </c>
      <c r="F74" s="8">
        <v>2022</v>
      </c>
      <c r="G74" s="8">
        <v>2022</v>
      </c>
      <c r="H74" s="8">
        <v>6</v>
      </c>
      <c r="I74" s="6" t="s">
        <v>4977</v>
      </c>
      <c r="J74" s="482"/>
      <c r="K74" s="458">
        <v>17034333</v>
      </c>
      <c r="L74" s="6" t="s">
        <v>3216</v>
      </c>
      <c r="M74" s="8">
        <v>7</v>
      </c>
      <c r="N74" s="7"/>
      <c r="O74" s="9" t="s">
        <v>3223</v>
      </c>
      <c r="P74" s="8"/>
      <c r="Q74" s="15" t="s">
        <v>4951</v>
      </c>
      <c r="R74" s="8">
        <v>6778837</v>
      </c>
      <c r="S74" s="7" t="s">
        <v>71</v>
      </c>
      <c r="T74" s="8">
        <v>711039403</v>
      </c>
      <c r="U74" s="257">
        <f>K74</f>
        <v>17034333</v>
      </c>
      <c r="V74" s="6" t="s">
        <v>171</v>
      </c>
      <c r="W74" s="6"/>
      <c r="X74" s="6"/>
      <c r="Y74" s="8"/>
      <c r="Z74" s="8"/>
      <c r="AA74" s="6"/>
      <c r="AB74" s="6"/>
      <c r="AC74" s="6"/>
      <c r="AD74" s="258"/>
      <c r="AE74" s="6"/>
      <c r="AF74" s="6"/>
      <c r="AG74" s="6"/>
      <c r="AH74" s="6"/>
      <c r="AI74" s="6"/>
      <c r="AJ74" s="6"/>
      <c r="AK74" s="258"/>
      <c r="AL74" s="6"/>
      <c r="AM74" s="6"/>
      <c r="AN74" s="6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2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163" t="s">
        <v>3190</v>
      </c>
      <c r="BS74" s="163" t="s">
        <v>3191</v>
      </c>
      <c r="BT74" s="6" t="s">
        <v>3103</v>
      </c>
      <c r="BU74" s="9" t="s">
        <v>3862</v>
      </c>
      <c r="BV74" s="6" t="s">
        <v>5280</v>
      </c>
      <c r="BW74" s="9" t="s">
        <v>3862</v>
      </c>
      <c r="BX74" s="6" t="s">
        <v>3105</v>
      </c>
      <c r="BY74" s="9" t="s">
        <v>3862</v>
      </c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</row>
    <row r="75" spans="1:97" s="253" customFormat="1" ht="36">
      <c r="A75" s="8">
        <v>37</v>
      </c>
      <c r="B75" s="6" t="s">
        <v>5273</v>
      </c>
      <c r="C75" s="6" t="s">
        <v>5281</v>
      </c>
      <c r="D75" s="9" t="s">
        <v>5282</v>
      </c>
      <c r="E75" s="6" t="s">
        <v>5276</v>
      </c>
      <c r="F75" s="8">
        <v>2022</v>
      </c>
      <c r="G75" s="8">
        <v>2022</v>
      </c>
      <c r="H75" s="8">
        <v>6</v>
      </c>
      <c r="I75" s="6" t="s">
        <v>4986</v>
      </c>
      <c r="J75" s="482"/>
      <c r="K75" s="458">
        <v>15083902</v>
      </c>
      <c r="L75" s="6" t="s">
        <v>3216</v>
      </c>
      <c r="M75" s="8">
        <v>7</v>
      </c>
      <c r="N75" s="7"/>
      <c r="O75" s="9" t="s">
        <v>3223</v>
      </c>
      <c r="P75" s="8"/>
      <c r="Q75" s="15" t="s">
        <v>4951</v>
      </c>
      <c r="R75" s="13">
        <v>6680625</v>
      </c>
      <c r="S75" s="23" t="s">
        <v>23</v>
      </c>
      <c r="T75" s="16" t="s">
        <v>1782</v>
      </c>
      <c r="U75" s="257">
        <f>K75</f>
        <v>15083902</v>
      </c>
      <c r="V75" s="6" t="s">
        <v>154</v>
      </c>
      <c r="W75" s="6"/>
      <c r="X75" s="6"/>
      <c r="Y75" s="8"/>
      <c r="Z75" s="8"/>
      <c r="AA75" s="6"/>
      <c r="AB75" s="6"/>
      <c r="AC75" s="6"/>
      <c r="AD75" s="258"/>
      <c r="AE75" s="6"/>
      <c r="AF75" s="6"/>
      <c r="AG75" s="6"/>
      <c r="AH75" s="6"/>
      <c r="AI75" s="6"/>
      <c r="AJ75" s="6"/>
      <c r="AK75" s="258"/>
      <c r="AL75" s="6"/>
      <c r="AM75" s="6"/>
      <c r="AN75" s="6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2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163" t="s">
        <v>3190</v>
      </c>
      <c r="BS75" s="163" t="s">
        <v>3191</v>
      </c>
      <c r="BT75" s="6" t="s">
        <v>5283</v>
      </c>
      <c r="BU75" s="9" t="s">
        <v>4216</v>
      </c>
      <c r="BV75" s="6" t="s">
        <v>5284</v>
      </c>
      <c r="BW75" s="9" t="s">
        <v>4216</v>
      </c>
      <c r="BX75" s="6" t="s">
        <v>5285</v>
      </c>
      <c r="BY75" s="9" t="s">
        <v>4216</v>
      </c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</row>
    <row r="76" spans="1:97" s="314" customFormat="1">
      <c r="A76" s="309"/>
      <c r="B76" s="737"/>
      <c r="C76" s="737"/>
      <c r="D76" s="737"/>
      <c r="E76" s="737"/>
      <c r="F76" s="737"/>
      <c r="G76" s="737"/>
      <c r="H76" s="737"/>
      <c r="I76" s="737"/>
      <c r="J76" s="737"/>
      <c r="K76" s="737"/>
      <c r="L76" s="737"/>
      <c r="M76" s="738"/>
      <c r="N76" s="737"/>
      <c r="O76" s="737"/>
      <c r="P76" s="737"/>
      <c r="Q76" s="764"/>
      <c r="R76" s="737"/>
      <c r="S76" s="737"/>
      <c r="T76" s="737"/>
      <c r="U76" s="737"/>
      <c r="V76" s="737"/>
      <c r="W76" s="737"/>
      <c r="X76" s="737"/>
      <c r="Y76" s="737"/>
      <c r="Z76" s="737"/>
      <c r="AA76" s="737"/>
      <c r="AB76" s="737"/>
      <c r="AC76" s="737"/>
      <c r="AD76" s="737"/>
      <c r="AE76" s="737"/>
      <c r="AF76" s="737"/>
      <c r="AG76" s="737"/>
      <c r="AH76" s="737"/>
      <c r="AI76" s="737"/>
      <c r="AJ76" s="737"/>
      <c r="AK76" s="737"/>
      <c r="AL76" s="737"/>
      <c r="AM76" s="737"/>
      <c r="AN76" s="737"/>
      <c r="AO76" s="737"/>
      <c r="AP76" s="737"/>
      <c r="AQ76" s="737"/>
      <c r="AR76" s="737"/>
      <c r="AS76" s="737"/>
      <c r="AT76" s="737"/>
      <c r="AU76" s="737"/>
      <c r="AV76" s="737"/>
      <c r="AW76" s="737"/>
      <c r="AX76" s="737"/>
      <c r="AY76" s="737"/>
      <c r="AZ76" s="737"/>
      <c r="BA76" s="737"/>
      <c r="BB76" s="737"/>
      <c r="BC76" s="737"/>
      <c r="BD76" s="737"/>
      <c r="BE76" s="737"/>
      <c r="BF76" s="737"/>
      <c r="BG76" s="737"/>
      <c r="BH76" s="737"/>
      <c r="BI76" s="737"/>
      <c r="BJ76" s="737"/>
      <c r="BK76" s="737"/>
      <c r="BL76" s="737"/>
      <c r="BM76" s="737"/>
      <c r="BN76" s="737"/>
      <c r="BO76" s="737"/>
      <c r="BP76" s="737"/>
      <c r="BQ76" s="737"/>
      <c r="BR76" s="737"/>
      <c r="BS76" s="737"/>
      <c r="BT76" s="737"/>
      <c r="BU76" s="737"/>
      <c r="BV76" s="737"/>
      <c r="BW76" s="737"/>
      <c r="BX76" s="737"/>
      <c r="BY76" s="737"/>
      <c r="BZ76" s="737"/>
      <c r="CA76" s="737"/>
      <c r="CB76" s="737"/>
      <c r="CC76" s="737"/>
      <c r="CD76" s="737"/>
      <c r="CE76" s="737"/>
      <c r="CF76" s="737"/>
      <c r="CG76" s="737"/>
      <c r="CH76" s="737"/>
      <c r="CI76" s="737"/>
      <c r="CJ76" s="737"/>
      <c r="CK76" s="737"/>
      <c r="CL76" s="737"/>
      <c r="CM76" s="737"/>
      <c r="CN76" s="737"/>
      <c r="CO76" s="737"/>
    </row>
    <row r="77" spans="1:97" ht="36">
      <c r="A77" s="8">
        <v>1</v>
      </c>
      <c r="B77" s="143" t="s">
        <v>5286</v>
      </c>
      <c r="C77" s="143" t="s">
        <v>5287</v>
      </c>
      <c r="D77" s="9" t="s">
        <v>5288</v>
      </c>
      <c r="E77" s="8" t="s">
        <v>4976</v>
      </c>
      <c r="F77" s="8">
        <v>2023</v>
      </c>
      <c r="G77" s="8">
        <v>2023</v>
      </c>
      <c r="H77" s="8">
        <v>6</v>
      </c>
      <c r="I77" s="6" t="s">
        <v>5289</v>
      </c>
      <c r="J77" s="482"/>
      <c r="K77" s="458">
        <v>6000000</v>
      </c>
      <c r="L77" s="6" t="s">
        <v>3091</v>
      </c>
      <c r="M77" s="8">
        <v>6</v>
      </c>
      <c r="N77" s="7" t="s">
        <v>5290</v>
      </c>
      <c r="O77" s="9" t="s">
        <v>3223</v>
      </c>
      <c r="P77" s="8" t="s">
        <v>3215</v>
      </c>
      <c r="Q77" s="15" t="s">
        <v>4951</v>
      </c>
      <c r="R77" s="8">
        <v>6789028</v>
      </c>
      <c r="S77" s="7" t="s">
        <v>179</v>
      </c>
      <c r="T77" s="162" t="s">
        <v>1917</v>
      </c>
      <c r="U77" s="109">
        <f>K77/3</f>
        <v>2000000</v>
      </c>
      <c r="V77" s="6" t="s">
        <v>166</v>
      </c>
      <c r="W77" s="6" t="s">
        <v>3286</v>
      </c>
      <c r="X77" s="6" t="s">
        <v>3216</v>
      </c>
      <c r="Y77" s="8">
        <v>8140</v>
      </c>
      <c r="Z77" s="8">
        <v>72019</v>
      </c>
      <c r="AA77" s="6">
        <v>6835039</v>
      </c>
      <c r="AB77" s="11" t="s">
        <v>2009</v>
      </c>
      <c r="AC77" s="6" t="s">
        <v>37</v>
      </c>
      <c r="AD77" s="57">
        <f t="shared" ref="AD77:AD112" si="10">U77</f>
        <v>2000000</v>
      </c>
      <c r="AE77" s="6" t="s">
        <v>166</v>
      </c>
      <c r="AF77" s="6" t="s">
        <v>3286</v>
      </c>
      <c r="AG77" s="6" t="s">
        <v>3216</v>
      </c>
      <c r="AH77" s="6">
        <v>6843087</v>
      </c>
      <c r="AI77" s="11" t="s">
        <v>2010</v>
      </c>
      <c r="AJ77" s="6" t="s">
        <v>41</v>
      </c>
      <c r="AK77" s="57">
        <f>U77</f>
        <v>2000000</v>
      </c>
      <c r="AL77" s="6" t="s">
        <v>166</v>
      </c>
      <c r="AM77" s="6" t="s">
        <v>3286</v>
      </c>
      <c r="AN77" s="6" t="s">
        <v>3216</v>
      </c>
      <c r="AO77" s="33"/>
      <c r="AP77" s="33"/>
      <c r="AQ77" s="33"/>
      <c r="AR77" s="233"/>
      <c r="AS77" s="33"/>
      <c r="AT77" s="33"/>
      <c r="AU77" s="33"/>
      <c r="AV77" s="33"/>
      <c r="AW77" s="33"/>
      <c r="AX77" s="33"/>
      <c r="AY77" s="233"/>
      <c r="AZ77" s="33"/>
      <c r="BA77" s="33"/>
      <c r="BB77" s="33"/>
      <c r="BC77" s="33"/>
      <c r="BD77" s="33"/>
      <c r="BE77" s="33"/>
      <c r="BF77" s="233"/>
      <c r="BG77" s="33"/>
      <c r="BH77" s="33"/>
      <c r="BI77" s="33"/>
      <c r="BJ77" s="33"/>
      <c r="BK77" s="33"/>
      <c r="BL77" s="33"/>
      <c r="BM77" s="233"/>
      <c r="BN77" s="33"/>
      <c r="BO77" s="33"/>
      <c r="BP77" s="33"/>
      <c r="BQ77" s="33"/>
      <c r="BR77" s="160" t="s">
        <v>3190</v>
      </c>
      <c r="BS77" s="160" t="s">
        <v>3191</v>
      </c>
      <c r="BT77" s="6" t="s">
        <v>5291</v>
      </c>
      <c r="BU77" s="9" t="s">
        <v>3832</v>
      </c>
      <c r="BV77" s="6" t="s">
        <v>5292</v>
      </c>
      <c r="BW77" s="9" t="s">
        <v>3832</v>
      </c>
      <c r="BX77" s="6" t="s">
        <v>5293</v>
      </c>
      <c r="BY77" s="9" t="s">
        <v>3832</v>
      </c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115" t="s">
        <v>5294</v>
      </c>
      <c r="CK77" s="115" t="s">
        <v>3739</v>
      </c>
      <c r="CL77" s="115" t="s">
        <v>3739</v>
      </c>
      <c r="CM77" s="276" t="s">
        <v>5295</v>
      </c>
      <c r="CN77" s="115" t="s">
        <v>3739</v>
      </c>
      <c r="CO77" s="115" t="s">
        <v>3739</v>
      </c>
    </row>
    <row r="78" spans="1:97" ht="36.6">
      <c r="A78" s="8">
        <v>2</v>
      </c>
      <c r="B78" s="143" t="s">
        <v>5286</v>
      </c>
      <c r="C78" s="143" t="s">
        <v>5296</v>
      </c>
      <c r="D78" s="9" t="s">
        <v>5297</v>
      </c>
      <c r="E78" s="8" t="s">
        <v>4976</v>
      </c>
      <c r="F78" s="8">
        <v>2023</v>
      </c>
      <c r="G78" s="8">
        <v>2023</v>
      </c>
      <c r="H78" s="8">
        <v>6</v>
      </c>
      <c r="I78" s="6" t="s">
        <v>5298</v>
      </c>
      <c r="J78" s="482"/>
      <c r="K78" s="458">
        <v>6000000</v>
      </c>
      <c r="L78" s="6" t="s">
        <v>3091</v>
      </c>
      <c r="M78" s="8">
        <v>6</v>
      </c>
      <c r="N78" s="7" t="s">
        <v>5290</v>
      </c>
      <c r="O78" s="9" t="s">
        <v>3223</v>
      </c>
      <c r="P78" s="8" t="s">
        <v>3215</v>
      </c>
      <c r="Q78" s="15" t="s">
        <v>4951</v>
      </c>
      <c r="R78" s="8">
        <v>6825598</v>
      </c>
      <c r="S78" s="7" t="s">
        <v>5299</v>
      </c>
      <c r="T78" s="162" t="s">
        <v>1774</v>
      </c>
      <c r="U78" s="109">
        <f>K78/3</f>
        <v>2000000</v>
      </c>
      <c r="V78" s="6" t="s">
        <v>156</v>
      </c>
      <c r="W78" s="6" t="s">
        <v>3286</v>
      </c>
      <c r="X78" s="6" t="s">
        <v>3216</v>
      </c>
      <c r="Y78" s="8">
        <v>8140</v>
      </c>
      <c r="Z78" s="8">
        <v>72019</v>
      </c>
      <c r="AA78" s="6">
        <v>6785861</v>
      </c>
      <c r="AB78" s="11" t="s">
        <v>1904</v>
      </c>
      <c r="AC78" s="6" t="s">
        <v>775</v>
      </c>
      <c r="AD78" s="57">
        <f t="shared" si="10"/>
        <v>2000000</v>
      </c>
      <c r="AE78" s="6" t="s">
        <v>3093</v>
      </c>
      <c r="AF78" s="6" t="s">
        <v>3286</v>
      </c>
      <c r="AG78" s="6" t="s">
        <v>3216</v>
      </c>
      <c r="AH78" s="6">
        <v>6830679</v>
      </c>
      <c r="AI78" s="11" t="s">
        <v>4099</v>
      </c>
      <c r="AJ78" s="6" t="s">
        <v>2123</v>
      </c>
      <c r="AK78" s="57">
        <f>U78</f>
        <v>2000000</v>
      </c>
      <c r="AL78" s="6" t="s">
        <v>156</v>
      </c>
      <c r="AM78" s="6" t="s">
        <v>3286</v>
      </c>
      <c r="AN78" s="6" t="s">
        <v>3216</v>
      </c>
      <c r="AO78" s="33"/>
      <c r="AP78" s="33"/>
      <c r="AQ78" s="33"/>
      <c r="AR78" s="233"/>
      <c r="AS78" s="33"/>
      <c r="AT78" s="33"/>
      <c r="AU78" s="33"/>
      <c r="AV78" s="33"/>
      <c r="AW78" s="33"/>
      <c r="AX78" s="33"/>
      <c r="AY78" s="233"/>
      <c r="AZ78" s="33"/>
      <c r="BA78" s="33"/>
      <c r="BB78" s="33"/>
      <c r="BC78" s="33"/>
      <c r="BD78" s="33"/>
      <c r="BE78" s="33"/>
      <c r="BF78" s="233"/>
      <c r="BG78" s="33"/>
      <c r="BH78" s="33"/>
      <c r="BI78" s="33"/>
      <c r="BJ78" s="33"/>
      <c r="BK78" s="33"/>
      <c r="BL78" s="33"/>
      <c r="BM78" s="233"/>
      <c r="BN78" s="33"/>
      <c r="BO78" s="33"/>
      <c r="BP78" s="33"/>
      <c r="BQ78" s="33"/>
      <c r="BR78" s="160" t="s">
        <v>3190</v>
      </c>
      <c r="BS78" s="160" t="s">
        <v>3191</v>
      </c>
      <c r="BT78" s="6" t="s">
        <v>5300</v>
      </c>
      <c r="BU78" s="9" t="s">
        <v>3857</v>
      </c>
      <c r="BV78" s="6" t="s">
        <v>5301</v>
      </c>
      <c r="BW78" s="9" t="s">
        <v>3857</v>
      </c>
      <c r="BX78" s="6" t="s">
        <v>5302</v>
      </c>
      <c r="BY78" s="9" t="s">
        <v>3990</v>
      </c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115" t="s">
        <v>3251</v>
      </c>
      <c r="CK78" s="115" t="s">
        <v>4981</v>
      </c>
      <c r="CL78" s="115" t="s">
        <v>5009</v>
      </c>
      <c r="CM78" s="277" t="s">
        <v>5303</v>
      </c>
      <c r="CN78" s="115" t="s">
        <v>5304</v>
      </c>
      <c r="CO78" s="115" t="s">
        <v>5305</v>
      </c>
    </row>
    <row r="79" spans="1:97" ht="72.599999999999994">
      <c r="A79" s="8">
        <v>3</v>
      </c>
      <c r="B79" s="143" t="s">
        <v>5286</v>
      </c>
      <c r="C79" s="143" t="s">
        <v>5306</v>
      </c>
      <c r="D79" s="9" t="s">
        <v>5307</v>
      </c>
      <c r="E79" s="8" t="s">
        <v>4976</v>
      </c>
      <c r="F79" s="8">
        <v>2023</v>
      </c>
      <c r="G79" s="8">
        <v>2023</v>
      </c>
      <c r="H79" s="8">
        <v>6</v>
      </c>
      <c r="I79" s="6" t="s">
        <v>5289</v>
      </c>
      <c r="J79" s="482"/>
      <c r="K79" s="458">
        <v>7000000</v>
      </c>
      <c r="L79" s="6" t="s">
        <v>3091</v>
      </c>
      <c r="M79" s="8">
        <v>6</v>
      </c>
      <c r="N79" s="7" t="s">
        <v>5290</v>
      </c>
      <c r="O79" s="9" t="s">
        <v>3223</v>
      </c>
      <c r="P79" s="8" t="s">
        <v>3215</v>
      </c>
      <c r="Q79" s="15" t="s">
        <v>4951</v>
      </c>
      <c r="R79" s="8">
        <v>6787771</v>
      </c>
      <c r="S79" s="7" t="s">
        <v>180</v>
      </c>
      <c r="T79" s="162" t="s">
        <v>1676</v>
      </c>
      <c r="U79" s="109">
        <f>K79/3</f>
        <v>2333333.3333333335</v>
      </c>
      <c r="V79" s="6" t="s">
        <v>166</v>
      </c>
      <c r="W79" s="6" t="s">
        <v>3286</v>
      </c>
      <c r="X79" s="6" t="s">
        <v>3216</v>
      </c>
      <c r="Y79" s="8">
        <v>8140</v>
      </c>
      <c r="Z79" s="8">
        <v>72019</v>
      </c>
      <c r="AA79" s="6">
        <v>6832969</v>
      </c>
      <c r="AB79" s="6">
        <v>707089302</v>
      </c>
      <c r="AC79" s="6" t="s">
        <v>183</v>
      </c>
      <c r="AD79" s="57">
        <f t="shared" si="10"/>
        <v>2333333.3333333335</v>
      </c>
      <c r="AE79" s="6" t="s">
        <v>166</v>
      </c>
      <c r="AF79" s="6" t="s">
        <v>3286</v>
      </c>
      <c r="AG79" s="6" t="s">
        <v>3216</v>
      </c>
      <c r="AH79" s="6">
        <v>6834400</v>
      </c>
      <c r="AI79" s="11" t="s">
        <v>2698</v>
      </c>
      <c r="AJ79" s="6" t="s">
        <v>185</v>
      </c>
      <c r="AK79" s="57">
        <f>U79</f>
        <v>2333333.3333333335</v>
      </c>
      <c r="AL79" s="6" t="s">
        <v>166</v>
      </c>
      <c r="AM79" s="6" t="s">
        <v>3286</v>
      </c>
      <c r="AN79" s="6" t="s">
        <v>3216</v>
      </c>
      <c r="AO79" s="33"/>
      <c r="AP79" s="33"/>
      <c r="AQ79" s="33"/>
      <c r="AR79" s="233"/>
      <c r="AS79" s="33"/>
      <c r="AT79" s="33"/>
      <c r="AU79" s="33"/>
      <c r="AV79" s="33"/>
      <c r="AW79" s="33"/>
      <c r="AX79" s="33"/>
      <c r="AY79" s="233"/>
      <c r="AZ79" s="33"/>
      <c r="BA79" s="33"/>
      <c r="BB79" s="33"/>
      <c r="BC79" s="33"/>
      <c r="BD79" s="33"/>
      <c r="BE79" s="33"/>
      <c r="BF79" s="233"/>
      <c r="BG79" s="33"/>
      <c r="BH79" s="33"/>
      <c r="BI79" s="33"/>
      <c r="BJ79" s="33"/>
      <c r="BK79" s="33"/>
      <c r="BL79" s="33"/>
      <c r="BM79" s="233"/>
      <c r="BN79" s="33"/>
      <c r="BO79" s="33"/>
      <c r="BP79" s="33"/>
      <c r="BQ79" s="33"/>
      <c r="BR79" s="160" t="s">
        <v>3190</v>
      </c>
      <c r="BS79" s="160" t="s">
        <v>3191</v>
      </c>
      <c r="BT79" s="6" t="s">
        <v>5308</v>
      </c>
      <c r="BU79" s="9" t="s">
        <v>3832</v>
      </c>
      <c r="BV79" s="6" t="s">
        <v>5309</v>
      </c>
      <c r="BW79" s="9" t="s">
        <v>3832</v>
      </c>
      <c r="BX79" s="6" t="s">
        <v>5310</v>
      </c>
      <c r="BY79" s="9" t="s">
        <v>3832</v>
      </c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115" t="s">
        <v>3251</v>
      </c>
      <c r="CK79" s="115" t="s">
        <v>4981</v>
      </c>
      <c r="CL79" s="115" t="s">
        <v>5009</v>
      </c>
      <c r="CM79" s="276" t="s">
        <v>5311</v>
      </c>
      <c r="CN79" s="115" t="s">
        <v>3739</v>
      </c>
      <c r="CO79" s="115" t="s">
        <v>3739</v>
      </c>
      <c r="CP79" s="113"/>
      <c r="CQ79" s="113"/>
      <c r="CR79" s="113"/>
      <c r="CS79" s="113"/>
    </row>
    <row r="80" spans="1:97" ht="36.6">
      <c r="A80" s="300">
        <v>4</v>
      </c>
      <c r="B80" s="143" t="s">
        <v>5286</v>
      </c>
      <c r="C80" s="143" t="s">
        <v>5312</v>
      </c>
      <c r="D80" s="139" t="s">
        <v>5313</v>
      </c>
      <c r="E80" s="259" t="s">
        <v>4976</v>
      </c>
      <c r="F80" s="259">
        <v>2023</v>
      </c>
      <c r="G80" s="259">
        <v>2023</v>
      </c>
      <c r="H80" s="259">
        <v>6</v>
      </c>
      <c r="I80" s="138" t="s">
        <v>5289</v>
      </c>
      <c r="J80" s="484"/>
      <c r="K80" s="462">
        <v>6074000</v>
      </c>
      <c r="L80" s="138" t="s">
        <v>3091</v>
      </c>
      <c r="M80" s="259">
        <v>6</v>
      </c>
      <c r="N80" s="123" t="s">
        <v>5290</v>
      </c>
      <c r="O80" s="9" t="s">
        <v>3223</v>
      </c>
      <c r="P80" s="259" t="s">
        <v>3215</v>
      </c>
      <c r="Q80" s="15" t="s">
        <v>4951</v>
      </c>
      <c r="R80" s="259">
        <v>28854</v>
      </c>
      <c r="S80" s="123" t="s">
        <v>189</v>
      </c>
      <c r="T80" s="260" t="s">
        <v>2959</v>
      </c>
      <c r="U80" s="278">
        <f>K80/3</f>
        <v>2024666.6666666667</v>
      </c>
      <c r="V80" s="138" t="s">
        <v>164</v>
      </c>
      <c r="W80" s="138" t="s">
        <v>3286</v>
      </c>
      <c r="X80" s="138" t="s">
        <v>3216</v>
      </c>
      <c r="Y80" s="259">
        <v>8140</v>
      </c>
      <c r="Z80" s="259">
        <v>72019</v>
      </c>
      <c r="AA80" s="138">
        <v>259781</v>
      </c>
      <c r="AB80" s="140" t="s">
        <v>982</v>
      </c>
      <c r="AC80" s="138" t="s">
        <v>26</v>
      </c>
      <c r="AD80" s="279">
        <f t="shared" si="10"/>
        <v>2024666.6666666667</v>
      </c>
      <c r="AE80" s="138" t="s">
        <v>164</v>
      </c>
      <c r="AF80" s="138" t="s">
        <v>3286</v>
      </c>
      <c r="AG80" s="138" t="s">
        <v>3216</v>
      </c>
      <c r="AH80" s="138">
        <v>6680622</v>
      </c>
      <c r="AI80" s="140" t="s">
        <v>983</v>
      </c>
      <c r="AJ80" s="138" t="s">
        <v>11</v>
      </c>
      <c r="AK80" s="279">
        <f>U80</f>
        <v>2024666.6666666667</v>
      </c>
      <c r="AL80" s="138" t="s">
        <v>164</v>
      </c>
      <c r="AM80" s="138" t="s">
        <v>3286</v>
      </c>
      <c r="AN80" s="138" t="s">
        <v>3216</v>
      </c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284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60" t="s">
        <v>3190</v>
      </c>
      <c r="BS80" s="160" t="s">
        <v>3191</v>
      </c>
      <c r="BT80" s="138" t="s">
        <v>5314</v>
      </c>
      <c r="BU80" s="139" t="s">
        <v>5315</v>
      </c>
      <c r="BV80" s="138" t="s">
        <v>5316</v>
      </c>
      <c r="BW80" s="139" t="s">
        <v>5315</v>
      </c>
      <c r="BX80" s="138"/>
      <c r="BY80" s="139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15" t="s">
        <v>5294</v>
      </c>
      <c r="CK80" s="115" t="s">
        <v>5317</v>
      </c>
      <c r="CL80" s="115" t="s">
        <v>5009</v>
      </c>
      <c r="CM80" s="280" t="s">
        <v>5318</v>
      </c>
      <c r="CN80" s="281" t="s">
        <v>942</v>
      </c>
      <c r="CO80" s="281" t="s">
        <v>942</v>
      </c>
    </row>
    <row r="81" spans="1:97" ht="36.6">
      <c r="A81" s="8">
        <v>5</v>
      </c>
      <c r="B81" s="143" t="s">
        <v>5286</v>
      </c>
      <c r="C81" s="143" t="s">
        <v>5319</v>
      </c>
      <c r="D81" s="9" t="s">
        <v>5320</v>
      </c>
      <c r="E81" s="8" t="s">
        <v>4976</v>
      </c>
      <c r="F81" s="8">
        <v>2023</v>
      </c>
      <c r="G81" s="8">
        <v>2023</v>
      </c>
      <c r="H81" s="8">
        <v>6</v>
      </c>
      <c r="I81" s="6" t="s">
        <v>5298</v>
      </c>
      <c r="J81" s="482"/>
      <c r="K81" s="458">
        <v>7000000</v>
      </c>
      <c r="L81" s="6" t="s">
        <v>3091</v>
      </c>
      <c r="M81" s="8">
        <v>3</v>
      </c>
      <c r="N81" s="7" t="s">
        <v>5290</v>
      </c>
      <c r="O81" s="9" t="s">
        <v>3223</v>
      </c>
      <c r="P81" s="8" t="s">
        <v>3215</v>
      </c>
      <c r="Q81" s="15" t="s">
        <v>4951</v>
      </c>
      <c r="R81" s="8">
        <v>6795859</v>
      </c>
      <c r="S81" s="7" t="s">
        <v>56</v>
      </c>
      <c r="T81" s="162" t="s">
        <v>1672</v>
      </c>
      <c r="U81" s="109">
        <f>K81/2</f>
        <v>3500000</v>
      </c>
      <c r="V81" s="6" t="s">
        <v>160</v>
      </c>
      <c r="W81" s="6" t="s">
        <v>3281</v>
      </c>
      <c r="X81" s="6" t="s">
        <v>3216</v>
      </c>
      <c r="Y81" s="8">
        <v>8140</v>
      </c>
      <c r="Z81" s="8">
        <v>72019</v>
      </c>
      <c r="AA81" s="6">
        <v>6826739</v>
      </c>
      <c r="AB81" s="11" t="s">
        <v>2307</v>
      </c>
      <c r="AC81" s="6" t="s">
        <v>50</v>
      </c>
      <c r="AD81" s="57">
        <f t="shared" si="10"/>
        <v>3500000</v>
      </c>
      <c r="AE81" s="6" t="s">
        <v>160</v>
      </c>
      <c r="AF81" s="6" t="s">
        <v>3281</v>
      </c>
      <c r="AG81" s="6" t="s">
        <v>3216</v>
      </c>
      <c r="AH81" s="6"/>
      <c r="AI81" s="6"/>
      <c r="AJ81" s="6"/>
      <c r="AK81" s="57"/>
      <c r="AL81" s="6"/>
      <c r="AM81" s="6"/>
      <c r="AN81" s="33"/>
      <c r="AO81" s="33"/>
      <c r="AP81" s="33"/>
      <c r="AQ81" s="33"/>
      <c r="AR81" s="233"/>
      <c r="AS81" s="33"/>
      <c r="AT81" s="33"/>
      <c r="AU81" s="33"/>
      <c r="AV81" s="33"/>
      <c r="AW81" s="33"/>
      <c r="AX81" s="33"/>
      <c r="AY81" s="233"/>
      <c r="AZ81" s="33"/>
      <c r="BA81" s="33"/>
      <c r="BB81" s="33"/>
      <c r="BC81" s="33"/>
      <c r="BD81" s="33"/>
      <c r="BE81" s="33"/>
      <c r="BF81" s="233"/>
      <c r="BG81" s="33"/>
      <c r="BH81" s="33"/>
      <c r="BI81" s="33"/>
      <c r="BJ81" s="33"/>
      <c r="BK81" s="33"/>
      <c r="BL81" s="33"/>
      <c r="BM81" s="233"/>
      <c r="BN81" s="33"/>
      <c r="BO81" s="33"/>
      <c r="BP81" s="33"/>
      <c r="BQ81" s="33"/>
      <c r="BR81" s="160" t="s">
        <v>3190</v>
      </c>
      <c r="BS81" s="160" t="s">
        <v>3191</v>
      </c>
      <c r="BT81" s="6" t="s">
        <v>5321</v>
      </c>
      <c r="BU81" s="9" t="s">
        <v>3958</v>
      </c>
      <c r="BV81" s="6" t="s">
        <v>5322</v>
      </c>
      <c r="BW81" s="9" t="s">
        <v>3958</v>
      </c>
      <c r="BX81" s="6" t="s">
        <v>5323</v>
      </c>
      <c r="BY81" s="9" t="s">
        <v>3958</v>
      </c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115" t="s">
        <v>5294</v>
      </c>
      <c r="CK81" s="115" t="s">
        <v>4981</v>
      </c>
      <c r="CL81" s="115" t="s">
        <v>4991</v>
      </c>
      <c r="CM81" s="276" t="s">
        <v>5324</v>
      </c>
      <c r="CN81" s="115" t="s">
        <v>5325</v>
      </c>
      <c r="CO81" s="281" t="s">
        <v>942</v>
      </c>
    </row>
    <row r="82" spans="1:97" ht="36.6">
      <c r="A82" s="8">
        <v>6</v>
      </c>
      <c r="B82" s="143" t="s">
        <v>5286</v>
      </c>
      <c r="C82" s="143" t="s">
        <v>5326</v>
      </c>
      <c r="D82" s="9" t="s">
        <v>5327</v>
      </c>
      <c r="E82" s="8" t="s">
        <v>4976</v>
      </c>
      <c r="F82" s="8">
        <v>2023</v>
      </c>
      <c r="G82" s="8">
        <v>2023</v>
      </c>
      <c r="H82" s="8">
        <v>6</v>
      </c>
      <c r="I82" s="6" t="s">
        <v>5298</v>
      </c>
      <c r="J82" s="482"/>
      <c r="K82" s="458">
        <v>6500000</v>
      </c>
      <c r="L82" s="6" t="s">
        <v>3091</v>
      </c>
      <c r="M82" s="8">
        <v>3</v>
      </c>
      <c r="N82" s="7"/>
      <c r="O82" s="9" t="s">
        <v>3223</v>
      </c>
      <c r="P82" s="8" t="s">
        <v>3215</v>
      </c>
      <c r="Q82" s="15" t="s">
        <v>4951</v>
      </c>
      <c r="R82" s="8">
        <v>6826743</v>
      </c>
      <c r="S82" s="7" t="s">
        <v>45</v>
      </c>
      <c r="T82" s="162" t="s">
        <v>1880</v>
      </c>
      <c r="U82" s="109">
        <f>K82/3</f>
        <v>2166666.6666666665</v>
      </c>
      <c r="V82" s="6" t="s">
        <v>160</v>
      </c>
      <c r="W82" s="6" t="s">
        <v>3281</v>
      </c>
      <c r="X82" s="6" t="s">
        <v>3216</v>
      </c>
      <c r="Y82" s="8">
        <v>8140</v>
      </c>
      <c r="Z82" s="8">
        <v>72019</v>
      </c>
      <c r="AA82" s="6">
        <v>6658545</v>
      </c>
      <c r="AB82" s="11" t="s">
        <v>984</v>
      </c>
      <c r="AC82" s="6" t="s">
        <v>40</v>
      </c>
      <c r="AD82" s="57">
        <f t="shared" si="10"/>
        <v>2166666.6666666665</v>
      </c>
      <c r="AE82" s="6" t="s">
        <v>160</v>
      </c>
      <c r="AF82" s="6" t="s">
        <v>3281</v>
      </c>
      <c r="AG82" s="6" t="s">
        <v>3216</v>
      </c>
      <c r="AH82" s="6">
        <v>6681051</v>
      </c>
      <c r="AI82" s="11" t="s">
        <v>1657</v>
      </c>
      <c r="AJ82" s="6" t="s">
        <v>6</v>
      </c>
      <c r="AK82" s="57">
        <f>U82</f>
        <v>2166666.6666666665</v>
      </c>
      <c r="AL82" s="6" t="s">
        <v>160</v>
      </c>
      <c r="AM82" s="6" t="s">
        <v>3281</v>
      </c>
      <c r="AN82" s="6" t="s">
        <v>3216</v>
      </c>
      <c r="AO82" s="33"/>
      <c r="AP82" s="33"/>
      <c r="AQ82" s="33"/>
      <c r="AR82" s="233"/>
      <c r="AS82" s="33"/>
      <c r="AT82" s="33"/>
      <c r="AU82" s="33"/>
      <c r="AV82" s="33"/>
      <c r="AW82" s="33"/>
      <c r="AX82" s="33"/>
      <c r="AY82" s="233"/>
      <c r="AZ82" s="33"/>
      <c r="BA82" s="33"/>
      <c r="BB82" s="33"/>
      <c r="BC82" s="33"/>
      <c r="BD82" s="33"/>
      <c r="BE82" s="33"/>
      <c r="BF82" s="233"/>
      <c r="BG82" s="33"/>
      <c r="BH82" s="33"/>
      <c r="BI82" s="33"/>
      <c r="BJ82" s="33"/>
      <c r="BK82" s="33"/>
      <c r="BL82" s="33"/>
      <c r="BM82" s="233"/>
      <c r="BN82" s="33"/>
      <c r="BO82" s="33"/>
      <c r="BP82" s="33"/>
      <c r="BQ82" s="33"/>
      <c r="BR82" s="160" t="s">
        <v>3190</v>
      </c>
      <c r="BS82" s="160" t="s">
        <v>3191</v>
      </c>
      <c r="BT82" s="6" t="s">
        <v>5328</v>
      </c>
      <c r="BU82" s="9" t="s">
        <v>3958</v>
      </c>
      <c r="BV82" s="6" t="s">
        <v>5329</v>
      </c>
      <c r="BW82" s="9" t="s">
        <v>3958</v>
      </c>
      <c r="BX82" s="6"/>
      <c r="BY82" s="9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115" t="s">
        <v>5294</v>
      </c>
      <c r="CK82" s="115" t="s">
        <v>4981</v>
      </c>
      <c r="CL82" s="115" t="s">
        <v>4991</v>
      </c>
      <c r="CM82" s="276" t="s">
        <v>5324</v>
      </c>
      <c r="CN82" s="115" t="s">
        <v>3739</v>
      </c>
      <c r="CO82" s="115" t="s">
        <v>3739</v>
      </c>
    </row>
    <row r="83" spans="1:97" ht="36">
      <c r="A83" s="8">
        <v>7</v>
      </c>
      <c r="B83" s="143" t="s">
        <v>5286</v>
      </c>
      <c r="C83" s="143" t="s">
        <v>5330</v>
      </c>
      <c r="D83" s="9" t="s">
        <v>5331</v>
      </c>
      <c r="E83" s="8" t="s">
        <v>4976</v>
      </c>
      <c r="F83" s="8">
        <v>2023</v>
      </c>
      <c r="G83" s="8">
        <v>2023</v>
      </c>
      <c r="H83" s="8">
        <v>6</v>
      </c>
      <c r="I83" s="6" t="s">
        <v>5289</v>
      </c>
      <c r="J83" s="482"/>
      <c r="K83" s="458">
        <v>6995000</v>
      </c>
      <c r="L83" s="6" t="s">
        <v>3091</v>
      </c>
      <c r="M83" s="8">
        <v>7</v>
      </c>
      <c r="N83" s="7"/>
      <c r="O83" s="9" t="s">
        <v>3223</v>
      </c>
      <c r="P83" s="8" t="s">
        <v>3215</v>
      </c>
      <c r="Q83" s="15" t="s">
        <v>4951</v>
      </c>
      <c r="R83" s="8">
        <v>6682794</v>
      </c>
      <c r="S83" s="7" t="s">
        <v>49</v>
      </c>
      <c r="T83" s="162" t="s">
        <v>1744</v>
      </c>
      <c r="U83" s="109">
        <f>K83/2</f>
        <v>3497500</v>
      </c>
      <c r="V83" s="6" t="s">
        <v>164</v>
      </c>
      <c r="W83" s="6" t="s">
        <v>3286</v>
      </c>
      <c r="X83" s="6" t="s">
        <v>3216</v>
      </c>
      <c r="Y83" s="8">
        <v>8140</v>
      </c>
      <c r="Z83" s="8">
        <v>72019</v>
      </c>
      <c r="AA83" s="99">
        <v>6853203</v>
      </c>
      <c r="AB83" s="11" t="s">
        <v>3905</v>
      </c>
      <c r="AC83" s="6" t="s">
        <v>191</v>
      </c>
      <c r="AD83" s="57">
        <f t="shared" si="10"/>
        <v>3497500</v>
      </c>
      <c r="AE83" s="6" t="s">
        <v>155</v>
      </c>
      <c r="AF83" s="6" t="s">
        <v>3281</v>
      </c>
      <c r="AG83" s="6" t="s">
        <v>3216</v>
      </c>
      <c r="AH83" s="6"/>
      <c r="AI83" s="6"/>
      <c r="AJ83" s="6"/>
      <c r="AK83" s="57"/>
      <c r="AL83" s="6"/>
      <c r="AM83" s="6"/>
      <c r="AN83" s="33"/>
      <c r="AO83" s="33"/>
      <c r="AP83" s="33"/>
      <c r="AQ83" s="33"/>
      <c r="AR83" s="233"/>
      <c r="AS83" s="33"/>
      <c r="AT83" s="33"/>
      <c r="AU83" s="33"/>
      <c r="AV83" s="33"/>
      <c r="AW83" s="33"/>
      <c r="AX83" s="33"/>
      <c r="AY83" s="233"/>
      <c r="AZ83" s="33"/>
      <c r="BA83" s="33"/>
      <c r="BB83" s="33"/>
      <c r="BC83" s="33"/>
      <c r="BD83" s="33"/>
      <c r="BE83" s="33"/>
      <c r="BF83" s="233"/>
      <c r="BG83" s="33"/>
      <c r="BH83" s="33"/>
      <c r="BI83" s="33"/>
      <c r="BJ83" s="33"/>
      <c r="BK83" s="33"/>
      <c r="BL83" s="33"/>
      <c r="BM83" s="233"/>
      <c r="BN83" s="33"/>
      <c r="BO83" s="33"/>
      <c r="BP83" s="33"/>
      <c r="BQ83" s="33"/>
      <c r="BR83" s="160" t="s">
        <v>3190</v>
      </c>
      <c r="BS83" s="160" t="s">
        <v>3191</v>
      </c>
      <c r="BT83" s="6" t="s">
        <v>5332</v>
      </c>
      <c r="BU83" s="9" t="s">
        <v>5315</v>
      </c>
      <c r="BV83" s="6"/>
      <c r="BW83" s="9"/>
      <c r="BX83" s="6"/>
      <c r="BY83" s="9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115" t="s">
        <v>5294</v>
      </c>
      <c r="CK83" s="115" t="s">
        <v>4981</v>
      </c>
      <c r="CL83" s="115" t="s">
        <v>5009</v>
      </c>
      <c r="CM83" s="276" t="s">
        <v>5324</v>
      </c>
      <c r="CN83" s="115" t="s">
        <v>3739</v>
      </c>
      <c r="CO83" s="115" t="s">
        <v>3739</v>
      </c>
    </row>
    <row r="84" spans="1:97" ht="36">
      <c r="A84" s="8">
        <v>8</v>
      </c>
      <c r="B84" s="143" t="s">
        <v>5286</v>
      </c>
      <c r="C84" s="143" t="s">
        <v>5333</v>
      </c>
      <c r="D84" s="9" t="s">
        <v>5334</v>
      </c>
      <c r="E84" s="8" t="s">
        <v>4976</v>
      </c>
      <c r="F84" s="8">
        <v>2023</v>
      </c>
      <c r="G84" s="8">
        <v>2023</v>
      </c>
      <c r="H84" s="8">
        <v>8</v>
      </c>
      <c r="I84" s="6" t="s">
        <v>5298</v>
      </c>
      <c r="J84" s="482"/>
      <c r="K84" s="458">
        <v>7000000</v>
      </c>
      <c r="L84" s="6" t="s">
        <v>3091</v>
      </c>
      <c r="M84" s="8">
        <v>3</v>
      </c>
      <c r="N84" s="7"/>
      <c r="O84" s="9" t="s">
        <v>3223</v>
      </c>
      <c r="P84" s="8" t="s">
        <v>3215</v>
      </c>
      <c r="Q84" s="15" t="s">
        <v>4951</v>
      </c>
      <c r="R84" s="207">
        <v>6829130</v>
      </c>
      <c r="S84" s="7" t="s">
        <v>173</v>
      </c>
      <c r="T84" s="162" t="s">
        <v>3020</v>
      </c>
      <c r="U84" s="109">
        <f>K84/3</f>
        <v>2333333.3333333335</v>
      </c>
      <c r="V84" s="6" t="s">
        <v>154</v>
      </c>
      <c r="W84" s="6" t="s">
        <v>3281</v>
      </c>
      <c r="X84" s="6" t="s">
        <v>3216</v>
      </c>
      <c r="Y84" s="8">
        <v>8140</v>
      </c>
      <c r="Z84" s="8">
        <v>72019</v>
      </c>
      <c r="AA84" s="6">
        <v>6680741</v>
      </c>
      <c r="AB84" s="11" t="s">
        <v>1838</v>
      </c>
      <c r="AC84" s="6" t="s">
        <v>16</v>
      </c>
      <c r="AD84" s="57">
        <f t="shared" si="10"/>
        <v>2333333.3333333335</v>
      </c>
      <c r="AE84" s="6" t="s">
        <v>154</v>
      </c>
      <c r="AF84" s="6" t="s">
        <v>3281</v>
      </c>
      <c r="AG84" s="6" t="s">
        <v>3216</v>
      </c>
      <c r="AH84" s="6">
        <v>6786182</v>
      </c>
      <c r="AI84" s="11" t="s">
        <v>2471</v>
      </c>
      <c r="AJ84" s="6" t="s">
        <v>87</v>
      </c>
      <c r="AK84" s="57">
        <f>U84</f>
        <v>2333333.3333333335</v>
      </c>
      <c r="AL84" s="6" t="s">
        <v>154</v>
      </c>
      <c r="AM84" s="6" t="s">
        <v>3281</v>
      </c>
      <c r="AN84" s="6" t="s">
        <v>3216</v>
      </c>
      <c r="AO84" s="33"/>
      <c r="AP84" s="33"/>
      <c r="AQ84" s="33"/>
      <c r="AR84" s="233"/>
      <c r="AS84" s="33"/>
      <c r="AT84" s="33"/>
      <c r="AU84" s="33"/>
      <c r="AV84" s="33"/>
      <c r="AW84" s="33"/>
      <c r="AX84" s="33"/>
      <c r="AY84" s="233"/>
      <c r="AZ84" s="33"/>
      <c r="BA84" s="33"/>
      <c r="BB84" s="33"/>
      <c r="BC84" s="33"/>
      <c r="BD84" s="33"/>
      <c r="BE84" s="33"/>
      <c r="BF84" s="233"/>
      <c r="BG84" s="33"/>
      <c r="BH84" s="33"/>
      <c r="BI84" s="33"/>
      <c r="BJ84" s="33"/>
      <c r="BK84" s="33"/>
      <c r="BL84" s="33"/>
      <c r="BM84" s="233"/>
      <c r="BN84" s="33"/>
      <c r="BO84" s="33"/>
      <c r="BP84" s="33"/>
      <c r="BQ84" s="33"/>
      <c r="BR84" s="160" t="s">
        <v>3190</v>
      </c>
      <c r="BS84" s="160" t="s">
        <v>3191</v>
      </c>
      <c r="BT84" s="6" t="s">
        <v>5335</v>
      </c>
      <c r="BU84" s="9" t="s">
        <v>4216</v>
      </c>
      <c r="BV84" s="6" t="s">
        <v>5336</v>
      </c>
      <c r="BW84" s="9" t="s">
        <v>4216</v>
      </c>
      <c r="BX84" s="6" t="s">
        <v>5337</v>
      </c>
      <c r="BY84" s="9" t="s">
        <v>4216</v>
      </c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275" t="s">
        <v>942</v>
      </c>
      <c r="CK84" s="275" t="s">
        <v>942</v>
      </c>
      <c r="CL84" s="275" t="s">
        <v>942</v>
      </c>
      <c r="CM84" s="276" t="s">
        <v>3739</v>
      </c>
      <c r="CN84" s="273" t="s">
        <v>3739</v>
      </c>
      <c r="CO84" s="273" t="s">
        <v>3739</v>
      </c>
    </row>
    <row r="85" spans="1:97" ht="36.6">
      <c r="A85" s="8">
        <v>9</v>
      </c>
      <c r="B85" s="143" t="s">
        <v>5286</v>
      </c>
      <c r="C85" s="143" t="s">
        <v>5338</v>
      </c>
      <c r="D85" s="9" t="s">
        <v>5339</v>
      </c>
      <c r="E85" s="8" t="s">
        <v>4976</v>
      </c>
      <c r="F85" s="8">
        <v>2023</v>
      </c>
      <c r="G85" s="8">
        <v>2023</v>
      </c>
      <c r="H85" s="8">
        <v>6</v>
      </c>
      <c r="I85" s="6" t="s">
        <v>5298</v>
      </c>
      <c r="J85" s="482"/>
      <c r="K85" s="458">
        <v>6961000</v>
      </c>
      <c r="L85" s="6" t="s">
        <v>3091</v>
      </c>
      <c r="M85" s="8">
        <v>3</v>
      </c>
      <c r="N85" s="7"/>
      <c r="O85" s="9" t="s">
        <v>3223</v>
      </c>
      <c r="P85" s="8" t="s">
        <v>3215</v>
      </c>
      <c r="Q85" s="15" t="s">
        <v>4951</v>
      </c>
      <c r="R85" s="162" t="s">
        <v>5340</v>
      </c>
      <c r="S85" s="7" t="s">
        <v>96</v>
      </c>
      <c r="T85" s="162" t="s">
        <v>1889</v>
      </c>
      <c r="U85" s="109">
        <f>K85/3</f>
        <v>2320333.3333333335</v>
      </c>
      <c r="V85" s="6" t="s">
        <v>3093</v>
      </c>
      <c r="W85" s="6" t="s">
        <v>3286</v>
      </c>
      <c r="X85" s="6" t="s">
        <v>3216</v>
      </c>
      <c r="Y85" s="8">
        <v>8140</v>
      </c>
      <c r="Z85" s="8">
        <v>72019</v>
      </c>
      <c r="AA85" s="6">
        <v>6801989</v>
      </c>
      <c r="AB85" s="11" t="s">
        <v>1890</v>
      </c>
      <c r="AC85" s="6" t="s">
        <v>174</v>
      </c>
      <c r="AD85" s="57">
        <f t="shared" si="10"/>
        <v>2320333.3333333335</v>
      </c>
      <c r="AE85" s="6" t="s">
        <v>3093</v>
      </c>
      <c r="AF85" s="6" t="s">
        <v>3286</v>
      </c>
      <c r="AG85" s="6" t="s">
        <v>3216</v>
      </c>
      <c r="AH85" s="6">
        <v>6833162</v>
      </c>
      <c r="AI85" s="6">
        <v>701069701</v>
      </c>
      <c r="AJ85" s="6" t="s">
        <v>139</v>
      </c>
      <c r="AK85" s="57">
        <f>U85</f>
        <v>2320333.3333333335</v>
      </c>
      <c r="AL85" s="6" t="s">
        <v>3093</v>
      </c>
      <c r="AM85" s="6" t="s">
        <v>3286</v>
      </c>
      <c r="AN85" s="6" t="s">
        <v>3216</v>
      </c>
      <c r="AO85" s="33"/>
      <c r="AP85" s="33"/>
      <c r="AQ85" s="33"/>
      <c r="AR85" s="233"/>
      <c r="AS85" s="33"/>
      <c r="AT85" s="33"/>
      <c r="AU85" s="33"/>
      <c r="AV85" s="33"/>
      <c r="AW85" s="33"/>
      <c r="AX85" s="33"/>
      <c r="AY85" s="233"/>
      <c r="AZ85" s="33"/>
      <c r="BA85" s="33"/>
      <c r="BB85" s="33"/>
      <c r="BC85" s="33"/>
      <c r="BD85" s="33"/>
      <c r="BE85" s="33"/>
      <c r="BF85" s="233"/>
      <c r="BG85" s="33"/>
      <c r="BH85" s="33"/>
      <c r="BI85" s="33"/>
      <c r="BJ85" s="33"/>
      <c r="BK85" s="33"/>
      <c r="BL85" s="33"/>
      <c r="BM85" s="233"/>
      <c r="BN85" s="33"/>
      <c r="BO85" s="33"/>
      <c r="BP85" s="33"/>
      <c r="BQ85" s="33"/>
      <c r="BR85" s="160" t="s">
        <v>3190</v>
      </c>
      <c r="BS85" s="160" t="s">
        <v>3191</v>
      </c>
      <c r="BT85" s="6" t="s">
        <v>5341</v>
      </c>
      <c r="BU85" s="9" t="s">
        <v>3990</v>
      </c>
      <c r="BV85" s="6" t="s">
        <v>5342</v>
      </c>
      <c r="BW85" s="9" t="s">
        <v>3990</v>
      </c>
      <c r="BX85" s="6"/>
      <c r="BY85" s="9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115" t="s">
        <v>3251</v>
      </c>
      <c r="CK85" s="115" t="s">
        <v>4981</v>
      </c>
      <c r="CL85" s="275" t="s">
        <v>942</v>
      </c>
      <c r="CM85" s="277" t="s">
        <v>5343</v>
      </c>
      <c r="CN85" s="273" t="s">
        <v>3739</v>
      </c>
      <c r="CO85" s="273" t="s">
        <v>3739</v>
      </c>
    </row>
    <row r="86" spans="1:97" ht="36.6">
      <c r="A86" s="8">
        <v>10</v>
      </c>
      <c r="B86" s="143" t="s">
        <v>5286</v>
      </c>
      <c r="C86" s="143" t="s">
        <v>5344</v>
      </c>
      <c r="D86" s="9" t="s">
        <v>5345</v>
      </c>
      <c r="E86" s="8" t="s">
        <v>4976</v>
      </c>
      <c r="F86" s="8">
        <v>2023</v>
      </c>
      <c r="G86" s="8">
        <v>2023</v>
      </c>
      <c r="H86" s="8">
        <v>6</v>
      </c>
      <c r="I86" s="6" t="s">
        <v>5298</v>
      </c>
      <c r="J86" s="482"/>
      <c r="K86" s="458">
        <v>6480000</v>
      </c>
      <c r="L86" s="6" t="s">
        <v>3091</v>
      </c>
      <c r="M86" s="8">
        <v>6</v>
      </c>
      <c r="N86" s="7"/>
      <c r="O86" s="9" t="s">
        <v>3223</v>
      </c>
      <c r="P86" s="8" t="s">
        <v>3215</v>
      </c>
      <c r="Q86" s="15" t="s">
        <v>4951</v>
      </c>
      <c r="R86" s="162" t="s">
        <v>3985</v>
      </c>
      <c r="S86" s="7" t="s">
        <v>42</v>
      </c>
      <c r="T86" s="162" t="s">
        <v>2730</v>
      </c>
      <c r="U86" s="109">
        <f>K86/2</f>
        <v>3240000</v>
      </c>
      <c r="V86" s="6" t="s">
        <v>3093</v>
      </c>
      <c r="W86" s="6" t="s">
        <v>3286</v>
      </c>
      <c r="X86" s="6" t="s">
        <v>3216</v>
      </c>
      <c r="Y86" s="8">
        <v>8140</v>
      </c>
      <c r="Z86" s="8">
        <v>72019</v>
      </c>
      <c r="AA86" s="6">
        <v>6727245</v>
      </c>
      <c r="AB86" s="11" t="s">
        <v>1889</v>
      </c>
      <c r="AC86" s="6" t="s">
        <v>96</v>
      </c>
      <c r="AD86" s="57">
        <f t="shared" si="10"/>
        <v>3240000</v>
      </c>
      <c r="AE86" s="6" t="s">
        <v>3093</v>
      </c>
      <c r="AF86" s="6" t="s">
        <v>3286</v>
      </c>
      <c r="AG86" s="6" t="s">
        <v>3216</v>
      </c>
      <c r="AH86" s="6"/>
      <c r="AI86" s="6"/>
      <c r="AJ86" s="6"/>
      <c r="AK86" s="57"/>
      <c r="AL86" s="6"/>
      <c r="AM86" s="6"/>
      <c r="AN86" s="33"/>
      <c r="AO86" s="33"/>
      <c r="AP86" s="33"/>
      <c r="AQ86" s="33"/>
      <c r="AR86" s="233"/>
      <c r="AS86" s="33"/>
      <c r="AT86" s="33"/>
      <c r="AU86" s="33"/>
      <c r="AV86" s="33"/>
      <c r="AW86" s="33"/>
      <c r="AX86" s="33"/>
      <c r="AY86" s="233"/>
      <c r="AZ86" s="33"/>
      <c r="BA86" s="33"/>
      <c r="BB86" s="33"/>
      <c r="BC86" s="33"/>
      <c r="BD86" s="33"/>
      <c r="BE86" s="33"/>
      <c r="BF86" s="233"/>
      <c r="BG86" s="33"/>
      <c r="BH86" s="33"/>
      <c r="BI86" s="33"/>
      <c r="BJ86" s="33"/>
      <c r="BK86" s="33"/>
      <c r="BL86" s="33"/>
      <c r="BM86" s="233"/>
      <c r="BN86" s="33"/>
      <c r="BO86" s="33"/>
      <c r="BP86" s="33"/>
      <c r="BQ86" s="33"/>
      <c r="BR86" s="160" t="s">
        <v>3190</v>
      </c>
      <c r="BS86" s="160" t="s">
        <v>3191</v>
      </c>
      <c r="BT86" s="6" t="s">
        <v>5346</v>
      </c>
      <c r="BU86" s="9" t="s">
        <v>3990</v>
      </c>
      <c r="BV86" s="6" t="s">
        <v>5347</v>
      </c>
      <c r="BW86" s="9" t="s">
        <v>3990</v>
      </c>
      <c r="BX86" s="6" t="s">
        <v>5348</v>
      </c>
      <c r="BY86" s="9" t="s">
        <v>3990</v>
      </c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115" t="s">
        <v>5294</v>
      </c>
      <c r="CK86" s="115" t="s">
        <v>5349</v>
      </c>
      <c r="CL86" s="115" t="s">
        <v>4991</v>
      </c>
      <c r="CM86" s="276" t="s">
        <v>5324</v>
      </c>
      <c r="CN86" s="273" t="s">
        <v>3739</v>
      </c>
      <c r="CO86" s="273" t="s">
        <v>3739</v>
      </c>
      <c r="CP86" s="113"/>
      <c r="CQ86" s="113"/>
      <c r="CR86" s="113"/>
      <c r="CS86" s="113"/>
    </row>
    <row r="87" spans="1:97" ht="36.6">
      <c r="A87" s="259">
        <v>11</v>
      </c>
      <c r="B87" s="143" t="s">
        <v>5286</v>
      </c>
      <c r="C87" s="143" t="s">
        <v>5350</v>
      </c>
      <c r="D87" s="139" t="s">
        <v>5351</v>
      </c>
      <c r="E87" s="259" t="s">
        <v>4976</v>
      </c>
      <c r="F87" s="259">
        <v>2023</v>
      </c>
      <c r="G87" s="259">
        <v>2023</v>
      </c>
      <c r="H87" s="259">
        <v>7</v>
      </c>
      <c r="I87" s="138" t="s">
        <v>5298</v>
      </c>
      <c r="J87" s="484"/>
      <c r="K87" s="462">
        <v>7000000</v>
      </c>
      <c r="L87" s="138" t="s">
        <v>3091</v>
      </c>
      <c r="M87" s="259">
        <v>3</v>
      </c>
      <c r="N87" s="123"/>
      <c r="O87" s="9" t="s">
        <v>3223</v>
      </c>
      <c r="P87" s="259" t="s">
        <v>3215</v>
      </c>
      <c r="Q87" s="15" t="s">
        <v>4951</v>
      </c>
      <c r="R87" s="259">
        <v>6680678</v>
      </c>
      <c r="S87" s="123" t="s">
        <v>14</v>
      </c>
      <c r="T87" s="260" t="s">
        <v>1725</v>
      </c>
      <c r="U87" s="282">
        <f t="shared" ref="U87:U96" si="11">K87/3</f>
        <v>2333333.3333333335</v>
      </c>
      <c r="V87" s="138" t="s">
        <v>151</v>
      </c>
      <c r="W87" s="138" t="s">
        <v>3281</v>
      </c>
      <c r="X87" s="138" t="s">
        <v>3216</v>
      </c>
      <c r="Y87" s="259">
        <v>8140</v>
      </c>
      <c r="Z87" s="259">
        <v>72019</v>
      </c>
      <c r="AA87" s="138">
        <v>210955</v>
      </c>
      <c r="AB87" s="140" t="s">
        <v>2404</v>
      </c>
      <c r="AC87" s="138" t="s">
        <v>97</v>
      </c>
      <c r="AD87" s="283">
        <f t="shared" si="10"/>
        <v>2333333.3333333335</v>
      </c>
      <c r="AE87" s="138" t="s">
        <v>151</v>
      </c>
      <c r="AF87" s="138" t="s">
        <v>3281</v>
      </c>
      <c r="AG87" s="138" t="s">
        <v>3216</v>
      </c>
      <c r="AH87" s="138">
        <v>6680629</v>
      </c>
      <c r="AI87" s="140" t="s">
        <v>2424</v>
      </c>
      <c r="AJ87" s="138" t="s">
        <v>27</v>
      </c>
      <c r="AK87" s="283">
        <f t="shared" ref="AK87:AK95" si="12">U87</f>
        <v>2333333.3333333335</v>
      </c>
      <c r="AL87" s="138" t="s">
        <v>151</v>
      </c>
      <c r="AM87" s="138" t="s">
        <v>3281</v>
      </c>
      <c r="AN87" s="138" t="s">
        <v>3216</v>
      </c>
      <c r="AO87" s="122"/>
      <c r="AP87" s="122"/>
      <c r="AQ87" s="122"/>
      <c r="AR87" s="284"/>
      <c r="AS87" s="122"/>
      <c r="AT87" s="122"/>
      <c r="AU87" s="122"/>
      <c r="AV87" s="122"/>
      <c r="AW87" s="122"/>
      <c r="AX87" s="122"/>
      <c r="AY87" s="284"/>
      <c r="AZ87" s="122"/>
      <c r="BA87" s="122"/>
      <c r="BB87" s="122"/>
      <c r="BC87" s="122"/>
      <c r="BD87" s="122"/>
      <c r="BE87" s="122"/>
      <c r="BF87" s="284"/>
      <c r="BG87" s="122"/>
      <c r="BH87" s="122"/>
      <c r="BI87" s="122"/>
      <c r="BJ87" s="122"/>
      <c r="BK87" s="122"/>
      <c r="BL87" s="122"/>
      <c r="BM87" s="284"/>
      <c r="BN87" s="122"/>
      <c r="BO87" s="122"/>
      <c r="BP87" s="122"/>
      <c r="BQ87" s="122"/>
      <c r="BR87" s="160" t="s">
        <v>3190</v>
      </c>
      <c r="BS87" s="160" t="s">
        <v>3191</v>
      </c>
      <c r="BT87" s="138" t="s">
        <v>5352</v>
      </c>
      <c r="BU87" s="139" t="s">
        <v>3848</v>
      </c>
      <c r="BV87" s="138" t="s">
        <v>5353</v>
      </c>
      <c r="BW87" s="139" t="s">
        <v>3848</v>
      </c>
      <c r="BX87" s="138" t="s">
        <v>5354</v>
      </c>
      <c r="BY87" s="139" t="s">
        <v>3848</v>
      </c>
      <c r="BZ87" s="122"/>
      <c r="CA87" s="122"/>
      <c r="CB87" s="122"/>
      <c r="CC87" s="122"/>
      <c r="CD87" s="122"/>
      <c r="CE87" s="122"/>
      <c r="CF87" s="122"/>
      <c r="CG87" s="122"/>
      <c r="CH87" s="122"/>
      <c r="CI87" s="122"/>
      <c r="CJ87" s="115" t="s">
        <v>5294</v>
      </c>
      <c r="CK87" s="115" t="s">
        <v>5349</v>
      </c>
      <c r="CL87" s="115" t="s">
        <v>5009</v>
      </c>
      <c r="CM87" s="285" t="s">
        <v>5324</v>
      </c>
      <c r="CN87" s="273" t="s">
        <v>3739</v>
      </c>
      <c r="CO87" s="273" t="s">
        <v>3739</v>
      </c>
    </row>
    <row r="88" spans="1:97" ht="36">
      <c r="A88" s="8">
        <v>12</v>
      </c>
      <c r="B88" s="143" t="s">
        <v>5286</v>
      </c>
      <c r="C88" s="143" t="s">
        <v>5355</v>
      </c>
      <c r="D88" s="9" t="s">
        <v>5356</v>
      </c>
      <c r="E88" s="8" t="s">
        <v>4976</v>
      </c>
      <c r="F88" s="8">
        <v>2023</v>
      </c>
      <c r="G88" s="8">
        <v>2023</v>
      </c>
      <c r="H88" s="8">
        <v>6</v>
      </c>
      <c r="I88" s="6" t="s">
        <v>5289</v>
      </c>
      <c r="J88" s="482"/>
      <c r="K88" s="458">
        <v>6470000</v>
      </c>
      <c r="L88" s="6" t="s">
        <v>3091</v>
      </c>
      <c r="M88" s="8">
        <v>3</v>
      </c>
      <c r="N88" s="7"/>
      <c r="O88" s="9" t="s">
        <v>3223</v>
      </c>
      <c r="P88" s="8" t="s">
        <v>3215</v>
      </c>
      <c r="Q88" s="15" t="s">
        <v>4951</v>
      </c>
      <c r="R88" s="8">
        <v>6767777</v>
      </c>
      <c r="S88" s="7" t="s">
        <v>34</v>
      </c>
      <c r="T88" s="162" t="s">
        <v>2673</v>
      </c>
      <c r="U88" s="109">
        <f t="shared" si="11"/>
        <v>2156666.6666666665</v>
      </c>
      <c r="V88" s="6" t="s">
        <v>171</v>
      </c>
      <c r="W88" s="6" t="s">
        <v>3286</v>
      </c>
      <c r="X88" s="6" t="s">
        <v>3216</v>
      </c>
      <c r="Y88" s="8">
        <v>8140</v>
      </c>
      <c r="Z88" s="8">
        <v>72019</v>
      </c>
      <c r="AA88" s="6">
        <v>6839500</v>
      </c>
      <c r="AB88" s="6">
        <v>710029601</v>
      </c>
      <c r="AC88" s="6" t="s">
        <v>36</v>
      </c>
      <c r="AD88" s="57">
        <f t="shared" si="10"/>
        <v>2156666.6666666665</v>
      </c>
      <c r="AE88" s="6" t="s">
        <v>171</v>
      </c>
      <c r="AF88" s="6" t="s">
        <v>3286</v>
      </c>
      <c r="AG88" s="6" t="s">
        <v>3216</v>
      </c>
      <c r="AH88" s="8">
        <v>6837723</v>
      </c>
      <c r="AI88" s="10" t="s">
        <v>2672</v>
      </c>
      <c r="AJ88" s="6" t="s">
        <v>187</v>
      </c>
      <c r="AK88" s="57">
        <f t="shared" si="12"/>
        <v>2156666.6666666665</v>
      </c>
      <c r="AL88" s="6" t="s">
        <v>171</v>
      </c>
      <c r="AM88" s="6" t="s">
        <v>3286</v>
      </c>
      <c r="AN88" s="6" t="s">
        <v>3216</v>
      </c>
      <c r="AO88" s="33"/>
      <c r="AP88" s="33"/>
      <c r="AQ88" s="33"/>
      <c r="AR88" s="233"/>
      <c r="AS88" s="33"/>
      <c r="AT88" s="33"/>
      <c r="AU88" s="33"/>
      <c r="AV88" s="33"/>
      <c r="AW88" s="33"/>
      <c r="AX88" s="33"/>
      <c r="AY88" s="233"/>
      <c r="AZ88" s="33"/>
      <c r="BA88" s="33"/>
      <c r="BB88" s="33"/>
      <c r="BC88" s="33"/>
      <c r="BD88" s="33"/>
      <c r="BE88" s="33"/>
      <c r="BF88" s="233"/>
      <c r="BG88" s="33"/>
      <c r="BH88" s="33"/>
      <c r="BI88" s="33"/>
      <c r="BJ88" s="33"/>
      <c r="BK88" s="33"/>
      <c r="BL88" s="33"/>
      <c r="BM88" s="233"/>
      <c r="BN88" s="33"/>
      <c r="BO88" s="33"/>
      <c r="BP88" s="33"/>
      <c r="BQ88" s="33"/>
      <c r="BR88" s="160" t="s">
        <v>3190</v>
      </c>
      <c r="BS88" s="160" t="s">
        <v>3191</v>
      </c>
      <c r="BT88" s="6" t="s">
        <v>4294</v>
      </c>
      <c r="BU88" s="9" t="s">
        <v>5357</v>
      </c>
      <c r="BV88" s="6" t="s">
        <v>5358</v>
      </c>
      <c r="BW88" s="9" t="s">
        <v>5357</v>
      </c>
      <c r="BX88" s="6" t="s">
        <v>3863</v>
      </c>
      <c r="BY88" s="9" t="s">
        <v>5357</v>
      </c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115" t="s">
        <v>5294</v>
      </c>
      <c r="CK88" s="115" t="s">
        <v>5359</v>
      </c>
      <c r="CL88" s="115" t="s">
        <v>5009</v>
      </c>
      <c r="CM88" s="276" t="s">
        <v>5360</v>
      </c>
      <c r="CN88" s="115" t="s">
        <v>5361</v>
      </c>
      <c r="CO88" s="273" t="s">
        <v>5362</v>
      </c>
    </row>
    <row r="89" spans="1:97" ht="36.6">
      <c r="A89" s="8">
        <v>13</v>
      </c>
      <c r="B89" s="143" t="s">
        <v>5286</v>
      </c>
      <c r="C89" s="143" t="s">
        <v>5363</v>
      </c>
      <c r="D89" s="9" t="s">
        <v>2149</v>
      </c>
      <c r="E89" s="8" t="s">
        <v>4976</v>
      </c>
      <c r="F89" s="8">
        <v>2023</v>
      </c>
      <c r="G89" s="8">
        <v>2023</v>
      </c>
      <c r="H89" s="8">
        <v>6</v>
      </c>
      <c r="I89" s="6" t="s">
        <v>5289</v>
      </c>
      <c r="J89" s="482"/>
      <c r="K89" s="458">
        <v>7000000</v>
      </c>
      <c r="L89" s="6" t="s">
        <v>3091</v>
      </c>
      <c r="M89" s="8">
        <v>7</v>
      </c>
      <c r="N89" s="7"/>
      <c r="O89" s="9" t="s">
        <v>3223</v>
      </c>
      <c r="P89" s="8" t="s">
        <v>3215</v>
      </c>
      <c r="Q89" s="15" t="s">
        <v>4951</v>
      </c>
      <c r="R89" s="8">
        <v>6663582</v>
      </c>
      <c r="S89" s="7" t="s">
        <v>94</v>
      </c>
      <c r="T89" s="162" t="s">
        <v>1668</v>
      </c>
      <c r="U89" s="109">
        <f t="shared" si="11"/>
        <v>2333333.3333333335</v>
      </c>
      <c r="V89" s="6" t="s">
        <v>151</v>
      </c>
      <c r="W89" s="6" t="s">
        <v>3281</v>
      </c>
      <c r="X89" s="6" t="s">
        <v>3216</v>
      </c>
      <c r="Y89" s="8">
        <v>8140</v>
      </c>
      <c r="Z89" s="8">
        <v>72019</v>
      </c>
      <c r="AA89" s="165">
        <v>6731906</v>
      </c>
      <c r="AB89" s="237" t="s">
        <v>971</v>
      </c>
      <c r="AC89" s="165" t="s">
        <v>704</v>
      </c>
      <c r="AD89" s="238">
        <f t="shared" si="10"/>
        <v>2333333.3333333335</v>
      </c>
      <c r="AE89" s="165" t="s">
        <v>151</v>
      </c>
      <c r="AF89" s="165" t="s">
        <v>3281</v>
      </c>
      <c r="AG89" s="165" t="s">
        <v>3216</v>
      </c>
      <c r="AH89" s="239">
        <v>6843797</v>
      </c>
      <c r="AI89" s="240" t="s">
        <v>2418</v>
      </c>
      <c r="AJ89" s="239" t="s">
        <v>190</v>
      </c>
      <c r="AK89" s="57">
        <f t="shared" si="12"/>
        <v>2333333.3333333335</v>
      </c>
      <c r="AL89" s="6" t="s">
        <v>151</v>
      </c>
      <c r="AM89" s="6" t="s">
        <v>3281</v>
      </c>
      <c r="AN89" s="6" t="s">
        <v>3216</v>
      </c>
      <c r="AO89" s="33"/>
      <c r="AP89" s="33"/>
      <c r="AQ89" s="33"/>
      <c r="AR89" s="233"/>
      <c r="AS89" s="33"/>
      <c r="AT89" s="33"/>
      <c r="AU89" s="33"/>
      <c r="AV89" s="33"/>
      <c r="AW89" s="33"/>
      <c r="AX89" s="33"/>
      <c r="AY89" s="233"/>
      <c r="AZ89" s="33"/>
      <c r="BA89" s="33"/>
      <c r="BB89" s="33"/>
      <c r="BC89" s="33"/>
      <c r="BD89" s="33"/>
      <c r="BE89" s="33"/>
      <c r="BF89" s="233"/>
      <c r="BG89" s="33"/>
      <c r="BH89" s="33"/>
      <c r="BI89" s="33"/>
      <c r="BJ89" s="33"/>
      <c r="BK89" s="33"/>
      <c r="BL89" s="33"/>
      <c r="BM89" s="233"/>
      <c r="BN89" s="33"/>
      <c r="BO89" s="33"/>
      <c r="BP89" s="33"/>
      <c r="BQ89" s="33"/>
      <c r="BR89" s="160" t="s">
        <v>3190</v>
      </c>
      <c r="BS89" s="160" t="s">
        <v>3191</v>
      </c>
      <c r="BT89" s="6" t="s">
        <v>4300</v>
      </c>
      <c r="BU89" s="9" t="s">
        <v>3848</v>
      </c>
      <c r="BV89" s="6" t="s">
        <v>4158</v>
      </c>
      <c r="BW89" s="9" t="s">
        <v>3848</v>
      </c>
      <c r="BX89" s="55"/>
      <c r="BY89" s="12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115" t="s">
        <v>5294</v>
      </c>
      <c r="CK89" s="115" t="s">
        <v>5349</v>
      </c>
      <c r="CL89" s="115" t="s">
        <v>5009</v>
      </c>
      <c r="CM89" s="280" t="s">
        <v>5202</v>
      </c>
      <c r="CN89" s="273" t="s">
        <v>3739</v>
      </c>
      <c r="CO89" s="273" t="s">
        <v>3739</v>
      </c>
    </row>
    <row r="90" spans="1:97" ht="36.6">
      <c r="A90" s="8">
        <v>14</v>
      </c>
      <c r="B90" s="143" t="s">
        <v>5286</v>
      </c>
      <c r="C90" s="143" t="s">
        <v>5364</v>
      </c>
      <c r="D90" s="9" t="s">
        <v>2428</v>
      </c>
      <c r="E90" s="8" t="s">
        <v>4976</v>
      </c>
      <c r="F90" s="8">
        <v>2023</v>
      </c>
      <c r="G90" s="8">
        <v>2023</v>
      </c>
      <c r="H90" s="8">
        <v>10</v>
      </c>
      <c r="I90" s="6" t="s">
        <v>5289</v>
      </c>
      <c r="J90" s="482"/>
      <c r="K90" s="458">
        <v>7000000</v>
      </c>
      <c r="L90" s="6" t="s">
        <v>3091</v>
      </c>
      <c r="M90" s="8">
        <v>3</v>
      </c>
      <c r="N90" s="7"/>
      <c r="O90" s="9" t="s">
        <v>3223</v>
      </c>
      <c r="P90" s="8" t="s">
        <v>3215</v>
      </c>
      <c r="Q90" s="15" t="s">
        <v>4951</v>
      </c>
      <c r="R90" s="8">
        <v>6680641</v>
      </c>
      <c r="S90" s="7" t="s">
        <v>92</v>
      </c>
      <c r="T90" s="162" t="s">
        <v>1794</v>
      </c>
      <c r="U90" s="109">
        <f t="shared" si="11"/>
        <v>2333333.3333333335</v>
      </c>
      <c r="V90" s="6" t="s">
        <v>151</v>
      </c>
      <c r="W90" s="6" t="s">
        <v>3281</v>
      </c>
      <c r="X90" s="6" t="s">
        <v>3216</v>
      </c>
      <c r="Y90" s="8">
        <v>8140</v>
      </c>
      <c r="Z90" s="8">
        <v>72019</v>
      </c>
      <c r="AA90" s="239">
        <v>6843797</v>
      </c>
      <c r="AB90" s="240" t="s">
        <v>2418</v>
      </c>
      <c r="AC90" s="239" t="s">
        <v>190</v>
      </c>
      <c r="AD90" s="238">
        <f t="shared" si="10"/>
        <v>2333333.3333333335</v>
      </c>
      <c r="AE90" s="165" t="s">
        <v>151</v>
      </c>
      <c r="AF90" s="165" t="s">
        <v>3281</v>
      </c>
      <c r="AG90" s="165" t="s">
        <v>3216</v>
      </c>
      <c r="AH90" s="165">
        <v>6680683</v>
      </c>
      <c r="AI90" s="237" t="s">
        <v>2454</v>
      </c>
      <c r="AJ90" s="165" t="s">
        <v>10</v>
      </c>
      <c r="AK90" s="57">
        <f t="shared" si="12"/>
        <v>2333333.3333333335</v>
      </c>
      <c r="AL90" s="6" t="s">
        <v>151</v>
      </c>
      <c r="AM90" s="6" t="s">
        <v>3281</v>
      </c>
      <c r="AN90" s="6" t="s">
        <v>3216</v>
      </c>
      <c r="AO90" s="33"/>
      <c r="AP90" s="33"/>
      <c r="AQ90" s="33"/>
      <c r="AR90" s="233"/>
      <c r="AS90" s="33"/>
      <c r="AT90" s="33"/>
      <c r="AU90" s="33"/>
      <c r="AV90" s="33"/>
      <c r="AW90" s="33"/>
      <c r="AX90" s="33"/>
      <c r="AY90" s="233"/>
      <c r="AZ90" s="33"/>
      <c r="BA90" s="33"/>
      <c r="BB90" s="33"/>
      <c r="BC90" s="33"/>
      <c r="BD90" s="33"/>
      <c r="BE90" s="33"/>
      <c r="BF90" s="233"/>
      <c r="BG90" s="33"/>
      <c r="BH90" s="33"/>
      <c r="BI90" s="33"/>
      <c r="BJ90" s="33"/>
      <c r="BK90" s="33"/>
      <c r="BL90" s="33"/>
      <c r="BM90" s="233"/>
      <c r="BN90" s="33"/>
      <c r="BO90" s="33"/>
      <c r="BP90" s="33"/>
      <c r="BQ90" s="33"/>
      <c r="BR90" s="160" t="s">
        <v>3190</v>
      </c>
      <c r="BS90" s="160" t="s">
        <v>3191</v>
      </c>
      <c r="BT90" s="6" t="s">
        <v>5365</v>
      </c>
      <c r="BU90" s="9" t="s">
        <v>3848</v>
      </c>
      <c r="BV90" s="6" t="s">
        <v>4899</v>
      </c>
      <c r="BW90" s="9" t="s">
        <v>3848</v>
      </c>
      <c r="BX90" s="6" t="s">
        <v>5366</v>
      </c>
      <c r="BY90" s="9" t="s">
        <v>3848</v>
      </c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115" t="s">
        <v>5294</v>
      </c>
      <c r="CK90" s="115" t="s">
        <v>4981</v>
      </c>
      <c r="CL90" s="273" t="s">
        <v>3739</v>
      </c>
      <c r="CM90" s="280" t="s">
        <v>5367</v>
      </c>
      <c r="CN90" s="273" t="s">
        <v>3739</v>
      </c>
      <c r="CO90" s="273" t="s">
        <v>3739</v>
      </c>
      <c r="CP90" s="113"/>
      <c r="CQ90" s="113"/>
      <c r="CR90" s="113"/>
      <c r="CS90" s="113"/>
    </row>
    <row r="91" spans="1:97" ht="48.6">
      <c r="A91" s="259">
        <v>15</v>
      </c>
      <c r="B91" s="143" t="s">
        <v>5286</v>
      </c>
      <c r="C91" s="143" t="s">
        <v>5368</v>
      </c>
      <c r="D91" s="139" t="s">
        <v>5369</v>
      </c>
      <c r="E91" s="259" t="s">
        <v>4976</v>
      </c>
      <c r="F91" s="259">
        <v>2023</v>
      </c>
      <c r="G91" s="259">
        <v>2023</v>
      </c>
      <c r="H91" s="259">
        <v>6</v>
      </c>
      <c r="I91" s="138" t="s">
        <v>5289</v>
      </c>
      <c r="J91" s="484"/>
      <c r="K91" s="462">
        <v>7000000</v>
      </c>
      <c r="L91" s="138" t="s">
        <v>3091</v>
      </c>
      <c r="M91" s="259">
        <v>3</v>
      </c>
      <c r="N91" s="123"/>
      <c r="O91" s="9" t="s">
        <v>3223</v>
      </c>
      <c r="P91" s="259" t="s">
        <v>3215</v>
      </c>
      <c r="Q91" s="15" t="s">
        <v>4951</v>
      </c>
      <c r="R91" s="260" t="s">
        <v>4039</v>
      </c>
      <c r="S91" s="286" t="s">
        <v>39</v>
      </c>
      <c r="T91" s="287" t="s">
        <v>1751</v>
      </c>
      <c r="U91" s="282">
        <f t="shared" si="11"/>
        <v>2333333.3333333335</v>
      </c>
      <c r="V91" s="288" t="s">
        <v>166</v>
      </c>
      <c r="W91" s="288" t="s">
        <v>3286</v>
      </c>
      <c r="X91" s="138" t="s">
        <v>3216</v>
      </c>
      <c r="Y91" s="259">
        <v>8140</v>
      </c>
      <c r="Z91" s="259">
        <v>72019</v>
      </c>
      <c r="AA91" s="289">
        <v>6833034</v>
      </c>
      <c r="AB91" s="290" t="s">
        <v>2022</v>
      </c>
      <c r="AC91" s="289" t="s">
        <v>35</v>
      </c>
      <c r="AD91" s="283">
        <f t="shared" si="10"/>
        <v>2333333.3333333335</v>
      </c>
      <c r="AE91" s="288" t="s">
        <v>166</v>
      </c>
      <c r="AF91" s="288" t="s">
        <v>3286</v>
      </c>
      <c r="AG91" s="138" t="s">
        <v>3216</v>
      </c>
      <c r="AH91" s="135">
        <v>6833033</v>
      </c>
      <c r="AI91" s="235" t="s">
        <v>2023</v>
      </c>
      <c r="AJ91" s="288" t="s">
        <v>188</v>
      </c>
      <c r="AK91" s="283">
        <f t="shared" si="12"/>
        <v>2333333.3333333335</v>
      </c>
      <c r="AL91" s="288" t="s">
        <v>166</v>
      </c>
      <c r="AM91" s="288" t="s">
        <v>3286</v>
      </c>
      <c r="AN91" s="138" t="s">
        <v>3216</v>
      </c>
      <c r="AO91" s="122"/>
      <c r="AP91" s="122"/>
      <c r="AQ91" s="122"/>
      <c r="AR91" s="284"/>
      <c r="AS91" s="122"/>
      <c r="AT91" s="122"/>
      <c r="AU91" s="122"/>
      <c r="AV91" s="122"/>
      <c r="AW91" s="122"/>
      <c r="AX91" s="122"/>
      <c r="AY91" s="284"/>
      <c r="AZ91" s="122"/>
      <c r="BA91" s="122"/>
      <c r="BB91" s="122"/>
      <c r="BC91" s="122"/>
      <c r="BD91" s="122"/>
      <c r="BE91" s="122"/>
      <c r="BF91" s="284"/>
      <c r="BG91" s="122"/>
      <c r="BH91" s="122"/>
      <c r="BI91" s="122"/>
      <c r="BJ91" s="122"/>
      <c r="BK91" s="122"/>
      <c r="BL91" s="122"/>
      <c r="BM91" s="284"/>
      <c r="BN91" s="122"/>
      <c r="BO91" s="122"/>
      <c r="BP91" s="122"/>
      <c r="BQ91" s="122"/>
      <c r="BR91" s="160" t="s">
        <v>3190</v>
      </c>
      <c r="BS91" s="160" t="s">
        <v>3191</v>
      </c>
      <c r="BT91" s="288" t="s">
        <v>5370</v>
      </c>
      <c r="BU91" s="291" t="s">
        <v>3832</v>
      </c>
      <c r="BV91" s="288" t="s">
        <v>5371</v>
      </c>
      <c r="BW91" s="291" t="s">
        <v>3832</v>
      </c>
      <c r="BX91" s="288" t="s">
        <v>5372</v>
      </c>
      <c r="BY91" s="291" t="s">
        <v>3832</v>
      </c>
      <c r="BZ91" s="122"/>
      <c r="CA91" s="122"/>
      <c r="CB91" s="122"/>
      <c r="CC91" s="122"/>
      <c r="CD91" s="122"/>
      <c r="CE91" s="122"/>
      <c r="CF91" s="122"/>
      <c r="CG91" s="122"/>
      <c r="CH91" s="122"/>
      <c r="CI91" s="122"/>
      <c r="CJ91" s="115" t="s">
        <v>5294</v>
      </c>
      <c r="CK91" s="115" t="s">
        <v>5349</v>
      </c>
      <c r="CL91" s="115" t="s">
        <v>4991</v>
      </c>
      <c r="CM91" s="277" t="s">
        <v>5373</v>
      </c>
      <c r="CN91" s="273" t="s">
        <v>3739</v>
      </c>
      <c r="CO91" s="273" t="s">
        <v>3739</v>
      </c>
    </row>
    <row r="92" spans="1:97" ht="36.6">
      <c r="A92" s="8">
        <v>16</v>
      </c>
      <c r="B92" s="143" t="s">
        <v>5286</v>
      </c>
      <c r="C92" s="143" t="s">
        <v>5374</v>
      </c>
      <c r="D92" s="9" t="s">
        <v>5375</v>
      </c>
      <c r="E92" s="6" t="s">
        <v>5031</v>
      </c>
      <c r="F92" s="8">
        <v>2023</v>
      </c>
      <c r="G92" s="8">
        <v>2023</v>
      </c>
      <c r="H92" s="8">
        <v>6</v>
      </c>
      <c r="I92" s="6" t="s">
        <v>5289</v>
      </c>
      <c r="J92" s="482"/>
      <c r="K92" s="458">
        <v>15500000</v>
      </c>
      <c r="L92" s="6" t="s">
        <v>3091</v>
      </c>
      <c r="M92" s="8">
        <v>3</v>
      </c>
      <c r="N92" s="7"/>
      <c r="O92" s="9" t="s">
        <v>3223</v>
      </c>
      <c r="P92" s="8" t="s">
        <v>3215</v>
      </c>
      <c r="Q92" s="15" t="s">
        <v>4951</v>
      </c>
      <c r="R92" s="8">
        <v>6826727</v>
      </c>
      <c r="S92" s="7" t="s">
        <v>114</v>
      </c>
      <c r="T92" s="162" t="s">
        <v>2276</v>
      </c>
      <c r="U92" s="109">
        <f t="shared" si="11"/>
        <v>5166666.666666667</v>
      </c>
      <c r="V92" s="6" t="s">
        <v>156</v>
      </c>
      <c r="W92" s="6" t="s">
        <v>3286</v>
      </c>
      <c r="X92" s="6" t="s">
        <v>3216</v>
      </c>
      <c r="Y92" s="8">
        <v>8140</v>
      </c>
      <c r="Z92" s="8">
        <v>72019</v>
      </c>
      <c r="AA92" s="99">
        <v>6744406</v>
      </c>
      <c r="AB92" s="11" t="s">
        <v>985</v>
      </c>
      <c r="AC92" s="6" t="s">
        <v>352</v>
      </c>
      <c r="AD92" s="57">
        <f t="shared" si="10"/>
        <v>5166666.666666667</v>
      </c>
      <c r="AE92" s="6" t="s">
        <v>166</v>
      </c>
      <c r="AF92" s="6" t="s">
        <v>3286</v>
      </c>
      <c r="AG92" s="6" t="s">
        <v>3216</v>
      </c>
      <c r="AH92" s="6">
        <v>6680623</v>
      </c>
      <c r="AI92" s="11" t="s">
        <v>1841</v>
      </c>
      <c r="AJ92" s="6" t="s">
        <v>30</v>
      </c>
      <c r="AK92" s="57">
        <f t="shared" si="12"/>
        <v>5166666.666666667</v>
      </c>
      <c r="AL92" s="6" t="s">
        <v>166</v>
      </c>
      <c r="AM92" s="6" t="s">
        <v>3286</v>
      </c>
      <c r="AN92" s="6" t="s">
        <v>3216</v>
      </c>
      <c r="AO92" s="33"/>
      <c r="AP92" s="33"/>
      <c r="AQ92" s="33"/>
      <c r="AR92" s="233"/>
      <c r="AS92" s="33"/>
      <c r="AT92" s="33"/>
      <c r="AU92" s="33"/>
      <c r="AV92" s="33"/>
      <c r="AW92" s="33"/>
      <c r="AX92" s="33"/>
      <c r="AY92" s="233"/>
      <c r="AZ92" s="33"/>
      <c r="BA92" s="33"/>
      <c r="BB92" s="33"/>
      <c r="BC92" s="33"/>
      <c r="BD92" s="33"/>
      <c r="BE92" s="33"/>
      <c r="BF92" s="233"/>
      <c r="BG92" s="33"/>
      <c r="BH92" s="33"/>
      <c r="BI92" s="33"/>
      <c r="BJ92" s="33"/>
      <c r="BK92" s="33"/>
      <c r="BL92" s="33"/>
      <c r="BM92" s="233"/>
      <c r="BN92" s="33"/>
      <c r="BO92" s="33"/>
      <c r="BP92" s="33"/>
      <c r="BQ92" s="33"/>
      <c r="BR92" s="160" t="s">
        <v>3190</v>
      </c>
      <c r="BS92" s="163" t="s">
        <v>3191</v>
      </c>
      <c r="BT92" s="6" t="s">
        <v>5376</v>
      </c>
      <c r="BU92" s="9" t="s">
        <v>3857</v>
      </c>
      <c r="BV92" s="6" t="s">
        <v>5377</v>
      </c>
      <c r="BW92" s="9" t="s">
        <v>3857</v>
      </c>
      <c r="BX92" s="6" t="s">
        <v>5378</v>
      </c>
      <c r="BY92" s="9" t="s">
        <v>3857</v>
      </c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115" t="s">
        <v>3251</v>
      </c>
      <c r="CK92" s="115" t="s">
        <v>5349</v>
      </c>
      <c r="CL92" s="115" t="s">
        <v>4991</v>
      </c>
      <c r="CM92" s="285" t="s">
        <v>942</v>
      </c>
      <c r="CN92" s="115" t="s">
        <v>5379</v>
      </c>
      <c r="CO92" s="273" t="s">
        <v>3739</v>
      </c>
    </row>
    <row r="93" spans="1:97" ht="48">
      <c r="A93" s="8">
        <v>17</v>
      </c>
      <c r="B93" s="143" t="s">
        <v>5380</v>
      </c>
      <c r="C93" s="250" t="s">
        <v>4210</v>
      </c>
      <c r="D93" s="9" t="s">
        <v>5381</v>
      </c>
      <c r="E93" s="6" t="s">
        <v>5133</v>
      </c>
      <c r="F93" s="8">
        <v>2023</v>
      </c>
      <c r="G93" s="8">
        <v>2023</v>
      </c>
      <c r="H93" s="8">
        <v>3</v>
      </c>
      <c r="I93" s="6" t="s">
        <v>5289</v>
      </c>
      <c r="J93" s="485"/>
      <c r="K93" s="458">
        <v>25600000</v>
      </c>
      <c r="L93" s="6" t="s">
        <v>3091</v>
      </c>
      <c r="M93" s="8"/>
      <c r="N93" s="7"/>
      <c r="O93" s="241" t="s">
        <v>3077</v>
      </c>
      <c r="P93" s="8" t="s">
        <v>3215</v>
      </c>
      <c r="Q93" s="15" t="s">
        <v>4951</v>
      </c>
      <c r="R93" s="8" t="s">
        <v>4213</v>
      </c>
      <c r="S93" s="7" t="s">
        <v>87</v>
      </c>
      <c r="T93" s="162" t="s">
        <v>2471</v>
      </c>
      <c r="U93" s="109">
        <f t="shared" si="11"/>
        <v>8533333.333333334</v>
      </c>
      <c r="V93" s="6" t="s">
        <v>154</v>
      </c>
      <c r="W93" s="6" t="s">
        <v>3281</v>
      </c>
      <c r="X93" s="6" t="s">
        <v>3216</v>
      </c>
      <c r="Y93" s="8">
        <v>8140</v>
      </c>
      <c r="Z93" s="8">
        <v>72019</v>
      </c>
      <c r="AA93" s="33">
        <v>6724784</v>
      </c>
      <c r="AB93" s="33">
        <v>722119101</v>
      </c>
      <c r="AC93" s="6" t="s">
        <v>108</v>
      </c>
      <c r="AD93" s="57">
        <f t="shared" si="10"/>
        <v>8533333.333333334</v>
      </c>
      <c r="AE93" s="6" t="s">
        <v>154</v>
      </c>
      <c r="AF93" s="6" t="s">
        <v>3281</v>
      </c>
      <c r="AG93" s="6" t="s">
        <v>3216</v>
      </c>
      <c r="AH93" s="8">
        <v>6680625</v>
      </c>
      <c r="AI93" s="162" t="s">
        <v>1782</v>
      </c>
      <c r="AJ93" s="6" t="s">
        <v>23</v>
      </c>
      <c r="AK93" s="57">
        <f t="shared" si="12"/>
        <v>8533333.333333334</v>
      </c>
      <c r="AL93" s="6" t="s">
        <v>154</v>
      </c>
      <c r="AM93" s="6" t="s">
        <v>3281</v>
      </c>
      <c r="AN93" s="6" t="s">
        <v>3216</v>
      </c>
      <c r="AO93" s="241"/>
      <c r="AP93" s="241"/>
      <c r="AQ93" s="241"/>
      <c r="AR93" s="299"/>
      <c r="AS93" s="241"/>
      <c r="AT93" s="241"/>
      <c r="AU93" s="241"/>
      <c r="AV93" s="241"/>
      <c r="AW93" s="241"/>
      <c r="AX93" s="241"/>
      <c r="AY93" s="299"/>
      <c r="AZ93" s="241"/>
      <c r="BA93" s="241"/>
      <c r="BB93" s="241"/>
      <c r="BC93" s="241"/>
      <c r="BD93" s="241"/>
      <c r="BE93" s="241"/>
      <c r="BF93" s="299"/>
      <c r="BG93" s="241"/>
      <c r="BH93" s="241"/>
      <c r="BI93" s="241"/>
      <c r="BJ93" s="241"/>
      <c r="BK93" s="241"/>
      <c r="BL93" s="241"/>
      <c r="BM93" s="299"/>
      <c r="BN93" s="241"/>
      <c r="BO93" s="241"/>
      <c r="BP93" s="241"/>
      <c r="BQ93" s="241"/>
      <c r="BR93" s="8" t="s">
        <v>3190</v>
      </c>
      <c r="BS93" s="163" t="s">
        <v>3191</v>
      </c>
      <c r="BT93" s="301" t="s">
        <v>5382</v>
      </c>
      <c r="BU93" s="302"/>
      <c r="BV93" s="301" t="s">
        <v>5383</v>
      </c>
      <c r="BW93" s="302"/>
      <c r="BX93" s="303" t="s">
        <v>5384</v>
      </c>
      <c r="BY93" s="302"/>
      <c r="BZ93" s="241"/>
      <c r="CA93" s="241"/>
      <c r="CB93" s="241"/>
      <c r="CC93" s="241"/>
      <c r="CD93" s="241"/>
      <c r="CE93" s="241"/>
      <c r="CF93" s="241"/>
      <c r="CG93" s="241"/>
      <c r="CH93" s="241"/>
      <c r="CI93" s="241"/>
      <c r="CJ93" s="241" t="s">
        <v>3251</v>
      </c>
      <c r="CK93" s="241" t="s">
        <v>942</v>
      </c>
      <c r="CL93" s="241" t="s">
        <v>942</v>
      </c>
      <c r="CM93" s="241"/>
      <c r="CN93" s="241" t="s">
        <v>3868</v>
      </c>
      <c r="CO93" s="241"/>
    </row>
    <row r="94" spans="1:97" ht="36">
      <c r="A94" s="8">
        <v>18</v>
      </c>
      <c r="B94" s="143" t="s">
        <v>5385</v>
      </c>
      <c r="C94" s="143" t="s">
        <v>5386</v>
      </c>
      <c r="D94" s="9" t="s">
        <v>3100</v>
      </c>
      <c r="E94" s="6" t="s">
        <v>5067</v>
      </c>
      <c r="F94" s="8">
        <v>2023</v>
      </c>
      <c r="G94" s="8">
        <v>2023</v>
      </c>
      <c r="H94" s="8">
        <v>12</v>
      </c>
      <c r="I94" s="6" t="s">
        <v>5387</v>
      </c>
      <c r="J94" s="486">
        <v>50000000</v>
      </c>
      <c r="K94" s="458">
        <v>45000000</v>
      </c>
      <c r="L94" s="6" t="s">
        <v>3091</v>
      </c>
      <c r="M94" s="8" t="s">
        <v>942</v>
      </c>
      <c r="N94" s="7" t="s">
        <v>5388</v>
      </c>
      <c r="O94" s="241" t="s">
        <v>3077</v>
      </c>
      <c r="P94" s="8" t="s">
        <v>3215</v>
      </c>
      <c r="Q94" s="135" t="s">
        <v>4970</v>
      </c>
      <c r="R94" s="8">
        <v>6680708</v>
      </c>
      <c r="S94" s="7" t="s">
        <v>85</v>
      </c>
      <c r="T94" s="162" t="s">
        <v>2436</v>
      </c>
      <c r="U94" s="109">
        <f t="shared" si="11"/>
        <v>15000000</v>
      </c>
      <c r="V94" s="6" t="s">
        <v>155</v>
      </c>
      <c r="W94" s="6" t="s">
        <v>3281</v>
      </c>
      <c r="X94" s="6" t="s">
        <v>3216</v>
      </c>
      <c r="Y94" s="8">
        <v>8140</v>
      </c>
      <c r="Z94" s="8">
        <v>72019</v>
      </c>
      <c r="AA94" s="8">
        <v>6680641</v>
      </c>
      <c r="AB94" s="162" t="s">
        <v>1794</v>
      </c>
      <c r="AC94" s="6" t="s">
        <v>92</v>
      </c>
      <c r="AD94" s="57">
        <f t="shared" si="10"/>
        <v>15000000</v>
      </c>
      <c r="AE94" s="6" t="s">
        <v>5389</v>
      </c>
      <c r="AF94" s="6" t="s">
        <v>3281</v>
      </c>
      <c r="AG94" s="6" t="s">
        <v>3216</v>
      </c>
      <c r="AH94" s="6">
        <v>6681051</v>
      </c>
      <c r="AI94" s="11" t="s">
        <v>1657</v>
      </c>
      <c r="AJ94" s="6" t="s">
        <v>6</v>
      </c>
      <c r="AK94" s="57">
        <f t="shared" si="12"/>
        <v>15000000</v>
      </c>
      <c r="AL94" s="6" t="s">
        <v>160</v>
      </c>
      <c r="AM94" s="6" t="s">
        <v>3281</v>
      </c>
      <c r="AN94" s="6" t="s">
        <v>3216</v>
      </c>
      <c r="AO94" s="241"/>
      <c r="AP94" s="241"/>
      <c r="AQ94" s="241"/>
      <c r="AR94" s="299"/>
      <c r="AS94" s="241"/>
      <c r="AT94" s="241"/>
      <c r="AU94" s="241"/>
      <c r="AV94" s="241"/>
      <c r="AW94" s="241"/>
      <c r="AX94" s="241"/>
      <c r="AY94" s="299"/>
      <c r="AZ94" s="241"/>
      <c r="BA94" s="241"/>
      <c r="BB94" s="241"/>
      <c r="BC94" s="241"/>
      <c r="BD94" s="241"/>
      <c r="BE94" s="241"/>
      <c r="BF94" s="299"/>
      <c r="BG94" s="241"/>
      <c r="BH94" s="241"/>
      <c r="BI94" s="241"/>
      <c r="BJ94" s="241"/>
      <c r="BK94" s="241"/>
      <c r="BL94" s="241"/>
      <c r="BM94" s="299"/>
      <c r="BN94" s="241"/>
      <c r="BO94" s="241"/>
      <c r="BP94" s="241"/>
      <c r="BQ94" s="241"/>
      <c r="BR94" s="8" t="s">
        <v>3190</v>
      </c>
      <c r="BS94" s="163" t="s">
        <v>3191</v>
      </c>
      <c r="BT94" s="6" t="s">
        <v>5390</v>
      </c>
      <c r="BU94" s="9" t="s">
        <v>3848</v>
      </c>
      <c r="BV94" s="304" t="s">
        <v>5391</v>
      </c>
      <c r="BW94" s="9" t="s">
        <v>3841</v>
      </c>
      <c r="BX94" s="304" t="s">
        <v>5392</v>
      </c>
      <c r="BY94" s="9" t="s">
        <v>3841</v>
      </c>
      <c r="BZ94" s="304" t="s">
        <v>5393</v>
      </c>
      <c r="CA94" s="9" t="s">
        <v>3958</v>
      </c>
      <c r="CB94" s="241"/>
      <c r="CC94" s="241"/>
      <c r="CD94" s="241"/>
      <c r="CE94" s="241"/>
      <c r="CF94" s="241"/>
      <c r="CG94" s="241"/>
      <c r="CH94" s="241"/>
      <c r="CI94" s="241"/>
      <c r="CJ94" s="241" t="s">
        <v>5394</v>
      </c>
      <c r="CK94" s="241" t="s">
        <v>5395</v>
      </c>
      <c r="CL94" s="241" t="s">
        <v>5396</v>
      </c>
      <c r="CM94" s="241"/>
      <c r="CN94" s="241"/>
      <c r="CO94" s="241"/>
    </row>
    <row r="95" spans="1:97" s="5" customFormat="1" ht="36">
      <c r="A95" s="8">
        <v>19</v>
      </c>
      <c r="B95" s="143" t="s">
        <v>5385</v>
      </c>
      <c r="C95" s="143" t="s">
        <v>5397</v>
      </c>
      <c r="D95" s="9" t="s">
        <v>5398</v>
      </c>
      <c r="E95" s="6" t="s">
        <v>5067</v>
      </c>
      <c r="F95" s="8">
        <v>2023</v>
      </c>
      <c r="G95" s="8">
        <v>2023</v>
      </c>
      <c r="H95" s="8">
        <v>12</v>
      </c>
      <c r="I95" s="6" t="s">
        <v>5399</v>
      </c>
      <c r="J95" s="486">
        <v>50000000</v>
      </c>
      <c r="K95" s="458">
        <v>47500000</v>
      </c>
      <c r="L95" s="6" t="s">
        <v>3091</v>
      </c>
      <c r="M95" s="8" t="s">
        <v>942</v>
      </c>
      <c r="N95" s="7" t="s">
        <v>5388</v>
      </c>
      <c r="O95" s="241" t="s">
        <v>3077</v>
      </c>
      <c r="P95" s="8" t="s">
        <v>3215</v>
      </c>
      <c r="Q95" s="765" t="s">
        <v>4972</v>
      </c>
      <c r="R95" s="8">
        <v>6681051</v>
      </c>
      <c r="S95" s="7" t="s">
        <v>6</v>
      </c>
      <c r="T95" s="162" t="s">
        <v>1657</v>
      </c>
      <c r="U95" s="109">
        <f t="shared" si="11"/>
        <v>15833333.333333334</v>
      </c>
      <c r="V95" s="6" t="s">
        <v>160</v>
      </c>
      <c r="W95" s="6" t="s">
        <v>3281</v>
      </c>
      <c r="X95" s="6" t="s">
        <v>3216</v>
      </c>
      <c r="Y95" s="8">
        <v>8140</v>
      </c>
      <c r="Z95" s="8">
        <v>72019</v>
      </c>
      <c r="AA95" s="33">
        <v>6663582</v>
      </c>
      <c r="AB95" s="164" t="s">
        <v>1668</v>
      </c>
      <c r="AC95" s="6" t="s">
        <v>5400</v>
      </c>
      <c r="AD95" s="57">
        <f t="shared" si="10"/>
        <v>15833333.333333334</v>
      </c>
      <c r="AE95" s="6" t="s">
        <v>151</v>
      </c>
      <c r="AF95" s="6" t="s">
        <v>3281</v>
      </c>
      <c r="AG95" s="6" t="s">
        <v>3216</v>
      </c>
      <c r="AH95" s="8">
        <v>6680708</v>
      </c>
      <c r="AI95" s="10" t="s">
        <v>2436</v>
      </c>
      <c r="AJ95" s="6" t="s">
        <v>5401</v>
      </c>
      <c r="AK95" s="57">
        <f t="shared" si="12"/>
        <v>15833333.333333334</v>
      </c>
      <c r="AL95" s="6" t="s">
        <v>155</v>
      </c>
      <c r="AM95" s="6" t="s">
        <v>3281</v>
      </c>
      <c r="AN95" s="6" t="s">
        <v>3216</v>
      </c>
      <c r="AO95" s="241"/>
      <c r="AP95" s="241"/>
      <c r="AQ95" s="241"/>
      <c r="AR95" s="299"/>
      <c r="AS95" s="241"/>
      <c r="AT95" s="241"/>
      <c r="AU95" s="241"/>
      <c r="AV95" s="241"/>
      <c r="AW95" s="241"/>
      <c r="AX95" s="241"/>
      <c r="AY95" s="299"/>
      <c r="AZ95" s="241"/>
      <c r="BA95" s="241"/>
      <c r="BB95" s="241"/>
      <c r="BC95" s="241"/>
      <c r="BD95" s="241"/>
      <c r="BE95" s="241"/>
      <c r="BF95" s="299"/>
      <c r="BG95" s="241"/>
      <c r="BH95" s="241"/>
      <c r="BI95" s="241"/>
      <c r="BJ95" s="241"/>
      <c r="BK95" s="241"/>
      <c r="BL95" s="241"/>
      <c r="BM95" s="299"/>
      <c r="BN95" s="241"/>
      <c r="BO95" s="241"/>
      <c r="BP95" s="241"/>
      <c r="BQ95" s="241"/>
      <c r="BR95" s="8" t="s">
        <v>3190</v>
      </c>
      <c r="BS95" s="163" t="s">
        <v>3191</v>
      </c>
      <c r="BT95" s="304" t="s">
        <v>5402</v>
      </c>
      <c r="BU95" s="9" t="s">
        <v>3848</v>
      </c>
      <c r="BV95" s="304" t="s">
        <v>5393</v>
      </c>
      <c r="BW95" s="9" t="s">
        <v>3958</v>
      </c>
      <c r="BX95" s="304" t="s">
        <v>5403</v>
      </c>
      <c r="BY95" s="9" t="s">
        <v>3841</v>
      </c>
      <c r="BZ95" s="241"/>
      <c r="CA95" s="241"/>
      <c r="CB95" s="241"/>
      <c r="CC95" s="241"/>
      <c r="CD95" s="241"/>
      <c r="CE95" s="241"/>
      <c r="CF95" s="241"/>
      <c r="CG95" s="241"/>
      <c r="CH95" s="241"/>
      <c r="CI95" s="241"/>
      <c r="CJ95" s="241" t="s">
        <v>5394</v>
      </c>
      <c r="CK95" s="241" t="s">
        <v>5395</v>
      </c>
      <c r="CL95" s="241" t="s">
        <v>5404</v>
      </c>
      <c r="CM95" s="241"/>
      <c r="CN95" s="241"/>
      <c r="CO95" s="241"/>
    </row>
    <row r="96" spans="1:97" ht="36">
      <c r="A96" s="8">
        <v>20</v>
      </c>
      <c r="B96" s="143" t="s">
        <v>5405</v>
      </c>
      <c r="C96" s="143" t="s">
        <v>5406</v>
      </c>
      <c r="D96" s="9" t="s">
        <v>5407</v>
      </c>
      <c r="E96" s="6" t="s">
        <v>5408</v>
      </c>
      <c r="F96" s="8">
        <v>2023</v>
      </c>
      <c r="G96" s="8">
        <v>2023</v>
      </c>
      <c r="H96" s="8">
        <v>6</v>
      </c>
      <c r="I96" s="6" t="s">
        <v>5289</v>
      </c>
      <c r="J96" s="487">
        <v>7000000</v>
      </c>
      <c r="K96" s="463">
        <v>6775000</v>
      </c>
      <c r="L96" s="6" t="s">
        <v>3091</v>
      </c>
      <c r="M96" s="8">
        <v>6</v>
      </c>
      <c r="N96" s="6"/>
      <c r="O96" s="9" t="s">
        <v>3223</v>
      </c>
      <c r="P96" s="8"/>
      <c r="Q96" s="15" t="s">
        <v>4951</v>
      </c>
      <c r="R96" s="8">
        <v>6826699</v>
      </c>
      <c r="S96" s="6" t="s">
        <v>33</v>
      </c>
      <c r="T96" s="162" t="s">
        <v>1905</v>
      </c>
      <c r="U96" s="109">
        <f t="shared" si="11"/>
        <v>2258333.3333333335</v>
      </c>
      <c r="V96" s="6" t="s">
        <v>166</v>
      </c>
      <c r="W96" s="6" t="s">
        <v>3286</v>
      </c>
      <c r="X96" s="6" t="s">
        <v>3216</v>
      </c>
      <c r="Y96" s="8">
        <v>8140</v>
      </c>
      <c r="Z96" s="8">
        <v>72019</v>
      </c>
      <c r="AA96" s="6">
        <v>6785861</v>
      </c>
      <c r="AB96" s="11" t="s">
        <v>1904</v>
      </c>
      <c r="AC96" s="6" t="s">
        <v>775</v>
      </c>
      <c r="AD96" s="57">
        <f t="shared" si="10"/>
        <v>2258333.3333333335</v>
      </c>
      <c r="AE96" s="6" t="s">
        <v>3093</v>
      </c>
      <c r="AF96" s="6" t="s">
        <v>3286</v>
      </c>
      <c r="AG96" s="6" t="s">
        <v>3216</v>
      </c>
      <c r="AH96" s="8">
        <v>6839112</v>
      </c>
      <c r="AI96" s="162" t="s">
        <v>2949</v>
      </c>
      <c r="AJ96" s="6" t="s">
        <v>54</v>
      </c>
      <c r="AK96" s="57">
        <f>AD96</f>
        <v>2258333.3333333335</v>
      </c>
      <c r="AL96" s="6" t="s">
        <v>166</v>
      </c>
      <c r="AM96" s="6" t="s">
        <v>3286</v>
      </c>
      <c r="AN96" s="6" t="s">
        <v>3216</v>
      </c>
      <c r="AO96" s="8"/>
      <c r="AP96" s="8"/>
      <c r="AQ96" s="8"/>
      <c r="AR96" s="292"/>
      <c r="AS96" s="8"/>
      <c r="AT96" s="8"/>
      <c r="AU96" s="8"/>
      <c r="AV96" s="8"/>
      <c r="AW96" s="8"/>
      <c r="AX96" s="8"/>
      <c r="AY96" s="292"/>
      <c r="AZ96" s="8"/>
      <c r="BA96" s="8"/>
      <c r="BB96" s="8"/>
      <c r="BC96" s="8"/>
      <c r="BD96" s="8"/>
      <c r="BE96" s="8"/>
      <c r="BF96" s="292"/>
      <c r="BG96" s="8"/>
      <c r="BH96" s="8"/>
      <c r="BI96" s="8"/>
      <c r="BJ96" s="8"/>
      <c r="BK96" s="8"/>
      <c r="BL96" s="8"/>
      <c r="BM96" s="292"/>
      <c r="BN96" s="8"/>
      <c r="BO96" s="8"/>
      <c r="BP96" s="8"/>
      <c r="BQ96" s="8"/>
      <c r="BR96" s="160" t="s">
        <v>3190</v>
      </c>
      <c r="BS96" s="163" t="s">
        <v>3191</v>
      </c>
      <c r="BT96" s="6"/>
      <c r="BU96" s="6"/>
      <c r="BV96" s="6"/>
      <c r="BW96" s="6"/>
      <c r="BX96" s="6"/>
      <c r="BY96" s="6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6" t="s">
        <v>5409</v>
      </c>
      <c r="CK96" s="6" t="s">
        <v>5410</v>
      </c>
      <c r="CL96" s="6" t="s">
        <v>5411</v>
      </c>
      <c r="CM96" s="8"/>
      <c r="CN96" s="8"/>
      <c r="CO96" s="8"/>
    </row>
    <row r="97" spans="1:97" ht="36">
      <c r="A97" s="8">
        <v>21</v>
      </c>
      <c r="B97" s="143" t="s">
        <v>5405</v>
      </c>
      <c r="C97" s="143" t="s">
        <v>5412</v>
      </c>
      <c r="D97" s="9" t="s">
        <v>5413</v>
      </c>
      <c r="E97" s="6" t="s">
        <v>5408</v>
      </c>
      <c r="F97" s="8">
        <v>2023</v>
      </c>
      <c r="G97" s="8">
        <v>2023</v>
      </c>
      <c r="H97" s="8">
        <v>6</v>
      </c>
      <c r="I97" s="6" t="s">
        <v>5289</v>
      </c>
      <c r="J97" s="486">
        <v>7000000</v>
      </c>
      <c r="K97" s="458">
        <v>5325000</v>
      </c>
      <c r="L97" s="6" t="s">
        <v>3091</v>
      </c>
      <c r="M97" s="8">
        <v>3</v>
      </c>
      <c r="N97" s="7"/>
      <c r="O97" s="9" t="s">
        <v>3223</v>
      </c>
      <c r="P97" s="241"/>
      <c r="Q97" s="15" t="s">
        <v>4951</v>
      </c>
      <c r="R97" s="8">
        <v>259781</v>
      </c>
      <c r="S97" s="7" t="s">
        <v>26</v>
      </c>
      <c r="T97" s="162" t="s">
        <v>982</v>
      </c>
      <c r="U97" s="109">
        <f>K97/2</f>
        <v>2662500</v>
      </c>
      <c r="V97" s="6" t="s">
        <v>3093</v>
      </c>
      <c r="W97" s="6" t="s">
        <v>3286</v>
      </c>
      <c r="X97" s="6" t="s">
        <v>3216</v>
      </c>
      <c r="Y97" s="8">
        <v>8140</v>
      </c>
      <c r="Z97" s="8">
        <v>72019</v>
      </c>
      <c r="AA97" s="241">
        <v>6801945</v>
      </c>
      <c r="AB97" s="242" t="s">
        <v>1723</v>
      </c>
      <c r="AC97" s="6" t="s">
        <v>134</v>
      </c>
      <c r="AD97" s="57">
        <f t="shared" si="10"/>
        <v>2662500</v>
      </c>
      <c r="AE97" s="6" t="s">
        <v>156</v>
      </c>
      <c r="AF97" s="6" t="s">
        <v>3286</v>
      </c>
      <c r="AG97" s="6" t="s">
        <v>3216</v>
      </c>
      <c r="AH97" s="8"/>
      <c r="AI97" s="191"/>
      <c r="AJ97" s="6"/>
      <c r="AK97" s="57"/>
      <c r="AL97" s="6"/>
      <c r="AM97" s="6"/>
      <c r="AN97" s="6"/>
      <c r="AO97" s="241"/>
      <c r="AP97" s="241"/>
      <c r="AQ97" s="241"/>
      <c r="AR97" s="299"/>
      <c r="AS97" s="241"/>
      <c r="AT97" s="241"/>
      <c r="AU97" s="241"/>
      <c r="AV97" s="241"/>
      <c r="AW97" s="241"/>
      <c r="AX97" s="241"/>
      <c r="AY97" s="299"/>
      <c r="AZ97" s="241"/>
      <c r="BA97" s="241"/>
      <c r="BB97" s="241"/>
      <c r="BC97" s="241"/>
      <c r="BD97" s="241"/>
      <c r="BE97" s="241"/>
      <c r="BF97" s="299"/>
      <c r="BG97" s="241"/>
      <c r="BH97" s="241"/>
      <c r="BI97" s="241"/>
      <c r="BJ97" s="241"/>
      <c r="BK97" s="241"/>
      <c r="BL97" s="241"/>
      <c r="BM97" s="299"/>
      <c r="BN97" s="241"/>
      <c r="BO97" s="241"/>
      <c r="BP97" s="241"/>
      <c r="BQ97" s="241"/>
      <c r="BR97" s="160" t="s">
        <v>3190</v>
      </c>
      <c r="BS97" s="163" t="s">
        <v>3191</v>
      </c>
      <c r="BT97" s="304"/>
      <c r="BU97" s="9"/>
      <c r="BV97" s="304"/>
      <c r="BW97" s="9"/>
      <c r="BX97" s="304"/>
      <c r="BY97" s="9"/>
      <c r="BZ97" s="241"/>
      <c r="CA97" s="241"/>
      <c r="CB97" s="241"/>
      <c r="CC97" s="241"/>
      <c r="CD97" s="241"/>
      <c r="CE97" s="241"/>
      <c r="CF97" s="241"/>
      <c r="CG97" s="241"/>
      <c r="CH97" s="241"/>
      <c r="CI97" s="241"/>
      <c r="CJ97" s="7" t="s">
        <v>5414</v>
      </c>
      <c r="CK97" s="7" t="s">
        <v>5410</v>
      </c>
      <c r="CL97" s="33" t="s">
        <v>5415</v>
      </c>
      <c r="CM97" s="241"/>
      <c r="CN97" s="241"/>
      <c r="CO97" s="241"/>
    </row>
    <row r="98" spans="1:97" ht="36">
      <c r="A98" s="8">
        <v>22</v>
      </c>
      <c r="B98" s="143" t="s">
        <v>5405</v>
      </c>
      <c r="C98" s="143" t="s">
        <v>5416</v>
      </c>
      <c r="D98" s="9" t="s">
        <v>5417</v>
      </c>
      <c r="E98" s="6" t="s">
        <v>5408</v>
      </c>
      <c r="F98" s="8">
        <v>2023</v>
      </c>
      <c r="G98" s="8">
        <v>2023</v>
      </c>
      <c r="H98" s="8">
        <v>6</v>
      </c>
      <c r="I98" s="6" t="s">
        <v>5289</v>
      </c>
      <c r="J98" s="488">
        <v>7000000</v>
      </c>
      <c r="K98" s="458">
        <v>6700000</v>
      </c>
      <c r="L98" s="6" t="s">
        <v>3091</v>
      </c>
      <c r="M98" s="8">
        <v>3</v>
      </c>
      <c r="N98" s="7"/>
      <c r="O98" s="9" t="s">
        <v>3223</v>
      </c>
      <c r="P98" s="241"/>
      <c r="Q98" s="15" t="s">
        <v>4951</v>
      </c>
      <c r="R98" s="8">
        <v>6764236</v>
      </c>
      <c r="S98" s="7" t="s">
        <v>25</v>
      </c>
      <c r="T98" s="162" t="s">
        <v>1684</v>
      </c>
      <c r="U98" s="109">
        <f>K98/3</f>
        <v>2233333.3333333335</v>
      </c>
      <c r="V98" s="6" t="s">
        <v>166</v>
      </c>
      <c r="W98" s="6" t="s">
        <v>3286</v>
      </c>
      <c r="X98" s="6" t="s">
        <v>3216</v>
      </c>
      <c r="Y98" s="8">
        <v>8140</v>
      </c>
      <c r="Z98" s="8">
        <v>72019</v>
      </c>
      <c r="AA98" s="8">
        <v>6665306</v>
      </c>
      <c r="AB98" s="162" t="s">
        <v>1727</v>
      </c>
      <c r="AC98" s="6" t="s">
        <v>28</v>
      </c>
      <c r="AD98" s="57">
        <f t="shared" si="10"/>
        <v>2233333.3333333335</v>
      </c>
      <c r="AE98" s="6" t="s">
        <v>166</v>
      </c>
      <c r="AF98" s="6" t="s">
        <v>3286</v>
      </c>
      <c r="AG98" s="6" t="s">
        <v>3216</v>
      </c>
      <c r="AH98" s="8">
        <v>6680634</v>
      </c>
      <c r="AI98" s="10" t="s">
        <v>989</v>
      </c>
      <c r="AJ98" s="6" t="s">
        <v>47</v>
      </c>
      <c r="AK98" s="57">
        <f>U98</f>
        <v>2233333.3333333335</v>
      </c>
      <c r="AL98" s="6" t="s">
        <v>166</v>
      </c>
      <c r="AM98" s="6" t="s">
        <v>3286</v>
      </c>
      <c r="AN98" s="6" t="s">
        <v>3216</v>
      </c>
      <c r="AO98" s="241"/>
      <c r="AP98" s="241"/>
      <c r="AQ98" s="241"/>
      <c r="AR98" s="299"/>
      <c r="AS98" s="241"/>
      <c r="AT98" s="241"/>
      <c r="AU98" s="241"/>
      <c r="AV98" s="241"/>
      <c r="AW98" s="241"/>
      <c r="AX98" s="241"/>
      <c r="AY98" s="299"/>
      <c r="AZ98" s="241"/>
      <c r="BA98" s="241"/>
      <c r="BB98" s="241"/>
      <c r="BC98" s="241"/>
      <c r="BD98" s="241"/>
      <c r="BE98" s="241"/>
      <c r="BF98" s="299"/>
      <c r="BG98" s="241"/>
      <c r="BH98" s="241"/>
      <c r="BI98" s="241"/>
      <c r="BJ98" s="241"/>
      <c r="BK98" s="241"/>
      <c r="BL98" s="241"/>
      <c r="BM98" s="299"/>
      <c r="BN98" s="241"/>
      <c r="BO98" s="241"/>
      <c r="BP98" s="241"/>
      <c r="BQ98" s="241"/>
      <c r="BR98" s="160" t="s">
        <v>3190</v>
      </c>
      <c r="BS98" s="163" t="s">
        <v>3191</v>
      </c>
      <c r="BT98" s="304"/>
      <c r="BU98" s="9"/>
      <c r="BV98" s="304"/>
      <c r="BW98" s="9"/>
      <c r="BX98" s="304"/>
      <c r="BY98" s="9"/>
      <c r="BZ98" s="241"/>
      <c r="CA98" s="241"/>
      <c r="CB98" s="241"/>
      <c r="CC98" s="241"/>
      <c r="CD98" s="241"/>
      <c r="CE98" s="241"/>
      <c r="CF98" s="241"/>
      <c r="CG98" s="241"/>
      <c r="CH98" s="241"/>
      <c r="CI98" s="241"/>
      <c r="CJ98" s="7" t="s">
        <v>5414</v>
      </c>
      <c r="CK98" s="7" t="s">
        <v>5418</v>
      </c>
      <c r="CL98" s="7" t="s">
        <v>5419</v>
      </c>
      <c r="CM98" s="241"/>
      <c r="CN98" s="241"/>
      <c r="CO98" s="241"/>
    </row>
    <row r="99" spans="1:97" ht="36">
      <c r="A99" s="8">
        <v>23</v>
      </c>
      <c r="B99" s="143" t="s">
        <v>5405</v>
      </c>
      <c r="C99" s="143" t="s">
        <v>5420</v>
      </c>
      <c r="D99" s="9" t="s">
        <v>5421</v>
      </c>
      <c r="E99" s="6" t="s">
        <v>5408</v>
      </c>
      <c r="F99" s="8">
        <v>2023</v>
      </c>
      <c r="G99" s="8">
        <v>2023</v>
      </c>
      <c r="H99" s="8">
        <v>6</v>
      </c>
      <c r="I99" s="6" t="s">
        <v>5289</v>
      </c>
      <c r="J99" s="486">
        <v>6405000</v>
      </c>
      <c r="K99" s="458">
        <v>6702500</v>
      </c>
      <c r="L99" s="6" t="s">
        <v>3091</v>
      </c>
      <c r="M99" s="8">
        <v>3</v>
      </c>
      <c r="N99" s="7"/>
      <c r="O99" s="9" t="s">
        <v>3223</v>
      </c>
      <c r="P99" s="241"/>
      <c r="Q99" s="15" t="s">
        <v>4951</v>
      </c>
      <c r="R99" s="8">
        <v>6099359</v>
      </c>
      <c r="S99" s="7" t="s">
        <v>5422</v>
      </c>
      <c r="T99" s="162" t="s">
        <v>977</v>
      </c>
      <c r="U99" s="109">
        <f>K99/2</f>
        <v>3351250</v>
      </c>
      <c r="V99" s="6" t="s">
        <v>166</v>
      </c>
      <c r="W99" s="6" t="s">
        <v>3286</v>
      </c>
      <c r="X99" s="6" t="s">
        <v>3216</v>
      </c>
      <c r="Y99" s="8">
        <v>8140</v>
      </c>
      <c r="Z99" s="8">
        <v>72019</v>
      </c>
      <c r="AA99" s="241">
        <v>6839112</v>
      </c>
      <c r="AB99" s="242" t="s">
        <v>2949</v>
      </c>
      <c r="AC99" s="6" t="s">
        <v>5423</v>
      </c>
      <c r="AD99" s="57">
        <f t="shared" si="10"/>
        <v>3351250</v>
      </c>
      <c r="AE99" s="6" t="s">
        <v>166</v>
      </c>
      <c r="AF99" s="6" t="s">
        <v>3286</v>
      </c>
      <c r="AG99" s="6" t="s">
        <v>3216</v>
      </c>
      <c r="AH99" s="8"/>
      <c r="AI99" s="191"/>
      <c r="AJ99" s="6"/>
      <c r="AK99" s="57"/>
      <c r="AL99" s="6"/>
      <c r="AM99" s="6"/>
      <c r="AN99" s="6"/>
      <c r="AO99" s="241"/>
      <c r="AP99" s="241"/>
      <c r="AQ99" s="241"/>
      <c r="AR99" s="299"/>
      <c r="AS99" s="241"/>
      <c r="AT99" s="241"/>
      <c r="AU99" s="241"/>
      <c r="AV99" s="241"/>
      <c r="AW99" s="241"/>
      <c r="AX99" s="241"/>
      <c r="AY99" s="299"/>
      <c r="AZ99" s="241"/>
      <c r="BA99" s="241"/>
      <c r="BB99" s="241"/>
      <c r="BC99" s="241"/>
      <c r="BD99" s="241"/>
      <c r="BE99" s="241"/>
      <c r="BF99" s="299"/>
      <c r="BG99" s="241"/>
      <c r="BH99" s="241"/>
      <c r="BI99" s="241"/>
      <c r="BJ99" s="241"/>
      <c r="BK99" s="241"/>
      <c r="BL99" s="241"/>
      <c r="BM99" s="299"/>
      <c r="BN99" s="241"/>
      <c r="BO99" s="241"/>
      <c r="BP99" s="241"/>
      <c r="BQ99" s="241"/>
      <c r="BR99" s="160" t="s">
        <v>3190</v>
      </c>
      <c r="BS99" s="163" t="s">
        <v>3191</v>
      </c>
      <c r="BT99" s="304"/>
      <c r="BU99" s="9"/>
      <c r="BV99" s="304"/>
      <c r="BW99" s="9"/>
      <c r="BX99" s="304"/>
      <c r="BY99" s="9"/>
      <c r="BZ99" s="241"/>
      <c r="CA99" s="241"/>
      <c r="CB99" s="241"/>
      <c r="CC99" s="241"/>
      <c r="CD99" s="241"/>
      <c r="CE99" s="241"/>
      <c r="CF99" s="241"/>
      <c r="CG99" s="241"/>
      <c r="CH99" s="241"/>
      <c r="CI99" s="241"/>
      <c r="CJ99" s="7" t="s">
        <v>5424</v>
      </c>
      <c r="CK99" s="7" t="s">
        <v>5425</v>
      </c>
      <c r="CL99" s="7" t="s">
        <v>5426</v>
      </c>
      <c r="CM99" s="241" t="s">
        <v>5427</v>
      </c>
      <c r="CN99" s="241"/>
      <c r="CO99" s="241"/>
    </row>
    <row r="100" spans="1:97" ht="36">
      <c r="A100" s="8">
        <v>24</v>
      </c>
      <c r="B100" s="143" t="s">
        <v>5405</v>
      </c>
      <c r="C100" s="143" t="s">
        <v>5428</v>
      </c>
      <c r="D100" s="9" t="s">
        <v>5429</v>
      </c>
      <c r="E100" s="6" t="s">
        <v>5408</v>
      </c>
      <c r="F100" s="8">
        <v>2023</v>
      </c>
      <c r="G100" s="8">
        <v>2023</v>
      </c>
      <c r="H100" s="8">
        <v>6</v>
      </c>
      <c r="I100" s="6" t="s">
        <v>5289</v>
      </c>
      <c r="J100" s="486">
        <v>7000000</v>
      </c>
      <c r="K100" s="458">
        <v>7000000</v>
      </c>
      <c r="L100" s="6" t="s">
        <v>3091</v>
      </c>
      <c r="M100" s="8">
        <v>6</v>
      </c>
      <c r="N100" s="7"/>
      <c r="O100" s="9" t="s">
        <v>3223</v>
      </c>
      <c r="P100" s="241"/>
      <c r="Q100" s="15" t="s">
        <v>4951</v>
      </c>
      <c r="R100" s="8">
        <v>6859016</v>
      </c>
      <c r="S100" s="7" t="s">
        <v>3126</v>
      </c>
      <c r="T100" s="162" t="s">
        <v>2497</v>
      </c>
      <c r="U100" s="109">
        <f t="shared" ref="U100:U112" si="13">K100/3</f>
        <v>2333333.3333333335</v>
      </c>
      <c r="V100" s="6" t="s">
        <v>155</v>
      </c>
      <c r="W100" s="6" t="s">
        <v>3281</v>
      </c>
      <c r="X100" s="6" t="s">
        <v>3216</v>
      </c>
      <c r="Y100" s="8">
        <v>8140</v>
      </c>
      <c r="Z100" s="8">
        <v>72019</v>
      </c>
      <c r="AA100" s="8">
        <v>6680651</v>
      </c>
      <c r="AB100" s="162" t="s">
        <v>1016</v>
      </c>
      <c r="AC100" s="6" t="s">
        <v>12</v>
      </c>
      <c r="AD100" s="57">
        <f t="shared" si="10"/>
        <v>2333333.3333333335</v>
      </c>
      <c r="AE100" s="6" t="s">
        <v>155</v>
      </c>
      <c r="AF100" s="6" t="s">
        <v>3281</v>
      </c>
      <c r="AG100" s="6" t="s">
        <v>3216</v>
      </c>
      <c r="AH100" s="8">
        <v>6680643</v>
      </c>
      <c r="AI100" s="10" t="s">
        <v>1017</v>
      </c>
      <c r="AJ100" s="6" t="s">
        <v>8</v>
      </c>
      <c r="AK100" s="57">
        <f t="shared" ref="AK100:AK110" si="14">U100</f>
        <v>2333333.3333333335</v>
      </c>
      <c r="AL100" s="6" t="s">
        <v>172</v>
      </c>
      <c r="AM100" s="6" t="s">
        <v>3281</v>
      </c>
      <c r="AN100" s="6" t="s">
        <v>3216</v>
      </c>
      <c r="AO100" s="241"/>
      <c r="AP100" s="241"/>
      <c r="AQ100" s="241"/>
      <c r="AR100" s="299"/>
      <c r="AS100" s="241"/>
      <c r="AT100" s="241"/>
      <c r="AU100" s="241"/>
      <c r="AV100" s="241"/>
      <c r="AW100" s="241"/>
      <c r="AX100" s="241"/>
      <c r="AY100" s="299"/>
      <c r="AZ100" s="241"/>
      <c r="BA100" s="241"/>
      <c r="BB100" s="241"/>
      <c r="BC100" s="241"/>
      <c r="BD100" s="241"/>
      <c r="BE100" s="241"/>
      <c r="BF100" s="299"/>
      <c r="BG100" s="241"/>
      <c r="BH100" s="241"/>
      <c r="BI100" s="241"/>
      <c r="BJ100" s="241"/>
      <c r="BK100" s="241"/>
      <c r="BL100" s="241"/>
      <c r="BM100" s="299"/>
      <c r="BN100" s="241"/>
      <c r="BO100" s="241"/>
      <c r="BP100" s="241"/>
      <c r="BQ100" s="241"/>
      <c r="BR100" s="160" t="s">
        <v>3190</v>
      </c>
      <c r="BS100" s="163" t="s">
        <v>3191</v>
      </c>
      <c r="BT100" s="304"/>
      <c r="BU100" s="9"/>
      <c r="BV100" s="304"/>
      <c r="BW100" s="9"/>
      <c r="BX100" s="304"/>
      <c r="BY100" s="9"/>
      <c r="BZ100" s="241"/>
      <c r="CA100" s="241"/>
      <c r="CB100" s="241"/>
      <c r="CC100" s="241"/>
      <c r="CD100" s="241"/>
      <c r="CE100" s="241"/>
      <c r="CF100" s="241"/>
      <c r="CG100" s="241"/>
      <c r="CH100" s="241"/>
      <c r="CI100" s="241"/>
      <c r="CJ100" s="7" t="s">
        <v>5430</v>
      </c>
      <c r="CK100" s="7" t="s">
        <v>5431</v>
      </c>
      <c r="CL100" s="7" t="s">
        <v>5432</v>
      </c>
      <c r="CM100" s="241" t="s">
        <v>5270</v>
      </c>
      <c r="CN100" s="241" t="s">
        <v>3528</v>
      </c>
      <c r="CO100" s="241"/>
    </row>
    <row r="101" spans="1:97" ht="72">
      <c r="A101" s="8">
        <v>25</v>
      </c>
      <c r="B101" s="143" t="s">
        <v>5405</v>
      </c>
      <c r="C101" s="143" t="s">
        <v>5433</v>
      </c>
      <c r="D101" s="9" t="s">
        <v>5434</v>
      </c>
      <c r="E101" s="6" t="s">
        <v>5408</v>
      </c>
      <c r="F101" s="8">
        <v>2023</v>
      </c>
      <c r="G101" s="8">
        <v>2023</v>
      </c>
      <c r="H101" s="8">
        <v>4</v>
      </c>
      <c r="I101" s="6" t="s">
        <v>5298</v>
      </c>
      <c r="J101" s="486">
        <v>7000000</v>
      </c>
      <c r="K101" s="458">
        <v>7000000</v>
      </c>
      <c r="L101" s="6" t="s">
        <v>3091</v>
      </c>
      <c r="M101" s="8">
        <v>3</v>
      </c>
      <c r="N101" s="7"/>
      <c r="O101" s="9" t="s">
        <v>3223</v>
      </c>
      <c r="P101" s="241"/>
      <c r="Q101" s="15" t="s">
        <v>4951</v>
      </c>
      <c r="R101" s="8">
        <v>6680651</v>
      </c>
      <c r="S101" s="7" t="s">
        <v>12</v>
      </c>
      <c r="T101" s="162" t="s">
        <v>1016</v>
      </c>
      <c r="U101" s="109">
        <f t="shared" si="13"/>
        <v>2333333.3333333335</v>
      </c>
      <c r="V101" s="6" t="s">
        <v>155</v>
      </c>
      <c r="W101" s="6" t="s">
        <v>3281</v>
      </c>
      <c r="X101" s="6" t="s">
        <v>3216</v>
      </c>
      <c r="Y101" s="8">
        <v>8140</v>
      </c>
      <c r="Z101" s="8">
        <v>72019</v>
      </c>
      <c r="AA101" s="99">
        <v>6778519</v>
      </c>
      <c r="AB101" s="116" t="s">
        <v>1876</v>
      </c>
      <c r="AC101" s="6" t="s">
        <v>177</v>
      </c>
      <c r="AD101" s="109">
        <f t="shared" si="10"/>
        <v>2333333.3333333335</v>
      </c>
      <c r="AE101" s="6" t="s">
        <v>172</v>
      </c>
      <c r="AF101" s="6" t="s">
        <v>3281</v>
      </c>
      <c r="AG101" s="6" t="s">
        <v>3216</v>
      </c>
      <c r="AH101" s="8">
        <v>6680708</v>
      </c>
      <c r="AI101" s="10" t="s">
        <v>2436</v>
      </c>
      <c r="AJ101" s="6" t="s">
        <v>85</v>
      </c>
      <c r="AK101" s="109">
        <f t="shared" si="14"/>
        <v>2333333.3333333335</v>
      </c>
      <c r="AL101" s="6" t="s">
        <v>155</v>
      </c>
      <c r="AM101" s="6" t="s">
        <v>3281</v>
      </c>
      <c r="AN101" s="6" t="s">
        <v>3216</v>
      </c>
      <c r="AO101" s="241"/>
      <c r="AP101" s="241"/>
      <c r="AQ101" s="241"/>
      <c r="AR101" s="299"/>
      <c r="AS101" s="241"/>
      <c r="AT101" s="241"/>
      <c r="AU101" s="241"/>
      <c r="AV101" s="241"/>
      <c r="AW101" s="241"/>
      <c r="AX101" s="241"/>
      <c r="AY101" s="299"/>
      <c r="AZ101" s="241"/>
      <c r="BA101" s="241"/>
      <c r="BB101" s="241"/>
      <c r="BC101" s="241"/>
      <c r="BD101" s="241"/>
      <c r="BE101" s="241"/>
      <c r="BF101" s="299"/>
      <c r="BG101" s="241"/>
      <c r="BH101" s="241"/>
      <c r="BI101" s="241"/>
      <c r="BJ101" s="241"/>
      <c r="BK101" s="241"/>
      <c r="BL101" s="241"/>
      <c r="BM101" s="299"/>
      <c r="BN101" s="241"/>
      <c r="BO101" s="241"/>
      <c r="BP101" s="241"/>
      <c r="BQ101" s="241"/>
      <c r="BR101" s="160" t="s">
        <v>3190</v>
      </c>
      <c r="BS101" s="163" t="s">
        <v>3191</v>
      </c>
      <c r="BT101" s="304"/>
      <c r="BU101" s="9"/>
      <c r="BV101" s="304"/>
      <c r="BW101" s="9"/>
      <c r="BX101" s="304"/>
      <c r="BY101" s="9"/>
      <c r="BZ101" s="241"/>
      <c r="CA101" s="241"/>
      <c r="CB101" s="241"/>
      <c r="CC101" s="241"/>
      <c r="CD101" s="241"/>
      <c r="CE101" s="241"/>
      <c r="CF101" s="241"/>
      <c r="CG101" s="241"/>
      <c r="CH101" s="241"/>
      <c r="CI101" s="241"/>
      <c r="CJ101" s="7" t="s">
        <v>5435</v>
      </c>
      <c r="CK101" s="7" t="s">
        <v>5436</v>
      </c>
      <c r="CL101" s="7" t="s">
        <v>5437</v>
      </c>
      <c r="CM101" s="241" t="s">
        <v>3528</v>
      </c>
      <c r="CN101" s="241"/>
      <c r="CO101" s="241"/>
      <c r="CP101" s="136"/>
      <c r="CQ101" s="136"/>
      <c r="CR101" s="136"/>
      <c r="CS101" s="136"/>
    </row>
    <row r="102" spans="1:97" ht="36">
      <c r="A102" s="305">
        <v>26</v>
      </c>
      <c r="B102" s="143" t="s">
        <v>5405</v>
      </c>
      <c r="C102" s="143" t="s">
        <v>5438</v>
      </c>
      <c r="D102" s="166" t="s">
        <v>5439</v>
      </c>
      <c r="E102" s="165" t="s">
        <v>5408</v>
      </c>
      <c r="F102" s="135">
        <v>2023</v>
      </c>
      <c r="G102" s="135">
        <v>2023</v>
      </c>
      <c r="H102" s="135">
        <v>6</v>
      </c>
      <c r="I102" s="165" t="s">
        <v>5289</v>
      </c>
      <c r="J102" s="488">
        <v>7000000</v>
      </c>
      <c r="K102" s="465">
        <v>7000000</v>
      </c>
      <c r="L102" s="165" t="s">
        <v>3091</v>
      </c>
      <c r="M102" s="135">
        <v>3</v>
      </c>
      <c r="N102" s="171"/>
      <c r="O102" s="9" t="s">
        <v>3223</v>
      </c>
      <c r="P102" s="246"/>
      <c r="Q102" s="15" t="s">
        <v>4951</v>
      </c>
      <c r="R102" s="135">
        <v>6768348</v>
      </c>
      <c r="S102" s="171" t="s">
        <v>53</v>
      </c>
      <c r="T102" s="168" t="s">
        <v>2044</v>
      </c>
      <c r="U102" s="243">
        <f t="shared" si="13"/>
        <v>2333333.3333333335</v>
      </c>
      <c r="V102" s="165" t="s">
        <v>171</v>
      </c>
      <c r="W102" s="165" t="s">
        <v>3286</v>
      </c>
      <c r="X102" s="165" t="s">
        <v>3216</v>
      </c>
      <c r="Y102" s="8">
        <v>8140</v>
      </c>
      <c r="Z102" s="8">
        <v>72019</v>
      </c>
      <c r="AA102" s="135">
        <v>6760392</v>
      </c>
      <c r="AB102" s="168" t="s">
        <v>948</v>
      </c>
      <c r="AC102" s="165" t="s">
        <v>75</v>
      </c>
      <c r="AD102" s="244">
        <f t="shared" si="10"/>
        <v>2333333.3333333335</v>
      </c>
      <c r="AE102" s="165" t="s">
        <v>175</v>
      </c>
      <c r="AF102" s="165" t="s">
        <v>3286</v>
      </c>
      <c r="AG102" s="165" t="s">
        <v>3216</v>
      </c>
      <c r="AH102" s="135">
        <v>6682237</v>
      </c>
      <c r="AI102" s="235" t="s">
        <v>1736</v>
      </c>
      <c r="AJ102" s="165" t="s">
        <v>13</v>
      </c>
      <c r="AK102" s="244">
        <f t="shared" si="14"/>
        <v>2333333.3333333335</v>
      </c>
      <c r="AL102" s="165" t="s">
        <v>3093</v>
      </c>
      <c r="AM102" s="165" t="s">
        <v>3286</v>
      </c>
      <c r="AN102" s="165" t="s">
        <v>3216</v>
      </c>
      <c r="AO102" s="246"/>
      <c r="AP102" s="246"/>
      <c r="AQ102" s="246"/>
      <c r="AR102" s="246"/>
      <c r="AS102" s="246"/>
      <c r="AT102" s="246"/>
      <c r="AU102" s="246"/>
      <c r="AV102" s="246"/>
      <c r="AW102" s="246"/>
      <c r="AX102" s="246"/>
      <c r="AY102" s="246"/>
      <c r="AZ102" s="246"/>
      <c r="BA102" s="246"/>
      <c r="BB102" s="246"/>
      <c r="BC102" s="246"/>
      <c r="BD102" s="246"/>
      <c r="BE102" s="246"/>
      <c r="BF102" s="307"/>
      <c r="BG102" s="246"/>
      <c r="BH102" s="246"/>
      <c r="BI102" s="246"/>
      <c r="BJ102" s="246"/>
      <c r="BK102" s="246"/>
      <c r="BL102" s="246"/>
      <c r="BM102" s="246"/>
      <c r="BN102" s="246"/>
      <c r="BO102" s="246"/>
      <c r="BP102" s="246"/>
      <c r="BQ102" s="246"/>
      <c r="BR102" s="160" t="s">
        <v>3190</v>
      </c>
      <c r="BS102" s="163" t="s">
        <v>3191</v>
      </c>
      <c r="BT102" s="306"/>
      <c r="BU102" s="166"/>
      <c r="BV102" s="306"/>
      <c r="BW102" s="166"/>
      <c r="BX102" s="306"/>
      <c r="BY102" s="166"/>
      <c r="BZ102" s="246"/>
      <c r="CA102" s="246"/>
      <c r="CB102" s="246"/>
      <c r="CC102" s="246"/>
      <c r="CD102" s="246"/>
      <c r="CE102" s="246"/>
      <c r="CF102" s="246"/>
      <c r="CG102" s="246"/>
      <c r="CH102" s="246"/>
      <c r="CI102" s="246"/>
      <c r="CJ102" s="171" t="s">
        <v>5440</v>
      </c>
      <c r="CK102" s="171" t="s">
        <v>5441</v>
      </c>
      <c r="CL102" s="171" t="s">
        <v>5442</v>
      </c>
      <c r="CM102" s="246"/>
      <c r="CN102" s="246"/>
      <c r="CO102" s="246"/>
    </row>
    <row r="103" spans="1:97" ht="36">
      <c r="A103" s="8">
        <v>27</v>
      </c>
      <c r="B103" s="143" t="s">
        <v>5405</v>
      </c>
      <c r="C103" s="143" t="s">
        <v>5443</v>
      </c>
      <c r="D103" s="9" t="s">
        <v>5444</v>
      </c>
      <c r="E103" s="6" t="s">
        <v>5408</v>
      </c>
      <c r="F103" s="8">
        <v>2023</v>
      </c>
      <c r="G103" s="8">
        <v>2023</v>
      </c>
      <c r="H103" s="8">
        <v>6</v>
      </c>
      <c r="I103" s="6" t="s">
        <v>5289</v>
      </c>
      <c r="J103" s="488">
        <v>7000000</v>
      </c>
      <c r="K103" s="458">
        <v>6895000</v>
      </c>
      <c r="L103" s="6" t="s">
        <v>3091</v>
      </c>
      <c r="M103" s="8">
        <v>3</v>
      </c>
      <c r="N103" s="7"/>
      <c r="O103" s="9" t="s">
        <v>3223</v>
      </c>
      <c r="P103" s="241"/>
      <c r="Q103" s="15" t="s">
        <v>4951</v>
      </c>
      <c r="R103" s="8">
        <v>6680634</v>
      </c>
      <c r="S103" s="7" t="s">
        <v>47</v>
      </c>
      <c r="T103" s="162" t="s">
        <v>989</v>
      </c>
      <c r="U103" s="109">
        <f t="shared" si="13"/>
        <v>2298333.3333333335</v>
      </c>
      <c r="V103" s="6" t="s">
        <v>166</v>
      </c>
      <c r="W103" s="6" t="s">
        <v>3286</v>
      </c>
      <c r="X103" s="6" t="s">
        <v>3216</v>
      </c>
      <c r="Y103" s="8">
        <v>8140</v>
      </c>
      <c r="Z103" s="8">
        <v>72019</v>
      </c>
      <c r="AA103" s="8">
        <v>6764236</v>
      </c>
      <c r="AB103" s="162" t="s">
        <v>1684</v>
      </c>
      <c r="AC103" s="6" t="s">
        <v>25</v>
      </c>
      <c r="AD103" s="57">
        <f t="shared" si="10"/>
        <v>2298333.3333333335</v>
      </c>
      <c r="AE103" s="6" t="s">
        <v>166</v>
      </c>
      <c r="AF103" s="6" t="s">
        <v>3286</v>
      </c>
      <c r="AG103" s="6" t="s">
        <v>3216</v>
      </c>
      <c r="AH103" s="8">
        <v>6787771</v>
      </c>
      <c r="AI103" s="162" t="s">
        <v>1676</v>
      </c>
      <c r="AJ103" s="6" t="s">
        <v>180</v>
      </c>
      <c r="AK103" s="57">
        <f t="shared" si="14"/>
        <v>2298333.3333333335</v>
      </c>
      <c r="AL103" s="6" t="s">
        <v>166</v>
      </c>
      <c r="AM103" s="6" t="s">
        <v>3286</v>
      </c>
      <c r="AN103" s="6" t="s">
        <v>3216</v>
      </c>
      <c r="AO103" s="241"/>
      <c r="AP103" s="241"/>
      <c r="AQ103" s="241"/>
      <c r="AR103" s="299"/>
      <c r="AS103" s="241"/>
      <c r="AT103" s="241"/>
      <c r="AU103" s="241"/>
      <c r="AV103" s="241"/>
      <c r="AW103" s="241"/>
      <c r="AX103" s="241"/>
      <c r="AY103" s="299"/>
      <c r="AZ103" s="241"/>
      <c r="BA103" s="241"/>
      <c r="BB103" s="241"/>
      <c r="BC103" s="241"/>
      <c r="BD103" s="241"/>
      <c r="BE103" s="241"/>
      <c r="BF103" s="299"/>
      <c r="BG103" s="241"/>
      <c r="BH103" s="241"/>
      <c r="BI103" s="241"/>
      <c r="BJ103" s="241"/>
      <c r="BK103" s="241"/>
      <c r="BL103" s="241"/>
      <c r="BM103" s="299"/>
      <c r="BN103" s="241"/>
      <c r="BO103" s="241"/>
      <c r="BP103" s="241"/>
      <c r="BQ103" s="241"/>
      <c r="BR103" s="160" t="s">
        <v>3190</v>
      </c>
      <c r="BS103" s="163" t="s">
        <v>3191</v>
      </c>
      <c r="BT103" s="304"/>
      <c r="BU103" s="9"/>
      <c r="BV103" s="304"/>
      <c r="BW103" s="9"/>
      <c r="BX103" s="304"/>
      <c r="BY103" s="9"/>
      <c r="BZ103" s="241"/>
      <c r="CA103" s="241"/>
      <c r="CB103" s="241"/>
      <c r="CC103" s="241"/>
      <c r="CD103" s="241"/>
      <c r="CE103" s="241"/>
      <c r="CF103" s="241"/>
      <c r="CG103" s="241"/>
      <c r="CH103" s="241"/>
      <c r="CI103" s="241"/>
      <c r="CJ103" s="7" t="s">
        <v>5445</v>
      </c>
      <c r="CK103" s="7" t="s">
        <v>5446</v>
      </c>
      <c r="CL103" s="7" t="s">
        <v>4991</v>
      </c>
      <c r="CM103" s="241" t="s">
        <v>5447</v>
      </c>
      <c r="CN103" s="241" t="s">
        <v>3528</v>
      </c>
      <c r="CO103" s="241"/>
    </row>
    <row r="104" spans="1:97" ht="36">
      <c r="A104" s="8">
        <v>28</v>
      </c>
      <c r="B104" s="143" t="s">
        <v>5405</v>
      </c>
      <c r="C104" s="143" t="s">
        <v>5448</v>
      </c>
      <c r="D104" s="9" t="s">
        <v>5449</v>
      </c>
      <c r="E104" s="6" t="s">
        <v>5408</v>
      </c>
      <c r="F104" s="8">
        <v>2023</v>
      </c>
      <c r="G104" s="8">
        <v>2023</v>
      </c>
      <c r="H104" s="8">
        <v>6</v>
      </c>
      <c r="I104" s="6" t="s">
        <v>5298</v>
      </c>
      <c r="J104" s="488">
        <v>7000000</v>
      </c>
      <c r="K104" s="458">
        <v>6992000</v>
      </c>
      <c r="L104" s="6" t="s">
        <v>3091</v>
      </c>
      <c r="M104" s="8">
        <v>3</v>
      </c>
      <c r="N104" s="7"/>
      <c r="O104" s="9" t="s">
        <v>3223</v>
      </c>
      <c r="P104" s="241"/>
      <c r="Q104" s="15" t="s">
        <v>4951</v>
      </c>
      <c r="R104" s="8">
        <v>6833162</v>
      </c>
      <c r="S104" s="7" t="s">
        <v>139</v>
      </c>
      <c r="T104" s="162" t="s">
        <v>2031</v>
      </c>
      <c r="U104" s="109">
        <f t="shared" si="13"/>
        <v>2330666.6666666665</v>
      </c>
      <c r="V104" s="6" t="s">
        <v>3093</v>
      </c>
      <c r="W104" s="6" t="s">
        <v>3286</v>
      </c>
      <c r="X104" s="6" t="s">
        <v>3216</v>
      </c>
      <c r="Y104" s="8">
        <v>8140</v>
      </c>
      <c r="Z104" s="8">
        <v>72019</v>
      </c>
      <c r="AA104" s="6">
        <v>6839500</v>
      </c>
      <c r="AB104" s="11" t="s">
        <v>2671</v>
      </c>
      <c r="AC104" s="6" t="s">
        <v>36</v>
      </c>
      <c r="AD104" s="57">
        <f t="shared" si="10"/>
        <v>2330666.6666666665</v>
      </c>
      <c r="AE104" s="6" t="s">
        <v>171</v>
      </c>
      <c r="AF104" s="6" t="s">
        <v>3286</v>
      </c>
      <c r="AG104" s="6" t="s">
        <v>3216</v>
      </c>
      <c r="AH104" s="8">
        <v>6837723</v>
      </c>
      <c r="AI104" s="10" t="s">
        <v>2672</v>
      </c>
      <c r="AJ104" s="6" t="s">
        <v>187</v>
      </c>
      <c r="AK104" s="57">
        <f t="shared" si="14"/>
        <v>2330666.6666666665</v>
      </c>
      <c r="AL104" s="6" t="s">
        <v>171</v>
      </c>
      <c r="AM104" s="6" t="s">
        <v>3286</v>
      </c>
      <c r="AN104" s="6" t="s">
        <v>3216</v>
      </c>
      <c r="AO104" s="241"/>
      <c r="AP104" s="241"/>
      <c r="AQ104" s="241"/>
      <c r="AR104" s="299"/>
      <c r="AS104" s="241"/>
      <c r="AT104" s="241"/>
      <c r="AU104" s="241"/>
      <c r="AV104" s="241"/>
      <c r="AW104" s="241"/>
      <c r="AX104" s="241"/>
      <c r="AY104" s="299"/>
      <c r="AZ104" s="241"/>
      <c r="BA104" s="241"/>
      <c r="BB104" s="241"/>
      <c r="BC104" s="241"/>
      <c r="BD104" s="241"/>
      <c r="BE104" s="241"/>
      <c r="BF104" s="299"/>
      <c r="BG104" s="241"/>
      <c r="BH104" s="241"/>
      <c r="BI104" s="241"/>
      <c r="BJ104" s="241"/>
      <c r="BK104" s="241"/>
      <c r="BL104" s="241"/>
      <c r="BM104" s="299"/>
      <c r="BN104" s="241"/>
      <c r="BO104" s="241"/>
      <c r="BP104" s="241"/>
      <c r="BQ104" s="241"/>
      <c r="BR104" s="160" t="s">
        <v>3190</v>
      </c>
      <c r="BS104" s="163" t="s">
        <v>3191</v>
      </c>
      <c r="BT104" s="304"/>
      <c r="BU104" s="9"/>
      <c r="BV104" s="304"/>
      <c r="BW104" s="9"/>
      <c r="BX104" s="304"/>
      <c r="BY104" s="9"/>
      <c r="BZ104" s="241"/>
      <c r="CA104" s="241"/>
      <c r="CB104" s="241"/>
      <c r="CC104" s="241"/>
      <c r="CD104" s="241"/>
      <c r="CE104" s="241"/>
      <c r="CF104" s="241"/>
      <c r="CG104" s="241"/>
      <c r="CH104" s="241"/>
      <c r="CI104" s="241"/>
      <c r="CJ104" s="7" t="s">
        <v>5450</v>
      </c>
      <c r="CK104" s="7" t="s">
        <v>5451</v>
      </c>
      <c r="CL104" s="7" t="s">
        <v>5452</v>
      </c>
      <c r="CM104" s="241"/>
      <c r="CN104" s="241"/>
      <c r="CO104" s="241"/>
    </row>
    <row r="105" spans="1:97" ht="36">
      <c r="A105" s="298">
        <v>29</v>
      </c>
      <c r="B105" s="143" t="s">
        <v>5405</v>
      </c>
      <c r="C105" s="143" t="s">
        <v>5453</v>
      </c>
      <c r="D105" s="9" t="s">
        <v>5454</v>
      </c>
      <c r="E105" s="6" t="s">
        <v>5408</v>
      </c>
      <c r="F105" s="8">
        <v>2023</v>
      </c>
      <c r="G105" s="8">
        <v>2023</v>
      </c>
      <c r="H105" s="8">
        <v>6</v>
      </c>
      <c r="I105" s="6" t="s">
        <v>5298</v>
      </c>
      <c r="J105" s="486">
        <v>6961000</v>
      </c>
      <c r="K105" s="458">
        <v>7000000</v>
      </c>
      <c r="L105" s="6" t="s">
        <v>3091</v>
      </c>
      <c r="M105" s="8">
        <v>3</v>
      </c>
      <c r="N105" s="7"/>
      <c r="O105" s="9" t="s">
        <v>3223</v>
      </c>
      <c r="P105" s="241"/>
      <c r="Q105" s="15" t="s">
        <v>4951</v>
      </c>
      <c r="R105" s="8">
        <v>6760392</v>
      </c>
      <c r="S105" s="7" t="s">
        <v>75</v>
      </c>
      <c r="T105" s="162" t="s">
        <v>948</v>
      </c>
      <c r="U105" s="109">
        <f t="shared" si="13"/>
        <v>2333333.3333333335</v>
      </c>
      <c r="V105" s="6" t="s">
        <v>175</v>
      </c>
      <c r="W105" s="6" t="s">
        <v>3286</v>
      </c>
      <c r="X105" s="6" t="s">
        <v>3216</v>
      </c>
      <c r="Y105" s="8">
        <v>8140</v>
      </c>
      <c r="Z105" s="8">
        <v>72019</v>
      </c>
      <c r="AA105" s="8">
        <v>6806664</v>
      </c>
      <c r="AB105" s="162" t="s">
        <v>2333</v>
      </c>
      <c r="AC105" s="6" t="s">
        <v>121</v>
      </c>
      <c r="AD105" s="57">
        <f t="shared" si="10"/>
        <v>2333333.3333333335</v>
      </c>
      <c r="AE105" s="6" t="s">
        <v>175</v>
      </c>
      <c r="AF105" s="6" t="s">
        <v>3286</v>
      </c>
      <c r="AG105" s="6" t="s">
        <v>3216</v>
      </c>
      <c r="AH105" s="8">
        <v>6793410</v>
      </c>
      <c r="AI105" s="10" t="s">
        <v>947</v>
      </c>
      <c r="AJ105" s="6" t="s">
        <v>79</v>
      </c>
      <c r="AK105" s="57">
        <f t="shared" si="14"/>
        <v>2333333.3333333335</v>
      </c>
      <c r="AL105" s="6" t="s">
        <v>175</v>
      </c>
      <c r="AM105" s="6" t="s">
        <v>3286</v>
      </c>
      <c r="AN105" s="6" t="s">
        <v>3216</v>
      </c>
      <c r="AO105" s="241"/>
      <c r="AP105" s="241"/>
      <c r="AQ105" s="241"/>
      <c r="AR105" s="299"/>
      <c r="AS105" s="241"/>
      <c r="AT105" s="241"/>
      <c r="AU105" s="241"/>
      <c r="AV105" s="241"/>
      <c r="AW105" s="241"/>
      <c r="AX105" s="241"/>
      <c r="AY105" s="299"/>
      <c r="AZ105" s="241"/>
      <c r="BA105" s="241"/>
      <c r="BB105" s="241"/>
      <c r="BC105" s="241"/>
      <c r="BD105" s="241"/>
      <c r="BE105" s="241"/>
      <c r="BF105" s="299"/>
      <c r="BG105" s="241"/>
      <c r="BH105" s="241"/>
      <c r="BI105" s="241"/>
      <c r="BJ105" s="241"/>
      <c r="BK105" s="241"/>
      <c r="BL105" s="241"/>
      <c r="BM105" s="299"/>
      <c r="BN105" s="241"/>
      <c r="BO105" s="241"/>
      <c r="BP105" s="241"/>
      <c r="BQ105" s="241"/>
      <c r="BR105" s="160" t="s">
        <v>3190</v>
      </c>
      <c r="BS105" s="163" t="s">
        <v>3191</v>
      </c>
      <c r="BT105" s="304"/>
      <c r="BU105" s="9"/>
      <c r="BV105" s="304"/>
      <c r="BW105" s="9"/>
      <c r="BX105" s="304"/>
      <c r="BY105" s="9"/>
      <c r="BZ105" s="241"/>
      <c r="CA105" s="241"/>
      <c r="CB105" s="241"/>
      <c r="CC105" s="241"/>
      <c r="CD105" s="241"/>
      <c r="CE105" s="241"/>
      <c r="CF105" s="241"/>
      <c r="CG105" s="241"/>
      <c r="CH105" s="241"/>
      <c r="CI105" s="241"/>
      <c r="CJ105" s="7" t="s">
        <v>5455</v>
      </c>
      <c r="CK105" s="7" t="s">
        <v>5456</v>
      </c>
      <c r="CL105" s="7" t="s">
        <v>5452</v>
      </c>
      <c r="CM105" s="241" t="s">
        <v>5447</v>
      </c>
      <c r="CN105" s="241"/>
      <c r="CO105" s="241"/>
    </row>
    <row r="106" spans="1:97" ht="36">
      <c r="A106" s="8">
        <v>30</v>
      </c>
      <c r="B106" s="143" t="s">
        <v>5405</v>
      </c>
      <c r="C106" s="143" t="s">
        <v>5457</v>
      </c>
      <c r="D106" s="9" t="s">
        <v>5458</v>
      </c>
      <c r="E106" s="6" t="s">
        <v>5140</v>
      </c>
      <c r="F106" s="8">
        <v>2023</v>
      </c>
      <c r="G106" s="8">
        <v>2023</v>
      </c>
      <c r="H106" s="8">
        <v>6</v>
      </c>
      <c r="I106" s="6" t="s">
        <v>5298</v>
      </c>
      <c r="J106" s="486">
        <v>17000000</v>
      </c>
      <c r="K106" s="458">
        <v>16940000</v>
      </c>
      <c r="L106" s="6" t="s">
        <v>3091</v>
      </c>
      <c r="M106" s="8">
        <v>5</v>
      </c>
      <c r="N106" s="7"/>
      <c r="O106" s="9" t="s">
        <v>3223</v>
      </c>
      <c r="P106" s="241"/>
      <c r="Q106" s="15" t="s">
        <v>4951</v>
      </c>
      <c r="R106" s="8">
        <v>6658755</v>
      </c>
      <c r="S106" s="7" t="s">
        <v>32</v>
      </c>
      <c r="T106" s="162" t="s">
        <v>1901</v>
      </c>
      <c r="U106" s="109">
        <f t="shared" si="13"/>
        <v>5646666.666666667</v>
      </c>
      <c r="V106" s="6" t="s">
        <v>164</v>
      </c>
      <c r="W106" s="6" t="s">
        <v>3286</v>
      </c>
      <c r="X106" s="6" t="s">
        <v>3216</v>
      </c>
      <c r="Y106" s="8">
        <v>8140</v>
      </c>
      <c r="Z106" s="8">
        <v>72019</v>
      </c>
      <c r="AA106" s="8">
        <v>6680628</v>
      </c>
      <c r="AB106" s="10" t="s">
        <v>1007</v>
      </c>
      <c r="AC106" s="6" t="s">
        <v>5459</v>
      </c>
      <c r="AD106" s="57">
        <f t="shared" si="10"/>
        <v>5646666.666666667</v>
      </c>
      <c r="AE106" s="6" t="s">
        <v>164</v>
      </c>
      <c r="AF106" s="6" t="s">
        <v>3286</v>
      </c>
      <c r="AG106" s="6" t="s">
        <v>3216</v>
      </c>
      <c r="AH106" s="8">
        <v>6833033</v>
      </c>
      <c r="AI106" s="10" t="s">
        <v>2023</v>
      </c>
      <c r="AJ106" s="6" t="s">
        <v>188</v>
      </c>
      <c r="AK106" s="57">
        <f t="shared" si="14"/>
        <v>5646666.666666667</v>
      </c>
      <c r="AL106" s="6" t="s">
        <v>166</v>
      </c>
      <c r="AM106" s="6" t="s">
        <v>3286</v>
      </c>
      <c r="AN106" s="6" t="s">
        <v>3216</v>
      </c>
      <c r="AO106" s="241"/>
      <c r="AP106" s="241"/>
      <c r="AQ106" s="241"/>
      <c r="AR106" s="299"/>
      <c r="AS106" s="241"/>
      <c r="AT106" s="241"/>
      <c r="AU106" s="241"/>
      <c r="AV106" s="241"/>
      <c r="AW106" s="241"/>
      <c r="AX106" s="241"/>
      <c r="AY106" s="299"/>
      <c r="AZ106" s="241"/>
      <c r="BA106" s="241"/>
      <c r="BB106" s="241"/>
      <c r="BC106" s="241"/>
      <c r="BD106" s="241"/>
      <c r="BE106" s="241"/>
      <c r="BF106" s="299"/>
      <c r="BG106" s="241"/>
      <c r="BH106" s="241"/>
      <c r="BI106" s="241"/>
      <c r="BJ106" s="241"/>
      <c r="BK106" s="241"/>
      <c r="BL106" s="241"/>
      <c r="BM106" s="299"/>
      <c r="BN106" s="241"/>
      <c r="BO106" s="241"/>
      <c r="BP106" s="241"/>
      <c r="BQ106" s="241"/>
      <c r="BR106" s="160" t="s">
        <v>3190</v>
      </c>
      <c r="BS106" s="163" t="s">
        <v>3191</v>
      </c>
      <c r="BT106" s="304"/>
      <c r="BU106" s="9"/>
      <c r="BV106" s="304"/>
      <c r="BW106" s="9"/>
      <c r="BX106" s="304"/>
      <c r="BY106" s="9"/>
      <c r="BZ106" s="241"/>
      <c r="CA106" s="241"/>
      <c r="CB106" s="241"/>
      <c r="CC106" s="241"/>
      <c r="CD106" s="241"/>
      <c r="CE106" s="241"/>
      <c r="CF106" s="241"/>
      <c r="CG106" s="241"/>
      <c r="CH106" s="241"/>
      <c r="CI106" s="241"/>
      <c r="CJ106" s="7" t="s">
        <v>5460</v>
      </c>
      <c r="CK106" s="7" t="s">
        <v>5418</v>
      </c>
      <c r="CL106" s="7" t="s">
        <v>5009</v>
      </c>
      <c r="CM106" s="241"/>
      <c r="CN106" s="241"/>
      <c r="CO106" s="241"/>
    </row>
    <row r="107" spans="1:97" ht="36">
      <c r="A107" s="8">
        <v>31</v>
      </c>
      <c r="B107" s="143" t="s">
        <v>5461</v>
      </c>
      <c r="C107" s="143" t="s">
        <v>5462</v>
      </c>
      <c r="D107" s="9" t="s">
        <v>5463</v>
      </c>
      <c r="E107" s="6" t="s">
        <v>5464</v>
      </c>
      <c r="F107" s="8">
        <v>2023</v>
      </c>
      <c r="G107" s="8">
        <v>2023</v>
      </c>
      <c r="H107" s="8">
        <v>6</v>
      </c>
      <c r="I107" s="6" t="s">
        <v>5289</v>
      </c>
      <c r="J107" s="458">
        <v>7000000</v>
      </c>
      <c r="K107" s="458">
        <v>7000000</v>
      </c>
      <c r="L107" s="6" t="s">
        <v>3091</v>
      </c>
      <c r="M107" s="8">
        <v>3</v>
      </c>
      <c r="N107" s="6" t="s">
        <v>5465</v>
      </c>
      <c r="O107" s="9" t="s">
        <v>3223</v>
      </c>
      <c r="P107" s="8" t="s">
        <v>3215</v>
      </c>
      <c r="Q107" s="15" t="s">
        <v>4951</v>
      </c>
      <c r="R107" s="8">
        <v>6826739</v>
      </c>
      <c r="S107" s="7" t="s">
        <v>50</v>
      </c>
      <c r="T107" s="10" t="s">
        <v>2307</v>
      </c>
      <c r="U107" s="109">
        <f t="shared" si="13"/>
        <v>2333333.3333333335</v>
      </c>
      <c r="V107" s="6" t="s">
        <v>160</v>
      </c>
      <c r="W107" s="6" t="s">
        <v>3281</v>
      </c>
      <c r="X107" s="6" t="s">
        <v>3216</v>
      </c>
      <c r="Y107" s="8">
        <v>8140</v>
      </c>
      <c r="Z107" s="8">
        <v>72019</v>
      </c>
      <c r="AA107" s="241">
        <v>6859382</v>
      </c>
      <c r="AB107" s="242" t="s">
        <v>2343</v>
      </c>
      <c r="AC107" s="6" t="s">
        <v>184</v>
      </c>
      <c r="AD107" s="57">
        <f t="shared" si="10"/>
        <v>2333333.3333333335</v>
      </c>
      <c r="AE107" s="6" t="s">
        <v>166</v>
      </c>
      <c r="AF107" s="6" t="s">
        <v>3286</v>
      </c>
      <c r="AG107" s="6" t="s">
        <v>3216</v>
      </c>
      <c r="AH107" s="8">
        <v>6795859</v>
      </c>
      <c r="AI107" s="162" t="s">
        <v>1672</v>
      </c>
      <c r="AJ107" s="6" t="s">
        <v>56</v>
      </c>
      <c r="AK107" s="57">
        <f t="shared" si="14"/>
        <v>2333333.3333333335</v>
      </c>
      <c r="AL107" s="6" t="s">
        <v>160</v>
      </c>
      <c r="AM107" s="6" t="s">
        <v>3281</v>
      </c>
      <c r="AN107" s="6" t="s">
        <v>3216</v>
      </c>
      <c r="AO107" s="241"/>
      <c r="AP107" s="241"/>
      <c r="AQ107" s="241"/>
      <c r="AR107" s="299"/>
      <c r="AS107" s="241"/>
      <c r="AT107" s="241"/>
      <c r="AU107" s="241"/>
      <c r="AV107" s="241"/>
      <c r="AW107" s="241"/>
      <c r="AX107" s="241"/>
      <c r="AY107" s="299"/>
      <c r="AZ107" s="241"/>
      <c r="BA107" s="241"/>
      <c r="BB107" s="241"/>
      <c r="BC107" s="241"/>
      <c r="BD107" s="241"/>
      <c r="BE107" s="241"/>
      <c r="BF107" s="299"/>
      <c r="BG107" s="241"/>
      <c r="BH107" s="241"/>
      <c r="BI107" s="241"/>
      <c r="BJ107" s="241"/>
      <c r="BK107" s="241"/>
      <c r="BL107" s="241"/>
      <c r="BM107" s="299"/>
      <c r="BN107" s="241"/>
      <c r="BO107" s="241"/>
      <c r="BP107" s="241"/>
      <c r="BQ107" s="241"/>
      <c r="BR107" s="160" t="s">
        <v>3190</v>
      </c>
      <c r="BS107" s="160" t="s">
        <v>3191</v>
      </c>
      <c r="BT107" s="304"/>
      <c r="BU107" s="9"/>
      <c r="BV107" s="304"/>
      <c r="BW107" s="9"/>
      <c r="BX107" s="304"/>
      <c r="BY107" s="9"/>
      <c r="BZ107" s="241"/>
      <c r="CA107" s="241"/>
      <c r="CB107" s="241"/>
      <c r="CC107" s="241"/>
      <c r="CD107" s="241"/>
      <c r="CE107" s="241"/>
      <c r="CF107" s="241"/>
      <c r="CG107" s="241"/>
      <c r="CH107" s="241"/>
      <c r="CI107" s="241"/>
      <c r="CJ107" s="241"/>
      <c r="CK107" s="241"/>
      <c r="CL107" s="241"/>
      <c r="CM107" s="241"/>
      <c r="CN107" s="241"/>
      <c r="CO107" s="241"/>
      <c r="CP107" s="136"/>
      <c r="CQ107" s="136"/>
      <c r="CR107" s="136"/>
      <c r="CS107" s="136"/>
    </row>
    <row r="108" spans="1:97" ht="36">
      <c r="A108" s="169">
        <v>32</v>
      </c>
      <c r="B108" s="143" t="s">
        <v>5461</v>
      </c>
      <c r="C108" s="327" t="s">
        <v>5466</v>
      </c>
      <c r="D108" s="166" t="s">
        <v>5467</v>
      </c>
      <c r="E108" s="165" t="s">
        <v>5464</v>
      </c>
      <c r="F108" s="135">
        <v>2023</v>
      </c>
      <c r="G108" s="135">
        <v>2023</v>
      </c>
      <c r="H108" s="135">
        <v>6</v>
      </c>
      <c r="I108" s="165" t="s">
        <v>5289</v>
      </c>
      <c r="J108" s="465">
        <v>7000000</v>
      </c>
      <c r="K108" s="465">
        <v>7000000</v>
      </c>
      <c r="L108" s="165" t="s">
        <v>3091</v>
      </c>
      <c r="M108" s="514">
        <v>3</v>
      </c>
      <c r="N108" s="165" t="s">
        <v>5465</v>
      </c>
      <c r="O108" s="9" t="s">
        <v>3223</v>
      </c>
      <c r="P108" s="135" t="s">
        <v>3215</v>
      </c>
      <c r="Q108" s="15" t="s">
        <v>4951</v>
      </c>
      <c r="R108" s="135">
        <v>6680641</v>
      </c>
      <c r="S108" s="171" t="s">
        <v>92</v>
      </c>
      <c r="T108" s="168" t="s">
        <v>1794</v>
      </c>
      <c r="U108" s="245">
        <f t="shared" si="13"/>
        <v>2333333.3333333335</v>
      </c>
      <c r="V108" s="165" t="s">
        <v>151</v>
      </c>
      <c r="W108" s="165" t="s">
        <v>3281</v>
      </c>
      <c r="X108" s="165" t="s">
        <v>3216</v>
      </c>
      <c r="Y108" s="8">
        <v>8140</v>
      </c>
      <c r="Z108" s="8">
        <v>72019</v>
      </c>
      <c r="AA108" s="246">
        <v>6843797</v>
      </c>
      <c r="AB108" s="247" t="s">
        <v>2418</v>
      </c>
      <c r="AC108" s="165" t="s">
        <v>190</v>
      </c>
      <c r="AD108" s="238">
        <f t="shared" si="10"/>
        <v>2333333.3333333335</v>
      </c>
      <c r="AE108" s="165" t="s">
        <v>151</v>
      </c>
      <c r="AF108" s="165" t="s">
        <v>3281</v>
      </c>
      <c r="AG108" s="165" t="s">
        <v>3216</v>
      </c>
      <c r="AH108" s="135">
        <v>258471</v>
      </c>
      <c r="AI108" s="168" t="s">
        <v>3504</v>
      </c>
      <c r="AJ108" s="165" t="s">
        <v>5468</v>
      </c>
      <c r="AK108" s="238">
        <f t="shared" si="14"/>
        <v>2333333.3333333335</v>
      </c>
      <c r="AL108" s="165" t="s">
        <v>155</v>
      </c>
      <c r="AM108" s="165" t="s">
        <v>3281</v>
      </c>
      <c r="AN108" s="165" t="s">
        <v>3216</v>
      </c>
      <c r="AO108" s="246"/>
      <c r="AP108" s="246"/>
      <c r="AQ108" s="246"/>
      <c r="AR108" s="307"/>
      <c r="AS108" s="246"/>
      <c r="AT108" s="246"/>
      <c r="AU108" s="246"/>
      <c r="AV108" s="246"/>
      <c r="AW108" s="246"/>
      <c r="AX108" s="246"/>
      <c r="AY108" s="307"/>
      <c r="AZ108" s="246"/>
      <c r="BA108" s="246"/>
      <c r="BB108" s="246"/>
      <c r="BC108" s="246"/>
      <c r="BD108" s="246"/>
      <c r="BE108" s="246"/>
      <c r="BF108" s="307"/>
      <c r="BG108" s="246"/>
      <c r="BH108" s="246"/>
      <c r="BI108" s="246"/>
      <c r="BJ108" s="246"/>
      <c r="BK108" s="246"/>
      <c r="BL108" s="246"/>
      <c r="BM108" s="307"/>
      <c r="BN108" s="246"/>
      <c r="BO108" s="246"/>
      <c r="BP108" s="246"/>
      <c r="BQ108" s="246"/>
      <c r="BR108" s="160" t="s">
        <v>3190</v>
      </c>
      <c r="BS108" s="160" t="s">
        <v>3191</v>
      </c>
      <c r="BT108" s="306"/>
      <c r="BU108" s="166"/>
      <c r="BV108" s="306"/>
      <c r="BW108" s="166"/>
      <c r="BX108" s="306"/>
      <c r="BY108" s="166"/>
      <c r="BZ108" s="246"/>
      <c r="CA108" s="246"/>
      <c r="CB108" s="246"/>
      <c r="CC108" s="246"/>
      <c r="CD108" s="246"/>
      <c r="CE108" s="246"/>
      <c r="CF108" s="246"/>
      <c r="CG108" s="246"/>
      <c r="CH108" s="246"/>
      <c r="CI108" s="246"/>
      <c r="CJ108" s="246"/>
      <c r="CK108" s="246"/>
      <c r="CL108" s="246"/>
      <c r="CM108" s="246"/>
      <c r="CN108" s="246"/>
      <c r="CO108" s="246"/>
    </row>
    <row r="109" spans="1:97" ht="36">
      <c r="A109" s="8">
        <v>33</v>
      </c>
      <c r="B109" s="143" t="s">
        <v>5461</v>
      </c>
      <c r="C109" s="146" t="s">
        <v>5469</v>
      </c>
      <c r="D109" s="9" t="s">
        <v>5470</v>
      </c>
      <c r="E109" s="6" t="s">
        <v>5464</v>
      </c>
      <c r="F109" s="8">
        <v>2023</v>
      </c>
      <c r="G109" s="8">
        <v>2023</v>
      </c>
      <c r="H109" s="8">
        <v>6</v>
      </c>
      <c r="I109" s="6" t="s">
        <v>5289</v>
      </c>
      <c r="J109" s="458">
        <v>7000000</v>
      </c>
      <c r="K109" s="458">
        <v>7000000</v>
      </c>
      <c r="L109" s="6" t="s">
        <v>3091</v>
      </c>
      <c r="M109" s="207">
        <v>3</v>
      </c>
      <c r="N109" s="6" t="s">
        <v>5465</v>
      </c>
      <c r="O109" s="9" t="s">
        <v>3223</v>
      </c>
      <c r="P109" s="8" t="s">
        <v>3215</v>
      </c>
      <c r="Q109" s="15" t="s">
        <v>4951</v>
      </c>
      <c r="R109" s="8">
        <v>6833162</v>
      </c>
      <c r="S109" s="7" t="s">
        <v>139</v>
      </c>
      <c r="T109" s="162" t="s">
        <v>2031</v>
      </c>
      <c r="U109" s="109">
        <f t="shared" si="13"/>
        <v>2333333.3333333335</v>
      </c>
      <c r="V109" s="6" t="s">
        <v>3093</v>
      </c>
      <c r="W109" s="6" t="s">
        <v>3286</v>
      </c>
      <c r="X109" s="6" t="s">
        <v>3216</v>
      </c>
      <c r="Y109" s="8">
        <v>8140</v>
      </c>
      <c r="Z109" s="8">
        <v>72019</v>
      </c>
      <c r="AA109" s="6">
        <v>6839500</v>
      </c>
      <c r="AB109" s="11" t="s">
        <v>2671</v>
      </c>
      <c r="AC109" s="6" t="s">
        <v>36</v>
      </c>
      <c r="AD109" s="57">
        <f t="shared" si="10"/>
        <v>2333333.3333333335</v>
      </c>
      <c r="AE109" s="6" t="s">
        <v>171</v>
      </c>
      <c r="AF109" s="6" t="s">
        <v>3286</v>
      </c>
      <c r="AG109" s="6" t="s">
        <v>3216</v>
      </c>
      <c r="AH109" s="8">
        <v>6837723</v>
      </c>
      <c r="AI109" s="10" t="s">
        <v>2672</v>
      </c>
      <c r="AJ109" s="6" t="s">
        <v>187</v>
      </c>
      <c r="AK109" s="57">
        <f t="shared" si="14"/>
        <v>2333333.3333333335</v>
      </c>
      <c r="AL109" s="6" t="s">
        <v>171</v>
      </c>
      <c r="AM109" s="6" t="s">
        <v>3286</v>
      </c>
      <c r="AN109" s="6" t="s">
        <v>3216</v>
      </c>
      <c r="AO109" s="241"/>
      <c r="AP109" s="241"/>
      <c r="AQ109" s="241"/>
      <c r="AR109" s="299"/>
      <c r="AS109" s="241"/>
      <c r="AT109" s="241"/>
      <c r="AU109" s="241"/>
      <c r="AV109" s="241"/>
      <c r="AW109" s="241"/>
      <c r="AX109" s="241"/>
      <c r="AY109" s="299"/>
      <c r="AZ109" s="241"/>
      <c r="BA109" s="241"/>
      <c r="BB109" s="241"/>
      <c r="BC109" s="241"/>
      <c r="BD109" s="241"/>
      <c r="BE109" s="241"/>
      <c r="BF109" s="299"/>
      <c r="BG109" s="241"/>
      <c r="BH109" s="241"/>
      <c r="BI109" s="241"/>
      <c r="BJ109" s="241"/>
      <c r="BK109" s="241"/>
      <c r="BL109" s="241"/>
      <c r="BM109" s="299"/>
      <c r="BN109" s="241"/>
      <c r="BO109" s="241"/>
      <c r="BP109" s="241"/>
      <c r="BQ109" s="241"/>
      <c r="BR109" s="160" t="s">
        <v>3190</v>
      </c>
      <c r="BS109" s="163" t="s">
        <v>3191</v>
      </c>
      <c r="BT109" s="304"/>
      <c r="BU109" s="9"/>
      <c r="BV109" s="304"/>
      <c r="BW109" s="9"/>
      <c r="BX109" s="304"/>
      <c r="BY109" s="9"/>
      <c r="BZ109" s="241"/>
      <c r="CA109" s="241"/>
      <c r="CB109" s="241"/>
      <c r="CC109" s="241"/>
      <c r="CD109" s="241"/>
      <c r="CE109" s="241"/>
      <c r="CF109" s="241"/>
      <c r="CG109" s="241"/>
      <c r="CH109" s="241"/>
      <c r="CI109" s="241"/>
      <c r="CJ109" s="7" t="s">
        <v>5294</v>
      </c>
      <c r="CK109" s="241"/>
      <c r="CL109" s="241"/>
      <c r="CM109" s="241" t="s">
        <v>5148</v>
      </c>
      <c r="CN109" s="241"/>
      <c r="CO109" s="241"/>
    </row>
    <row r="110" spans="1:97" ht="36">
      <c r="A110" s="8">
        <v>34</v>
      </c>
      <c r="B110" s="143" t="s">
        <v>5461</v>
      </c>
      <c r="C110" s="143" t="s">
        <v>5471</v>
      </c>
      <c r="D110" s="9" t="s">
        <v>5472</v>
      </c>
      <c r="E110" s="6" t="s">
        <v>5464</v>
      </c>
      <c r="F110" s="8">
        <v>2023</v>
      </c>
      <c r="G110" s="8">
        <v>2023</v>
      </c>
      <c r="H110" s="8">
        <v>6</v>
      </c>
      <c r="I110" s="33" t="s">
        <v>5473</v>
      </c>
      <c r="J110" s="458">
        <v>7000000</v>
      </c>
      <c r="K110" s="458">
        <v>7000000</v>
      </c>
      <c r="L110" s="6" t="s">
        <v>3091</v>
      </c>
      <c r="M110" s="207">
        <v>1</v>
      </c>
      <c r="N110" s="6" t="s">
        <v>5465</v>
      </c>
      <c r="O110" s="9" t="s">
        <v>3223</v>
      </c>
      <c r="P110" s="8" t="s">
        <v>3215</v>
      </c>
      <c r="Q110" s="15" t="s">
        <v>4951</v>
      </c>
      <c r="R110" s="8">
        <v>6826743</v>
      </c>
      <c r="S110" s="7" t="s">
        <v>45</v>
      </c>
      <c r="T110" s="162" t="s">
        <v>1880</v>
      </c>
      <c r="U110" s="109">
        <f t="shared" si="13"/>
        <v>2333333.3333333335</v>
      </c>
      <c r="V110" s="6" t="s">
        <v>160</v>
      </c>
      <c r="W110" s="6" t="s">
        <v>3281</v>
      </c>
      <c r="X110" s="6" t="s">
        <v>3216</v>
      </c>
      <c r="Y110" s="8">
        <v>8140</v>
      </c>
      <c r="Z110" s="8">
        <v>72019</v>
      </c>
      <c r="AA110" s="6">
        <v>6826739</v>
      </c>
      <c r="AB110" s="11" t="s">
        <v>2307</v>
      </c>
      <c r="AC110" s="6" t="s">
        <v>5474</v>
      </c>
      <c r="AD110" s="57">
        <f t="shared" si="10"/>
        <v>2333333.3333333335</v>
      </c>
      <c r="AE110" s="6" t="s">
        <v>160</v>
      </c>
      <c r="AF110" s="6" t="s">
        <v>3281</v>
      </c>
      <c r="AG110" s="6" t="s">
        <v>3216</v>
      </c>
      <c r="AH110" s="8">
        <v>6825598</v>
      </c>
      <c r="AI110" s="162" t="s">
        <v>1774</v>
      </c>
      <c r="AJ110" s="6" t="s">
        <v>186</v>
      </c>
      <c r="AK110" s="57">
        <f t="shared" si="14"/>
        <v>2333333.3333333335</v>
      </c>
      <c r="AL110" s="6" t="s">
        <v>156</v>
      </c>
      <c r="AM110" s="6" t="s">
        <v>3286</v>
      </c>
      <c r="AN110" s="6" t="s">
        <v>3216</v>
      </c>
      <c r="AO110" s="241"/>
      <c r="AP110" s="241"/>
      <c r="AQ110" s="241"/>
      <c r="AR110" s="299"/>
      <c r="AS110" s="241"/>
      <c r="AT110" s="241"/>
      <c r="AU110" s="241"/>
      <c r="AV110" s="241"/>
      <c r="AW110" s="241"/>
      <c r="AX110" s="241"/>
      <c r="AY110" s="299"/>
      <c r="AZ110" s="241"/>
      <c r="BA110" s="241"/>
      <c r="BB110" s="241"/>
      <c r="BC110" s="241"/>
      <c r="BD110" s="241"/>
      <c r="BE110" s="241"/>
      <c r="BF110" s="299"/>
      <c r="BG110" s="241"/>
      <c r="BH110" s="241"/>
      <c r="BI110" s="241"/>
      <c r="BJ110" s="241"/>
      <c r="BK110" s="241"/>
      <c r="BL110" s="241"/>
      <c r="BM110" s="299"/>
      <c r="BN110" s="241"/>
      <c r="BO110" s="241"/>
      <c r="BP110" s="241"/>
      <c r="BQ110" s="241"/>
      <c r="BR110" s="160" t="s">
        <v>3190</v>
      </c>
      <c r="BS110" s="160" t="s">
        <v>3191</v>
      </c>
      <c r="BT110" s="304"/>
      <c r="BU110" s="9"/>
      <c r="BV110" s="304"/>
      <c r="BW110" s="9"/>
      <c r="BX110" s="304"/>
      <c r="BY110" s="9"/>
      <c r="BZ110" s="241"/>
      <c r="CA110" s="241"/>
      <c r="CB110" s="241"/>
      <c r="CC110" s="241"/>
      <c r="CD110" s="241"/>
      <c r="CE110" s="241"/>
      <c r="CF110" s="241"/>
      <c r="CG110" s="241"/>
      <c r="CH110" s="241"/>
      <c r="CI110" s="241"/>
      <c r="CJ110" s="241"/>
      <c r="CK110" s="241"/>
      <c r="CL110" s="241"/>
      <c r="CM110" s="241"/>
      <c r="CN110" s="241"/>
      <c r="CO110" s="241"/>
      <c r="CP110" s="27"/>
      <c r="CQ110" s="27"/>
      <c r="CR110" s="27"/>
      <c r="CS110" s="27"/>
    </row>
    <row r="111" spans="1:97" ht="36">
      <c r="A111" s="8">
        <v>35</v>
      </c>
      <c r="B111" s="143" t="s">
        <v>5475</v>
      </c>
      <c r="C111" s="182" t="s">
        <v>5476</v>
      </c>
      <c r="D111" s="9" t="s">
        <v>5477</v>
      </c>
      <c r="E111" s="6" t="s">
        <v>5464</v>
      </c>
      <c r="F111" s="8">
        <v>2023</v>
      </c>
      <c r="G111" s="8">
        <v>2023</v>
      </c>
      <c r="H111" s="8">
        <v>3</v>
      </c>
      <c r="I111" s="6" t="s">
        <v>5298</v>
      </c>
      <c r="J111" s="458">
        <v>7432000</v>
      </c>
      <c r="K111" s="458">
        <v>7000000</v>
      </c>
      <c r="L111" s="6" t="s">
        <v>3091</v>
      </c>
      <c r="M111" s="207">
        <v>4</v>
      </c>
      <c r="N111" s="6" t="s">
        <v>5465</v>
      </c>
      <c r="O111" s="9" t="s">
        <v>3223</v>
      </c>
      <c r="P111" s="8" t="s">
        <v>3215</v>
      </c>
      <c r="Q111" s="15" t="s">
        <v>4951</v>
      </c>
      <c r="R111" s="164" t="s">
        <v>5478</v>
      </c>
      <c r="S111" s="7" t="s">
        <v>8</v>
      </c>
      <c r="T111" s="164" t="s">
        <v>1017</v>
      </c>
      <c r="U111" s="109">
        <f t="shared" si="13"/>
        <v>2333333.3333333335</v>
      </c>
      <c r="V111" s="33" t="s">
        <v>172</v>
      </c>
      <c r="W111" s="6" t="s">
        <v>3281</v>
      </c>
      <c r="X111" s="6" t="s">
        <v>3216</v>
      </c>
      <c r="Y111" s="8">
        <v>8140</v>
      </c>
      <c r="Z111" s="8">
        <v>72019</v>
      </c>
      <c r="AA111" s="33">
        <v>6787821</v>
      </c>
      <c r="AB111" s="164" t="s">
        <v>1756</v>
      </c>
      <c r="AC111" s="33" t="s">
        <v>43</v>
      </c>
      <c r="AD111" s="236">
        <f t="shared" si="10"/>
        <v>2333333.3333333335</v>
      </c>
      <c r="AE111" s="6" t="s">
        <v>172</v>
      </c>
      <c r="AF111" s="6" t="s">
        <v>3281</v>
      </c>
      <c r="AG111" s="6" t="s">
        <v>3216</v>
      </c>
      <c r="AH111" s="33">
        <v>6784457</v>
      </c>
      <c r="AI111" s="164" t="s">
        <v>1754</v>
      </c>
      <c r="AJ111" s="33" t="s">
        <v>44</v>
      </c>
      <c r="AK111" s="236">
        <f>AD111</f>
        <v>2333333.3333333335</v>
      </c>
      <c r="AL111" s="6" t="s">
        <v>172</v>
      </c>
      <c r="AM111" s="6" t="s">
        <v>3281</v>
      </c>
      <c r="AN111" s="6" t="s">
        <v>3216</v>
      </c>
      <c r="AO111" s="33"/>
      <c r="AP111" s="33"/>
      <c r="AQ111" s="33"/>
      <c r="AR111" s="233"/>
      <c r="AS111" s="33"/>
      <c r="AT111" s="33"/>
      <c r="AU111" s="33"/>
      <c r="AV111" s="33"/>
      <c r="AW111" s="33"/>
      <c r="AX111" s="33"/>
      <c r="AY111" s="233"/>
      <c r="AZ111" s="33"/>
      <c r="BA111" s="33"/>
      <c r="BB111" s="33"/>
      <c r="BC111" s="33"/>
      <c r="BD111" s="33"/>
      <c r="BE111" s="33"/>
      <c r="BF111" s="233"/>
      <c r="BG111" s="33"/>
      <c r="BH111" s="33"/>
      <c r="BI111" s="33"/>
      <c r="BJ111" s="33"/>
      <c r="BK111" s="33"/>
      <c r="BL111" s="33"/>
      <c r="BM111" s="233"/>
      <c r="BN111" s="33"/>
      <c r="BO111" s="33"/>
      <c r="BP111" s="33"/>
      <c r="BQ111" s="33"/>
      <c r="BR111" s="160" t="s">
        <v>3190</v>
      </c>
      <c r="BS111" s="160" t="s">
        <v>3191</v>
      </c>
      <c r="BT111" s="7" t="s">
        <v>1936</v>
      </c>
      <c r="BU111" s="33"/>
      <c r="BV111" s="7" t="s">
        <v>5479</v>
      </c>
      <c r="BW111" s="33"/>
      <c r="BX111" s="33" t="s">
        <v>2137</v>
      </c>
      <c r="BY111" s="33"/>
      <c r="BZ111" s="7" t="s">
        <v>5480</v>
      </c>
      <c r="CA111" s="33"/>
      <c r="CB111" s="33"/>
      <c r="CC111" s="33"/>
      <c r="CD111" s="33"/>
      <c r="CE111" s="33"/>
      <c r="CF111" s="33"/>
      <c r="CG111" s="33"/>
      <c r="CH111" s="33"/>
      <c r="CI111" s="33"/>
      <c r="CJ111" s="7" t="s">
        <v>3251</v>
      </c>
      <c r="CK111" s="7"/>
      <c r="CL111" s="7" t="s">
        <v>4991</v>
      </c>
      <c r="CM111" s="33"/>
      <c r="CN111" s="33"/>
      <c r="CO111" s="33"/>
      <c r="CP111" s="147"/>
      <c r="CQ111" s="147"/>
      <c r="CR111" s="147"/>
      <c r="CS111" s="147"/>
    </row>
    <row r="112" spans="1:97" ht="36">
      <c r="A112" s="169">
        <v>36</v>
      </c>
      <c r="B112" s="143" t="s">
        <v>5475</v>
      </c>
      <c r="C112" s="330" t="s">
        <v>5481</v>
      </c>
      <c r="D112" s="4" t="s">
        <v>5482</v>
      </c>
      <c r="E112" s="165" t="s">
        <v>5464</v>
      </c>
      <c r="F112" s="135">
        <v>2023</v>
      </c>
      <c r="G112" s="135">
        <v>2023</v>
      </c>
      <c r="H112" s="135">
        <v>3</v>
      </c>
      <c r="I112" s="165" t="s">
        <v>5289</v>
      </c>
      <c r="J112" s="465">
        <v>7000000</v>
      </c>
      <c r="K112" s="465">
        <v>7000000</v>
      </c>
      <c r="L112" s="165" t="s">
        <v>3091</v>
      </c>
      <c r="M112" s="514">
        <v>3</v>
      </c>
      <c r="N112" s="165" t="s">
        <v>5465</v>
      </c>
      <c r="O112" s="9" t="s">
        <v>3223</v>
      </c>
      <c r="P112" s="135" t="s">
        <v>3215</v>
      </c>
      <c r="Q112" s="15" t="s">
        <v>4951</v>
      </c>
      <c r="R112" s="167">
        <v>6680618</v>
      </c>
      <c r="S112" s="171" t="s">
        <v>24</v>
      </c>
      <c r="T112" s="170" t="s">
        <v>1737</v>
      </c>
      <c r="U112" s="245">
        <f t="shared" si="13"/>
        <v>2333333.3333333335</v>
      </c>
      <c r="V112" s="165" t="s">
        <v>160</v>
      </c>
      <c r="W112" s="165" t="s">
        <v>3281</v>
      </c>
      <c r="X112" s="165" t="s">
        <v>3216</v>
      </c>
      <c r="Y112" s="135">
        <v>8140</v>
      </c>
      <c r="Z112" s="135">
        <v>72019</v>
      </c>
      <c r="AA112" s="167">
        <v>6681051</v>
      </c>
      <c r="AB112" s="170" t="s">
        <v>1657</v>
      </c>
      <c r="AC112" s="167" t="s">
        <v>6</v>
      </c>
      <c r="AD112" s="248">
        <f t="shared" si="10"/>
        <v>2333333.3333333335</v>
      </c>
      <c r="AE112" s="165" t="s">
        <v>160</v>
      </c>
      <c r="AF112" s="165" t="s">
        <v>3281</v>
      </c>
      <c r="AG112" s="165" t="s">
        <v>3216</v>
      </c>
      <c r="AH112" s="167">
        <v>6681205</v>
      </c>
      <c r="AI112" s="170" t="s">
        <v>1705</v>
      </c>
      <c r="AJ112" s="167" t="s">
        <v>48</v>
      </c>
      <c r="AK112" s="248">
        <f>AD112</f>
        <v>2333333.3333333335</v>
      </c>
      <c r="AL112" s="165" t="s">
        <v>156</v>
      </c>
      <c r="AM112" s="165" t="s">
        <v>3286</v>
      </c>
      <c r="AN112" s="165" t="s">
        <v>3216</v>
      </c>
      <c r="AO112" s="167"/>
      <c r="AP112" s="167"/>
      <c r="AQ112" s="167"/>
      <c r="AR112" s="249"/>
      <c r="AS112" s="167"/>
      <c r="AT112" s="167"/>
      <c r="AU112" s="167"/>
      <c r="AV112" s="167"/>
      <c r="AW112" s="167"/>
      <c r="AX112" s="167"/>
      <c r="AY112" s="249"/>
      <c r="AZ112" s="167"/>
      <c r="BA112" s="167"/>
      <c r="BB112" s="167"/>
      <c r="BC112" s="167"/>
      <c r="BD112" s="167"/>
      <c r="BE112" s="167"/>
      <c r="BF112" s="249"/>
      <c r="BG112" s="167"/>
      <c r="BH112" s="167"/>
      <c r="BI112" s="167"/>
      <c r="BJ112" s="167"/>
      <c r="BK112" s="167"/>
      <c r="BL112" s="167"/>
      <c r="BM112" s="249"/>
      <c r="BN112" s="167"/>
      <c r="BO112" s="167"/>
      <c r="BP112" s="167"/>
      <c r="BQ112" s="167"/>
      <c r="BR112" s="160" t="s">
        <v>3190</v>
      </c>
      <c r="BS112" s="163" t="s">
        <v>3191</v>
      </c>
      <c r="BT112" s="171" t="s">
        <v>5483</v>
      </c>
      <c r="BU112" s="167"/>
      <c r="BV112" s="167" t="s">
        <v>5484</v>
      </c>
      <c r="BW112" s="167"/>
      <c r="BX112" s="167"/>
      <c r="BY112" s="167"/>
      <c r="BZ112" s="167"/>
      <c r="CA112" s="167"/>
      <c r="CB112" s="167"/>
      <c r="CC112" s="167"/>
      <c r="CD112" s="167"/>
      <c r="CE112" s="167"/>
      <c r="CF112" s="167"/>
      <c r="CG112" s="167"/>
      <c r="CH112" s="167"/>
      <c r="CI112" s="167"/>
      <c r="CJ112" s="167" t="s">
        <v>5294</v>
      </c>
      <c r="CK112" s="167" t="s">
        <v>5485</v>
      </c>
      <c r="CL112" s="167" t="s">
        <v>5486</v>
      </c>
      <c r="CM112" s="167"/>
      <c r="CN112" s="167"/>
      <c r="CO112" s="167"/>
      <c r="CP112" s="129"/>
      <c r="CQ112" s="129"/>
      <c r="CR112" s="129"/>
      <c r="CS112" s="129"/>
    </row>
    <row r="113" spans="1:97" ht="36">
      <c r="A113" s="8">
        <v>37</v>
      </c>
      <c r="B113" s="6" t="s">
        <v>942</v>
      </c>
      <c r="C113" s="6" t="s">
        <v>942</v>
      </c>
      <c r="D113" s="9" t="s">
        <v>5487</v>
      </c>
      <c r="E113" s="8" t="s">
        <v>5276</v>
      </c>
      <c r="F113" s="135">
        <v>2023</v>
      </c>
      <c r="G113" s="135">
        <v>2023</v>
      </c>
      <c r="H113" s="8">
        <v>6</v>
      </c>
      <c r="I113" s="6" t="s">
        <v>5298</v>
      </c>
      <c r="J113" s="466" t="s">
        <v>5488</v>
      </c>
      <c r="K113" s="466" t="s">
        <v>5488</v>
      </c>
      <c r="L113" s="165" t="s">
        <v>3091</v>
      </c>
      <c r="M113" s="8">
        <v>6</v>
      </c>
      <c r="N113" s="6" t="s">
        <v>5489</v>
      </c>
      <c r="O113" s="9" t="s">
        <v>3223</v>
      </c>
      <c r="P113" s="8"/>
      <c r="Q113" s="15" t="s">
        <v>4993</v>
      </c>
      <c r="R113" s="8">
        <v>6859016</v>
      </c>
      <c r="S113" s="7" t="s">
        <v>3126</v>
      </c>
      <c r="T113" s="162" t="s">
        <v>2497</v>
      </c>
      <c r="U113" s="292"/>
      <c r="V113" s="165" t="s">
        <v>155</v>
      </c>
      <c r="W113" s="165" t="s">
        <v>3281</v>
      </c>
      <c r="X113" s="165" t="s">
        <v>3216</v>
      </c>
      <c r="Y113" s="135">
        <v>8140</v>
      </c>
      <c r="Z113" s="135">
        <v>72019</v>
      </c>
      <c r="AA113" s="8">
        <v>258471</v>
      </c>
      <c r="AB113" s="162" t="s">
        <v>3504</v>
      </c>
      <c r="AC113" s="9" t="s">
        <v>60</v>
      </c>
      <c r="AD113" s="292"/>
      <c r="AE113" s="8" t="s">
        <v>155</v>
      </c>
      <c r="AF113" s="165" t="s">
        <v>3281</v>
      </c>
      <c r="AG113" s="165" t="s">
        <v>3216</v>
      </c>
      <c r="AH113" s="8">
        <v>6680612</v>
      </c>
      <c r="AI113" s="162" t="s">
        <v>960</v>
      </c>
      <c r="AJ113" s="6" t="s">
        <v>19</v>
      </c>
      <c r="AK113" s="292"/>
      <c r="AL113" s="6" t="s">
        <v>155</v>
      </c>
      <c r="AM113" s="6" t="s">
        <v>3224</v>
      </c>
      <c r="AN113" s="6" t="s">
        <v>3216</v>
      </c>
      <c r="AO113" s="8"/>
      <c r="AP113" s="8"/>
      <c r="AQ113" s="8"/>
      <c r="AR113" s="292"/>
      <c r="AS113" s="8"/>
      <c r="AT113" s="8"/>
      <c r="AU113" s="8"/>
      <c r="AV113" s="8"/>
      <c r="AW113" s="8"/>
      <c r="AX113" s="8"/>
      <c r="AY113" s="292"/>
      <c r="AZ113" s="8"/>
      <c r="BA113" s="8"/>
      <c r="BB113" s="8"/>
      <c r="BC113" s="8"/>
      <c r="BD113" s="8"/>
      <c r="BE113" s="8"/>
      <c r="BF113" s="292"/>
      <c r="BG113" s="8"/>
      <c r="BH113" s="8"/>
      <c r="BI113" s="8"/>
      <c r="BJ113" s="8"/>
      <c r="BK113" s="8"/>
      <c r="BL113" s="8"/>
      <c r="BM113" s="292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147"/>
      <c r="CQ113" s="147"/>
      <c r="CR113" s="147"/>
      <c r="CS113" s="147"/>
    </row>
    <row r="114" spans="1:97" ht="36">
      <c r="A114" s="169">
        <v>38</v>
      </c>
      <c r="B114" s="143" t="s">
        <v>5490</v>
      </c>
      <c r="C114" s="6" t="s">
        <v>942</v>
      </c>
      <c r="D114" s="166" t="s">
        <v>5491</v>
      </c>
      <c r="E114" s="165" t="s">
        <v>5276</v>
      </c>
      <c r="F114" s="135">
        <v>2023</v>
      </c>
      <c r="G114" s="135">
        <v>2023</v>
      </c>
      <c r="H114" s="135">
        <v>9</v>
      </c>
      <c r="I114" s="165" t="s">
        <v>5298</v>
      </c>
      <c r="J114" s="465">
        <v>30000000</v>
      </c>
      <c r="K114" s="465">
        <v>30000000</v>
      </c>
      <c r="L114" s="165" t="s">
        <v>3091</v>
      </c>
      <c r="M114" s="514"/>
      <c r="N114" s="165" t="s">
        <v>5489</v>
      </c>
      <c r="O114" s="166" t="s">
        <v>3077</v>
      </c>
      <c r="P114" s="135" t="s">
        <v>3215</v>
      </c>
      <c r="Q114" s="6" t="s">
        <v>4239</v>
      </c>
      <c r="R114" s="8">
        <v>258471</v>
      </c>
      <c r="S114" s="171" t="s">
        <v>60</v>
      </c>
      <c r="T114" s="162" t="s">
        <v>3504</v>
      </c>
      <c r="U114" s="245">
        <f t="shared" ref="U114:U120" si="15">K114/6</f>
        <v>5000000</v>
      </c>
      <c r="V114" s="165" t="s">
        <v>155</v>
      </c>
      <c r="W114" s="165" t="s">
        <v>3281</v>
      </c>
      <c r="X114" s="165" t="s">
        <v>3216</v>
      </c>
      <c r="Y114" s="135">
        <v>8140</v>
      </c>
      <c r="Z114" s="135">
        <v>72019</v>
      </c>
      <c r="AA114" s="13">
        <v>6680612</v>
      </c>
      <c r="AB114" s="16" t="s">
        <v>960</v>
      </c>
      <c r="AC114" s="167" t="s">
        <v>19</v>
      </c>
      <c r="AD114" s="248">
        <f t="shared" ref="AD114:AD120" si="16">K114/6</f>
        <v>5000000</v>
      </c>
      <c r="AE114" s="8" t="s">
        <v>155</v>
      </c>
      <c r="AF114" s="165" t="s">
        <v>3281</v>
      </c>
      <c r="AG114" s="165" t="s">
        <v>3216</v>
      </c>
      <c r="AH114" s="13">
        <v>6680651</v>
      </c>
      <c r="AI114" s="16" t="s">
        <v>1016</v>
      </c>
      <c r="AJ114" s="167" t="s">
        <v>12</v>
      </c>
      <c r="AK114" s="248">
        <f t="shared" ref="AK114:AK120" si="17">K114/6</f>
        <v>5000000</v>
      </c>
      <c r="AL114" s="6" t="s">
        <v>155</v>
      </c>
      <c r="AM114" s="165" t="s">
        <v>3281</v>
      </c>
      <c r="AN114" s="6" t="s">
        <v>3216</v>
      </c>
      <c r="AO114" s="167">
        <v>6680631</v>
      </c>
      <c r="AP114" s="170" t="s">
        <v>1770</v>
      </c>
      <c r="AQ114" s="167" t="s">
        <v>77</v>
      </c>
      <c r="AR114" s="248">
        <f t="shared" ref="AR114:AR120" si="18">K114/6</f>
        <v>5000000</v>
      </c>
      <c r="AS114" s="6" t="s">
        <v>155</v>
      </c>
      <c r="AT114" s="165" t="s">
        <v>3281</v>
      </c>
      <c r="AU114" s="6" t="s">
        <v>3216</v>
      </c>
      <c r="AV114" s="167">
        <v>6898606</v>
      </c>
      <c r="AW114" s="170" t="s">
        <v>2460</v>
      </c>
      <c r="AX114" s="167" t="s">
        <v>198</v>
      </c>
      <c r="AY114" s="248">
        <f t="shared" ref="AY114:AY120" si="19">K114/6</f>
        <v>5000000</v>
      </c>
      <c r="AZ114" s="165" t="s">
        <v>151</v>
      </c>
      <c r="BA114" s="165" t="s">
        <v>3281</v>
      </c>
      <c r="BB114" s="6" t="s">
        <v>3216</v>
      </c>
      <c r="BC114" s="167"/>
      <c r="BD114" s="170" t="s">
        <v>1963</v>
      </c>
      <c r="BE114" s="513" t="s">
        <v>140</v>
      </c>
      <c r="BF114" s="248">
        <f t="shared" ref="BF114:BF120" si="20">K114/6</f>
        <v>5000000</v>
      </c>
      <c r="BG114" s="6" t="s">
        <v>155</v>
      </c>
      <c r="BH114" s="165" t="s">
        <v>3281</v>
      </c>
      <c r="BI114" s="6" t="s">
        <v>3216</v>
      </c>
      <c r="BJ114" s="167"/>
      <c r="BK114" s="167"/>
      <c r="BL114" s="167"/>
      <c r="BM114" s="249"/>
      <c r="BN114" s="167"/>
      <c r="BO114" s="167"/>
      <c r="BP114" s="167"/>
      <c r="BQ114" s="167"/>
      <c r="BR114" s="160"/>
      <c r="BS114" s="8"/>
      <c r="BT114" s="171"/>
      <c r="BU114" s="167"/>
      <c r="BV114" s="167"/>
      <c r="BW114" s="167"/>
      <c r="BX114" s="167"/>
      <c r="BY114" s="167"/>
      <c r="BZ114" s="167"/>
      <c r="CA114" s="167"/>
      <c r="CB114" s="167"/>
      <c r="CC114" s="167"/>
      <c r="CD114" s="167"/>
      <c r="CE114" s="167"/>
      <c r="CF114" s="167"/>
      <c r="CG114" s="167"/>
      <c r="CH114" s="167"/>
      <c r="CI114" s="167"/>
      <c r="CJ114" s="167"/>
      <c r="CK114" s="167"/>
      <c r="CL114" s="167"/>
      <c r="CM114" s="167"/>
      <c r="CN114" s="167"/>
      <c r="CO114" s="167"/>
      <c r="CP114" s="147"/>
      <c r="CQ114" s="147"/>
      <c r="CR114" s="147"/>
      <c r="CS114" s="147"/>
    </row>
    <row r="115" spans="1:97" ht="36">
      <c r="A115" s="169">
        <v>39</v>
      </c>
      <c r="B115" s="143" t="s">
        <v>5492</v>
      </c>
      <c r="C115" s="6" t="s">
        <v>942</v>
      </c>
      <c r="D115" s="166" t="s">
        <v>5493</v>
      </c>
      <c r="E115" s="165" t="s">
        <v>5276</v>
      </c>
      <c r="F115" s="135">
        <v>2023</v>
      </c>
      <c r="G115" s="135">
        <v>2023</v>
      </c>
      <c r="H115" s="135">
        <v>9</v>
      </c>
      <c r="I115" s="165" t="s">
        <v>5298</v>
      </c>
      <c r="J115" s="465">
        <v>10000000</v>
      </c>
      <c r="K115" s="465">
        <v>10000000</v>
      </c>
      <c r="L115" s="165" t="s">
        <v>3091</v>
      </c>
      <c r="M115" s="514"/>
      <c r="N115" s="165" t="s">
        <v>5489</v>
      </c>
      <c r="O115" s="166" t="s">
        <v>3077</v>
      </c>
      <c r="P115" s="135" t="s">
        <v>3215</v>
      </c>
      <c r="Q115" s="6" t="s">
        <v>4239</v>
      </c>
      <c r="R115" s="135">
        <v>6898606</v>
      </c>
      <c r="S115" s="171" t="s">
        <v>198</v>
      </c>
      <c r="T115" s="135">
        <v>7700018303</v>
      </c>
      <c r="U115" s="245">
        <f t="shared" si="15"/>
        <v>1666666.6666666667</v>
      </c>
      <c r="V115" s="165" t="s">
        <v>151</v>
      </c>
      <c r="W115" s="165" t="s">
        <v>3281</v>
      </c>
      <c r="X115" s="165" t="s">
        <v>3216</v>
      </c>
      <c r="Y115" s="135">
        <v>8140</v>
      </c>
      <c r="Z115" s="135">
        <v>72019</v>
      </c>
      <c r="AA115" s="246">
        <v>6843797</v>
      </c>
      <c r="AB115" s="247" t="s">
        <v>2418</v>
      </c>
      <c r="AC115" s="167" t="s">
        <v>190</v>
      </c>
      <c r="AD115" s="248">
        <f t="shared" si="16"/>
        <v>1666666.6666666667</v>
      </c>
      <c r="AE115" s="165" t="s">
        <v>151</v>
      </c>
      <c r="AF115" s="165" t="s">
        <v>3281</v>
      </c>
      <c r="AG115" s="165" t="s">
        <v>3216</v>
      </c>
      <c r="AH115" s="138">
        <v>210955</v>
      </c>
      <c r="AI115" s="140" t="s">
        <v>2404</v>
      </c>
      <c r="AJ115" s="167" t="s">
        <v>97</v>
      </c>
      <c r="AK115" s="248">
        <f t="shared" si="17"/>
        <v>1666666.6666666667</v>
      </c>
      <c r="AL115" s="165" t="s">
        <v>151</v>
      </c>
      <c r="AM115" s="165" t="s">
        <v>3281</v>
      </c>
      <c r="AN115" s="6" t="s">
        <v>3216</v>
      </c>
      <c r="AO115" s="167"/>
      <c r="AP115" s="170" t="s">
        <v>1963</v>
      </c>
      <c r="AQ115" s="513" t="s">
        <v>140</v>
      </c>
      <c r="AR115" s="248">
        <f t="shared" si="18"/>
        <v>1666666.6666666667</v>
      </c>
      <c r="AS115" s="6" t="s">
        <v>155</v>
      </c>
      <c r="AT115" s="165" t="s">
        <v>3281</v>
      </c>
      <c r="AU115" s="6" t="s">
        <v>3216</v>
      </c>
      <c r="AV115" s="167">
        <v>258471</v>
      </c>
      <c r="AW115" s="170" t="s">
        <v>3504</v>
      </c>
      <c r="AX115" s="167" t="s">
        <v>60</v>
      </c>
      <c r="AY115" s="248">
        <f t="shared" si="19"/>
        <v>1666666.6666666667</v>
      </c>
      <c r="AZ115" s="6" t="s">
        <v>155</v>
      </c>
      <c r="BA115" s="165" t="s">
        <v>3281</v>
      </c>
      <c r="BB115" s="6" t="s">
        <v>3216</v>
      </c>
      <c r="BC115" s="167">
        <v>6868847</v>
      </c>
      <c r="BD115" s="170" t="s">
        <v>2393</v>
      </c>
      <c r="BE115" s="167" t="s">
        <v>195</v>
      </c>
      <c r="BF115" s="248">
        <f t="shared" si="20"/>
        <v>1666666.6666666667</v>
      </c>
      <c r="BG115" s="167" t="s">
        <v>164</v>
      </c>
      <c r="BH115" s="165" t="s">
        <v>3286</v>
      </c>
      <c r="BI115" s="6" t="s">
        <v>3216</v>
      </c>
      <c r="BJ115" s="167"/>
      <c r="BK115" s="167"/>
      <c r="BL115" s="167"/>
      <c r="BM115" s="249"/>
      <c r="BN115" s="167"/>
      <c r="BO115" s="167"/>
      <c r="BP115" s="167"/>
      <c r="BQ115" s="167"/>
      <c r="BR115" s="160"/>
      <c r="BS115" s="8"/>
      <c r="BT115" s="171"/>
      <c r="BU115" s="167"/>
      <c r="BV115" s="167"/>
      <c r="BW115" s="167"/>
      <c r="BX115" s="167"/>
      <c r="BY115" s="167"/>
      <c r="BZ115" s="167"/>
      <c r="CA115" s="167"/>
      <c r="CB115" s="167"/>
      <c r="CC115" s="167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  <c r="CO115" s="167"/>
      <c r="CP115" s="147"/>
      <c r="CQ115" s="147"/>
      <c r="CR115" s="147"/>
      <c r="CS115" s="147"/>
    </row>
    <row r="116" spans="1:97" ht="36">
      <c r="A116" s="169">
        <v>40</v>
      </c>
      <c r="B116" s="143" t="s">
        <v>5494</v>
      </c>
      <c r="C116" s="6" t="s">
        <v>942</v>
      </c>
      <c r="D116" s="166" t="s">
        <v>5495</v>
      </c>
      <c r="E116" s="165" t="s">
        <v>5276</v>
      </c>
      <c r="F116" s="135">
        <v>2023</v>
      </c>
      <c r="G116" s="135">
        <v>2023</v>
      </c>
      <c r="H116" s="135">
        <v>9</v>
      </c>
      <c r="I116" s="165" t="s">
        <v>5298</v>
      </c>
      <c r="J116" s="465">
        <v>30000000</v>
      </c>
      <c r="K116" s="465">
        <v>30000000</v>
      </c>
      <c r="L116" s="165" t="s">
        <v>3091</v>
      </c>
      <c r="M116" s="514"/>
      <c r="N116" s="165" t="s">
        <v>5489</v>
      </c>
      <c r="O116" s="166" t="s">
        <v>3077</v>
      </c>
      <c r="P116" s="135" t="s">
        <v>3215</v>
      </c>
      <c r="Q116" s="6" t="s">
        <v>4239</v>
      </c>
      <c r="R116" s="8">
        <v>6680633</v>
      </c>
      <c r="S116" s="171" t="s">
        <v>18</v>
      </c>
      <c r="T116" s="190" t="s">
        <v>3322</v>
      </c>
      <c r="U116" s="245">
        <f t="shared" si="15"/>
        <v>5000000</v>
      </c>
      <c r="V116" s="165" t="s">
        <v>156</v>
      </c>
      <c r="W116" s="165" t="s">
        <v>3281</v>
      </c>
      <c r="X116" s="165" t="s">
        <v>3216</v>
      </c>
      <c r="Y116" s="135">
        <v>8140</v>
      </c>
      <c r="Z116" s="135">
        <v>72019</v>
      </c>
      <c r="AA116" s="241">
        <v>6801945</v>
      </c>
      <c r="AB116" s="242" t="s">
        <v>1723</v>
      </c>
      <c r="AC116" s="167" t="s">
        <v>134</v>
      </c>
      <c r="AD116" s="248">
        <f t="shared" si="16"/>
        <v>5000000</v>
      </c>
      <c r="AE116" s="165" t="s">
        <v>156</v>
      </c>
      <c r="AF116" s="165" t="s">
        <v>3286</v>
      </c>
      <c r="AG116" s="165" t="s">
        <v>3216</v>
      </c>
      <c r="AH116" s="6">
        <v>6833162</v>
      </c>
      <c r="AI116" s="6">
        <v>701069701</v>
      </c>
      <c r="AJ116" s="167" t="s">
        <v>139</v>
      </c>
      <c r="AK116" s="248">
        <f t="shared" si="17"/>
        <v>5000000</v>
      </c>
      <c r="AL116" s="165" t="s">
        <v>3093</v>
      </c>
      <c r="AM116" s="165" t="s">
        <v>3286</v>
      </c>
      <c r="AN116" s="6" t="s">
        <v>3216</v>
      </c>
      <c r="AO116" s="167">
        <v>6793410</v>
      </c>
      <c r="AP116" s="170" t="s">
        <v>947</v>
      </c>
      <c r="AQ116" s="167" t="s">
        <v>79</v>
      </c>
      <c r="AR116" s="248">
        <f t="shared" si="18"/>
        <v>5000000</v>
      </c>
      <c r="AS116" s="165" t="s">
        <v>175</v>
      </c>
      <c r="AT116" s="165" t="s">
        <v>3286</v>
      </c>
      <c r="AU116" s="6" t="s">
        <v>3216</v>
      </c>
      <c r="AV116" s="167">
        <v>6859016</v>
      </c>
      <c r="AW116" s="170" t="s">
        <v>2497</v>
      </c>
      <c r="AX116" s="167" t="s">
        <v>52</v>
      </c>
      <c r="AY116" s="248">
        <f t="shared" si="19"/>
        <v>5000000</v>
      </c>
      <c r="AZ116" s="6" t="s">
        <v>155</v>
      </c>
      <c r="BA116" s="165" t="s">
        <v>3281</v>
      </c>
      <c r="BB116" s="6" t="s">
        <v>3216</v>
      </c>
      <c r="BC116" s="167"/>
      <c r="BD116" s="170" t="s">
        <v>1963</v>
      </c>
      <c r="BE116" s="513" t="s">
        <v>140</v>
      </c>
      <c r="BF116" s="248">
        <f t="shared" si="20"/>
        <v>5000000</v>
      </c>
      <c r="BG116" s="6" t="s">
        <v>155</v>
      </c>
      <c r="BH116" s="165" t="s">
        <v>3281</v>
      </c>
      <c r="BI116" s="6" t="s">
        <v>3216</v>
      </c>
      <c r="BJ116" s="167"/>
      <c r="BK116" s="167"/>
      <c r="BL116" s="167"/>
      <c r="BM116" s="249"/>
      <c r="BN116" s="167"/>
      <c r="BO116" s="167"/>
      <c r="BP116" s="167"/>
      <c r="BQ116" s="167"/>
      <c r="BR116" s="160"/>
      <c r="BS116" s="8"/>
      <c r="BT116" s="171"/>
      <c r="BU116" s="167"/>
      <c r="BV116" s="167"/>
      <c r="BW116" s="167"/>
      <c r="BX116" s="167"/>
      <c r="BY116" s="167"/>
      <c r="BZ116" s="167"/>
      <c r="CA116" s="167"/>
      <c r="CB116" s="167"/>
      <c r="CC116" s="167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  <c r="CO116" s="167"/>
      <c r="CP116" s="147"/>
      <c r="CQ116" s="147"/>
      <c r="CR116" s="147"/>
      <c r="CS116" s="147"/>
    </row>
    <row r="117" spans="1:97" ht="36">
      <c r="A117" s="169">
        <v>41</v>
      </c>
      <c r="B117" s="143" t="s">
        <v>5496</v>
      </c>
      <c r="C117" s="6" t="s">
        <v>942</v>
      </c>
      <c r="D117" s="166" t="s">
        <v>5497</v>
      </c>
      <c r="E117" s="165" t="s">
        <v>5276</v>
      </c>
      <c r="F117" s="135">
        <v>2023</v>
      </c>
      <c r="G117" s="135">
        <v>2023</v>
      </c>
      <c r="H117" s="135">
        <v>9</v>
      </c>
      <c r="I117" s="165" t="s">
        <v>5298</v>
      </c>
      <c r="J117" s="465">
        <v>46586600</v>
      </c>
      <c r="K117" s="465">
        <v>46586600</v>
      </c>
      <c r="L117" s="165" t="s">
        <v>3091</v>
      </c>
      <c r="M117" s="514"/>
      <c r="N117" s="165" t="s">
        <v>5489</v>
      </c>
      <c r="O117" s="166" t="s">
        <v>3077</v>
      </c>
      <c r="P117" s="135" t="s">
        <v>3215</v>
      </c>
      <c r="Q117" s="6" t="s">
        <v>4239</v>
      </c>
      <c r="R117" s="8">
        <v>6680633</v>
      </c>
      <c r="S117" s="171" t="s">
        <v>18</v>
      </c>
      <c r="T117" s="190" t="s">
        <v>3322</v>
      </c>
      <c r="U117" s="245">
        <f t="shared" si="15"/>
        <v>7764433.333333333</v>
      </c>
      <c r="V117" s="165" t="s">
        <v>156</v>
      </c>
      <c r="W117" s="165" t="s">
        <v>3286</v>
      </c>
      <c r="X117" s="165" t="s">
        <v>3216</v>
      </c>
      <c r="Y117" s="135">
        <v>8140</v>
      </c>
      <c r="Z117" s="135">
        <v>72019</v>
      </c>
      <c r="AA117" s="167">
        <v>6679083</v>
      </c>
      <c r="AB117" s="170" t="s">
        <v>2292</v>
      </c>
      <c r="AC117" s="167" t="s">
        <v>163</v>
      </c>
      <c r="AD117" s="248">
        <f t="shared" si="16"/>
        <v>7764433.333333333</v>
      </c>
      <c r="AE117" s="165" t="s">
        <v>156</v>
      </c>
      <c r="AF117" s="165" t="s">
        <v>3286</v>
      </c>
      <c r="AG117" s="165" t="s">
        <v>3216</v>
      </c>
      <c r="AH117" s="8">
        <v>6760392</v>
      </c>
      <c r="AI117" s="10" t="s">
        <v>948</v>
      </c>
      <c r="AJ117" s="167" t="s">
        <v>75</v>
      </c>
      <c r="AK117" s="248">
        <f t="shared" si="17"/>
        <v>7764433.333333333</v>
      </c>
      <c r="AL117" s="165" t="s">
        <v>175</v>
      </c>
      <c r="AM117" s="165" t="s">
        <v>3286</v>
      </c>
      <c r="AN117" s="6" t="s">
        <v>3216</v>
      </c>
      <c r="AO117" s="167">
        <v>6680680</v>
      </c>
      <c r="AP117" s="170" t="s">
        <v>959</v>
      </c>
      <c r="AQ117" s="167" t="s">
        <v>9</v>
      </c>
      <c r="AR117" s="248">
        <f t="shared" si="18"/>
        <v>7764433.333333333</v>
      </c>
      <c r="AS117" s="165" t="s">
        <v>156</v>
      </c>
      <c r="AT117" s="165" t="s">
        <v>3286</v>
      </c>
      <c r="AU117" s="6" t="s">
        <v>3216</v>
      </c>
      <c r="AV117" s="167">
        <v>6843087</v>
      </c>
      <c r="AW117" s="170" t="s">
        <v>2010</v>
      </c>
      <c r="AX117" s="167" t="s">
        <v>41</v>
      </c>
      <c r="AY117" s="248">
        <f t="shared" si="19"/>
        <v>7764433.333333333</v>
      </c>
      <c r="AZ117" s="167" t="s">
        <v>166</v>
      </c>
      <c r="BA117" s="165" t="s">
        <v>3286</v>
      </c>
      <c r="BB117" s="6" t="s">
        <v>3216</v>
      </c>
      <c r="BC117" s="167"/>
      <c r="BD117" s="170" t="s">
        <v>1963</v>
      </c>
      <c r="BE117" s="513" t="s">
        <v>140</v>
      </c>
      <c r="BF117" s="248">
        <f t="shared" si="20"/>
        <v>7764433.333333333</v>
      </c>
      <c r="BG117" s="6" t="s">
        <v>155</v>
      </c>
      <c r="BH117" s="165" t="s">
        <v>3281</v>
      </c>
      <c r="BI117" s="6" t="s">
        <v>3216</v>
      </c>
      <c r="BJ117" s="167"/>
      <c r="BK117" s="167"/>
      <c r="BL117" s="167"/>
      <c r="BM117" s="249"/>
      <c r="BN117" s="167"/>
      <c r="BO117" s="167"/>
      <c r="BP117" s="167"/>
      <c r="BQ117" s="167"/>
      <c r="BR117" s="160"/>
      <c r="BS117" s="8"/>
      <c r="BT117" s="171"/>
      <c r="BU117" s="167"/>
      <c r="BV117" s="167"/>
      <c r="BW117" s="167"/>
      <c r="BX117" s="167"/>
      <c r="BY117" s="167"/>
      <c r="BZ117" s="167"/>
      <c r="CA117" s="167"/>
      <c r="CB117" s="167"/>
      <c r="CC117" s="167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7"/>
      <c r="CP117" s="147"/>
      <c r="CQ117" s="147"/>
      <c r="CR117" s="147"/>
      <c r="CS117" s="147"/>
    </row>
    <row r="118" spans="1:97" ht="36">
      <c r="A118" s="169">
        <v>42</v>
      </c>
      <c r="B118" s="143" t="s">
        <v>5498</v>
      </c>
      <c r="C118" s="6" t="s">
        <v>942</v>
      </c>
      <c r="D118" s="166" t="s">
        <v>5499</v>
      </c>
      <c r="E118" s="165" t="s">
        <v>5276</v>
      </c>
      <c r="F118" s="135">
        <v>2023</v>
      </c>
      <c r="G118" s="135">
        <v>2023</v>
      </c>
      <c r="H118" s="135">
        <v>9</v>
      </c>
      <c r="I118" s="165" t="s">
        <v>5298</v>
      </c>
      <c r="J118" s="465">
        <v>400000000</v>
      </c>
      <c r="K118" s="465">
        <v>400000000</v>
      </c>
      <c r="L118" s="165" t="s">
        <v>3091</v>
      </c>
      <c r="M118" s="514"/>
      <c r="N118" s="165" t="s">
        <v>5489</v>
      </c>
      <c r="O118" s="166" t="s">
        <v>3077</v>
      </c>
      <c r="P118" s="135" t="s">
        <v>3215</v>
      </c>
      <c r="Q118" s="6" t="s">
        <v>4239</v>
      </c>
      <c r="R118" s="8">
        <v>6859016</v>
      </c>
      <c r="S118" s="7" t="s">
        <v>3126</v>
      </c>
      <c r="T118" s="162" t="s">
        <v>2497</v>
      </c>
      <c r="U118" s="245">
        <f t="shared" si="15"/>
        <v>66666666.666666664</v>
      </c>
      <c r="V118" s="165" t="s">
        <v>155</v>
      </c>
      <c r="W118" s="165" t="s">
        <v>3281</v>
      </c>
      <c r="X118" s="165" t="s">
        <v>3216</v>
      </c>
      <c r="Y118" s="135">
        <v>8140</v>
      </c>
      <c r="Z118" s="135">
        <v>72019</v>
      </c>
      <c r="AA118" s="167">
        <v>6099359</v>
      </c>
      <c r="AB118" s="168" t="s">
        <v>977</v>
      </c>
      <c r="AC118" s="167" t="s">
        <v>67</v>
      </c>
      <c r="AD118" s="248">
        <f t="shared" si="16"/>
        <v>66666666.666666664</v>
      </c>
      <c r="AE118" s="165" t="s">
        <v>166</v>
      </c>
      <c r="AF118" s="165" t="s">
        <v>3286</v>
      </c>
      <c r="AG118" s="165" t="s">
        <v>3216</v>
      </c>
      <c r="AH118" s="118">
        <v>6886510</v>
      </c>
      <c r="AI118" s="11" t="s">
        <v>4248</v>
      </c>
      <c r="AJ118" s="167" t="s">
        <v>202</v>
      </c>
      <c r="AK118" s="248">
        <f t="shared" si="17"/>
        <v>66666666.666666664</v>
      </c>
      <c r="AL118" s="165" t="s">
        <v>156</v>
      </c>
      <c r="AM118" s="165" t="s">
        <v>3286</v>
      </c>
      <c r="AN118" s="6" t="s">
        <v>3216</v>
      </c>
      <c r="AO118" s="167">
        <v>6680618</v>
      </c>
      <c r="AP118" s="170" t="s">
        <v>1737</v>
      </c>
      <c r="AQ118" s="167" t="s">
        <v>24</v>
      </c>
      <c r="AR118" s="248">
        <f t="shared" si="18"/>
        <v>66666666.666666664</v>
      </c>
      <c r="AS118" s="135" t="s">
        <v>160</v>
      </c>
      <c r="AT118" s="165" t="s">
        <v>3281</v>
      </c>
      <c r="AU118" s="6" t="s">
        <v>3216</v>
      </c>
      <c r="AV118" s="167"/>
      <c r="AW118" s="170" t="s">
        <v>1963</v>
      </c>
      <c r="AX118" s="513" t="s">
        <v>140</v>
      </c>
      <c r="AY118" s="248">
        <f t="shared" si="19"/>
        <v>66666666.666666664</v>
      </c>
      <c r="AZ118" s="6" t="s">
        <v>155</v>
      </c>
      <c r="BA118" s="165" t="s">
        <v>3281</v>
      </c>
      <c r="BB118" s="6" t="s">
        <v>3216</v>
      </c>
      <c r="BC118" s="167">
        <v>258471</v>
      </c>
      <c r="BD118" s="170" t="s">
        <v>3504</v>
      </c>
      <c r="BE118" s="167" t="s">
        <v>60</v>
      </c>
      <c r="BF118" s="248">
        <f t="shared" si="20"/>
        <v>66666666.666666664</v>
      </c>
      <c r="BG118" s="6" t="s">
        <v>155</v>
      </c>
      <c r="BH118" s="165" t="s">
        <v>3281</v>
      </c>
      <c r="BI118" s="6" t="s">
        <v>3216</v>
      </c>
      <c r="BJ118" s="167"/>
      <c r="BK118" s="167"/>
      <c r="BL118" s="167"/>
      <c r="BM118" s="249"/>
      <c r="BN118" s="167"/>
      <c r="BO118" s="167"/>
      <c r="BP118" s="167"/>
      <c r="BQ118" s="167"/>
      <c r="BR118" s="160"/>
      <c r="BS118" s="8"/>
      <c r="BT118" s="171"/>
      <c r="BU118" s="167"/>
      <c r="BV118" s="167"/>
      <c r="BW118" s="167"/>
      <c r="BX118" s="167"/>
      <c r="BY118" s="167"/>
      <c r="BZ118" s="167"/>
      <c r="CA118" s="167"/>
      <c r="CB118" s="167"/>
      <c r="CC118" s="167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  <c r="CO118" s="167"/>
      <c r="CP118" s="147"/>
      <c r="CQ118" s="147"/>
      <c r="CR118" s="147"/>
      <c r="CS118" s="147"/>
    </row>
    <row r="119" spans="1:97" ht="36">
      <c r="A119" s="169">
        <v>43</v>
      </c>
      <c r="B119" s="143" t="s">
        <v>5500</v>
      </c>
      <c r="C119" s="6" t="s">
        <v>942</v>
      </c>
      <c r="D119" s="166" t="s">
        <v>5501</v>
      </c>
      <c r="E119" s="165" t="s">
        <v>5276</v>
      </c>
      <c r="F119" s="135">
        <v>2023</v>
      </c>
      <c r="G119" s="135">
        <v>2023</v>
      </c>
      <c r="H119" s="135">
        <v>9</v>
      </c>
      <c r="I119" s="165" t="s">
        <v>5298</v>
      </c>
      <c r="J119" s="465">
        <v>46586600</v>
      </c>
      <c r="K119" s="465">
        <v>46586600</v>
      </c>
      <c r="L119" s="165" t="s">
        <v>3091</v>
      </c>
      <c r="M119" s="514"/>
      <c r="N119" s="165" t="s">
        <v>5489</v>
      </c>
      <c r="O119" s="166" t="s">
        <v>3077</v>
      </c>
      <c r="P119" s="135" t="s">
        <v>3215</v>
      </c>
      <c r="Q119" s="6" t="s">
        <v>4239</v>
      </c>
      <c r="R119" s="8">
        <v>6859016</v>
      </c>
      <c r="S119" s="7" t="s">
        <v>3126</v>
      </c>
      <c r="T119" s="162" t="s">
        <v>2497</v>
      </c>
      <c r="U119" s="245">
        <f t="shared" si="15"/>
        <v>7764433.333333333</v>
      </c>
      <c r="V119" s="165" t="s">
        <v>155</v>
      </c>
      <c r="W119" s="165" t="s">
        <v>3281</v>
      </c>
      <c r="X119" s="165" t="s">
        <v>3216</v>
      </c>
      <c r="Y119" s="135">
        <v>8140</v>
      </c>
      <c r="Z119" s="135">
        <v>72019</v>
      </c>
      <c r="AA119" s="241">
        <v>6859382</v>
      </c>
      <c r="AB119" s="242" t="s">
        <v>2343</v>
      </c>
      <c r="AC119" s="167" t="s">
        <v>184</v>
      </c>
      <c r="AD119" s="248">
        <f t="shared" si="16"/>
        <v>7764433.333333333</v>
      </c>
      <c r="AE119" s="165" t="s">
        <v>166</v>
      </c>
      <c r="AF119" s="165" t="s">
        <v>3286</v>
      </c>
      <c r="AG119" s="165" t="s">
        <v>3216</v>
      </c>
      <c r="AH119" s="167">
        <v>6865379</v>
      </c>
      <c r="AI119" s="168" t="s">
        <v>2696</v>
      </c>
      <c r="AJ119" s="167" t="s">
        <v>193</v>
      </c>
      <c r="AK119" s="248">
        <f t="shared" si="17"/>
        <v>7764433.333333333</v>
      </c>
      <c r="AL119" s="165" t="s">
        <v>166</v>
      </c>
      <c r="AM119" s="165" t="s">
        <v>3286</v>
      </c>
      <c r="AN119" s="6" t="s">
        <v>3216</v>
      </c>
      <c r="AO119" s="167">
        <v>6839500</v>
      </c>
      <c r="AP119" s="170" t="s">
        <v>2671</v>
      </c>
      <c r="AQ119" s="167" t="s">
        <v>36</v>
      </c>
      <c r="AR119" s="248">
        <f t="shared" si="18"/>
        <v>7764433.333333333</v>
      </c>
      <c r="AS119" s="135" t="s">
        <v>171</v>
      </c>
      <c r="AT119" s="165" t="s">
        <v>3286</v>
      </c>
      <c r="AU119" s="6" t="s">
        <v>3216</v>
      </c>
      <c r="AV119" s="167">
        <v>6843087</v>
      </c>
      <c r="AW119" s="170" t="s">
        <v>2010</v>
      </c>
      <c r="AX119" s="167" t="s">
        <v>41</v>
      </c>
      <c r="AY119" s="248">
        <f t="shared" si="19"/>
        <v>7764433.333333333</v>
      </c>
      <c r="AZ119" s="167" t="s">
        <v>166</v>
      </c>
      <c r="BA119" s="165" t="s">
        <v>3286</v>
      </c>
      <c r="BB119" s="6" t="s">
        <v>3216</v>
      </c>
      <c r="BC119" s="167"/>
      <c r="BD119" s="170" t="s">
        <v>1963</v>
      </c>
      <c r="BE119" s="513" t="s">
        <v>140</v>
      </c>
      <c r="BF119" s="248">
        <f t="shared" si="20"/>
        <v>7764433.333333333</v>
      </c>
      <c r="BG119" s="6" t="s">
        <v>155</v>
      </c>
      <c r="BH119" s="165" t="s">
        <v>3281</v>
      </c>
      <c r="BI119" s="6" t="s">
        <v>3216</v>
      </c>
      <c r="BJ119" s="167"/>
      <c r="BK119" s="167"/>
      <c r="BL119" s="167"/>
      <c r="BM119" s="249"/>
      <c r="BN119" s="167"/>
      <c r="BO119" s="167"/>
      <c r="BP119" s="167"/>
      <c r="BQ119" s="167"/>
      <c r="BR119" s="160"/>
      <c r="BS119" s="8"/>
      <c r="BT119" s="171"/>
      <c r="BU119" s="167"/>
      <c r="BV119" s="167"/>
      <c r="BW119" s="167"/>
      <c r="BX119" s="167"/>
      <c r="BY119" s="167"/>
      <c r="BZ119" s="167"/>
      <c r="CA119" s="167"/>
      <c r="CB119" s="167"/>
      <c r="CC119" s="167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  <c r="CO119" s="167"/>
      <c r="CP119" s="147"/>
      <c r="CQ119" s="147"/>
      <c r="CR119" s="147"/>
      <c r="CS119" s="147"/>
    </row>
    <row r="120" spans="1:97" s="314" customFormat="1" ht="36">
      <c r="A120" s="169">
        <v>44</v>
      </c>
      <c r="B120" s="143" t="s">
        <v>5502</v>
      </c>
      <c r="C120" s="6" t="s">
        <v>942</v>
      </c>
      <c r="D120" s="166" t="s">
        <v>5503</v>
      </c>
      <c r="E120" s="165" t="s">
        <v>5276</v>
      </c>
      <c r="F120" s="135">
        <v>2023</v>
      </c>
      <c r="G120" s="135">
        <v>2023</v>
      </c>
      <c r="H120" s="135">
        <v>9</v>
      </c>
      <c r="I120" s="165" t="s">
        <v>5298</v>
      </c>
      <c r="J120" s="465">
        <v>46586600</v>
      </c>
      <c r="K120" s="465">
        <v>46586600</v>
      </c>
      <c r="L120" s="165" t="s">
        <v>3091</v>
      </c>
      <c r="M120" s="514"/>
      <c r="N120" s="165" t="s">
        <v>5489</v>
      </c>
      <c r="O120" s="166" t="s">
        <v>3077</v>
      </c>
      <c r="P120" s="135" t="s">
        <v>3215</v>
      </c>
      <c r="Q120" s="6" t="s">
        <v>4239</v>
      </c>
      <c r="R120" s="6">
        <v>6843087</v>
      </c>
      <c r="S120" s="171" t="s">
        <v>41</v>
      </c>
      <c r="T120" s="11" t="s">
        <v>2010</v>
      </c>
      <c r="U120" s="245">
        <f t="shared" si="15"/>
        <v>7764433.333333333</v>
      </c>
      <c r="V120" s="165" t="s">
        <v>166</v>
      </c>
      <c r="W120" s="165" t="s">
        <v>3286</v>
      </c>
      <c r="X120" s="165" t="s">
        <v>3216</v>
      </c>
      <c r="Y120" s="135">
        <v>8140</v>
      </c>
      <c r="Z120" s="135">
        <v>72019</v>
      </c>
      <c r="AA120" s="8">
        <v>6789028</v>
      </c>
      <c r="AB120" s="162" t="s">
        <v>1917</v>
      </c>
      <c r="AC120" s="167" t="s">
        <v>179</v>
      </c>
      <c r="AD120" s="248">
        <f t="shared" si="16"/>
        <v>7764433.333333333</v>
      </c>
      <c r="AE120" s="165" t="s">
        <v>166</v>
      </c>
      <c r="AF120" s="165" t="s">
        <v>3286</v>
      </c>
      <c r="AG120" s="165" t="s">
        <v>3216</v>
      </c>
      <c r="AH120" s="6">
        <v>6834400</v>
      </c>
      <c r="AI120" s="11" t="s">
        <v>2698</v>
      </c>
      <c r="AJ120" s="167" t="s">
        <v>185</v>
      </c>
      <c r="AK120" s="248">
        <f t="shared" si="17"/>
        <v>7764433.333333333</v>
      </c>
      <c r="AL120" s="165" t="s">
        <v>166</v>
      </c>
      <c r="AM120" s="165" t="s">
        <v>3286</v>
      </c>
      <c r="AN120" s="6" t="s">
        <v>3216</v>
      </c>
      <c r="AO120" s="167">
        <v>6835039</v>
      </c>
      <c r="AP120" s="170" t="s">
        <v>2009</v>
      </c>
      <c r="AQ120" s="167" t="s">
        <v>37</v>
      </c>
      <c r="AR120" s="248">
        <f t="shared" si="18"/>
        <v>7764433.333333333</v>
      </c>
      <c r="AS120" s="135" t="s">
        <v>166</v>
      </c>
      <c r="AT120" s="165" t="s">
        <v>3286</v>
      </c>
      <c r="AU120" s="6" t="s">
        <v>3216</v>
      </c>
      <c r="AV120" s="8">
        <v>6680633</v>
      </c>
      <c r="AW120" s="190" t="s">
        <v>3322</v>
      </c>
      <c r="AX120" s="167" t="s">
        <v>18</v>
      </c>
      <c r="AY120" s="248">
        <f t="shared" si="19"/>
        <v>7764433.333333333</v>
      </c>
      <c r="AZ120" s="165" t="s">
        <v>156</v>
      </c>
      <c r="BA120" s="165" t="s">
        <v>3286</v>
      </c>
      <c r="BB120" s="6" t="s">
        <v>3216</v>
      </c>
      <c r="BC120" s="167"/>
      <c r="BD120" s="170" t="s">
        <v>1963</v>
      </c>
      <c r="BE120" s="513" t="s">
        <v>140</v>
      </c>
      <c r="BF120" s="248">
        <f t="shared" si="20"/>
        <v>7764433.333333333</v>
      </c>
      <c r="BG120" s="6" t="s">
        <v>155</v>
      </c>
      <c r="BH120" s="165" t="s">
        <v>3281</v>
      </c>
      <c r="BI120" s="6" t="s">
        <v>3216</v>
      </c>
      <c r="BJ120" s="167"/>
      <c r="BK120" s="167"/>
      <c r="BL120" s="167"/>
      <c r="BM120" s="249"/>
      <c r="BN120" s="167"/>
      <c r="BO120" s="167"/>
      <c r="BP120" s="167"/>
      <c r="BQ120" s="167"/>
      <c r="BR120" s="160"/>
      <c r="BS120" s="8"/>
      <c r="BT120" s="171"/>
      <c r="BU120" s="167"/>
      <c r="BV120" s="167"/>
      <c r="BW120" s="167"/>
      <c r="BX120" s="167"/>
      <c r="BY120" s="167"/>
      <c r="BZ120" s="167"/>
      <c r="CA120" s="167"/>
      <c r="CB120" s="167"/>
      <c r="CC120" s="167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  <c r="CO120" s="167"/>
      <c r="CP120" s="313"/>
      <c r="CQ120" s="313"/>
      <c r="CR120" s="313"/>
      <c r="CS120" s="313"/>
    </row>
    <row r="121" spans="1:97">
      <c r="A121" s="309"/>
      <c r="B121" s="153"/>
      <c r="C121" s="153"/>
      <c r="D121" s="156"/>
      <c r="E121" s="309"/>
      <c r="F121" s="310"/>
      <c r="G121" s="310"/>
      <c r="H121" s="309"/>
      <c r="I121" s="153"/>
      <c r="J121" s="467"/>
      <c r="K121" s="467"/>
      <c r="L121" s="311"/>
      <c r="M121" s="309"/>
      <c r="N121" s="153"/>
      <c r="O121" s="309"/>
      <c r="P121" s="309"/>
      <c r="Q121" s="153"/>
      <c r="R121" s="309"/>
      <c r="S121" s="154"/>
      <c r="T121" s="309"/>
      <c r="U121" s="309"/>
      <c r="V121" s="311"/>
      <c r="W121" s="311"/>
      <c r="X121" s="311"/>
      <c r="Y121" s="310"/>
      <c r="Z121" s="310"/>
      <c r="AA121" s="309"/>
      <c r="AB121" s="309"/>
      <c r="AC121" s="153"/>
      <c r="AD121" s="309"/>
      <c r="AE121" s="309"/>
      <c r="AF121" s="311"/>
      <c r="AG121" s="311"/>
      <c r="AH121" s="309"/>
      <c r="AI121" s="309"/>
      <c r="AJ121" s="153"/>
      <c r="AK121" s="309"/>
      <c r="AL121" s="153"/>
      <c r="AM121" s="153"/>
      <c r="AN121" s="153"/>
      <c r="AO121" s="309"/>
      <c r="AP121" s="309"/>
      <c r="AQ121" s="309"/>
      <c r="AR121" s="309"/>
      <c r="AS121" s="309"/>
      <c r="AT121" s="309"/>
      <c r="AU121" s="309"/>
      <c r="AV121" s="309"/>
      <c r="AW121" s="309"/>
      <c r="AX121" s="309"/>
      <c r="AY121" s="309"/>
      <c r="AZ121" s="309"/>
      <c r="BA121" s="309"/>
      <c r="BB121" s="309"/>
      <c r="BC121" s="309"/>
      <c r="BD121" s="309"/>
      <c r="BE121" s="309"/>
      <c r="BF121" s="292"/>
      <c r="BG121" s="309"/>
      <c r="BH121" s="309"/>
      <c r="BI121" s="309"/>
      <c r="BJ121" s="309"/>
      <c r="BK121" s="309"/>
      <c r="BL121" s="309"/>
      <c r="BM121" s="309"/>
      <c r="BN121" s="309"/>
      <c r="BO121" s="309"/>
      <c r="BP121" s="309"/>
      <c r="BQ121" s="309"/>
      <c r="BR121" s="309"/>
      <c r="BS121" s="309"/>
      <c r="BT121" s="309"/>
      <c r="BU121" s="309"/>
      <c r="BV121" s="309"/>
      <c r="BW121" s="309"/>
      <c r="BX121" s="309"/>
      <c r="BY121" s="309"/>
      <c r="BZ121" s="309"/>
      <c r="CA121" s="309"/>
      <c r="CB121" s="309"/>
      <c r="CC121" s="309"/>
      <c r="CD121" s="309"/>
      <c r="CE121" s="309"/>
      <c r="CF121" s="309"/>
      <c r="CG121" s="309"/>
      <c r="CH121" s="309"/>
      <c r="CI121" s="309"/>
      <c r="CJ121" s="309"/>
      <c r="CK121" s="309"/>
      <c r="CL121" s="309"/>
      <c r="CM121" s="309"/>
      <c r="CN121" s="309"/>
      <c r="CO121" s="309"/>
    </row>
    <row r="122" spans="1:97" ht="36">
      <c r="A122" s="8">
        <v>1</v>
      </c>
      <c r="B122" s="143" t="s">
        <v>5504</v>
      </c>
      <c r="C122" s="165" t="s">
        <v>942</v>
      </c>
      <c r="D122" s="9" t="s">
        <v>5505</v>
      </c>
      <c r="E122" s="6" t="s">
        <v>5506</v>
      </c>
      <c r="F122" s="8">
        <v>2024</v>
      </c>
      <c r="G122" s="8">
        <v>2024</v>
      </c>
      <c r="H122" s="8">
        <v>2</v>
      </c>
      <c r="I122" s="6" t="s">
        <v>5298</v>
      </c>
      <c r="J122" s="486">
        <v>15960457</v>
      </c>
      <c r="K122" s="458">
        <v>15960457</v>
      </c>
      <c r="L122" s="6" t="s">
        <v>4269</v>
      </c>
      <c r="M122" s="8">
        <v>4</v>
      </c>
      <c r="N122" s="7" t="s">
        <v>5489</v>
      </c>
      <c r="O122" s="166" t="s">
        <v>3077</v>
      </c>
      <c r="P122" s="8" t="s">
        <v>3215</v>
      </c>
      <c r="Q122" s="15" t="s">
        <v>4951</v>
      </c>
      <c r="R122" s="8">
        <v>6801945</v>
      </c>
      <c r="S122" s="7" t="s">
        <v>134</v>
      </c>
      <c r="T122" s="8">
        <v>713029701</v>
      </c>
      <c r="U122" s="109">
        <f t="shared" ref="U122:U128" si="21">K122</f>
        <v>15960457</v>
      </c>
      <c r="V122" s="6" t="s">
        <v>156</v>
      </c>
      <c r="W122" s="6" t="s">
        <v>4272</v>
      </c>
      <c r="X122" s="6" t="s">
        <v>4269</v>
      </c>
      <c r="Y122" s="15">
        <v>1093</v>
      </c>
      <c r="Z122" s="204" t="s">
        <v>4271</v>
      </c>
      <c r="AA122" s="167"/>
      <c r="AB122" s="191"/>
      <c r="AC122" s="6"/>
      <c r="AD122" s="57"/>
      <c r="AE122" s="6"/>
      <c r="AF122" s="6"/>
      <c r="AG122" s="6"/>
      <c r="AH122" s="8"/>
      <c r="AI122" s="191"/>
      <c r="AJ122" s="6"/>
      <c r="AK122" s="57"/>
      <c r="AL122" s="6"/>
      <c r="AM122" s="6"/>
      <c r="AN122" s="6"/>
      <c r="AO122" s="241"/>
      <c r="AP122" s="241"/>
      <c r="AQ122" s="241"/>
      <c r="AR122" s="299"/>
      <c r="AS122" s="241"/>
      <c r="AT122" s="241"/>
      <c r="AU122" s="6"/>
      <c r="AV122" s="241"/>
      <c r="AW122" s="241"/>
      <c r="AX122" s="241"/>
      <c r="AY122" s="299"/>
      <c r="AZ122" s="241"/>
      <c r="BA122" s="241"/>
      <c r="BB122" s="241"/>
      <c r="BC122" s="241"/>
      <c r="BD122" s="241"/>
      <c r="BE122" s="241"/>
      <c r="BF122" s="299"/>
      <c r="BG122" s="241"/>
      <c r="BH122" s="241"/>
      <c r="BI122" s="241"/>
      <c r="BJ122" s="241"/>
      <c r="BK122" s="241"/>
      <c r="BL122" s="241"/>
      <c r="BM122" s="299"/>
      <c r="BN122" s="241"/>
      <c r="BO122" s="241"/>
      <c r="BP122" s="241"/>
      <c r="BQ122" s="241"/>
      <c r="BR122" s="160" t="s">
        <v>3190</v>
      </c>
      <c r="BS122" s="163" t="s">
        <v>3191</v>
      </c>
      <c r="BT122" s="304"/>
      <c r="BU122" s="9"/>
      <c r="BV122" s="304"/>
      <c r="BW122" s="9"/>
      <c r="BX122" s="304"/>
      <c r="BY122" s="9"/>
      <c r="BZ122" s="241"/>
      <c r="CA122" s="241"/>
      <c r="CB122" s="241"/>
      <c r="CC122" s="241"/>
      <c r="CD122" s="241"/>
      <c r="CE122" s="241"/>
      <c r="CF122" s="241"/>
      <c r="CG122" s="241"/>
      <c r="CH122" s="241"/>
      <c r="CI122" s="241"/>
      <c r="CJ122" s="7"/>
      <c r="CK122" s="7"/>
      <c r="CL122" s="7"/>
      <c r="CM122" s="241"/>
      <c r="CN122" s="241"/>
      <c r="CO122" s="241"/>
    </row>
    <row r="123" spans="1:97" ht="24">
      <c r="A123" s="8">
        <v>2</v>
      </c>
      <c r="B123" s="143" t="s">
        <v>5504</v>
      </c>
      <c r="C123" s="165" t="s">
        <v>942</v>
      </c>
      <c r="D123" s="9" t="s">
        <v>5507</v>
      </c>
      <c r="E123" s="6" t="s">
        <v>5506</v>
      </c>
      <c r="F123" s="8">
        <v>2024</v>
      </c>
      <c r="G123" s="8">
        <v>2024</v>
      </c>
      <c r="H123" s="8">
        <v>2</v>
      </c>
      <c r="I123" s="6" t="s">
        <v>5298</v>
      </c>
      <c r="J123" s="458">
        <v>16082106</v>
      </c>
      <c r="K123" s="458">
        <v>16082106</v>
      </c>
      <c r="L123" s="6" t="s">
        <v>4269</v>
      </c>
      <c r="M123" s="8">
        <v>4</v>
      </c>
      <c r="N123" s="6" t="s">
        <v>5489</v>
      </c>
      <c r="O123" s="166" t="s">
        <v>3077</v>
      </c>
      <c r="P123" s="8" t="s">
        <v>3215</v>
      </c>
      <c r="Q123" s="15" t="s">
        <v>4951</v>
      </c>
      <c r="R123" s="8">
        <v>6680612</v>
      </c>
      <c r="S123" s="7" t="s">
        <v>19</v>
      </c>
      <c r="T123" s="8">
        <v>728059203</v>
      </c>
      <c r="U123" s="109">
        <f t="shared" si="21"/>
        <v>16082106</v>
      </c>
      <c r="V123" s="6" t="s">
        <v>155</v>
      </c>
      <c r="W123" s="6" t="s">
        <v>3224</v>
      </c>
      <c r="X123" s="6" t="s">
        <v>4269</v>
      </c>
      <c r="Y123" s="15">
        <v>1093</v>
      </c>
      <c r="Z123" s="204" t="s">
        <v>4271</v>
      </c>
      <c r="AA123" s="241"/>
      <c r="AB123" s="241"/>
      <c r="AC123" s="6"/>
      <c r="AD123" s="57"/>
      <c r="AE123" s="6"/>
      <c r="AF123" s="6"/>
      <c r="AG123" s="6"/>
      <c r="AH123" s="8"/>
      <c r="AI123" s="8"/>
      <c r="AJ123" s="6"/>
      <c r="AK123" s="57"/>
      <c r="AL123" s="6"/>
      <c r="AM123" s="6"/>
      <c r="AN123" s="6"/>
      <c r="AO123" s="241"/>
      <c r="AP123" s="241"/>
      <c r="AQ123" s="241"/>
      <c r="AR123" s="299"/>
      <c r="AS123" s="241"/>
      <c r="AT123" s="241"/>
      <c r="AU123" s="6"/>
      <c r="AV123" s="241"/>
      <c r="AW123" s="241"/>
      <c r="AX123" s="241"/>
      <c r="AY123" s="299"/>
      <c r="AZ123" s="241"/>
      <c r="BA123" s="241"/>
      <c r="BB123" s="241"/>
      <c r="BC123" s="241"/>
      <c r="BD123" s="241"/>
      <c r="BE123" s="241"/>
      <c r="BF123" s="299"/>
      <c r="BG123" s="241"/>
      <c r="BH123" s="241"/>
      <c r="BI123" s="241"/>
      <c r="BJ123" s="241"/>
      <c r="BK123" s="241"/>
      <c r="BL123" s="241"/>
      <c r="BM123" s="299"/>
      <c r="BN123" s="241"/>
      <c r="BO123" s="241"/>
      <c r="BP123" s="241"/>
      <c r="BQ123" s="241"/>
      <c r="BR123" s="160" t="s">
        <v>3190</v>
      </c>
      <c r="BS123" s="163" t="s">
        <v>3191</v>
      </c>
      <c r="BT123" s="304"/>
      <c r="BU123" s="9"/>
      <c r="BV123" s="304"/>
      <c r="BW123" s="9"/>
      <c r="BX123" s="304"/>
      <c r="BY123" s="9"/>
      <c r="BZ123" s="241"/>
      <c r="CA123" s="241"/>
      <c r="CB123" s="241"/>
      <c r="CC123" s="241"/>
      <c r="CD123" s="241"/>
      <c r="CE123" s="241"/>
      <c r="CF123" s="241"/>
      <c r="CG123" s="241"/>
      <c r="CH123" s="241"/>
      <c r="CI123" s="241"/>
      <c r="CJ123" s="241"/>
      <c r="CK123" s="241"/>
      <c r="CL123" s="241"/>
      <c r="CM123" s="241"/>
      <c r="CN123" s="241"/>
      <c r="CO123" s="241"/>
      <c r="CP123" s="136"/>
      <c r="CQ123" s="136"/>
      <c r="CR123" s="136"/>
      <c r="CS123" s="136"/>
    </row>
    <row r="124" spans="1:97" ht="36">
      <c r="A124" s="135">
        <v>3</v>
      </c>
      <c r="B124" s="143" t="s">
        <v>5504</v>
      </c>
      <c r="C124" s="165" t="s">
        <v>942</v>
      </c>
      <c r="D124" s="166" t="s">
        <v>5508</v>
      </c>
      <c r="E124" s="6" t="s">
        <v>5506</v>
      </c>
      <c r="F124" s="135">
        <v>2024</v>
      </c>
      <c r="G124" s="135">
        <v>2024</v>
      </c>
      <c r="H124" s="135">
        <v>2</v>
      </c>
      <c r="I124" s="165" t="s">
        <v>5298</v>
      </c>
      <c r="J124" s="465">
        <v>15173788</v>
      </c>
      <c r="K124" s="465">
        <v>15173788</v>
      </c>
      <c r="L124" s="165" t="s">
        <v>4269</v>
      </c>
      <c r="M124" s="514">
        <v>4</v>
      </c>
      <c r="N124" s="165" t="s">
        <v>5489</v>
      </c>
      <c r="O124" s="166" t="s">
        <v>3077</v>
      </c>
      <c r="P124" s="135" t="s">
        <v>3215</v>
      </c>
      <c r="Q124" s="15" t="s">
        <v>4951</v>
      </c>
      <c r="R124" s="135">
        <v>6898606</v>
      </c>
      <c r="S124" s="171" t="s">
        <v>198</v>
      </c>
      <c r="T124" s="135">
        <v>7700018303</v>
      </c>
      <c r="U124" s="109">
        <f t="shared" si="21"/>
        <v>15173788</v>
      </c>
      <c r="V124" s="165" t="s">
        <v>154</v>
      </c>
      <c r="W124" s="6" t="s">
        <v>3224</v>
      </c>
      <c r="X124" s="6" t="s">
        <v>4269</v>
      </c>
      <c r="Y124" s="15">
        <v>1093</v>
      </c>
      <c r="Z124" s="204" t="s">
        <v>4271</v>
      </c>
      <c r="AA124" s="246"/>
      <c r="AB124" s="246"/>
      <c r="AC124" s="165"/>
      <c r="AD124" s="238"/>
      <c r="AE124" s="165"/>
      <c r="AF124" s="165"/>
      <c r="AG124" s="6"/>
      <c r="AH124" s="135"/>
      <c r="AI124" s="135"/>
      <c r="AJ124" s="165"/>
      <c r="AK124" s="238"/>
      <c r="AL124" s="165"/>
      <c r="AM124" s="165"/>
      <c r="AN124" s="6"/>
      <c r="AO124" s="246"/>
      <c r="AP124" s="246"/>
      <c r="AQ124" s="246"/>
      <c r="AR124" s="307"/>
      <c r="AS124" s="246"/>
      <c r="AT124" s="246"/>
      <c r="AU124" s="6"/>
      <c r="AV124" s="246"/>
      <c r="AW124" s="246"/>
      <c r="AX124" s="246"/>
      <c r="AY124" s="307"/>
      <c r="AZ124" s="246"/>
      <c r="BA124" s="246"/>
      <c r="BB124" s="246"/>
      <c r="BC124" s="246"/>
      <c r="BD124" s="246"/>
      <c r="BE124" s="246"/>
      <c r="BF124" s="307"/>
      <c r="BG124" s="246"/>
      <c r="BH124" s="246"/>
      <c r="BI124" s="246"/>
      <c r="BJ124" s="246"/>
      <c r="BK124" s="246"/>
      <c r="BL124" s="246"/>
      <c r="BM124" s="307"/>
      <c r="BN124" s="246"/>
      <c r="BO124" s="246"/>
      <c r="BP124" s="246"/>
      <c r="BQ124" s="246"/>
      <c r="BR124" s="160" t="s">
        <v>3190</v>
      </c>
      <c r="BS124" s="163" t="s">
        <v>3191</v>
      </c>
      <c r="BT124" s="306"/>
      <c r="BU124" s="166"/>
      <c r="BV124" s="306"/>
      <c r="BW124" s="166"/>
      <c r="BX124" s="306"/>
      <c r="BY124" s="166"/>
      <c r="BZ124" s="246"/>
      <c r="CA124" s="246"/>
      <c r="CB124" s="246"/>
      <c r="CC124" s="246"/>
      <c r="CD124" s="246"/>
      <c r="CE124" s="246"/>
      <c r="CF124" s="246"/>
      <c r="CG124" s="246"/>
      <c r="CH124" s="246"/>
      <c r="CI124" s="246"/>
      <c r="CJ124" s="246"/>
      <c r="CK124" s="246"/>
      <c r="CL124" s="246"/>
      <c r="CM124" s="246"/>
      <c r="CN124" s="246"/>
      <c r="CO124" s="246"/>
    </row>
    <row r="125" spans="1:97" ht="24">
      <c r="A125" s="8">
        <v>4</v>
      </c>
      <c r="B125" s="143" t="s">
        <v>5504</v>
      </c>
      <c r="C125" s="165" t="s">
        <v>942</v>
      </c>
      <c r="D125" s="9" t="s">
        <v>5509</v>
      </c>
      <c r="E125" s="6" t="s">
        <v>5506</v>
      </c>
      <c r="F125" s="8">
        <v>2024</v>
      </c>
      <c r="G125" s="8">
        <v>2024</v>
      </c>
      <c r="H125" s="8">
        <v>2</v>
      </c>
      <c r="I125" s="6" t="s">
        <v>5298</v>
      </c>
      <c r="J125" s="458">
        <v>16122656</v>
      </c>
      <c r="K125" s="458">
        <v>16122656</v>
      </c>
      <c r="L125" s="6" t="s">
        <v>4269</v>
      </c>
      <c r="M125" s="207">
        <v>4</v>
      </c>
      <c r="N125" s="6" t="s">
        <v>5489</v>
      </c>
      <c r="O125" s="166" t="s">
        <v>3077</v>
      </c>
      <c r="P125" s="8" t="s">
        <v>3215</v>
      </c>
      <c r="Q125" s="15" t="s">
        <v>4951</v>
      </c>
      <c r="R125" s="8">
        <v>6898606</v>
      </c>
      <c r="S125" s="7" t="s">
        <v>198</v>
      </c>
      <c r="T125" s="135">
        <v>7700018303</v>
      </c>
      <c r="U125" s="109">
        <f t="shared" si="21"/>
        <v>16122656</v>
      </c>
      <c r="V125" s="165" t="s">
        <v>154</v>
      </c>
      <c r="W125" s="6" t="s">
        <v>3224</v>
      </c>
      <c r="X125" s="6" t="s">
        <v>4269</v>
      </c>
      <c r="Y125" s="15">
        <v>1093</v>
      </c>
      <c r="Z125" s="204" t="s">
        <v>4271</v>
      </c>
      <c r="AA125" s="6"/>
      <c r="AB125" s="6"/>
      <c r="AC125" s="6"/>
      <c r="AD125" s="57"/>
      <c r="AE125" s="6"/>
      <c r="AF125" s="6"/>
      <c r="AG125" s="6"/>
      <c r="AH125" s="8"/>
      <c r="AI125" s="191"/>
      <c r="AJ125" s="6"/>
      <c r="AK125" s="57"/>
      <c r="AL125" s="6"/>
      <c r="AM125" s="6"/>
      <c r="AN125" s="6"/>
      <c r="AO125" s="241"/>
      <c r="AP125" s="241"/>
      <c r="AQ125" s="241"/>
      <c r="AR125" s="299"/>
      <c r="AS125" s="241"/>
      <c r="AT125" s="241"/>
      <c r="AU125" s="6"/>
      <c r="AV125" s="241"/>
      <c r="AW125" s="241"/>
      <c r="AX125" s="241"/>
      <c r="AY125" s="299"/>
      <c r="AZ125" s="241"/>
      <c r="BA125" s="241"/>
      <c r="BB125" s="241"/>
      <c r="BC125" s="241"/>
      <c r="BD125" s="241"/>
      <c r="BE125" s="241"/>
      <c r="BF125" s="299"/>
      <c r="BG125" s="241"/>
      <c r="BH125" s="241"/>
      <c r="BI125" s="241"/>
      <c r="BJ125" s="241"/>
      <c r="BK125" s="241"/>
      <c r="BL125" s="241"/>
      <c r="BM125" s="299"/>
      <c r="BN125" s="241"/>
      <c r="BO125" s="241"/>
      <c r="BP125" s="241"/>
      <c r="BQ125" s="241"/>
      <c r="BR125" s="160" t="s">
        <v>3190</v>
      </c>
      <c r="BS125" s="163" t="s">
        <v>3191</v>
      </c>
      <c r="BT125" s="304"/>
      <c r="BU125" s="9"/>
      <c r="BV125" s="304"/>
      <c r="BW125" s="9"/>
      <c r="BX125" s="304"/>
      <c r="BY125" s="9"/>
      <c r="BZ125" s="241"/>
      <c r="CA125" s="241"/>
      <c r="CB125" s="241"/>
      <c r="CC125" s="241"/>
      <c r="CD125" s="241"/>
      <c r="CE125" s="241"/>
      <c r="CF125" s="241"/>
      <c r="CG125" s="241"/>
      <c r="CH125" s="241"/>
      <c r="CI125" s="241"/>
      <c r="CJ125" s="7"/>
      <c r="CK125" s="241"/>
      <c r="CL125" s="241"/>
      <c r="CM125" s="241"/>
      <c r="CN125" s="241"/>
      <c r="CO125" s="241"/>
    </row>
    <row r="126" spans="1:97" ht="36">
      <c r="A126" s="8">
        <v>5</v>
      </c>
      <c r="B126" s="143" t="s">
        <v>5504</v>
      </c>
      <c r="C126" s="165" t="s">
        <v>942</v>
      </c>
      <c r="D126" s="9" t="s">
        <v>5510</v>
      </c>
      <c r="E126" s="6" t="s">
        <v>5506</v>
      </c>
      <c r="F126" s="8">
        <v>2024</v>
      </c>
      <c r="G126" s="8">
        <v>2024</v>
      </c>
      <c r="H126" s="8">
        <v>2</v>
      </c>
      <c r="I126" s="33" t="s">
        <v>5298</v>
      </c>
      <c r="J126" s="458">
        <v>16187536</v>
      </c>
      <c r="K126" s="458">
        <v>16187536</v>
      </c>
      <c r="L126" s="6" t="s">
        <v>4269</v>
      </c>
      <c r="M126" s="207">
        <v>4</v>
      </c>
      <c r="N126" s="6" t="s">
        <v>5489</v>
      </c>
      <c r="O126" s="166" t="s">
        <v>3077</v>
      </c>
      <c r="P126" s="8" t="s">
        <v>3215</v>
      </c>
      <c r="Q126" s="15" t="s">
        <v>4951</v>
      </c>
      <c r="R126" s="8">
        <v>6801945</v>
      </c>
      <c r="S126" s="7" t="s">
        <v>134</v>
      </c>
      <c r="T126" s="8">
        <v>713029701</v>
      </c>
      <c r="U126" s="109">
        <f t="shared" si="21"/>
        <v>16187536</v>
      </c>
      <c r="V126" s="6" t="s">
        <v>156</v>
      </c>
      <c r="W126" s="6" t="s">
        <v>4272</v>
      </c>
      <c r="X126" s="6" t="s">
        <v>4269</v>
      </c>
      <c r="Y126" s="15">
        <v>1093</v>
      </c>
      <c r="Z126" s="204" t="s">
        <v>4271</v>
      </c>
      <c r="AA126" s="6"/>
      <c r="AB126" s="6"/>
      <c r="AC126" s="6"/>
      <c r="AD126" s="57"/>
      <c r="AE126" s="6"/>
      <c r="AF126" s="6"/>
      <c r="AG126" s="6"/>
      <c r="AH126" s="8"/>
      <c r="AI126" s="8"/>
      <c r="AJ126" s="6"/>
      <c r="AK126" s="57"/>
      <c r="AL126" s="6"/>
      <c r="AM126" s="6"/>
      <c r="AN126" s="6"/>
      <c r="AO126" s="241"/>
      <c r="AP126" s="241"/>
      <c r="AQ126" s="241"/>
      <c r="AR126" s="299"/>
      <c r="AS126" s="241"/>
      <c r="AT126" s="241"/>
      <c r="AU126" s="6"/>
      <c r="AV126" s="241"/>
      <c r="AW126" s="241"/>
      <c r="AX126" s="241"/>
      <c r="AY126" s="299"/>
      <c r="AZ126" s="241"/>
      <c r="BA126" s="241"/>
      <c r="BB126" s="241"/>
      <c r="BC126" s="241"/>
      <c r="BD126" s="241"/>
      <c r="BE126" s="241"/>
      <c r="BF126" s="299"/>
      <c r="BG126" s="241"/>
      <c r="BH126" s="241"/>
      <c r="BI126" s="241"/>
      <c r="BJ126" s="241"/>
      <c r="BK126" s="241"/>
      <c r="BL126" s="241"/>
      <c r="BM126" s="299"/>
      <c r="BN126" s="241"/>
      <c r="BO126" s="241"/>
      <c r="BP126" s="241"/>
      <c r="BQ126" s="241"/>
      <c r="BR126" s="160" t="s">
        <v>3190</v>
      </c>
      <c r="BS126" s="163" t="s">
        <v>3191</v>
      </c>
      <c r="BT126" s="304" t="s">
        <v>1818</v>
      </c>
      <c r="BU126" s="9"/>
      <c r="BV126" s="304" t="s">
        <v>5511</v>
      </c>
      <c r="BW126" s="9"/>
      <c r="BX126" s="304" t="s">
        <v>5512</v>
      </c>
      <c r="BY126" s="9"/>
      <c r="BZ126" s="241"/>
      <c r="CA126" s="241"/>
      <c r="CB126" s="241"/>
      <c r="CC126" s="241"/>
      <c r="CD126" s="241"/>
      <c r="CE126" s="241"/>
      <c r="CF126" s="241"/>
      <c r="CG126" s="241"/>
      <c r="CH126" s="241"/>
      <c r="CI126" s="241"/>
      <c r="CJ126" s="241"/>
      <c r="CK126" s="241"/>
      <c r="CL126" s="241"/>
      <c r="CM126" s="241"/>
      <c r="CN126" s="241"/>
      <c r="CO126" s="241"/>
      <c r="CP126" s="27"/>
      <c r="CQ126" s="27"/>
      <c r="CR126" s="27"/>
      <c r="CS126" s="27"/>
    </row>
    <row r="127" spans="1:97" ht="24">
      <c r="A127" s="135">
        <v>6</v>
      </c>
      <c r="B127" s="143" t="s">
        <v>5504</v>
      </c>
      <c r="C127" s="165" t="s">
        <v>942</v>
      </c>
      <c r="D127" s="9" t="s">
        <v>5513</v>
      </c>
      <c r="E127" s="6" t="s">
        <v>5506</v>
      </c>
      <c r="F127" s="8">
        <v>2024</v>
      </c>
      <c r="G127" s="8">
        <v>2024</v>
      </c>
      <c r="H127" s="8">
        <v>2</v>
      </c>
      <c r="I127" s="6" t="s">
        <v>5298</v>
      </c>
      <c r="J127" s="458">
        <v>14625553</v>
      </c>
      <c r="K127" s="458">
        <v>14625553</v>
      </c>
      <c r="L127" s="6" t="s">
        <v>4269</v>
      </c>
      <c r="M127" s="207">
        <v>4</v>
      </c>
      <c r="N127" s="6" t="s">
        <v>5489</v>
      </c>
      <c r="O127" s="166" t="s">
        <v>3077</v>
      </c>
      <c r="P127" s="8" t="s">
        <v>3215</v>
      </c>
      <c r="Q127" s="15" t="s">
        <v>4951</v>
      </c>
      <c r="R127" s="33">
        <v>6680680</v>
      </c>
      <c r="S127" s="7" t="s">
        <v>9</v>
      </c>
      <c r="T127" s="8">
        <v>704039202</v>
      </c>
      <c r="U127" s="109">
        <f t="shared" si="21"/>
        <v>14625553</v>
      </c>
      <c r="V127" s="6" t="s">
        <v>156</v>
      </c>
      <c r="W127" s="6" t="s">
        <v>4272</v>
      </c>
      <c r="X127" s="6" t="s">
        <v>4269</v>
      </c>
      <c r="Y127" s="15">
        <v>1093</v>
      </c>
      <c r="Z127" s="204" t="s">
        <v>4271</v>
      </c>
      <c r="AA127" s="33"/>
      <c r="AB127" s="33"/>
      <c r="AC127" s="33"/>
      <c r="AD127" s="236"/>
      <c r="AE127" s="6"/>
      <c r="AF127" s="6"/>
      <c r="AG127" s="6"/>
      <c r="AH127" s="33"/>
      <c r="AI127" s="33"/>
      <c r="AJ127" s="33"/>
      <c r="AK127" s="236"/>
      <c r="AL127" s="6"/>
      <c r="AM127" s="6"/>
      <c r="AN127" s="6"/>
      <c r="AO127" s="33"/>
      <c r="AP127" s="33"/>
      <c r="AQ127" s="33"/>
      <c r="AR127" s="233"/>
      <c r="AS127" s="33"/>
      <c r="AT127" s="33"/>
      <c r="AU127" s="6"/>
      <c r="AV127" s="33"/>
      <c r="AW127" s="33"/>
      <c r="AX127" s="33"/>
      <c r="AY127" s="233"/>
      <c r="AZ127" s="33"/>
      <c r="BA127" s="33"/>
      <c r="BB127" s="33"/>
      <c r="BC127" s="33"/>
      <c r="BD127" s="33"/>
      <c r="BE127" s="33"/>
      <c r="BF127" s="233"/>
      <c r="BG127" s="33"/>
      <c r="BH127" s="33"/>
      <c r="BI127" s="33"/>
      <c r="BJ127" s="33"/>
      <c r="BK127" s="33"/>
      <c r="BL127" s="33"/>
      <c r="BM127" s="233"/>
      <c r="BN127" s="33"/>
      <c r="BO127" s="33"/>
      <c r="BP127" s="33"/>
      <c r="BQ127" s="33"/>
      <c r="BR127" s="160" t="s">
        <v>3190</v>
      </c>
      <c r="BS127" s="163" t="s">
        <v>3191</v>
      </c>
      <c r="BT127" s="7"/>
      <c r="BU127" s="33"/>
      <c r="BV127" s="7"/>
      <c r="BW127" s="33"/>
      <c r="BX127" s="33"/>
      <c r="BY127" s="33"/>
      <c r="BZ127" s="7"/>
      <c r="CA127" s="33"/>
      <c r="CB127" s="33"/>
      <c r="CC127" s="33"/>
      <c r="CD127" s="33"/>
      <c r="CE127" s="33"/>
      <c r="CF127" s="33"/>
      <c r="CG127" s="33"/>
      <c r="CH127" s="33"/>
      <c r="CI127" s="33"/>
      <c r="CJ127" s="7"/>
      <c r="CK127" s="7"/>
      <c r="CL127" s="7"/>
      <c r="CM127" s="33"/>
      <c r="CN127" s="33"/>
      <c r="CO127" s="33"/>
      <c r="CP127" s="147"/>
      <c r="CQ127" s="147"/>
      <c r="CR127" s="147"/>
      <c r="CS127" s="147"/>
    </row>
    <row r="128" spans="1:97" ht="24">
      <c r="A128" s="8">
        <v>7</v>
      </c>
      <c r="B128" s="143" t="s">
        <v>5504</v>
      </c>
      <c r="C128" s="165" t="s">
        <v>942</v>
      </c>
      <c r="D128" s="166" t="s">
        <v>3107</v>
      </c>
      <c r="E128" s="6" t="s">
        <v>5506</v>
      </c>
      <c r="F128" s="135">
        <v>2024</v>
      </c>
      <c r="G128" s="135">
        <v>2024</v>
      </c>
      <c r="H128" s="135">
        <v>2</v>
      </c>
      <c r="I128" s="165" t="s">
        <v>5298</v>
      </c>
      <c r="J128" s="465">
        <v>13077356</v>
      </c>
      <c r="K128" s="465">
        <v>13077356</v>
      </c>
      <c r="L128" s="165" t="s">
        <v>4269</v>
      </c>
      <c r="M128" s="514">
        <v>4</v>
      </c>
      <c r="N128" s="165" t="s">
        <v>5489</v>
      </c>
      <c r="O128" s="166" t="s">
        <v>3077</v>
      </c>
      <c r="P128" s="135" t="s">
        <v>3215</v>
      </c>
      <c r="Q128" s="15" t="s">
        <v>4951</v>
      </c>
      <c r="R128" s="167">
        <v>6099359</v>
      </c>
      <c r="S128" s="171" t="s">
        <v>67</v>
      </c>
      <c r="T128" s="135">
        <v>708119103</v>
      </c>
      <c r="U128" s="109">
        <f t="shared" si="21"/>
        <v>13077356</v>
      </c>
      <c r="V128" s="165" t="s">
        <v>166</v>
      </c>
      <c r="W128" s="6" t="s">
        <v>4282</v>
      </c>
      <c r="X128" s="6" t="s">
        <v>4269</v>
      </c>
      <c r="Y128" s="15">
        <v>1093</v>
      </c>
      <c r="Z128" s="204" t="s">
        <v>4271</v>
      </c>
      <c r="AA128" s="167"/>
      <c r="AB128" s="167"/>
      <c r="AC128" s="167"/>
      <c r="AD128" s="248"/>
      <c r="AE128" s="165"/>
      <c r="AF128" s="165"/>
      <c r="AG128" s="6"/>
      <c r="AH128" s="167"/>
      <c r="AI128" s="167"/>
      <c r="AJ128" s="167"/>
      <c r="AK128" s="248"/>
      <c r="AL128" s="165"/>
      <c r="AM128" s="165"/>
      <c r="AN128" s="6"/>
      <c r="AO128" s="167"/>
      <c r="AP128" s="167"/>
      <c r="AQ128" s="167"/>
      <c r="AR128" s="249"/>
      <c r="AS128" s="167"/>
      <c r="AT128" s="167"/>
      <c r="AU128" s="6"/>
      <c r="AV128" s="167"/>
      <c r="AW128" s="167"/>
      <c r="AX128" s="167"/>
      <c r="AY128" s="249"/>
      <c r="AZ128" s="167"/>
      <c r="BA128" s="167"/>
      <c r="BB128" s="167"/>
      <c r="BC128" s="167"/>
      <c r="BD128" s="167"/>
      <c r="BE128" s="167"/>
      <c r="BF128" s="249"/>
      <c r="BG128" s="167"/>
      <c r="BH128" s="167"/>
      <c r="BI128" s="167"/>
      <c r="BJ128" s="167"/>
      <c r="BK128" s="167"/>
      <c r="BL128" s="167"/>
      <c r="BM128" s="249"/>
      <c r="BN128" s="167"/>
      <c r="BO128" s="167"/>
      <c r="BP128" s="167"/>
      <c r="BQ128" s="167"/>
      <c r="BR128" s="160" t="s">
        <v>3190</v>
      </c>
      <c r="BS128" s="163" t="s">
        <v>3191</v>
      </c>
      <c r="BT128" s="171"/>
      <c r="BU128" s="167"/>
      <c r="BV128" s="167"/>
      <c r="BW128" s="167"/>
      <c r="BX128" s="167"/>
      <c r="BY128" s="167"/>
      <c r="BZ128" s="167"/>
      <c r="CA128" s="167"/>
      <c r="CB128" s="167"/>
      <c r="CC128" s="167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  <c r="CO128" s="167"/>
      <c r="CP128" s="147"/>
      <c r="CQ128" s="147"/>
      <c r="CR128" s="147"/>
      <c r="CS128" s="147"/>
    </row>
    <row r="129" spans="1:97" ht="36">
      <c r="A129" s="8">
        <v>8</v>
      </c>
      <c r="B129" s="143" t="s">
        <v>5514</v>
      </c>
      <c r="C129" s="327" t="s">
        <v>5515</v>
      </c>
      <c r="D129" s="166" t="s">
        <v>5516</v>
      </c>
      <c r="E129" s="165" t="s">
        <v>216</v>
      </c>
      <c r="F129" s="135">
        <v>2024</v>
      </c>
      <c r="G129" s="135">
        <v>2024</v>
      </c>
      <c r="H129" s="135">
        <v>7</v>
      </c>
      <c r="I129" s="165" t="s">
        <v>5517</v>
      </c>
      <c r="J129" s="468">
        <v>9954000</v>
      </c>
      <c r="K129" s="468">
        <v>9954000</v>
      </c>
      <c r="L129" s="165" t="s">
        <v>4269</v>
      </c>
      <c r="M129" s="514">
        <v>5</v>
      </c>
      <c r="N129" s="7" t="s">
        <v>5290</v>
      </c>
      <c r="O129" s="9" t="s">
        <v>3223</v>
      </c>
      <c r="P129" s="135" t="s">
        <v>3215</v>
      </c>
      <c r="Q129" s="15" t="s">
        <v>4951</v>
      </c>
      <c r="R129" s="513"/>
      <c r="S129" s="171" t="s">
        <v>5518</v>
      </c>
      <c r="T129" s="168" t="s">
        <v>5519</v>
      </c>
      <c r="U129" s="245">
        <f>$K129/3</f>
        <v>3318000</v>
      </c>
      <c r="V129" s="6" t="s">
        <v>3093</v>
      </c>
      <c r="W129" s="6" t="s">
        <v>4449</v>
      </c>
      <c r="X129" s="6" t="s">
        <v>4269</v>
      </c>
      <c r="Y129" s="15">
        <v>1093</v>
      </c>
      <c r="Z129" s="204" t="s">
        <v>4271</v>
      </c>
      <c r="AA129" s="167">
        <v>6843682</v>
      </c>
      <c r="AB129" s="170" t="s">
        <v>5520</v>
      </c>
      <c r="AC129" s="167" t="s">
        <v>4379</v>
      </c>
      <c r="AD129" s="245">
        <f>$K129/3</f>
        <v>3318000</v>
      </c>
      <c r="AE129" s="165" t="s">
        <v>3093</v>
      </c>
      <c r="AF129" s="165" t="s">
        <v>4449</v>
      </c>
      <c r="AG129" s="6" t="s">
        <v>4269</v>
      </c>
      <c r="AH129" s="6">
        <v>6801989</v>
      </c>
      <c r="AI129" s="11" t="s">
        <v>1890</v>
      </c>
      <c r="AJ129" s="167" t="s">
        <v>145</v>
      </c>
      <c r="AK129" s="245">
        <f>$K129/3</f>
        <v>3318000</v>
      </c>
      <c r="AL129" s="165" t="s">
        <v>3093</v>
      </c>
      <c r="AM129" s="165" t="s">
        <v>4449</v>
      </c>
      <c r="AN129" s="6" t="s">
        <v>4269</v>
      </c>
      <c r="AO129" s="167"/>
      <c r="AP129" s="167"/>
      <c r="AQ129" s="167"/>
      <c r="AR129" s="249"/>
      <c r="AS129" s="167"/>
      <c r="AT129" s="167"/>
      <c r="AU129" s="6"/>
      <c r="AV129" s="167"/>
      <c r="AW129" s="167"/>
      <c r="AX129" s="167"/>
      <c r="AY129" s="249"/>
      <c r="AZ129" s="167"/>
      <c r="BA129" s="167"/>
      <c r="BB129" s="167"/>
      <c r="BC129" s="167"/>
      <c r="BD129" s="167"/>
      <c r="BE129" s="167"/>
      <c r="BF129" s="249"/>
      <c r="BG129" s="167"/>
      <c r="BH129" s="167"/>
      <c r="BI129" s="167"/>
      <c r="BJ129" s="167"/>
      <c r="BK129" s="167"/>
      <c r="BL129" s="167"/>
      <c r="BM129" s="249"/>
      <c r="BN129" s="167"/>
      <c r="BO129" s="167"/>
      <c r="BP129" s="167"/>
      <c r="BQ129" s="167">
        <v>5</v>
      </c>
      <c r="BR129" s="160" t="s">
        <v>3190</v>
      </c>
      <c r="BS129" s="163" t="s">
        <v>3191</v>
      </c>
      <c r="BT129" s="171"/>
      <c r="BU129" s="167"/>
      <c r="BV129" s="167"/>
      <c r="BW129" s="167"/>
      <c r="BX129" s="167"/>
      <c r="BY129" s="167"/>
      <c r="BZ129" s="167"/>
      <c r="CA129" s="167"/>
      <c r="CB129" s="167"/>
      <c r="CC129" s="167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  <c r="CO129" s="167"/>
      <c r="CP129" s="147"/>
      <c r="CQ129" s="147"/>
      <c r="CR129" s="147"/>
      <c r="CS129" s="147"/>
    </row>
    <row r="130" spans="1:97" ht="36">
      <c r="A130" s="8">
        <v>9</v>
      </c>
      <c r="B130" s="143" t="s">
        <v>5521</v>
      </c>
      <c r="C130" s="327" t="s">
        <v>5522</v>
      </c>
      <c r="D130" s="166" t="s">
        <v>5523</v>
      </c>
      <c r="E130" s="165" t="s">
        <v>216</v>
      </c>
      <c r="F130" s="135">
        <v>2024</v>
      </c>
      <c r="G130" s="135">
        <v>2024</v>
      </c>
      <c r="H130" s="135">
        <v>7</v>
      </c>
      <c r="I130" s="165" t="s">
        <v>5524</v>
      </c>
      <c r="J130" s="468">
        <v>9973000</v>
      </c>
      <c r="K130" s="468">
        <v>9973000</v>
      </c>
      <c r="L130" s="165" t="s">
        <v>4269</v>
      </c>
      <c r="M130" s="514">
        <v>6</v>
      </c>
      <c r="N130" s="7" t="s">
        <v>5290</v>
      </c>
      <c r="O130" s="9" t="s">
        <v>3223</v>
      </c>
      <c r="P130" s="135" t="s">
        <v>3215</v>
      </c>
      <c r="Q130" s="15" t="s">
        <v>4951</v>
      </c>
      <c r="R130" s="8">
        <v>6658755</v>
      </c>
      <c r="S130" s="171" t="s">
        <v>4408</v>
      </c>
      <c r="T130" s="162" t="s">
        <v>1901</v>
      </c>
      <c r="U130" s="245">
        <f>$K130/3</f>
        <v>3324333.3333333335</v>
      </c>
      <c r="V130" s="6" t="s">
        <v>164</v>
      </c>
      <c r="W130" s="6" t="s">
        <v>4272</v>
      </c>
      <c r="X130" s="6" t="s">
        <v>4269</v>
      </c>
      <c r="Y130" s="15">
        <v>1093</v>
      </c>
      <c r="Z130" s="204" t="s">
        <v>4271</v>
      </c>
      <c r="AA130" s="167"/>
      <c r="AB130" s="170" t="s">
        <v>2699</v>
      </c>
      <c r="AC130" s="167" t="s">
        <v>135</v>
      </c>
      <c r="AD130" s="245">
        <f>$K130/3</f>
        <v>3324333.3333333335</v>
      </c>
      <c r="AE130" s="165" t="s">
        <v>171</v>
      </c>
      <c r="AF130" s="165" t="s">
        <v>4272</v>
      </c>
      <c r="AG130" s="6" t="s">
        <v>4269</v>
      </c>
      <c r="AH130" s="167" t="s">
        <v>942</v>
      </c>
      <c r="AI130" s="170" t="s">
        <v>942</v>
      </c>
      <c r="AJ130" s="167" t="s">
        <v>3121</v>
      </c>
      <c r="AK130" s="245">
        <f>$K130/3</f>
        <v>3324333.3333333335</v>
      </c>
      <c r="AL130" s="165"/>
      <c r="AM130" s="165"/>
      <c r="AN130" s="6" t="s">
        <v>4269</v>
      </c>
      <c r="AO130" s="167"/>
      <c r="AP130" s="167"/>
      <c r="AQ130" s="167"/>
      <c r="AR130" s="249"/>
      <c r="AS130" s="167"/>
      <c r="AT130" s="167"/>
      <c r="AU130" s="6"/>
      <c r="AV130" s="167"/>
      <c r="AW130" s="167"/>
      <c r="AX130" s="167"/>
      <c r="AY130" s="249"/>
      <c r="AZ130" s="167"/>
      <c r="BA130" s="167"/>
      <c r="BB130" s="167"/>
      <c r="BC130" s="167"/>
      <c r="BD130" s="167"/>
      <c r="BE130" s="167"/>
      <c r="BF130" s="249"/>
      <c r="BG130" s="167"/>
      <c r="BH130" s="167"/>
      <c r="BI130" s="167"/>
      <c r="BJ130" s="167"/>
      <c r="BK130" s="167"/>
      <c r="BL130" s="167"/>
      <c r="BM130" s="249"/>
      <c r="BN130" s="167"/>
      <c r="BO130" s="167"/>
      <c r="BP130" s="167"/>
      <c r="BQ130" s="167">
        <v>6</v>
      </c>
      <c r="BR130" s="160" t="s">
        <v>3190</v>
      </c>
      <c r="BS130" s="163" t="s">
        <v>3191</v>
      </c>
      <c r="BT130" s="171"/>
      <c r="BU130" s="167"/>
      <c r="BV130" s="167"/>
      <c r="BW130" s="167"/>
      <c r="BX130" s="167"/>
      <c r="BY130" s="167"/>
      <c r="BZ130" s="167"/>
      <c r="CA130" s="167"/>
      <c r="CB130" s="167"/>
      <c r="CC130" s="167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  <c r="CO130" s="167"/>
      <c r="CP130" s="147"/>
      <c r="CQ130" s="147"/>
      <c r="CR130" s="147"/>
      <c r="CS130" s="147"/>
    </row>
    <row r="131" spans="1:97" ht="48">
      <c r="A131" s="135">
        <v>10</v>
      </c>
      <c r="B131" s="143" t="s">
        <v>5525</v>
      </c>
      <c r="C131" s="143" t="s">
        <v>5526</v>
      </c>
      <c r="D131" s="166" t="s">
        <v>5527</v>
      </c>
      <c r="E131" s="165" t="s">
        <v>216</v>
      </c>
      <c r="F131" s="135">
        <v>2024</v>
      </c>
      <c r="G131" s="135">
        <v>2024</v>
      </c>
      <c r="H131" s="135">
        <v>7</v>
      </c>
      <c r="I131" s="165" t="s">
        <v>5524</v>
      </c>
      <c r="J131" s="468">
        <v>9770000</v>
      </c>
      <c r="K131" s="468">
        <v>9770000</v>
      </c>
      <c r="L131" s="165" t="s">
        <v>4269</v>
      </c>
      <c r="M131" s="514">
        <v>4</v>
      </c>
      <c r="N131" s="7" t="s">
        <v>5290</v>
      </c>
      <c r="O131" s="9" t="s">
        <v>3223</v>
      </c>
      <c r="P131" s="135" t="s">
        <v>3215</v>
      </c>
      <c r="Q131" s="15" t="s">
        <v>4951</v>
      </c>
      <c r="R131" s="167">
        <v>6099359</v>
      </c>
      <c r="S131" s="171" t="s">
        <v>5528</v>
      </c>
      <c r="T131" s="135">
        <v>708119103</v>
      </c>
      <c r="U131" s="245">
        <f>$K131/4</f>
        <v>2442500</v>
      </c>
      <c r="V131" s="165" t="s">
        <v>166</v>
      </c>
      <c r="W131" s="6" t="s">
        <v>4282</v>
      </c>
      <c r="X131" s="6" t="s">
        <v>4269</v>
      </c>
      <c r="Y131" s="15">
        <v>1093</v>
      </c>
      <c r="Z131" s="204" t="s">
        <v>4271</v>
      </c>
      <c r="AA131" s="6">
        <v>6835039</v>
      </c>
      <c r="AB131" s="11" t="s">
        <v>2009</v>
      </c>
      <c r="AC131" s="167" t="s">
        <v>4694</v>
      </c>
      <c r="AD131" s="245">
        <f>$K131/4</f>
        <v>2442500</v>
      </c>
      <c r="AE131" s="165" t="s">
        <v>166</v>
      </c>
      <c r="AF131" s="165" t="s">
        <v>4282</v>
      </c>
      <c r="AG131" s="6" t="s">
        <v>4269</v>
      </c>
      <c r="AH131" s="13">
        <v>6682174</v>
      </c>
      <c r="AI131" s="16" t="s">
        <v>2285</v>
      </c>
      <c r="AJ131" s="167" t="s">
        <v>4839</v>
      </c>
      <c r="AK131" s="245">
        <f>$K131/4</f>
        <v>2442500</v>
      </c>
      <c r="AL131" s="165" t="s">
        <v>166</v>
      </c>
      <c r="AM131" s="165" t="s">
        <v>4282</v>
      </c>
      <c r="AN131" s="6" t="s">
        <v>4269</v>
      </c>
      <c r="AO131" s="8">
        <v>6826727</v>
      </c>
      <c r="AP131" s="162" t="s">
        <v>2276</v>
      </c>
      <c r="AQ131" s="167" t="s">
        <v>4545</v>
      </c>
      <c r="AR131" s="245">
        <f>$K131/4</f>
        <v>2442500</v>
      </c>
      <c r="AS131" s="167" t="s">
        <v>156</v>
      </c>
      <c r="AT131" s="167" t="s">
        <v>4272</v>
      </c>
      <c r="AU131" s="6" t="s">
        <v>4269</v>
      </c>
      <c r="AV131" s="118">
        <v>6886510</v>
      </c>
      <c r="AW131" s="11" t="s">
        <v>4248</v>
      </c>
      <c r="AX131" s="167" t="s">
        <v>4797</v>
      </c>
      <c r="AY131" s="245">
        <f>$K131/4</f>
        <v>2442500</v>
      </c>
      <c r="AZ131" s="167" t="s">
        <v>156</v>
      </c>
      <c r="BA131" s="167" t="s">
        <v>4272</v>
      </c>
      <c r="BB131" s="6" t="s">
        <v>4269</v>
      </c>
      <c r="BC131" s="167"/>
      <c r="BD131" s="167"/>
      <c r="BE131" s="167"/>
      <c r="BF131" s="249"/>
      <c r="BG131" s="167"/>
      <c r="BH131" s="167"/>
      <c r="BI131" s="167"/>
      <c r="BJ131" s="167"/>
      <c r="BK131" s="167"/>
      <c r="BL131" s="167"/>
      <c r="BM131" s="249"/>
      <c r="BN131" s="167"/>
      <c r="BO131" s="167"/>
      <c r="BP131" s="167"/>
      <c r="BQ131" s="167">
        <v>4</v>
      </c>
      <c r="BR131" s="160" t="s">
        <v>3190</v>
      </c>
      <c r="BS131" s="163" t="s">
        <v>3191</v>
      </c>
      <c r="BT131" s="171"/>
      <c r="BU131" s="167"/>
      <c r="BV131" s="167"/>
      <c r="BW131" s="167"/>
      <c r="BX131" s="167"/>
      <c r="BY131" s="167"/>
      <c r="BZ131" s="167"/>
      <c r="CA131" s="167"/>
      <c r="CB131" s="167"/>
      <c r="CC131" s="167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  <c r="CO131" s="167"/>
      <c r="CP131" s="147"/>
      <c r="CQ131" s="147"/>
      <c r="CR131" s="147"/>
      <c r="CS131" s="147"/>
    </row>
    <row r="132" spans="1:97" ht="36">
      <c r="A132" s="8">
        <v>11</v>
      </c>
      <c r="B132" s="143" t="s">
        <v>5529</v>
      </c>
      <c r="C132" s="143" t="s">
        <v>5530</v>
      </c>
      <c r="D132" s="166" t="s">
        <v>5531</v>
      </c>
      <c r="E132" s="165" t="s">
        <v>216</v>
      </c>
      <c r="F132" s="135">
        <v>2024</v>
      </c>
      <c r="G132" s="135">
        <v>2024</v>
      </c>
      <c r="H132" s="135">
        <v>7</v>
      </c>
      <c r="I132" s="165" t="s">
        <v>5524</v>
      </c>
      <c r="J132" s="468">
        <v>9983000</v>
      </c>
      <c r="K132" s="468">
        <v>9983000</v>
      </c>
      <c r="L132" s="165" t="s">
        <v>4269</v>
      </c>
      <c r="M132" s="514">
        <v>4</v>
      </c>
      <c r="N132" s="7" t="s">
        <v>5290</v>
      </c>
      <c r="O132" s="9" t="s">
        <v>3223</v>
      </c>
      <c r="P132" s="135" t="s">
        <v>3215</v>
      </c>
      <c r="Q132" s="15" t="s">
        <v>4951</v>
      </c>
      <c r="R132" s="6">
        <v>6773159</v>
      </c>
      <c r="S132" s="171" t="s">
        <v>4907</v>
      </c>
      <c r="T132" s="6" t="s">
        <v>3683</v>
      </c>
      <c r="U132" s="245">
        <f>$K132/3</f>
        <v>3327666.6666666665</v>
      </c>
      <c r="V132" s="165" t="s">
        <v>171</v>
      </c>
      <c r="W132" s="6" t="s">
        <v>4272</v>
      </c>
      <c r="X132" s="6" t="s">
        <v>4269</v>
      </c>
      <c r="Y132" s="15">
        <v>1093</v>
      </c>
      <c r="Z132" s="204" t="s">
        <v>4271</v>
      </c>
      <c r="AA132" s="259">
        <v>28854</v>
      </c>
      <c r="AB132" s="260" t="s">
        <v>2959</v>
      </c>
      <c r="AC132" s="167" t="s">
        <v>146</v>
      </c>
      <c r="AD132" s="245">
        <f>$K132/3</f>
        <v>3327666.6666666665</v>
      </c>
      <c r="AE132" s="165" t="s">
        <v>164</v>
      </c>
      <c r="AF132" s="165" t="s">
        <v>4272</v>
      </c>
      <c r="AG132" s="6" t="s">
        <v>4269</v>
      </c>
      <c r="AH132" s="167">
        <v>6889068</v>
      </c>
      <c r="AI132" s="170" t="s">
        <v>4299</v>
      </c>
      <c r="AJ132" s="167" t="s">
        <v>3111</v>
      </c>
      <c r="AK132" s="245">
        <f>$K132/3</f>
        <v>3327666.6666666665</v>
      </c>
      <c r="AL132" s="165" t="s">
        <v>171</v>
      </c>
      <c r="AM132" s="165" t="s">
        <v>4272</v>
      </c>
      <c r="AN132" s="6" t="s">
        <v>4269</v>
      </c>
      <c r="AO132" s="167"/>
      <c r="AP132" s="167"/>
      <c r="AQ132" s="167"/>
      <c r="AR132" s="249"/>
      <c r="AS132" s="167"/>
      <c r="AT132" s="167"/>
      <c r="AU132" s="6"/>
      <c r="AV132" s="167"/>
      <c r="AW132" s="167"/>
      <c r="AX132" s="167"/>
      <c r="AY132" s="249"/>
      <c r="AZ132" s="167"/>
      <c r="BA132" s="167"/>
      <c r="BB132" s="167"/>
      <c r="BC132" s="167"/>
      <c r="BD132" s="167"/>
      <c r="BE132" s="167"/>
      <c r="BF132" s="249"/>
      <c r="BG132" s="167"/>
      <c r="BH132" s="167"/>
      <c r="BI132" s="167"/>
      <c r="BJ132" s="167"/>
      <c r="BK132" s="167"/>
      <c r="BL132" s="167"/>
      <c r="BM132" s="249"/>
      <c r="BN132" s="167"/>
      <c r="BO132" s="167"/>
      <c r="BP132" s="167"/>
      <c r="BQ132" s="167">
        <v>4</v>
      </c>
      <c r="BR132" s="160" t="s">
        <v>3190</v>
      </c>
      <c r="BS132" s="163" t="s">
        <v>3191</v>
      </c>
      <c r="BT132" s="171"/>
      <c r="BU132" s="167"/>
      <c r="BV132" s="167"/>
      <c r="BW132" s="167"/>
      <c r="BX132" s="167"/>
      <c r="BY132" s="167"/>
      <c r="BZ132" s="167"/>
      <c r="CA132" s="167"/>
      <c r="CB132" s="167"/>
      <c r="CC132" s="167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  <c r="CO132" s="167"/>
      <c r="CP132" s="147"/>
      <c r="CQ132" s="147"/>
      <c r="CR132" s="147"/>
      <c r="CS132" s="147"/>
    </row>
    <row r="133" spans="1:97" ht="24">
      <c r="A133" s="8">
        <v>12</v>
      </c>
      <c r="B133" s="143"/>
      <c r="C133" s="327" t="s">
        <v>5532</v>
      </c>
      <c r="D133" s="166" t="s">
        <v>5533</v>
      </c>
      <c r="E133" s="165" t="s">
        <v>214</v>
      </c>
      <c r="F133" s="135">
        <v>2024</v>
      </c>
      <c r="G133" s="135">
        <v>2024</v>
      </c>
      <c r="H133" s="135">
        <v>7</v>
      </c>
      <c r="I133" s="165" t="s">
        <v>5524</v>
      </c>
      <c r="J133" s="468">
        <v>5000000</v>
      </c>
      <c r="K133" s="468">
        <v>5000000</v>
      </c>
      <c r="L133" s="165" t="s">
        <v>4269</v>
      </c>
      <c r="M133" s="514">
        <v>1</v>
      </c>
      <c r="N133" s="7" t="s">
        <v>5290</v>
      </c>
      <c r="O133" s="9" t="s">
        <v>3223</v>
      </c>
      <c r="P133" s="135" t="s">
        <v>3215</v>
      </c>
      <c r="Q133" s="15" t="s">
        <v>4951</v>
      </c>
      <c r="R133" s="167">
        <v>6892129</v>
      </c>
      <c r="S133" s="171" t="s">
        <v>115</v>
      </c>
      <c r="T133" s="168" t="s">
        <v>2557</v>
      </c>
      <c r="U133" s="245">
        <f>$K133/3</f>
        <v>1666666.6666666667</v>
      </c>
      <c r="V133" s="165" t="s">
        <v>160</v>
      </c>
      <c r="W133" s="6" t="s">
        <v>4282</v>
      </c>
      <c r="X133" s="6" t="s">
        <v>4269</v>
      </c>
      <c r="Y133" s="15">
        <v>1093</v>
      </c>
      <c r="Z133" s="204" t="s">
        <v>4271</v>
      </c>
      <c r="AA133" s="6">
        <v>6658545</v>
      </c>
      <c r="AB133" s="11" t="s">
        <v>984</v>
      </c>
      <c r="AC133" s="167" t="s">
        <v>4751</v>
      </c>
      <c r="AD133" s="245">
        <f>$K133/3</f>
        <v>1666666.6666666667</v>
      </c>
      <c r="AE133" s="165" t="s">
        <v>160</v>
      </c>
      <c r="AF133" s="165" t="s">
        <v>4282</v>
      </c>
      <c r="AG133" s="6" t="s">
        <v>4269</v>
      </c>
      <c r="AH133" s="8">
        <v>6826743</v>
      </c>
      <c r="AI133" s="162" t="s">
        <v>1880</v>
      </c>
      <c r="AJ133" s="167" t="s">
        <v>4600</v>
      </c>
      <c r="AK133" s="245">
        <f>$K133/3</f>
        <v>1666666.6666666667</v>
      </c>
      <c r="AL133" s="165" t="s">
        <v>160</v>
      </c>
      <c r="AM133" s="165" t="s">
        <v>4282</v>
      </c>
      <c r="AN133" s="6" t="s">
        <v>4269</v>
      </c>
      <c r="AO133" s="167"/>
      <c r="AP133" s="167"/>
      <c r="AQ133" s="167"/>
      <c r="AR133" s="249"/>
      <c r="AS133" s="167"/>
      <c r="AT133" s="167"/>
      <c r="AU133" s="6"/>
      <c r="AV133" s="167"/>
      <c r="AW133" s="167"/>
      <c r="AX133" s="167"/>
      <c r="AY133" s="249"/>
      <c r="AZ133" s="167"/>
      <c r="BA133" s="167"/>
      <c r="BB133" s="167"/>
      <c r="BC133" s="167"/>
      <c r="BD133" s="167"/>
      <c r="BE133" s="167"/>
      <c r="BF133" s="249"/>
      <c r="BG133" s="167"/>
      <c r="BH133" s="167"/>
      <c r="BI133" s="167"/>
      <c r="BJ133" s="167"/>
      <c r="BK133" s="167"/>
      <c r="BL133" s="167"/>
      <c r="BM133" s="249"/>
      <c r="BN133" s="167"/>
      <c r="BO133" s="167"/>
      <c r="BP133" s="167"/>
      <c r="BQ133" s="167">
        <v>1</v>
      </c>
      <c r="BR133" s="160" t="s">
        <v>3190</v>
      </c>
      <c r="BS133" s="163" t="s">
        <v>3191</v>
      </c>
      <c r="BT133" s="171"/>
      <c r="BU133" s="167"/>
      <c r="BV133" s="167"/>
      <c r="BW133" s="167"/>
      <c r="BX133" s="167"/>
      <c r="BY133" s="167"/>
      <c r="BZ133" s="167"/>
      <c r="CA133" s="167"/>
      <c r="CB133" s="167"/>
      <c r="CC133" s="167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  <c r="CO133" s="167"/>
      <c r="CP133" s="147"/>
      <c r="CQ133" s="147"/>
      <c r="CR133" s="147"/>
      <c r="CS133" s="147"/>
    </row>
    <row r="134" spans="1:97" ht="36">
      <c r="A134" s="8">
        <v>13</v>
      </c>
      <c r="B134" s="143" t="s">
        <v>5514</v>
      </c>
      <c r="C134" s="327" t="s">
        <v>5534</v>
      </c>
      <c r="D134" s="166" t="s">
        <v>5535</v>
      </c>
      <c r="E134" s="165" t="s">
        <v>216</v>
      </c>
      <c r="F134" s="135">
        <v>2024</v>
      </c>
      <c r="G134" s="135">
        <v>2024</v>
      </c>
      <c r="H134" s="135">
        <v>7</v>
      </c>
      <c r="I134" s="165" t="s">
        <v>5536</v>
      </c>
      <c r="J134" s="468">
        <v>10000000</v>
      </c>
      <c r="K134" s="468">
        <v>10000000</v>
      </c>
      <c r="L134" s="165" t="s">
        <v>4269</v>
      </c>
      <c r="M134" s="514">
        <v>6</v>
      </c>
      <c r="N134" s="7" t="s">
        <v>5290</v>
      </c>
      <c r="O134" s="9" t="s">
        <v>3223</v>
      </c>
      <c r="P134" s="135" t="s">
        <v>3215</v>
      </c>
      <c r="Q134" s="15" t="s">
        <v>4951</v>
      </c>
      <c r="R134" s="99">
        <v>6853203</v>
      </c>
      <c r="S134" s="171" t="s">
        <v>4802</v>
      </c>
      <c r="T134" s="11" t="s">
        <v>3905</v>
      </c>
      <c r="U134" s="245">
        <f>$K134/3</f>
        <v>3333333.3333333335</v>
      </c>
      <c r="V134" s="165" t="s">
        <v>155</v>
      </c>
      <c r="W134" s="6" t="s">
        <v>3224</v>
      </c>
      <c r="X134" s="6" t="s">
        <v>4269</v>
      </c>
      <c r="Y134" s="15">
        <v>1093</v>
      </c>
      <c r="Z134" s="204" t="s">
        <v>4271</v>
      </c>
      <c r="AA134" s="8">
        <v>6680612</v>
      </c>
      <c r="AB134" s="8">
        <v>728059203</v>
      </c>
      <c r="AC134" s="167" t="s">
        <v>4341</v>
      </c>
      <c r="AD134" s="245">
        <f>$K134/3</f>
        <v>3333333.3333333335</v>
      </c>
      <c r="AE134" s="165" t="s">
        <v>155</v>
      </c>
      <c r="AF134" s="165" t="s">
        <v>3224</v>
      </c>
      <c r="AG134" s="6" t="s">
        <v>4269</v>
      </c>
      <c r="AH134" s="8">
        <v>6859016</v>
      </c>
      <c r="AI134" s="162" t="s">
        <v>2497</v>
      </c>
      <c r="AJ134" s="167" t="s">
        <v>3126</v>
      </c>
      <c r="AK134" s="245">
        <f>$K134/3</f>
        <v>3333333.3333333335</v>
      </c>
      <c r="AL134" s="165" t="s">
        <v>155</v>
      </c>
      <c r="AM134" s="165" t="s">
        <v>3224</v>
      </c>
      <c r="AN134" s="6" t="s">
        <v>4269</v>
      </c>
      <c r="AO134" s="167"/>
      <c r="AP134" s="167"/>
      <c r="AQ134" s="167"/>
      <c r="AR134" s="249"/>
      <c r="AS134" s="167"/>
      <c r="AT134" s="167"/>
      <c r="AU134" s="6"/>
      <c r="AV134" s="167"/>
      <c r="AW134" s="167"/>
      <c r="AX134" s="167"/>
      <c r="AY134" s="249"/>
      <c r="AZ134" s="167"/>
      <c r="BA134" s="167"/>
      <c r="BB134" s="167"/>
      <c r="BC134" s="167"/>
      <c r="BD134" s="167"/>
      <c r="BE134" s="167"/>
      <c r="BF134" s="249"/>
      <c r="BG134" s="167"/>
      <c r="BH134" s="167"/>
      <c r="BI134" s="167"/>
      <c r="BJ134" s="167"/>
      <c r="BK134" s="167"/>
      <c r="BL134" s="167"/>
      <c r="BM134" s="249"/>
      <c r="BN134" s="167"/>
      <c r="BO134" s="167"/>
      <c r="BP134" s="167"/>
      <c r="BQ134" s="167">
        <v>6</v>
      </c>
      <c r="BR134" s="160" t="s">
        <v>3190</v>
      </c>
      <c r="BS134" s="163" t="s">
        <v>3191</v>
      </c>
      <c r="BT134" s="171"/>
      <c r="BU134" s="167"/>
      <c r="BV134" s="167"/>
      <c r="BW134" s="167"/>
      <c r="BX134" s="167"/>
      <c r="BY134" s="167"/>
      <c r="BZ134" s="167"/>
      <c r="CA134" s="167"/>
      <c r="CB134" s="167"/>
      <c r="CC134" s="167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  <c r="CO134" s="167"/>
      <c r="CP134" s="147"/>
      <c r="CQ134" s="147"/>
      <c r="CR134" s="147"/>
      <c r="CS134" s="147"/>
    </row>
    <row r="135" spans="1:97" ht="24">
      <c r="A135" s="135">
        <v>14</v>
      </c>
      <c r="B135" s="143"/>
      <c r="C135" s="327" t="s">
        <v>5537</v>
      </c>
      <c r="D135" s="166" t="s">
        <v>5538</v>
      </c>
      <c r="E135" s="165" t="s">
        <v>214</v>
      </c>
      <c r="F135" s="135">
        <v>2024</v>
      </c>
      <c r="G135" s="135">
        <v>2024</v>
      </c>
      <c r="H135" s="135">
        <v>7</v>
      </c>
      <c r="I135" s="165" t="s">
        <v>5536</v>
      </c>
      <c r="J135" s="468">
        <v>5000000</v>
      </c>
      <c r="K135" s="468">
        <v>5000000</v>
      </c>
      <c r="L135" s="165" t="s">
        <v>4269</v>
      </c>
      <c r="M135" s="514">
        <v>2</v>
      </c>
      <c r="N135" s="7" t="s">
        <v>5290</v>
      </c>
      <c r="O135" s="9" t="s">
        <v>3223</v>
      </c>
      <c r="P135" s="135" t="s">
        <v>3215</v>
      </c>
      <c r="Q135" s="15" t="s">
        <v>4951</v>
      </c>
      <c r="R135" s="8">
        <v>6795859</v>
      </c>
      <c r="S135" s="171" t="s">
        <v>2056</v>
      </c>
      <c r="T135" s="162" t="s">
        <v>1672</v>
      </c>
      <c r="U135" s="245">
        <f>$K135/3</f>
        <v>1666666.6666666667</v>
      </c>
      <c r="V135" s="165" t="s">
        <v>160</v>
      </c>
      <c r="W135" s="6" t="s">
        <v>4282</v>
      </c>
      <c r="X135" s="6" t="s">
        <v>4269</v>
      </c>
      <c r="Y135" s="15">
        <v>1093</v>
      </c>
      <c r="Z135" s="204" t="s">
        <v>4271</v>
      </c>
      <c r="AA135" s="8">
        <v>6681051</v>
      </c>
      <c r="AB135" s="10" t="s">
        <v>1657</v>
      </c>
      <c r="AC135" s="167" t="s">
        <v>4562</v>
      </c>
      <c r="AD135" s="245">
        <f>$K135/3</f>
        <v>1666666.6666666667</v>
      </c>
      <c r="AE135" s="165" t="s">
        <v>160</v>
      </c>
      <c r="AF135" s="165" t="s">
        <v>4282</v>
      </c>
      <c r="AG135" s="6" t="s">
        <v>4269</v>
      </c>
      <c r="AH135" s="6">
        <v>6826739</v>
      </c>
      <c r="AI135" s="11" t="s">
        <v>2307</v>
      </c>
      <c r="AJ135" s="167" t="s">
        <v>4479</v>
      </c>
      <c r="AK135" s="245">
        <f>$K135/3</f>
        <v>1666666.6666666667</v>
      </c>
      <c r="AL135" s="165" t="s">
        <v>160</v>
      </c>
      <c r="AM135" s="165" t="s">
        <v>4282</v>
      </c>
      <c r="AN135" s="6" t="s">
        <v>4269</v>
      </c>
      <c r="AO135" s="167"/>
      <c r="AP135" s="167"/>
      <c r="AQ135" s="167"/>
      <c r="AR135" s="249"/>
      <c r="AS135" s="167"/>
      <c r="AT135" s="167"/>
      <c r="AU135" s="6"/>
      <c r="AV135" s="167"/>
      <c r="AW135" s="167"/>
      <c r="AX135" s="167"/>
      <c r="AY135" s="249"/>
      <c r="AZ135" s="167"/>
      <c r="BA135" s="167"/>
      <c r="BB135" s="167"/>
      <c r="BC135" s="167"/>
      <c r="BD135" s="167"/>
      <c r="BE135" s="167"/>
      <c r="BF135" s="249"/>
      <c r="BG135" s="167"/>
      <c r="BH135" s="167"/>
      <c r="BI135" s="167"/>
      <c r="BJ135" s="167"/>
      <c r="BK135" s="167"/>
      <c r="BL135" s="167"/>
      <c r="BM135" s="249"/>
      <c r="BN135" s="167"/>
      <c r="BO135" s="167"/>
      <c r="BP135" s="167"/>
      <c r="BQ135" s="167">
        <v>2</v>
      </c>
      <c r="BR135" s="160" t="s">
        <v>3190</v>
      </c>
      <c r="BS135" s="163" t="s">
        <v>3191</v>
      </c>
      <c r="BT135" s="171"/>
      <c r="BU135" s="167"/>
      <c r="BV135" s="167"/>
      <c r="BW135" s="167"/>
      <c r="BX135" s="167"/>
      <c r="BY135" s="167"/>
      <c r="BZ135" s="167"/>
      <c r="CA135" s="167"/>
      <c r="CB135" s="167"/>
      <c r="CC135" s="167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  <c r="CO135" s="167"/>
      <c r="CP135" s="147"/>
      <c r="CQ135" s="147"/>
      <c r="CR135" s="147"/>
      <c r="CS135" s="147"/>
    </row>
    <row r="136" spans="1:97" ht="36">
      <c r="A136" s="8">
        <v>15</v>
      </c>
      <c r="B136" s="143"/>
      <c r="C136" s="327" t="s">
        <v>5539</v>
      </c>
      <c r="D136" s="166" t="s">
        <v>5540</v>
      </c>
      <c r="E136" s="165" t="s">
        <v>214</v>
      </c>
      <c r="F136" s="135">
        <v>2024</v>
      </c>
      <c r="G136" s="135">
        <v>2024</v>
      </c>
      <c r="H136" s="135">
        <v>7</v>
      </c>
      <c r="I136" s="165" t="s">
        <v>5524</v>
      </c>
      <c r="J136" s="468">
        <v>5000000</v>
      </c>
      <c r="K136" s="468">
        <v>5000000</v>
      </c>
      <c r="L136" s="165" t="s">
        <v>4269</v>
      </c>
      <c r="M136" s="514">
        <v>4</v>
      </c>
      <c r="N136" s="7" t="s">
        <v>5290</v>
      </c>
      <c r="O136" s="9" t="s">
        <v>3223</v>
      </c>
      <c r="P136" s="135" t="s">
        <v>3215</v>
      </c>
      <c r="Q136" s="15" t="s">
        <v>4951</v>
      </c>
      <c r="R136" s="167">
        <v>6886510</v>
      </c>
      <c r="S136" s="171" t="s">
        <v>4797</v>
      </c>
      <c r="T136" s="11" t="s">
        <v>4248</v>
      </c>
      <c r="U136" s="245">
        <f>$K136/4</f>
        <v>1250000</v>
      </c>
      <c r="V136" s="165" t="s">
        <v>156</v>
      </c>
      <c r="W136" s="6" t="s">
        <v>4272</v>
      </c>
      <c r="X136" s="6" t="s">
        <v>4269</v>
      </c>
      <c r="Y136" s="15">
        <v>1093</v>
      </c>
      <c r="Z136" s="204" t="s">
        <v>4271</v>
      </c>
      <c r="AA136" s="8">
        <v>6825598</v>
      </c>
      <c r="AB136" s="162" t="s">
        <v>1774</v>
      </c>
      <c r="AC136" s="167" t="s">
        <v>4147</v>
      </c>
      <c r="AD136" s="245">
        <f>$K136/4</f>
        <v>1250000</v>
      </c>
      <c r="AE136" s="165" t="s">
        <v>156</v>
      </c>
      <c r="AF136" s="165" t="s">
        <v>4272</v>
      </c>
      <c r="AG136" s="6" t="s">
        <v>4269</v>
      </c>
      <c r="AH136" s="8">
        <v>6833162</v>
      </c>
      <c r="AI136" s="162" t="s">
        <v>2031</v>
      </c>
      <c r="AJ136" s="167" t="s">
        <v>4381</v>
      </c>
      <c r="AK136" s="245">
        <f>$K136/4</f>
        <v>1250000</v>
      </c>
      <c r="AL136" s="165" t="s">
        <v>3093</v>
      </c>
      <c r="AM136" s="165" t="s">
        <v>4449</v>
      </c>
      <c r="AN136" s="6" t="s">
        <v>4269</v>
      </c>
      <c r="AO136" s="6">
        <v>6785861</v>
      </c>
      <c r="AP136" s="11" t="s">
        <v>1904</v>
      </c>
      <c r="AQ136" s="167" t="s">
        <v>5541</v>
      </c>
      <c r="AR136" s="245">
        <f>$K136/4</f>
        <v>1250000</v>
      </c>
      <c r="AS136" s="167" t="s">
        <v>3093</v>
      </c>
      <c r="AT136" s="165" t="s">
        <v>4449</v>
      </c>
      <c r="AU136" s="6" t="s">
        <v>4269</v>
      </c>
      <c r="AV136" s="167"/>
      <c r="AW136" s="167"/>
      <c r="AX136" s="167"/>
      <c r="AY136" s="249"/>
      <c r="AZ136" s="167"/>
      <c r="BA136" s="167"/>
      <c r="BB136" s="167"/>
      <c r="BC136" s="167"/>
      <c r="BD136" s="167"/>
      <c r="BE136" s="167"/>
      <c r="BF136" s="249"/>
      <c r="BG136" s="167"/>
      <c r="BH136" s="167"/>
      <c r="BI136" s="167"/>
      <c r="BJ136" s="167"/>
      <c r="BK136" s="167"/>
      <c r="BL136" s="167"/>
      <c r="BM136" s="249"/>
      <c r="BN136" s="167"/>
      <c r="BO136" s="167"/>
      <c r="BP136" s="167"/>
      <c r="BQ136" s="167">
        <v>4</v>
      </c>
      <c r="BR136" s="160" t="s">
        <v>3190</v>
      </c>
      <c r="BS136" s="163" t="s">
        <v>3191</v>
      </c>
      <c r="BT136" s="171"/>
      <c r="BU136" s="167"/>
      <c r="BV136" s="167"/>
      <c r="BW136" s="167"/>
      <c r="BX136" s="167"/>
      <c r="BY136" s="167"/>
      <c r="BZ136" s="167"/>
      <c r="CA136" s="167"/>
      <c r="CB136" s="167"/>
      <c r="CC136" s="167"/>
      <c r="CD136" s="167"/>
      <c r="CE136" s="167"/>
      <c r="CF136" s="167"/>
      <c r="CG136" s="167"/>
      <c r="CH136" s="167"/>
      <c r="CI136" s="167"/>
      <c r="CJ136" s="167"/>
      <c r="CK136" s="167"/>
      <c r="CL136" s="167"/>
      <c r="CM136" s="167"/>
      <c r="CN136" s="167"/>
      <c r="CO136" s="167"/>
      <c r="CP136" s="147"/>
      <c r="CQ136" s="147"/>
      <c r="CR136" s="147"/>
      <c r="CS136" s="147"/>
    </row>
    <row r="137" spans="1:97" ht="36">
      <c r="A137" s="8">
        <v>16</v>
      </c>
      <c r="B137" s="143" t="s">
        <v>5514</v>
      </c>
      <c r="C137" s="143" t="s">
        <v>5542</v>
      </c>
      <c r="D137" s="166" t="s">
        <v>5543</v>
      </c>
      <c r="E137" s="165" t="s">
        <v>216</v>
      </c>
      <c r="F137" s="135">
        <v>2024</v>
      </c>
      <c r="G137" s="135">
        <v>2024</v>
      </c>
      <c r="H137" s="135">
        <v>7</v>
      </c>
      <c r="I137" s="165" t="s">
        <v>5524</v>
      </c>
      <c r="J137" s="468">
        <v>10000000</v>
      </c>
      <c r="K137" s="468">
        <v>10000000</v>
      </c>
      <c r="L137" s="165" t="s">
        <v>4269</v>
      </c>
      <c r="M137" s="514">
        <v>3</v>
      </c>
      <c r="N137" s="7" t="s">
        <v>5290</v>
      </c>
      <c r="O137" s="9" t="s">
        <v>3223</v>
      </c>
      <c r="P137" s="135" t="s">
        <v>3215</v>
      </c>
      <c r="Q137" s="15" t="s">
        <v>4951</v>
      </c>
      <c r="R137" s="8">
        <v>6833033</v>
      </c>
      <c r="S137" s="171" t="s">
        <v>5544</v>
      </c>
      <c r="T137" s="10" t="s">
        <v>2023</v>
      </c>
      <c r="U137" s="245">
        <f>$K137/3</f>
        <v>3333333.3333333335</v>
      </c>
      <c r="V137" s="165" t="s">
        <v>166</v>
      </c>
      <c r="W137" s="6" t="s">
        <v>4282</v>
      </c>
      <c r="X137" s="6" t="s">
        <v>4269</v>
      </c>
      <c r="Y137" s="15">
        <v>1093</v>
      </c>
      <c r="Z137" s="204" t="s">
        <v>4271</v>
      </c>
      <c r="AA137" s="167">
        <v>6099359</v>
      </c>
      <c r="AB137" s="135">
        <v>708119103</v>
      </c>
      <c r="AC137" s="167" t="s">
        <v>5528</v>
      </c>
      <c r="AD137" s="245">
        <f>$K137/3</f>
        <v>3333333.3333333335</v>
      </c>
      <c r="AE137" s="165" t="s">
        <v>166</v>
      </c>
      <c r="AF137" s="165" t="s">
        <v>4282</v>
      </c>
      <c r="AG137" s="6" t="s">
        <v>4269</v>
      </c>
      <c r="AH137" s="8">
        <v>6665306</v>
      </c>
      <c r="AI137" s="162" t="s">
        <v>1727</v>
      </c>
      <c r="AJ137" s="167" t="s">
        <v>4329</v>
      </c>
      <c r="AK137" s="245">
        <f>$K137/3</f>
        <v>3333333.3333333335</v>
      </c>
      <c r="AL137" s="165" t="s">
        <v>166</v>
      </c>
      <c r="AM137" s="165" t="s">
        <v>4282</v>
      </c>
      <c r="AN137" s="6" t="s">
        <v>4269</v>
      </c>
      <c r="AO137" s="167"/>
      <c r="AP137" s="167"/>
      <c r="AQ137" s="167"/>
      <c r="AR137" s="249"/>
      <c r="AS137" s="167"/>
      <c r="AT137" s="167"/>
      <c r="AU137" s="6"/>
      <c r="AV137" s="167"/>
      <c r="AW137" s="167"/>
      <c r="AX137" s="167"/>
      <c r="AY137" s="249"/>
      <c r="AZ137" s="167"/>
      <c r="BA137" s="167"/>
      <c r="BB137" s="167"/>
      <c r="BC137" s="167"/>
      <c r="BD137" s="167"/>
      <c r="BE137" s="167"/>
      <c r="BF137" s="249"/>
      <c r="BG137" s="167"/>
      <c r="BH137" s="167"/>
      <c r="BI137" s="167"/>
      <c r="BJ137" s="167"/>
      <c r="BK137" s="167"/>
      <c r="BL137" s="167"/>
      <c r="BM137" s="249"/>
      <c r="BN137" s="167"/>
      <c r="BO137" s="167"/>
      <c r="BP137" s="167"/>
      <c r="BQ137" s="167">
        <v>3</v>
      </c>
      <c r="BR137" s="160" t="s">
        <v>3190</v>
      </c>
      <c r="BS137" s="163" t="s">
        <v>3191</v>
      </c>
      <c r="BT137" s="171"/>
      <c r="BU137" s="167"/>
      <c r="BV137" s="167"/>
      <c r="BW137" s="167"/>
      <c r="BX137" s="167"/>
      <c r="BY137" s="167"/>
      <c r="BZ137" s="167"/>
      <c r="CA137" s="167"/>
      <c r="CB137" s="167"/>
      <c r="CC137" s="167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O137" s="167"/>
      <c r="CP137" s="147"/>
      <c r="CQ137" s="147"/>
      <c r="CR137" s="147"/>
      <c r="CS137" s="147"/>
    </row>
    <row r="138" spans="1:97" ht="36">
      <c r="A138" s="8">
        <v>17</v>
      </c>
      <c r="B138" s="143" t="s">
        <v>5514</v>
      </c>
      <c r="C138" s="327" t="s">
        <v>5545</v>
      </c>
      <c r="D138" s="166" t="s">
        <v>5546</v>
      </c>
      <c r="E138" s="165" t="s">
        <v>216</v>
      </c>
      <c r="F138" s="135">
        <v>2024</v>
      </c>
      <c r="G138" s="135">
        <v>2024</v>
      </c>
      <c r="H138" s="135">
        <v>7</v>
      </c>
      <c r="I138" s="165" t="s">
        <v>5524</v>
      </c>
      <c r="J138" s="468">
        <v>10000000</v>
      </c>
      <c r="K138" s="468">
        <v>10000000</v>
      </c>
      <c r="L138" s="165" t="s">
        <v>4269</v>
      </c>
      <c r="M138" s="514">
        <v>4</v>
      </c>
      <c r="N138" s="7" t="s">
        <v>5290</v>
      </c>
      <c r="O138" s="9" t="s">
        <v>3223</v>
      </c>
      <c r="P138" s="135" t="s">
        <v>3215</v>
      </c>
      <c r="Q138" s="15" t="s">
        <v>4951</v>
      </c>
      <c r="R138" s="167">
        <v>6832969</v>
      </c>
      <c r="S138" s="171" t="s">
        <v>5547</v>
      </c>
      <c r="T138" s="168" t="s">
        <v>2901</v>
      </c>
      <c r="U138" s="245">
        <f>$K138/4</f>
        <v>2500000</v>
      </c>
      <c r="V138" s="165" t="s">
        <v>166</v>
      </c>
      <c r="W138" s="6" t="s">
        <v>4282</v>
      </c>
      <c r="X138" s="6" t="s">
        <v>4269</v>
      </c>
      <c r="Y138" s="15">
        <v>1093</v>
      </c>
      <c r="Z138" s="204" t="s">
        <v>4271</v>
      </c>
      <c r="AA138" s="8">
        <v>6826699</v>
      </c>
      <c r="AB138" s="162" t="s">
        <v>1905</v>
      </c>
      <c r="AC138" s="167" t="s">
        <v>4291</v>
      </c>
      <c r="AD138" s="245">
        <f>$K138/4</f>
        <v>2500000</v>
      </c>
      <c r="AE138" s="165" t="s">
        <v>166</v>
      </c>
      <c r="AF138" s="165" t="s">
        <v>4282</v>
      </c>
      <c r="AG138" s="6" t="s">
        <v>4269</v>
      </c>
      <c r="AH138" s="8">
        <v>6787771</v>
      </c>
      <c r="AI138" s="162" t="s">
        <v>1676</v>
      </c>
      <c r="AJ138" s="167" t="s">
        <v>123</v>
      </c>
      <c r="AK138" s="245">
        <f>$K138/4</f>
        <v>2500000</v>
      </c>
      <c r="AL138" s="165" t="s">
        <v>166</v>
      </c>
      <c r="AM138" s="165" t="s">
        <v>4282</v>
      </c>
      <c r="AN138" s="6" t="s">
        <v>4269</v>
      </c>
      <c r="AO138" s="6">
        <v>6834400</v>
      </c>
      <c r="AP138" s="11" t="s">
        <v>2698</v>
      </c>
      <c r="AQ138" s="167" t="s">
        <v>4383</v>
      </c>
      <c r="AR138" s="245">
        <f>$K138/4</f>
        <v>2500000</v>
      </c>
      <c r="AS138" s="167" t="s">
        <v>166</v>
      </c>
      <c r="AT138" s="165" t="s">
        <v>4282</v>
      </c>
      <c r="AU138" s="6" t="s">
        <v>4269</v>
      </c>
      <c r="AV138" s="167"/>
      <c r="AW138" s="167"/>
      <c r="AX138" s="167"/>
      <c r="AY138" s="249"/>
      <c r="AZ138" s="167"/>
      <c r="BA138" s="167"/>
      <c r="BB138" s="167"/>
      <c r="BC138" s="167"/>
      <c r="BD138" s="167"/>
      <c r="BE138" s="167"/>
      <c r="BF138" s="249"/>
      <c r="BG138" s="167"/>
      <c r="BH138" s="167"/>
      <c r="BI138" s="167"/>
      <c r="BJ138" s="167"/>
      <c r="BK138" s="167"/>
      <c r="BL138" s="167"/>
      <c r="BM138" s="249"/>
      <c r="BN138" s="167"/>
      <c r="BO138" s="167"/>
      <c r="BP138" s="167"/>
      <c r="BQ138" s="167">
        <v>4</v>
      </c>
      <c r="BR138" s="160" t="s">
        <v>3190</v>
      </c>
      <c r="BS138" s="163" t="s">
        <v>3191</v>
      </c>
      <c r="BT138" s="171"/>
      <c r="BU138" s="167"/>
      <c r="BV138" s="167"/>
      <c r="BW138" s="167"/>
      <c r="BX138" s="167"/>
      <c r="BY138" s="167"/>
      <c r="BZ138" s="167"/>
      <c r="CA138" s="167"/>
      <c r="CB138" s="167"/>
      <c r="CC138" s="167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O138" s="167"/>
      <c r="CP138" s="147"/>
      <c r="CQ138" s="147"/>
      <c r="CR138" s="147"/>
      <c r="CS138" s="147"/>
    </row>
    <row r="139" spans="1:97" ht="36">
      <c r="A139" s="135">
        <v>18</v>
      </c>
      <c r="B139" s="143" t="s">
        <v>5514</v>
      </c>
      <c r="C139" s="143" t="s">
        <v>5548</v>
      </c>
      <c r="D139" s="166" t="s">
        <v>5549</v>
      </c>
      <c r="E139" s="165" t="s">
        <v>216</v>
      </c>
      <c r="F139" s="135">
        <v>2024</v>
      </c>
      <c r="G139" s="135">
        <v>2024</v>
      </c>
      <c r="H139" s="135">
        <v>7</v>
      </c>
      <c r="I139" s="165" t="s">
        <v>5524</v>
      </c>
      <c r="J139" s="468">
        <v>10000000</v>
      </c>
      <c r="K139" s="468">
        <v>10000000</v>
      </c>
      <c r="L139" s="165" t="s">
        <v>4269</v>
      </c>
      <c r="M139" s="514">
        <v>3</v>
      </c>
      <c r="N139" s="7" t="s">
        <v>5290</v>
      </c>
      <c r="O139" s="9" t="s">
        <v>3223</v>
      </c>
      <c r="P139" s="135" t="s">
        <v>3215</v>
      </c>
      <c r="Q139" s="15" t="s">
        <v>4951</v>
      </c>
      <c r="R139" s="167">
        <v>6865379</v>
      </c>
      <c r="S139" s="171" t="s">
        <v>112</v>
      </c>
      <c r="T139" s="168" t="s">
        <v>2696</v>
      </c>
      <c r="U139" s="245">
        <f>$K139/3</f>
        <v>3333333.3333333335</v>
      </c>
      <c r="V139" s="165" t="s">
        <v>166</v>
      </c>
      <c r="W139" s="6" t="s">
        <v>4282</v>
      </c>
      <c r="X139" s="6" t="s">
        <v>4269</v>
      </c>
      <c r="Y139" s="15">
        <v>1093</v>
      </c>
      <c r="Z139" s="204" t="s">
        <v>4271</v>
      </c>
      <c r="AA139" s="289">
        <v>6833034</v>
      </c>
      <c r="AB139" s="290" t="s">
        <v>2022</v>
      </c>
      <c r="AC139" s="167" t="s">
        <v>4667</v>
      </c>
      <c r="AD139" s="245">
        <f>$K139/3</f>
        <v>3333333.3333333335</v>
      </c>
      <c r="AE139" s="165" t="s">
        <v>166</v>
      </c>
      <c r="AF139" s="165" t="s">
        <v>4282</v>
      </c>
      <c r="AG139" s="6" t="s">
        <v>4269</v>
      </c>
      <c r="AH139" s="8">
        <v>6833033</v>
      </c>
      <c r="AI139" s="10" t="s">
        <v>2023</v>
      </c>
      <c r="AJ139" s="167" t="s">
        <v>5544</v>
      </c>
      <c r="AK139" s="245">
        <f>$K139/3</f>
        <v>3333333.3333333335</v>
      </c>
      <c r="AL139" s="165" t="s">
        <v>166</v>
      </c>
      <c r="AM139" s="165" t="s">
        <v>4282</v>
      </c>
      <c r="AN139" s="6" t="s">
        <v>4269</v>
      </c>
      <c r="AO139" s="167"/>
      <c r="AP139" s="167"/>
      <c r="AQ139" s="167"/>
      <c r="AR139" s="249"/>
      <c r="AS139" s="167"/>
      <c r="AT139" s="167"/>
      <c r="AU139" s="6"/>
      <c r="AV139" s="167"/>
      <c r="AW139" s="167"/>
      <c r="AX139" s="167"/>
      <c r="AY139" s="249"/>
      <c r="AZ139" s="167"/>
      <c r="BA139" s="167"/>
      <c r="BB139" s="167"/>
      <c r="BC139" s="167"/>
      <c r="BD139" s="167"/>
      <c r="BE139" s="167"/>
      <c r="BF139" s="249"/>
      <c r="BG139" s="167"/>
      <c r="BH139" s="167"/>
      <c r="BI139" s="167"/>
      <c r="BJ139" s="167"/>
      <c r="BK139" s="167"/>
      <c r="BL139" s="167"/>
      <c r="BM139" s="249"/>
      <c r="BN139" s="167"/>
      <c r="BO139" s="167"/>
      <c r="BP139" s="167"/>
      <c r="BQ139" s="167">
        <v>3</v>
      </c>
      <c r="BR139" s="160" t="s">
        <v>3190</v>
      </c>
      <c r="BS139" s="163" t="s">
        <v>3191</v>
      </c>
      <c r="BT139" s="171"/>
      <c r="BU139" s="167"/>
      <c r="BV139" s="167"/>
      <c r="BW139" s="167"/>
      <c r="BX139" s="167"/>
      <c r="BY139" s="167"/>
      <c r="BZ139" s="167"/>
      <c r="CA139" s="167"/>
      <c r="CB139" s="167"/>
      <c r="CC139" s="167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  <c r="CO139" s="167"/>
      <c r="CP139" s="147"/>
      <c r="CQ139" s="147"/>
      <c r="CR139" s="147"/>
      <c r="CS139" s="147"/>
    </row>
    <row r="140" spans="1:97" ht="36">
      <c r="A140" s="8">
        <v>19</v>
      </c>
      <c r="B140" s="143" t="s">
        <v>5514</v>
      </c>
      <c r="C140" s="143" t="s">
        <v>5550</v>
      </c>
      <c r="D140" s="166" t="s">
        <v>5551</v>
      </c>
      <c r="E140" s="165" t="s">
        <v>216</v>
      </c>
      <c r="F140" s="135">
        <v>2024</v>
      </c>
      <c r="G140" s="135">
        <v>2024</v>
      </c>
      <c r="H140" s="135">
        <v>7</v>
      </c>
      <c r="I140" s="165" t="s">
        <v>5524</v>
      </c>
      <c r="J140" s="468">
        <v>10000000</v>
      </c>
      <c r="K140" s="468">
        <v>10000000</v>
      </c>
      <c r="L140" s="165" t="s">
        <v>4269</v>
      </c>
      <c r="M140" s="514">
        <v>3</v>
      </c>
      <c r="N140" s="7" t="s">
        <v>5290</v>
      </c>
      <c r="O140" s="9" t="s">
        <v>3223</v>
      </c>
      <c r="P140" s="135" t="s">
        <v>3215</v>
      </c>
      <c r="Q140" s="15" t="s">
        <v>4951</v>
      </c>
      <c r="R140" s="260" t="s">
        <v>4039</v>
      </c>
      <c r="S140" s="171" t="s">
        <v>4524</v>
      </c>
      <c r="T140" s="287" t="s">
        <v>1751</v>
      </c>
      <c r="U140" s="245">
        <f>$K140/3</f>
        <v>3333333.3333333335</v>
      </c>
      <c r="V140" s="165" t="s">
        <v>166</v>
      </c>
      <c r="W140" s="6" t="s">
        <v>4282</v>
      </c>
      <c r="X140" s="6" t="s">
        <v>4269</v>
      </c>
      <c r="Y140" s="15">
        <v>1093</v>
      </c>
      <c r="Z140" s="204" t="s">
        <v>4271</v>
      </c>
      <c r="AA140" s="241">
        <v>6839112</v>
      </c>
      <c r="AB140" s="242" t="s">
        <v>2949</v>
      </c>
      <c r="AC140" s="167" t="s">
        <v>3128</v>
      </c>
      <c r="AD140" s="245">
        <f>$K140/3</f>
        <v>3333333.3333333335</v>
      </c>
      <c r="AE140" s="165" t="s">
        <v>166</v>
      </c>
      <c r="AF140" s="165" t="s">
        <v>4282</v>
      </c>
      <c r="AG140" s="6" t="s">
        <v>4269</v>
      </c>
      <c r="AH140" s="6">
        <v>6680623</v>
      </c>
      <c r="AI140" s="11" t="s">
        <v>1841</v>
      </c>
      <c r="AJ140" s="167" t="s">
        <v>5552</v>
      </c>
      <c r="AK140" s="245">
        <f>$K140/3</f>
        <v>3333333.3333333335</v>
      </c>
      <c r="AL140" s="165" t="s">
        <v>166</v>
      </c>
      <c r="AM140" s="165" t="s">
        <v>4282</v>
      </c>
      <c r="AN140" s="6" t="s">
        <v>4269</v>
      </c>
      <c r="AO140" s="167"/>
      <c r="AP140" s="167"/>
      <c r="AQ140" s="167"/>
      <c r="AR140" s="249"/>
      <c r="AS140" s="167"/>
      <c r="AT140" s="167"/>
      <c r="AU140" s="6"/>
      <c r="AV140" s="167"/>
      <c r="AW140" s="167"/>
      <c r="AX140" s="167"/>
      <c r="AY140" s="249"/>
      <c r="AZ140" s="167"/>
      <c r="BA140" s="167"/>
      <c r="BB140" s="167"/>
      <c r="BC140" s="167"/>
      <c r="BD140" s="167"/>
      <c r="BE140" s="167"/>
      <c r="BF140" s="249"/>
      <c r="BG140" s="167"/>
      <c r="BH140" s="167"/>
      <c r="BI140" s="167"/>
      <c r="BJ140" s="167"/>
      <c r="BK140" s="167"/>
      <c r="BL140" s="167"/>
      <c r="BM140" s="249"/>
      <c r="BN140" s="167"/>
      <c r="BO140" s="167"/>
      <c r="BP140" s="167"/>
      <c r="BQ140" s="167">
        <v>3</v>
      </c>
      <c r="BR140" s="160" t="s">
        <v>3190</v>
      </c>
      <c r="BS140" s="163" t="s">
        <v>3191</v>
      </c>
      <c r="BT140" s="171"/>
      <c r="BU140" s="167"/>
      <c r="BV140" s="167"/>
      <c r="BW140" s="167"/>
      <c r="BX140" s="167"/>
      <c r="BY140" s="167"/>
      <c r="BZ140" s="167"/>
      <c r="CA140" s="167"/>
      <c r="CB140" s="167"/>
      <c r="CC140" s="167"/>
      <c r="CD140" s="167"/>
      <c r="CE140" s="167"/>
      <c r="CF140" s="167"/>
      <c r="CG140" s="167"/>
      <c r="CH140" s="167"/>
      <c r="CI140" s="167"/>
      <c r="CJ140" s="167"/>
      <c r="CK140" s="167"/>
      <c r="CL140" s="167"/>
      <c r="CM140" s="167"/>
      <c r="CN140" s="167"/>
      <c r="CO140" s="167"/>
      <c r="CP140" s="147"/>
      <c r="CQ140" s="147"/>
      <c r="CR140" s="147"/>
      <c r="CS140" s="147"/>
    </row>
    <row r="141" spans="1:97" ht="36">
      <c r="A141" s="8">
        <v>20</v>
      </c>
      <c r="B141" s="143" t="s">
        <v>5514</v>
      </c>
      <c r="C141" s="327" t="s">
        <v>5553</v>
      </c>
      <c r="D141" s="166" t="s">
        <v>5554</v>
      </c>
      <c r="E141" s="165" t="s">
        <v>216</v>
      </c>
      <c r="F141" s="135">
        <v>2024</v>
      </c>
      <c r="G141" s="135">
        <v>2024</v>
      </c>
      <c r="H141" s="135">
        <v>7</v>
      </c>
      <c r="I141" s="165" t="s">
        <v>4796</v>
      </c>
      <c r="J141" s="468">
        <v>10000000</v>
      </c>
      <c r="K141" s="468">
        <v>10000000</v>
      </c>
      <c r="L141" s="165" t="s">
        <v>4269</v>
      </c>
      <c r="M141" s="514">
        <v>5</v>
      </c>
      <c r="N141" s="7" t="s">
        <v>5290</v>
      </c>
      <c r="O141" s="9" t="s">
        <v>3223</v>
      </c>
      <c r="P141" s="135" t="s">
        <v>3215</v>
      </c>
      <c r="Q141" s="15" t="s">
        <v>4951</v>
      </c>
      <c r="R141" s="8">
        <v>6756318</v>
      </c>
      <c r="S141" s="171" t="s">
        <v>143</v>
      </c>
      <c r="T141" s="10" t="s">
        <v>950</v>
      </c>
      <c r="U141" s="245">
        <f>$K141/4</f>
        <v>2500000</v>
      </c>
      <c r="V141" s="6" t="s">
        <v>175</v>
      </c>
      <c r="W141" s="6" t="s">
        <v>4272</v>
      </c>
      <c r="X141" s="6" t="s">
        <v>4269</v>
      </c>
      <c r="Y141" s="15">
        <v>1093</v>
      </c>
      <c r="Z141" s="204" t="s">
        <v>4271</v>
      </c>
      <c r="AA141" s="241">
        <v>6801945</v>
      </c>
      <c r="AB141" s="242" t="s">
        <v>1723</v>
      </c>
      <c r="AC141" s="167" t="s">
        <v>3124</v>
      </c>
      <c r="AD141" s="245">
        <f>$K141/4</f>
        <v>2500000</v>
      </c>
      <c r="AE141" s="165" t="s">
        <v>156</v>
      </c>
      <c r="AF141" s="165" t="s">
        <v>4272</v>
      </c>
      <c r="AG141" s="6" t="s">
        <v>4269</v>
      </c>
      <c r="AH141" s="8">
        <v>6806664</v>
      </c>
      <c r="AI141" s="162" t="s">
        <v>2333</v>
      </c>
      <c r="AJ141" s="167" t="s">
        <v>4593</v>
      </c>
      <c r="AK141" s="245">
        <f>$K141/4</f>
        <v>2500000</v>
      </c>
      <c r="AL141" s="6" t="s">
        <v>175</v>
      </c>
      <c r="AM141" s="165" t="s">
        <v>4272</v>
      </c>
      <c r="AN141" s="6" t="s">
        <v>4269</v>
      </c>
      <c r="AO141" s="8">
        <v>6793410</v>
      </c>
      <c r="AP141" s="10" t="s">
        <v>947</v>
      </c>
      <c r="AQ141" s="167" t="s">
        <v>4316</v>
      </c>
      <c r="AR141" s="245">
        <f>$K141/4</f>
        <v>2500000</v>
      </c>
      <c r="AS141" s="167" t="s">
        <v>175</v>
      </c>
      <c r="AT141" s="165" t="s">
        <v>4272</v>
      </c>
      <c r="AU141" s="6" t="s">
        <v>4269</v>
      </c>
      <c r="AV141" s="167"/>
      <c r="AW141" s="167"/>
      <c r="AX141" s="167"/>
      <c r="AY141" s="249"/>
      <c r="AZ141" s="167"/>
      <c r="BA141" s="167"/>
      <c r="BB141" s="167"/>
      <c r="BC141" s="167"/>
      <c r="BD141" s="167"/>
      <c r="BE141" s="167"/>
      <c r="BF141" s="249"/>
      <c r="BG141" s="167"/>
      <c r="BH141" s="167"/>
      <c r="BI141" s="167"/>
      <c r="BJ141" s="167"/>
      <c r="BK141" s="167"/>
      <c r="BL141" s="167"/>
      <c r="BM141" s="249"/>
      <c r="BN141" s="167"/>
      <c r="BO141" s="167"/>
      <c r="BP141" s="167"/>
      <c r="BQ141" s="167">
        <v>6</v>
      </c>
      <c r="BR141" s="160" t="s">
        <v>3190</v>
      </c>
      <c r="BS141" s="163" t="s">
        <v>3191</v>
      </c>
      <c r="BT141" s="171"/>
      <c r="BU141" s="167"/>
      <c r="BV141" s="167"/>
      <c r="BW141" s="167"/>
      <c r="BX141" s="167"/>
      <c r="BY141" s="167"/>
      <c r="BZ141" s="167"/>
      <c r="CA141" s="167"/>
      <c r="CB141" s="167"/>
      <c r="CC141" s="167"/>
      <c r="CD141" s="167"/>
      <c r="CE141" s="167"/>
      <c r="CF141" s="167"/>
      <c r="CG141" s="167"/>
      <c r="CH141" s="167"/>
      <c r="CI141" s="167"/>
      <c r="CJ141" s="167"/>
      <c r="CK141" s="167"/>
      <c r="CL141" s="167"/>
      <c r="CM141" s="167"/>
      <c r="CN141" s="167"/>
      <c r="CO141" s="167"/>
      <c r="CP141" s="147"/>
      <c r="CQ141" s="147"/>
      <c r="CR141" s="147"/>
      <c r="CS141" s="147"/>
    </row>
    <row r="142" spans="1:97" ht="48" customHeight="1">
      <c r="A142" s="8">
        <v>21</v>
      </c>
      <c r="B142" s="143" t="s">
        <v>5514</v>
      </c>
      <c r="C142" s="143" t="s">
        <v>5555</v>
      </c>
      <c r="D142" s="166" t="s">
        <v>5556</v>
      </c>
      <c r="E142" s="165" t="s">
        <v>216</v>
      </c>
      <c r="F142" s="135">
        <v>2024</v>
      </c>
      <c r="G142" s="135">
        <v>2024</v>
      </c>
      <c r="H142" s="135">
        <v>7</v>
      </c>
      <c r="I142" s="165" t="s">
        <v>5536</v>
      </c>
      <c r="J142" s="468">
        <v>9965000</v>
      </c>
      <c r="K142" s="468">
        <v>9965000</v>
      </c>
      <c r="L142" s="165" t="s">
        <v>4269</v>
      </c>
      <c r="M142" s="514">
        <v>3</v>
      </c>
      <c r="N142" s="7" t="s">
        <v>5290</v>
      </c>
      <c r="O142" s="9" t="s">
        <v>3223</v>
      </c>
      <c r="P142" s="135" t="s">
        <v>3215</v>
      </c>
      <c r="Q142" s="15" t="s">
        <v>4951</v>
      </c>
      <c r="R142" s="167">
        <v>6789028</v>
      </c>
      <c r="S142" s="171" t="s">
        <v>5557</v>
      </c>
      <c r="T142" s="168" t="s">
        <v>1917</v>
      </c>
      <c r="U142" s="245">
        <f>$K142/3</f>
        <v>3321666.6666666665</v>
      </c>
      <c r="V142" s="165" t="s">
        <v>166</v>
      </c>
      <c r="W142" s="6" t="s">
        <v>4282</v>
      </c>
      <c r="X142" s="6" t="s">
        <v>4269</v>
      </c>
      <c r="Y142" s="15">
        <v>1093</v>
      </c>
      <c r="Z142" s="204" t="s">
        <v>4271</v>
      </c>
      <c r="AA142" s="167">
        <v>6865379</v>
      </c>
      <c r="AB142" s="168" t="s">
        <v>2696</v>
      </c>
      <c r="AC142" s="167" t="s">
        <v>4728</v>
      </c>
      <c r="AD142" s="245">
        <f>$K142/3</f>
        <v>3321666.6666666665</v>
      </c>
      <c r="AE142" s="165" t="s">
        <v>166</v>
      </c>
      <c r="AF142" s="165" t="s">
        <v>4282</v>
      </c>
      <c r="AG142" s="6" t="s">
        <v>4269</v>
      </c>
      <c r="AH142" s="21">
        <v>6879158</v>
      </c>
      <c r="AI142" s="293" t="s">
        <v>2540</v>
      </c>
      <c r="AJ142" s="167" t="s">
        <v>4305</v>
      </c>
      <c r="AK142" s="245">
        <f>$K142/3</f>
        <v>3321666.6666666665</v>
      </c>
      <c r="AL142" s="165" t="s">
        <v>160</v>
      </c>
      <c r="AM142" s="165" t="s">
        <v>4282</v>
      </c>
      <c r="AN142" s="6" t="s">
        <v>4269</v>
      </c>
      <c r="AO142" s="167"/>
      <c r="AP142" s="167"/>
      <c r="AQ142" s="167"/>
      <c r="AR142" s="249"/>
      <c r="AS142" s="167"/>
      <c r="AT142" s="167"/>
      <c r="AU142" s="6"/>
      <c r="AV142" s="167"/>
      <c r="AW142" s="167"/>
      <c r="AX142" s="167"/>
      <c r="AY142" s="249"/>
      <c r="AZ142" s="167"/>
      <c r="BA142" s="167"/>
      <c r="BB142" s="167"/>
      <c r="BC142" s="167"/>
      <c r="BD142" s="167"/>
      <c r="BE142" s="167"/>
      <c r="BF142" s="249"/>
      <c r="BG142" s="167"/>
      <c r="BH142" s="167"/>
      <c r="BI142" s="167"/>
      <c r="BJ142" s="167"/>
      <c r="BK142" s="167"/>
      <c r="BL142" s="167"/>
      <c r="BM142" s="249"/>
      <c r="BN142" s="167"/>
      <c r="BO142" s="167"/>
      <c r="BP142" s="167"/>
      <c r="BQ142" s="167">
        <v>3</v>
      </c>
      <c r="BR142" s="160" t="s">
        <v>3190</v>
      </c>
      <c r="BS142" s="163" t="s">
        <v>3191</v>
      </c>
      <c r="BT142" s="171"/>
      <c r="BU142" s="167"/>
      <c r="BV142" s="167"/>
      <c r="BW142" s="167"/>
      <c r="BX142" s="167"/>
      <c r="BY142" s="167"/>
      <c r="BZ142" s="167"/>
      <c r="CA142" s="167"/>
      <c r="CB142" s="167"/>
      <c r="CC142" s="167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  <c r="CO142" s="167"/>
      <c r="CP142" s="147"/>
      <c r="CQ142" s="147"/>
      <c r="CR142" s="147"/>
      <c r="CS142" s="147"/>
    </row>
    <row r="143" spans="1:97" ht="48">
      <c r="A143" s="135">
        <v>22</v>
      </c>
      <c r="B143" s="143" t="s">
        <v>5514</v>
      </c>
      <c r="C143" s="143" t="s">
        <v>5558</v>
      </c>
      <c r="D143" s="166" t="s">
        <v>5559</v>
      </c>
      <c r="E143" s="165" t="s">
        <v>216</v>
      </c>
      <c r="F143" s="135">
        <v>2024</v>
      </c>
      <c r="G143" s="135">
        <v>2024</v>
      </c>
      <c r="H143" s="135">
        <v>7</v>
      </c>
      <c r="I143" s="165" t="s">
        <v>5524</v>
      </c>
      <c r="J143" s="468">
        <v>10000000</v>
      </c>
      <c r="K143" s="468">
        <v>10000000</v>
      </c>
      <c r="L143" s="165" t="s">
        <v>4269</v>
      </c>
      <c r="M143" s="514">
        <v>4</v>
      </c>
      <c r="N143" s="7" t="s">
        <v>5290</v>
      </c>
      <c r="O143" s="9" t="s">
        <v>3223</v>
      </c>
      <c r="P143" s="135" t="s">
        <v>3215</v>
      </c>
      <c r="Q143" s="15" t="s">
        <v>4951</v>
      </c>
      <c r="R143" s="167">
        <v>259781</v>
      </c>
      <c r="S143" s="171" t="s">
        <v>4579</v>
      </c>
      <c r="T143" s="168" t="s">
        <v>982</v>
      </c>
      <c r="U143" s="245">
        <f>$K143/7</f>
        <v>1428571.4285714286</v>
      </c>
      <c r="V143" s="165" t="s">
        <v>3093</v>
      </c>
      <c r="W143" s="6" t="s">
        <v>4449</v>
      </c>
      <c r="X143" s="6" t="s">
        <v>4269</v>
      </c>
      <c r="Y143" s="15">
        <v>1093</v>
      </c>
      <c r="Z143" s="204" t="s">
        <v>4271</v>
      </c>
      <c r="AA143" s="6">
        <v>6833162</v>
      </c>
      <c r="AB143" s="6">
        <v>701069701</v>
      </c>
      <c r="AC143" s="167" t="s">
        <v>4381</v>
      </c>
      <c r="AD143" s="245">
        <f>$K143/7</f>
        <v>1428571.4285714286</v>
      </c>
      <c r="AE143" s="165" t="s">
        <v>3093</v>
      </c>
      <c r="AF143" s="165" t="s">
        <v>4449</v>
      </c>
      <c r="AG143" s="6" t="s">
        <v>4269</v>
      </c>
      <c r="AH143" s="6">
        <v>6785861</v>
      </c>
      <c r="AI143" s="11" t="s">
        <v>1904</v>
      </c>
      <c r="AJ143" s="167" t="s">
        <v>5541</v>
      </c>
      <c r="AK143" s="245">
        <f>$K143/7</f>
        <v>1428571.4285714286</v>
      </c>
      <c r="AL143" s="165" t="s">
        <v>3093</v>
      </c>
      <c r="AM143" s="165" t="s">
        <v>4449</v>
      </c>
      <c r="AN143" s="6" t="s">
        <v>4269</v>
      </c>
      <c r="AO143" s="167"/>
      <c r="AP143" s="170" t="s">
        <v>2699</v>
      </c>
      <c r="AQ143" s="167" t="s">
        <v>135</v>
      </c>
      <c r="AR143" s="245">
        <f>$K143/7</f>
        <v>1428571.4285714286</v>
      </c>
      <c r="AS143" s="167" t="s">
        <v>171</v>
      </c>
      <c r="AT143" s="165" t="s">
        <v>4272</v>
      </c>
      <c r="AU143" s="6" t="s">
        <v>4269</v>
      </c>
      <c r="AV143" s="8">
        <v>6826727</v>
      </c>
      <c r="AW143" s="162" t="s">
        <v>2276</v>
      </c>
      <c r="AX143" s="167" t="s">
        <v>4545</v>
      </c>
      <c r="AY143" s="245">
        <f>$K143/7</f>
        <v>1428571.4285714286</v>
      </c>
      <c r="AZ143" s="167" t="s">
        <v>156</v>
      </c>
      <c r="BA143" s="165" t="s">
        <v>4272</v>
      </c>
      <c r="BB143" s="6" t="s">
        <v>4269</v>
      </c>
      <c r="BC143" s="8">
        <v>6680698</v>
      </c>
      <c r="BD143" s="162" t="s">
        <v>1002</v>
      </c>
      <c r="BE143" s="167" t="s">
        <v>5560</v>
      </c>
      <c r="BF143" s="245">
        <f>$K143/7</f>
        <v>1428571.4285714286</v>
      </c>
      <c r="BG143" s="167" t="s">
        <v>5561</v>
      </c>
      <c r="BH143" s="165" t="s">
        <v>4272</v>
      </c>
      <c r="BI143" s="6" t="s">
        <v>4269</v>
      </c>
      <c r="BJ143" s="167">
        <v>6882289</v>
      </c>
      <c r="BK143" s="170" t="s">
        <v>2799</v>
      </c>
      <c r="BL143" s="167" t="s">
        <v>136</v>
      </c>
      <c r="BM143" s="245">
        <f>$K143/7</f>
        <v>1428571.4285714286</v>
      </c>
      <c r="BN143" s="167" t="s">
        <v>171</v>
      </c>
      <c r="BO143" s="165" t="s">
        <v>4272</v>
      </c>
      <c r="BP143" s="6" t="s">
        <v>4269</v>
      </c>
      <c r="BQ143" s="542">
        <v>4</v>
      </c>
      <c r="BR143" s="160" t="s">
        <v>3190</v>
      </c>
      <c r="BS143" s="163" t="s">
        <v>3191</v>
      </c>
      <c r="BT143" s="171"/>
      <c r="BU143" s="167"/>
      <c r="BV143" s="167"/>
      <c r="BW143" s="167"/>
      <c r="BX143" s="167"/>
      <c r="BY143" s="167"/>
      <c r="BZ143" s="167"/>
      <c r="CA143" s="167"/>
      <c r="CB143" s="167"/>
      <c r="CC143" s="167"/>
      <c r="CD143" s="167"/>
      <c r="CE143" s="167"/>
      <c r="CF143" s="167"/>
      <c r="CG143" s="167"/>
      <c r="CH143" s="167"/>
      <c r="CI143" s="167"/>
      <c r="CJ143" s="167"/>
      <c r="CK143" s="167"/>
      <c r="CL143" s="167"/>
      <c r="CM143" s="167"/>
      <c r="CN143" s="167"/>
      <c r="CO143" s="167"/>
      <c r="CP143" s="147"/>
      <c r="CQ143" s="147"/>
      <c r="CR143" s="147"/>
      <c r="CS143" s="147"/>
    </row>
    <row r="144" spans="1:97" ht="36">
      <c r="A144" s="8">
        <v>23</v>
      </c>
      <c r="B144" s="143" t="s">
        <v>5514</v>
      </c>
      <c r="C144" s="327" t="s">
        <v>5562</v>
      </c>
      <c r="D144" s="166" t="s">
        <v>5563</v>
      </c>
      <c r="E144" s="165" t="s">
        <v>216</v>
      </c>
      <c r="F144" s="135">
        <v>2024</v>
      </c>
      <c r="G144" s="135">
        <v>2024</v>
      </c>
      <c r="H144" s="135">
        <v>7</v>
      </c>
      <c r="I144" s="165" t="s">
        <v>5524</v>
      </c>
      <c r="J144" s="468">
        <v>9955000</v>
      </c>
      <c r="K144" s="468">
        <v>9955000</v>
      </c>
      <c r="L144" s="165" t="s">
        <v>4269</v>
      </c>
      <c r="M144" s="514">
        <v>7</v>
      </c>
      <c r="N144" s="7" t="s">
        <v>5290</v>
      </c>
      <c r="O144" s="9" t="s">
        <v>3223</v>
      </c>
      <c r="P144" s="135" t="s">
        <v>3215</v>
      </c>
      <c r="Q144" s="15" t="s">
        <v>4951</v>
      </c>
      <c r="R144" s="8">
        <v>6682794</v>
      </c>
      <c r="S144" s="171" t="s">
        <v>4671</v>
      </c>
      <c r="T144" s="162" t="s">
        <v>1744</v>
      </c>
      <c r="U144" s="245">
        <f>$K144/4</f>
        <v>2488750</v>
      </c>
      <c r="V144" s="165" t="s">
        <v>151</v>
      </c>
      <c r="W144" s="6" t="s">
        <v>3224</v>
      </c>
      <c r="X144" s="6" t="s">
        <v>4269</v>
      </c>
      <c r="Y144" s="15">
        <v>1093</v>
      </c>
      <c r="Z144" s="204" t="s">
        <v>4271</v>
      </c>
      <c r="AA144" s="138">
        <v>210955</v>
      </c>
      <c r="AB144" s="140" t="s">
        <v>2404</v>
      </c>
      <c r="AC144" s="167" t="s">
        <v>4288</v>
      </c>
      <c r="AD144" s="245">
        <f>$K144/4</f>
        <v>2488750</v>
      </c>
      <c r="AE144" s="165" t="s">
        <v>151</v>
      </c>
      <c r="AF144" s="165" t="s">
        <v>3224</v>
      </c>
      <c r="AG144" s="6" t="s">
        <v>4269</v>
      </c>
      <c r="AH144" s="33">
        <v>6663582</v>
      </c>
      <c r="AI144" s="164" t="s">
        <v>1668</v>
      </c>
      <c r="AJ144" s="167" t="s">
        <v>5564</v>
      </c>
      <c r="AK144" s="245">
        <f>$K144/4</f>
        <v>2488750</v>
      </c>
      <c r="AL144" s="165" t="s">
        <v>151</v>
      </c>
      <c r="AM144" s="165" t="s">
        <v>3224</v>
      </c>
      <c r="AN144" s="6" t="s">
        <v>4269</v>
      </c>
      <c r="AO144" s="246">
        <v>6843797</v>
      </c>
      <c r="AP144" s="247" t="s">
        <v>2418</v>
      </c>
      <c r="AQ144" s="167" t="s">
        <v>4898</v>
      </c>
      <c r="AR144" s="245">
        <f>$K144/4</f>
        <v>2488750</v>
      </c>
      <c r="AS144" s="167" t="s">
        <v>151</v>
      </c>
      <c r="AT144" s="165" t="s">
        <v>3224</v>
      </c>
      <c r="AU144" s="6" t="s">
        <v>4269</v>
      </c>
      <c r="AV144" s="167"/>
      <c r="AW144" s="167"/>
      <c r="AX144" s="167"/>
      <c r="AY144" s="249"/>
      <c r="AZ144" s="167"/>
      <c r="BA144" s="167"/>
      <c r="BB144" s="167"/>
      <c r="BC144" s="167"/>
      <c r="BD144" s="167"/>
      <c r="BE144" s="167"/>
      <c r="BF144" s="249"/>
      <c r="BG144" s="167"/>
      <c r="BH144" s="167"/>
      <c r="BI144" s="167"/>
      <c r="BJ144" s="167"/>
      <c r="BK144" s="167"/>
      <c r="BL144" s="167"/>
      <c r="BM144" s="249"/>
      <c r="BN144" s="167"/>
      <c r="BO144" s="167"/>
      <c r="BP144" s="167"/>
      <c r="BQ144" s="167">
        <v>7</v>
      </c>
      <c r="BR144" s="160" t="s">
        <v>3190</v>
      </c>
      <c r="BS144" s="163" t="s">
        <v>3191</v>
      </c>
      <c r="BT144" s="171"/>
      <c r="BU144" s="167"/>
      <c r="BV144" s="167"/>
      <c r="BW144" s="167"/>
      <c r="BX144" s="167"/>
      <c r="BY144" s="167"/>
      <c r="BZ144" s="167"/>
      <c r="CA144" s="167"/>
      <c r="CB144" s="167"/>
      <c r="CC144" s="167"/>
      <c r="CD144" s="167"/>
      <c r="CE144" s="167"/>
      <c r="CF144" s="167"/>
      <c r="CG144" s="167"/>
      <c r="CH144" s="167"/>
      <c r="CI144" s="167"/>
      <c r="CJ144" s="167"/>
      <c r="CK144" s="167"/>
      <c r="CL144" s="167"/>
      <c r="CM144" s="167"/>
      <c r="CN144" s="167"/>
      <c r="CO144" s="167"/>
      <c r="CP144" s="147"/>
      <c r="CQ144" s="147"/>
      <c r="CR144" s="147"/>
      <c r="CS144" s="147"/>
    </row>
    <row r="145" spans="1:97" ht="24">
      <c r="A145" s="8">
        <v>24</v>
      </c>
      <c r="B145" s="143"/>
      <c r="C145" s="327" t="s">
        <v>5565</v>
      </c>
      <c r="D145" s="166" t="s">
        <v>5566</v>
      </c>
      <c r="E145" s="165" t="s">
        <v>214</v>
      </c>
      <c r="F145" s="135">
        <v>2024</v>
      </c>
      <c r="G145" s="135">
        <v>2024</v>
      </c>
      <c r="H145" s="135">
        <v>7</v>
      </c>
      <c r="I145" s="165" t="s">
        <v>5524</v>
      </c>
      <c r="J145" s="468">
        <v>5000000</v>
      </c>
      <c r="K145" s="468">
        <v>5000000</v>
      </c>
      <c r="L145" s="165" t="s">
        <v>4269</v>
      </c>
      <c r="M145" s="514">
        <v>3</v>
      </c>
      <c r="N145" s="7" t="s">
        <v>5290</v>
      </c>
      <c r="O145" s="9" t="s">
        <v>3223</v>
      </c>
      <c r="P145" s="135" t="s">
        <v>3215</v>
      </c>
      <c r="Q145" s="15" t="s">
        <v>4951</v>
      </c>
      <c r="R145" s="167">
        <v>6680625</v>
      </c>
      <c r="S145" s="171" t="s">
        <v>4911</v>
      </c>
      <c r="T145" s="168" t="s">
        <v>1782</v>
      </c>
      <c r="U145" s="245">
        <f>$K145/3</f>
        <v>1666666.6666666667</v>
      </c>
      <c r="V145" s="165" t="s">
        <v>154</v>
      </c>
      <c r="W145" s="6" t="s">
        <v>3224</v>
      </c>
      <c r="X145" s="6" t="s">
        <v>4269</v>
      </c>
      <c r="Y145" s="15">
        <v>1093</v>
      </c>
      <c r="Z145" s="204" t="s">
        <v>4271</v>
      </c>
      <c r="AA145" s="21">
        <v>6680615</v>
      </c>
      <c r="AB145" s="293" t="s">
        <v>2481</v>
      </c>
      <c r="AC145" s="167" t="s">
        <v>4821</v>
      </c>
      <c r="AD145" s="245">
        <f>$K145/3</f>
        <v>1666666.6666666667</v>
      </c>
      <c r="AE145" s="165" t="s">
        <v>154</v>
      </c>
      <c r="AF145" s="165" t="s">
        <v>3224</v>
      </c>
      <c r="AG145" s="6" t="s">
        <v>4269</v>
      </c>
      <c r="AH145" s="293" t="s">
        <v>4289</v>
      </c>
      <c r="AI145" s="293" t="s">
        <v>4289</v>
      </c>
      <c r="AJ145" s="167" t="s">
        <v>4290</v>
      </c>
      <c r="AK145" s="245">
        <f>$K145/3</f>
        <v>1666666.6666666667</v>
      </c>
      <c r="AL145" s="165" t="s">
        <v>154</v>
      </c>
      <c r="AM145" s="165" t="s">
        <v>3224</v>
      </c>
      <c r="AN145" s="6" t="s">
        <v>4269</v>
      </c>
      <c r="AO145" s="167"/>
      <c r="AP145" s="167"/>
      <c r="AQ145" s="167"/>
      <c r="AR145" s="249"/>
      <c r="AS145" s="167"/>
      <c r="AT145" s="167"/>
      <c r="AU145" s="6"/>
      <c r="AV145" s="167"/>
      <c r="AW145" s="167"/>
      <c r="AX145" s="167"/>
      <c r="AY145" s="249"/>
      <c r="AZ145" s="167"/>
      <c r="BA145" s="167"/>
      <c r="BB145" s="167"/>
      <c r="BC145" s="167"/>
      <c r="BD145" s="167"/>
      <c r="BE145" s="167"/>
      <c r="BF145" s="249"/>
      <c r="BG145" s="167"/>
      <c r="BH145" s="167"/>
      <c r="BI145" s="167"/>
      <c r="BJ145" s="167"/>
      <c r="BK145" s="167"/>
      <c r="BL145" s="167"/>
      <c r="BM145" s="249"/>
      <c r="BN145" s="167"/>
      <c r="BO145" s="167"/>
      <c r="BP145" s="167"/>
      <c r="BQ145" s="167">
        <v>3</v>
      </c>
      <c r="BR145" s="160" t="s">
        <v>3190</v>
      </c>
      <c r="BS145" s="163" t="s">
        <v>3191</v>
      </c>
      <c r="BT145" s="171"/>
      <c r="BU145" s="167"/>
      <c r="BV145" s="167"/>
      <c r="BW145" s="167"/>
      <c r="BX145" s="167"/>
      <c r="BY145" s="167"/>
      <c r="BZ145" s="167"/>
      <c r="CA145" s="167"/>
      <c r="CB145" s="167"/>
      <c r="CC145" s="167"/>
      <c r="CD145" s="167"/>
      <c r="CE145" s="167"/>
      <c r="CF145" s="167"/>
      <c r="CG145" s="167"/>
      <c r="CH145" s="167"/>
      <c r="CI145" s="167"/>
      <c r="CJ145" s="167"/>
      <c r="CK145" s="167"/>
      <c r="CL145" s="167"/>
      <c r="CM145" s="167"/>
      <c r="CN145" s="167"/>
      <c r="CO145" s="167"/>
      <c r="CP145" s="147"/>
      <c r="CQ145" s="147"/>
      <c r="CR145" s="147"/>
      <c r="CS145" s="147"/>
    </row>
    <row r="146" spans="1:97" ht="36">
      <c r="A146" s="8">
        <v>25</v>
      </c>
      <c r="B146" s="143" t="s">
        <v>5514</v>
      </c>
      <c r="C146" s="327" t="s">
        <v>5567</v>
      </c>
      <c r="D146" s="166" t="s">
        <v>5568</v>
      </c>
      <c r="E146" s="165" t="s">
        <v>216</v>
      </c>
      <c r="F146" s="135">
        <v>2024</v>
      </c>
      <c r="G146" s="135">
        <v>2024</v>
      </c>
      <c r="H146" s="135">
        <v>7</v>
      </c>
      <c r="I146" s="165" t="s">
        <v>5517</v>
      </c>
      <c r="J146" s="468">
        <v>10000000</v>
      </c>
      <c r="K146" s="468">
        <v>10000000</v>
      </c>
      <c r="L146" s="165" t="s">
        <v>4269</v>
      </c>
      <c r="M146" s="514">
        <v>6</v>
      </c>
      <c r="N146" s="7" t="s">
        <v>5290</v>
      </c>
      <c r="O146" s="9" t="s">
        <v>3223</v>
      </c>
      <c r="P146" s="135" t="s">
        <v>3215</v>
      </c>
      <c r="Q146" s="15" t="s">
        <v>4951</v>
      </c>
      <c r="R146" s="167"/>
      <c r="S146" s="171" t="s">
        <v>5569</v>
      </c>
      <c r="T146" s="168" t="s">
        <v>5570</v>
      </c>
      <c r="U146" s="245">
        <f>$K146/4</f>
        <v>2500000</v>
      </c>
      <c r="V146" s="165" t="s">
        <v>3093</v>
      </c>
      <c r="W146" s="6" t="s">
        <v>4449</v>
      </c>
      <c r="X146" s="6" t="s">
        <v>4269</v>
      </c>
      <c r="Y146" s="15">
        <v>1093</v>
      </c>
      <c r="Z146" s="204" t="s">
        <v>4271</v>
      </c>
      <c r="AA146" s="135">
        <v>6682237</v>
      </c>
      <c r="AB146" s="235" t="s">
        <v>1736</v>
      </c>
      <c r="AC146" s="167" t="s">
        <v>5571</v>
      </c>
      <c r="AD146" s="245">
        <f>$K146/3</f>
        <v>3333333.3333333335</v>
      </c>
      <c r="AE146" s="165" t="s">
        <v>3093</v>
      </c>
      <c r="AF146" s="165" t="s">
        <v>4449</v>
      </c>
      <c r="AG146" s="6" t="s">
        <v>4269</v>
      </c>
      <c r="AH146" s="8">
        <v>6795859</v>
      </c>
      <c r="AI146" s="162" t="s">
        <v>1672</v>
      </c>
      <c r="AJ146" s="167" t="s">
        <v>2056</v>
      </c>
      <c r="AK146" s="245">
        <f>$K146/4</f>
        <v>2500000</v>
      </c>
      <c r="AL146" s="165" t="s">
        <v>160</v>
      </c>
      <c r="AM146" s="165" t="s">
        <v>4282</v>
      </c>
      <c r="AN146" s="6" t="s">
        <v>4269</v>
      </c>
      <c r="AO146" s="167">
        <v>6892129</v>
      </c>
      <c r="AP146" s="168" t="s">
        <v>2557</v>
      </c>
      <c r="AQ146" s="167" t="s">
        <v>115</v>
      </c>
      <c r="AR146" s="245">
        <f>$K146/4</f>
        <v>2500000</v>
      </c>
      <c r="AS146" s="167" t="s">
        <v>160</v>
      </c>
      <c r="AT146" s="165" t="s">
        <v>4282</v>
      </c>
      <c r="AU146" s="6" t="s">
        <v>4269</v>
      </c>
      <c r="AV146" s="167"/>
      <c r="AW146" s="167"/>
      <c r="AX146" s="167"/>
      <c r="AY146" s="249"/>
      <c r="AZ146" s="167"/>
      <c r="BA146" s="167"/>
      <c r="BB146" s="167"/>
      <c r="BC146" s="167"/>
      <c r="BD146" s="167"/>
      <c r="BE146" s="167"/>
      <c r="BF146" s="249"/>
      <c r="BG146" s="167"/>
      <c r="BH146" s="167"/>
      <c r="BI146" s="167"/>
      <c r="BJ146" s="167"/>
      <c r="BK146" s="167"/>
      <c r="BL146" s="167"/>
      <c r="BM146" s="249"/>
      <c r="BN146" s="167"/>
      <c r="BO146" s="167"/>
      <c r="BP146" s="167"/>
      <c r="BQ146" s="167">
        <v>6</v>
      </c>
      <c r="BR146" s="160" t="s">
        <v>3190</v>
      </c>
      <c r="BS146" s="163" t="s">
        <v>3191</v>
      </c>
      <c r="BT146" s="171"/>
      <c r="BU146" s="167"/>
      <c r="BV146" s="167"/>
      <c r="BW146" s="167"/>
      <c r="BX146" s="167"/>
      <c r="BY146" s="167"/>
      <c r="BZ146" s="167"/>
      <c r="CA146" s="167"/>
      <c r="CB146" s="167"/>
      <c r="CC146" s="167"/>
      <c r="CD146" s="167"/>
      <c r="CE146" s="167"/>
      <c r="CF146" s="167"/>
      <c r="CG146" s="167"/>
      <c r="CH146" s="167"/>
      <c r="CI146" s="167"/>
      <c r="CJ146" s="167"/>
      <c r="CK146" s="167"/>
      <c r="CL146" s="167"/>
      <c r="CM146" s="167"/>
      <c r="CN146" s="167"/>
      <c r="CO146" s="167"/>
      <c r="CP146" s="147"/>
      <c r="CQ146" s="147"/>
      <c r="CR146" s="147"/>
      <c r="CS146" s="147"/>
    </row>
    <row r="147" spans="1:97" ht="36">
      <c r="A147" s="135">
        <v>26</v>
      </c>
      <c r="B147" s="143" t="s">
        <v>5514</v>
      </c>
      <c r="C147" s="143" t="s">
        <v>5572</v>
      </c>
      <c r="D147" s="166" t="s">
        <v>5573</v>
      </c>
      <c r="E147" s="165" t="s">
        <v>216</v>
      </c>
      <c r="F147" s="135">
        <v>2024</v>
      </c>
      <c r="G147" s="135">
        <v>2024</v>
      </c>
      <c r="H147" s="135">
        <v>7</v>
      </c>
      <c r="I147" s="165" t="s">
        <v>5524</v>
      </c>
      <c r="J147" s="468">
        <v>9920000</v>
      </c>
      <c r="K147" s="468">
        <v>9920000</v>
      </c>
      <c r="L147" s="165" t="s">
        <v>4269</v>
      </c>
      <c r="M147" s="514">
        <v>3</v>
      </c>
      <c r="N147" s="7" t="s">
        <v>5290</v>
      </c>
      <c r="O147" s="9" t="s">
        <v>3223</v>
      </c>
      <c r="P147" s="135" t="s">
        <v>3215</v>
      </c>
      <c r="Q147" s="15" t="s">
        <v>4951</v>
      </c>
      <c r="R147" s="21">
        <v>6868847</v>
      </c>
      <c r="S147" s="171" t="s">
        <v>4865</v>
      </c>
      <c r="T147" s="11" t="s">
        <v>2393</v>
      </c>
      <c r="U147" s="245">
        <f>$K147/3</f>
        <v>3306666.6666666665</v>
      </c>
      <c r="V147" s="6" t="s">
        <v>164</v>
      </c>
      <c r="W147" s="6" t="s">
        <v>4272</v>
      </c>
      <c r="X147" s="6" t="s">
        <v>4269</v>
      </c>
      <c r="Y147" s="15">
        <v>1093</v>
      </c>
      <c r="Z147" s="204" t="s">
        <v>4271</v>
      </c>
      <c r="AA147" s="6">
        <v>6867249</v>
      </c>
      <c r="AB147" s="11" t="s">
        <v>2598</v>
      </c>
      <c r="AC147" s="167" t="s">
        <v>3115</v>
      </c>
      <c r="AD147" s="245">
        <f>$K147/3</f>
        <v>3306666.6666666665</v>
      </c>
      <c r="AE147" s="165" t="s">
        <v>171</v>
      </c>
      <c r="AF147" s="165" t="s">
        <v>4272</v>
      </c>
      <c r="AG147" s="6" t="s">
        <v>4269</v>
      </c>
      <c r="AH147" s="6">
        <v>6680622</v>
      </c>
      <c r="AI147" s="6" t="s">
        <v>983</v>
      </c>
      <c r="AJ147" s="167" t="s">
        <v>4864</v>
      </c>
      <c r="AK147" s="245">
        <f>$K147/3</f>
        <v>3306666.6666666665</v>
      </c>
      <c r="AL147" s="165" t="s">
        <v>164</v>
      </c>
      <c r="AM147" s="165" t="s">
        <v>4272</v>
      </c>
      <c r="AN147" s="6" t="s">
        <v>4269</v>
      </c>
      <c r="AO147" s="167"/>
      <c r="AP147" s="167"/>
      <c r="AQ147" s="167"/>
      <c r="AR147" s="249"/>
      <c r="AS147" s="167"/>
      <c r="AT147" s="167"/>
      <c r="AU147" s="6"/>
      <c r="AV147" s="167"/>
      <c r="AW147" s="167"/>
      <c r="AX147" s="167"/>
      <c r="AY147" s="249"/>
      <c r="AZ147" s="167"/>
      <c r="BA147" s="167"/>
      <c r="BB147" s="167"/>
      <c r="BC147" s="167"/>
      <c r="BD147" s="167"/>
      <c r="BE147" s="167"/>
      <c r="BF147" s="249"/>
      <c r="BG147" s="167"/>
      <c r="BH147" s="167"/>
      <c r="BI147" s="167"/>
      <c r="BJ147" s="167"/>
      <c r="BK147" s="167"/>
      <c r="BL147" s="167"/>
      <c r="BM147" s="249"/>
      <c r="BN147" s="167"/>
      <c r="BO147" s="167"/>
      <c r="BP147" s="167"/>
      <c r="BQ147" s="167">
        <v>3</v>
      </c>
      <c r="BR147" s="160" t="s">
        <v>3190</v>
      </c>
      <c r="BS147" s="163" t="s">
        <v>3191</v>
      </c>
      <c r="BT147" s="171"/>
      <c r="BU147" s="167"/>
      <c r="BV147" s="167"/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47"/>
      <c r="CQ147" s="147"/>
      <c r="CR147" s="147"/>
      <c r="CS147" s="147"/>
    </row>
    <row r="148" spans="1:97" ht="36">
      <c r="A148" s="8">
        <v>27</v>
      </c>
      <c r="B148" s="143" t="s">
        <v>5514</v>
      </c>
      <c r="C148" s="327" t="s">
        <v>5574</v>
      </c>
      <c r="D148" s="166" t="s">
        <v>5575</v>
      </c>
      <c r="E148" s="165" t="s">
        <v>216</v>
      </c>
      <c r="F148" s="135">
        <v>2024</v>
      </c>
      <c r="G148" s="135">
        <v>2024</v>
      </c>
      <c r="H148" s="135">
        <v>7</v>
      </c>
      <c r="I148" s="165" t="s">
        <v>5524</v>
      </c>
      <c r="J148" s="468">
        <v>10000000</v>
      </c>
      <c r="K148" s="468">
        <v>10000000</v>
      </c>
      <c r="L148" s="165" t="s">
        <v>4269</v>
      </c>
      <c r="M148" s="514">
        <v>3</v>
      </c>
      <c r="N148" s="7" t="s">
        <v>5290</v>
      </c>
      <c r="O148" s="9" t="s">
        <v>3223</v>
      </c>
      <c r="P148" s="135" t="s">
        <v>3215</v>
      </c>
      <c r="Q148" s="15" t="s">
        <v>4951</v>
      </c>
      <c r="R148" s="8">
        <v>6665306</v>
      </c>
      <c r="S148" s="171" t="s">
        <v>4329</v>
      </c>
      <c r="T148" s="162" t="s">
        <v>1727</v>
      </c>
      <c r="U148" s="245">
        <f>$K148/4</f>
        <v>2500000</v>
      </c>
      <c r="V148" s="165" t="s">
        <v>166</v>
      </c>
      <c r="W148" s="6" t="s">
        <v>4282</v>
      </c>
      <c r="X148" s="6" t="s">
        <v>4269</v>
      </c>
      <c r="Y148" s="15">
        <v>1093</v>
      </c>
      <c r="Z148" s="204" t="s">
        <v>4271</v>
      </c>
      <c r="AA148" s="260" t="s">
        <v>4039</v>
      </c>
      <c r="AB148" s="287" t="s">
        <v>1751</v>
      </c>
      <c r="AC148" s="167" t="s">
        <v>4524</v>
      </c>
      <c r="AD148" s="245">
        <f>$K148/4</f>
        <v>2500000</v>
      </c>
      <c r="AE148" s="165" t="s">
        <v>166</v>
      </c>
      <c r="AF148" s="165" t="s">
        <v>4282</v>
      </c>
      <c r="AG148" s="6" t="s">
        <v>4269</v>
      </c>
      <c r="AH148" s="8">
        <v>6764236</v>
      </c>
      <c r="AI148" s="162" t="s">
        <v>1684</v>
      </c>
      <c r="AJ148" s="167" t="s">
        <v>4660</v>
      </c>
      <c r="AK148" s="245">
        <f>$K148/4</f>
        <v>2500000</v>
      </c>
      <c r="AL148" s="165" t="s">
        <v>166</v>
      </c>
      <c r="AM148" s="165" t="s">
        <v>4282</v>
      </c>
      <c r="AN148" s="6" t="s">
        <v>4269</v>
      </c>
      <c r="AO148" s="8">
        <v>6680648</v>
      </c>
      <c r="AP148" s="6" t="s">
        <v>1036</v>
      </c>
      <c r="AQ148" s="167" t="s">
        <v>4662</v>
      </c>
      <c r="AR148" s="245">
        <f>$K148/4</f>
        <v>2500000</v>
      </c>
      <c r="AS148" s="167" t="s">
        <v>166</v>
      </c>
      <c r="AT148" s="165" t="s">
        <v>4282</v>
      </c>
      <c r="AU148" s="6" t="s">
        <v>4269</v>
      </c>
      <c r="AV148" s="167"/>
      <c r="AW148" s="167"/>
      <c r="AX148" s="167"/>
      <c r="AY148" s="249"/>
      <c r="AZ148" s="167"/>
      <c r="BA148" s="167"/>
      <c r="BB148" s="167"/>
      <c r="BC148" s="167"/>
      <c r="BD148" s="167"/>
      <c r="BE148" s="167"/>
      <c r="BF148" s="249"/>
      <c r="BG148" s="167"/>
      <c r="BH148" s="167"/>
      <c r="BI148" s="167"/>
      <c r="BJ148" s="167"/>
      <c r="BK148" s="167"/>
      <c r="BL148" s="167"/>
      <c r="BM148" s="249"/>
      <c r="BN148" s="167"/>
      <c r="BO148" s="167"/>
      <c r="BP148" s="167"/>
      <c r="BQ148" s="167">
        <v>3</v>
      </c>
      <c r="BR148" s="160" t="s">
        <v>3190</v>
      </c>
      <c r="BS148" s="163" t="s">
        <v>3191</v>
      </c>
      <c r="BT148" s="171"/>
      <c r="BU148" s="167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47"/>
      <c r="CQ148" s="147"/>
      <c r="CR148" s="147"/>
      <c r="CS148" s="147"/>
    </row>
    <row r="149" spans="1:97" ht="24">
      <c r="A149" s="8">
        <v>28</v>
      </c>
      <c r="B149" s="143"/>
      <c r="C149" s="568" t="s">
        <v>5576</v>
      </c>
      <c r="D149" s="166" t="s">
        <v>5577</v>
      </c>
      <c r="E149" s="165" t="s">
        <v>214</v>
      </c>
      <c r="F149" s="135">
        <v>2024</v>
      </c>
      <c r="G149" s="135">
        <v>2024</v>
      </c>
      <c r="H149" s="135">
        <v>7</v>
      </c>
      <c r="I149" s="165" t="s">
        <v>5536</v>
      </c>
      <c r="J149" s="468">
        <v>5000000</v>
      </c>
      <c r="K149" s="468">
        <v>5000000</v>
      </c>
      <c r="L149" s="165" t="s">
        <v>4269</v>
      </c>
      <c r="M149" s="514">
        <v>1</v>
      </c>
      <c r="N149" s="7" t="s">
        <v>5290</v>
      </c>
      <c r="O149" s="9" t="s">
        <v>3223</v>
      </c>
      <c r="P149" s="135" t="s">
        <v>3215</v>
      </c>
      <c r="Q149" s="15" t="s">
        <v>4951</v>
      </c>
      <c r="R149" s="21">
        <v>6879158</v>
      </c>
      <c r="S149" s="171" t="s">
        <v>4305</v>
      </c>
      <c r="T149" s="293" t="s">
        <v>2540</v>
      </c>
      <c r="U149" s="245">
        <f>$K149/3</f>
        <v>1666666.6666666667</v>
      </c>
      <c r="V149" s="165" t="s">
        <v>160</v>
      </c>
      <c r="W149" s="6" t="s">
        <v>4282</v>
      </c>
      <c r="X149" s="6" t="s">
        <v>4269</v>
      </c>
      <c r="Y149" s="15">
        <v>1093</v>
      </c>
      <c r="Z149" s="204" t="s">
        <v>4271</v>
      </c>
      <c r="AA149" s="8">
        <v>6680618</v>
      </c>
      <c r="AB149" s="162" t="s">
        <v>1737</v>
      </c>
      <c r="AC149" s="167" t="s">
        <v>5578</v>
      </c>
      <c r="AD149" s="245">
        <f>$K149/3</f>
        <v>1666666.6666666667</v>
      </c>
      <c r="AE149" s="165" t="s">
        <v>160</v>
      </c>
      <c r="AF149" s="165" t="s">
        <v>4282</v>
      </c>
      <c r="AG149" s="6" t="s">
        <v>4269</v>
      </c>
      <c r="AH149" s="6">
        <v>6658545</v>
      </c>
      <c r="AI149" s="11" t="s">
        <v>984</v>
      </c>
      <c r="AJ149" s="167" t="s">
        <v>4751</v>
      </c>
      <c r="AK149" s="245">
        <f>$K149/3</f>
        <v>1666666.6666666667</v>
      </c>
      <c r="AL149" s="165" t="s">
        <v>160</v>
      </c>
      <c r="AM149" s="165" t="s">
        <v>4282</v>
      </c>
      <c r="AN149" s="6" t="s">
        <v>4269</v>
      </c>
      <c r="AO149" s="167"/>
      <c r="AP149" s="167"/>
      <c r="AQ149" s="167"/>
      <c r="AR149" s="249"/>
      <c r="AS149" s="167"/>
      <c r="AT149" s="167"/>
      <c r="AU149" s="6"/>
      <c r="AV149" s="167"/>
      <c r="AW149" s="167"/>
      <c r="AX149" s="167"/>
      <c r="AY149" s="249"/>
      <c r="AZ149" s="167"/>
      <c r="BA149" s="167"/>
      <c r="BB149" s="167"/>
      <c r="BC149" s="167"/>
      <c r="BD149" s="167"/>
      <c r="BE149" s="167"/>
      <c r="BF149" s="249"/>
      <c r="BG149" s="167"/>
      <c r="BH149" s="167"/>
      <c r="BI149" s="167"/>
      <c r="BJ149" s="167"/>
      <c r="BK149" s="167"/>
      <c r="BL149" s="167"/>
      <c r="BM149" s="249"/>
      <c r="BN149" s="167"/>
      <c r="BO149" s="167"/>
      <c r="BP149" s="167"/>
      <c r="BQ149" s="167">
        <v>1</v>
      </c>
      <c r="BR149" s="160" t="s">
        <v>3190</v>
      </c>
      <c r="BS149" s="163" t="s">
        <v>3191</v>
      </c>
      <c r="BT149" s="171"/>
      <c r="BU149" s="16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47"/>
      <c r="CQ149" s="147"/>
      <c r="CR149" s="147"/>
      <c r="CS149" s="147"/>
    </row>
    <row r="150" spans="1:97" ht="24">
      <c r="A150" s="135">
        <v>29</v>
      </c>
      <c r="B150" s="143"/>
      <c r="C150" s="568" t="s">
        <v>5579</v>
      </c>
      <c r="D150" s="166" t="s">
        <v>5580</v>
      </c>
      <c r="E150" s="165" t="s">
        <v>213</v>
      </c>
      <c r="F150" s="135">
        <v>2024</v>
      </c>
      <c r="G150" s="135">
        <v>2024</v>
      </c>
      <c r="H150" s="135">
        <v>6</v>
      </c>
      <c r="I150" s="165" t="s">
        <v>5524</v>
      </c>
      <c r="J150" s="468">
        <v>15000000</v>
      </c>
      <c r="K150" s="468">
        <v>15000000</v>
      </c>
      <c r="L150" s="165" t="s">
        <v>4269</v>
      </c>
      <c r="M150" s="135">
        <v>3</v>
      </c>
      <c r="N150" s="7" t="s">
        <v>5290</v>
      </c>
      <c r="O150" s="9" t="s">
        <v>3223</v>
      </c>
      <c r="P150" s="135" t="s">
        <v>3215</v>
      </c>
      <c r="Q150" s="15" t="s">
        <v>4951</v>
      </c>
      <c r="R150" s="21">
        <v>6826699</v>
      </c>
      <c r="S150" s="171" t="s">
        <v>4291</v>
      </c>
      <c r="T150" s="293" t="s">
        <v>1905</v>
      </c>
      <c r="U150" s="245">
        <f>$K150/4</f>
        <v>3750000</v>
      </c>
      <c r="V150" s="165" t="s">
        <v>166</v>
      </c>
      <c r="W150" s="6" t="s">
        <v>4282</v>
      </c>
      <c r="X150" s="6" t="s">
        <v>4269</v>
      </c>
      <c r="Y150" s="15">
        <v>1093</v>
      </c>
      <c r="Z150" s="204" t="s">
        <v>4271</v>
      </c>
      <c r="AA150" s="6">
        <v>6680622</v>
      </c>
      <c r="AB150" s="6" t="s">
        <v>983</v>
      </c>
      <c r="AC150" s="6" t="s">
        <v>11</v>
      </c>
      <c r="AD150" s="245">
        <f>$K150/4</f>
        <v>3750000</v>
      </c>
      <c r="AE150" s="165" t="s">
        <v>164</v>
      </c>
      <c r="AF150" s="165" t="s">
        <v>4272</v>
      </c>
      <c r="AG150" s="6" t="s">
        <v>4269</v>
      </c>
      <c r="AH150" s="8">
        <v>6680628</v>
      </c>
      <c r="AI150" s="10" t="s">
        <v>1007</v>
      </c>
      <c r="AJ150" s="6" t="s">
        <v>89</v>
      </c>
      <c r="AK150" s="245">
        <f>$K150/4</f>
        <v>3750000</v>
      </c>
      <c r="AL150" s="165" t="s">
        <v>164</v>
      </c>
      <c r="AM150" s="165" t="s">
        <v>4272</v>
      </c>
      <c r="AN150" s="6" t="s">
        <v>4269</v>
      </c>
      <c r="AO150" s="162" t="s">
        <v>5234</v>
      </c>
      <c r="AP150" s="162" t="s">
        <v>978</v>
      </c>
      <c r="AQ150" s="6" t="s">
        <v>178</v>
      </c>
      <c r="AR150" s="245">
        <f>$K150/4</f>
        <v>3750000</v>
      </c>
      <c r="AS150" s="165" t="s">
        <v>166</v>
      </c>
      <c r="AT150" s="167" t="s">
        <v>4282</v>
      </c>
      <c r="AU150" s="6" t="s">
        <v>4269</v>
      </c>
      <c r="AV150" s="167"/>
      <c r="AW150" s="167"/>
      <c r="AX150" s="167"/>
      <c r="AY150" s="249"/>
      <c r="AZ150" s="167"/>
      <c r="BA150" s="167"/>
      <c r="BB150" s="167"/>
      <c r="BC150" s="167"/>
      <c r="BD150" s="167"/>
      <c r="BE150" s="167"/>
      <c r="BF150" s="249"/>
      <c r="BG150" s="167"/>
      <c r="BH150" s="167"/>
      <c r="BI150" s="167"/>
      <c r="BJ150" s="167"/>
      <c r="BK150" s="167"/>
      <c r="BL150" s="167"/>
      <c r="BM150" s="249"/>
      <c r="BN150" s="167"/>
      <c r="BO150" s="167"/>
      <c r="BP150" s="167"/>
      <c r="BQ150" s="167">
        <v>7</v>
      </c>
      <c r="BR150" s="160" t="s">
        <v>3190</v>
      </c>
      <c r="BS150" s="163" t="s">
        <v>3191</v>
      </c>
      <c r="BT150" s="171"/>
      <c r="BU150" s="16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47"/>
      <c r="CQ150" s="147"/>
      <c r="CR150" s="147"/>
      <c r="CS150" s="147"/>
    </row>
    <row r="151" spans="1:97" ht="36">
      <c r="A151" s="8">
        <v>30</v>
      </c>
      <c r="B151" s="143"/>
      <c r="C151" s="568" t="s">
        <v>5581</v>
      </c>
      <c r="D151" s="166" t="s">
        <v>5582</v>
      </c>
      <c r="E151" s="165" t="s">
        <v>213</v>
      </c>
      <c r="F151" s="135">
        <v>2024</v>
      </c>
      <c r="G151" s="135">
        <v>2024</v>
      </c>
      <c r="H151" s="135">
        <v>6</v>
      </c>
      <c r="I151" s="165" t="s">
        <v>5517</v>
      </c>
      <c r="J151" s="468">
        <v>15000000</v>
      </c>
      <c r="K151" s="468">
        <v>15000000</v>
      </c>
      <c r="L151" s="165" t="s">
        <v>4269</v>
      </c>
      <c r="M151" s="135">
        <v>3</v>
      </c>
      <c r="N151" s="7" t="s">
        <v>5290</v>
      </c>
      <c r="O151" s="9" t="s">
        <v>3223</v>
      </c>
      <c r="P151" s="135" t="s">
        <v>3215</v>
      </c>
      <c r="Q151" s="15" t="s">
        <v>4951</v>
      </c>
      <c r="R151" s="21">
        <v>6833034</v>
      </c>
      <c r="S151" s="171" t="s">
        <v>4667</v>
      </c>
      <c r="T151" s="162" t="s">
        <v>2022</v>
      </c>
      <c r="U151" s="245">
        <f>$K151/4</f>
        <v>3750000</v>
      </c>
      <c r="V151" s="165" t="s">
        <v>166</v>
      </c>
      <c r="W151" s="6" t="s">
        <v>4282</v>
      </c>
      <c r="X151" s="6" t="s">
        <v>4269</v>
      </c>
      <c r="Y151" s="15">
        <v>1093</v>
      </c>
      <c r="Z151" s="204" t="s">
        <v>4271</v>
      </c>
      <c r="AA151" s="6">
        <v>6843087</v>
      </c>
      <c r="AB151" s="11" t="s">
        <v>2010</v>
      </c>
      <c r="AC151" s="6" t="s">
        <v>41</v>
      </c>
      <c r="AD151" s="245">
        <f>$K151/4</f>
        <v>3750000</v>
      </c>
      <c r="AE151" s="165" t="s">
        <v>166</v>
      </c>
      <c r="AF151" s="165" t="s">
        <v>4282</v>
      </c>
      <c r="AG151" s="6" t="s">
        <v>4269</v>
      </c>
      <c r="AH151" s="6">
        <v>6859382</v>
      </c>
      <c r="AI151" s="11" t="s">
        <v>2343</v>
      </c>
      <c r="AJ151" s="167" t="s">
        <v>184</v>
      </c>
      <c r="AK151" s="245">
        <f>$K151/4</f>
        <v>3750000</v>
      </c>
      <c r="AL151" s="165" t="s">
        <v>166</v>
      </c>
      <c r="AM151" s="165" t="s">
        <v>4282</v>
      </c>
      <c r="AN151" s="6" t="s">
        <v>4269</v>
      </c>
      <c r="AO151" s="8">
        <v>6839112</v>
      </c>
      <c r="AP151" s="162" t="s">
        <v>2949</v>
      </c>
      <c r="AQ151" s="6" t="s">
        <v>54</v>
      </c>
      <c r="AR151" s="245">
        <f>$K151/4</f>
        <v>3750000</v>
      </c>
      <c r="AS151" s="165" t="s">
        <v>166</v>
      </c>
      <c r="AT151" s="167" t="s">
        <v>4282</v>
      </c>
      <c r="AU151" s="6" t="s">
        <v>4269</v>
      </c>
      <c r="AV151" s="167"/>
      <c r="AW151" s="167"/>
      <c r="AX151" s="167"/>
      <c r="AY151" s="249"/>
      <c r="AZ151" s="167"/>
      <c r="BA151" s="167"/>
      <c r="BB151" s="167"/>
      <c r="BC151" s="167"/>
      <c r="BD151" s="167"/>
      <c r="BE151" s="167"/>
      <c r="BF151" s="249"/>
      <c r="BG151" s="167"/>
      <c r="BH151" s="167"/>
      <c r="BI151" s="167"/>
      <c r="BJ151" s="167"/>
      <c r="BK151" s="167"/>
      <c r="BL151" s="167"/>
      <c r="BM151" s="249"/>
      <c r="BN151" s="167"/>
      <c r="BO151" s="167"/>
      <c r="BP151" s="167"/>
      <c r="BQ151" s="167">
        <v>3</v>
      </c>
      <c r="BR151" s="160" t="s">
        <v>3190</v>
      </c>
      <c r="BS151" s="163" t="s">
        <v>3191</v>
      </c>
      <c r="BT151" s="171"/>
      <c r="BU151" s="16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47"/>
      <c r="CQ151" s="147"/>
      <c r="CR151" s="147"/>
      <c r="CS151" s="147"/>
    </row>
    <row r="152" spans="1:97" ht="36">
      <c r="A152" s="8">
        <v>31</v>
      </c>
      <c r="B152" s="143"/>
      <c r="C152" s="568" t="s">
        <v>5583</v>
      </c>
      <c r="D152" s="166" t="s">
        <v>5584</v>
      </c>
      <c r="E152" s="165" t="s">
        <v>213</v>
      </c>
      <c r="F152" s="135">
        <v>2024</v>
      </c>
      <c r="G152" s="135">
        <v>2024</v>
      </c>
      <c r="H152" s="135">
        <v>6</v>
      </c>
      <c r="I152" s="165" t="s">
        <v>5524</v>
      </c>
      <c r="J152" s="468">
        <v>15000000</v>
      </c>
      <c r="K152" s="468">
        <v>15000000</v>
      </c>
      <c r="L152" s="165" t="s">
        <v>4269</v>
      </c>
      <c r="M152" s="135">
        <v>6</v>
      </c>
      <c r="N152" s="7" t="s">
        <v>5290</v>
      </c>
      <c r="O152" s="9" t="s">
        <v>3223</v>
      </c>
      <c r="P152" s="135" t="s">
        <v>3215</v>
      </c>
      <c r="Q152" s="15" t="s">
        <v>4951</v>
      </c>
      <c r="R152" s="21">
        <v>6682237</v>
      </c>
      <c r="S152" s="171" t="s">
        <v>5571</v>
      </c>
      <c r="T152" s="293" t="s">
        <v>1736</v>
      </c>
      <c r="U152" s="245">
        <f>$K152/3</f>
        <v>5000000</v>
      </c>
      <c r="V152" s="165" t="s">
        <v>169</v>
      </c>
      <c r="W152" s="6" t="s">
        <v>4449</v>
      </c>
      <c r="X152" s="6" t="s">
        <v>4269</v>
      </c>
      <c r="Y152" s="15">
        <v>1093</v>
      </c>
      <c r="Z152" s="204" t="s">
        <v>4271</v>
      </c>
      <c r="AA152" s="162" t="s">
        <v>3985</v>
      </c>
      <c r="AB152" s="162" t="s">
        <v>2730</v>
      </c>
      <c r="AC152" s="6" t="s">
        <v>42</v>
      </c>
      <c r="AD152" s="245">
        <f>$K152/3</f>
        <v>5000000</v>
      </c>
      <c r="AE152" s="165" t="s">
        <v>169</v>
      </c>
      <c r="AF152" s="165" t="s">
        <v>4449</v>
      </c>
      <c r="AG152" s="6" t="s">
        <v>4269</v>
      </c>
      <c r="AH152" s="6">
        <v>6826743</v>
      </c>
      <c r="AI152" s="11" t="s">
        <v>1880</v>
      </c>
      <c r="AJ152" s="167" t="s">
        <v>4600</v>
      </c>
      <c r="AK152" s="245">
        <f>$K152/3</f>
        <v>5000000</v>
      </c>
      <c r="AL152" s="165" t="s">
        <v>160</v>
      </c>
      <c r="AM152" s="165" t="s">
        <v>4282</v>
      </c>
      <c r="AN152" s="6" t="s">
        <v>4269</v>
      </c>
      <c r="AO152" s="167"/>
      <c r="AP152" s="167"/>
      <c r="AQ152" s="167"/>
      <c r="AR152" s="245"/>
      <c r="AS152" s="167"/>
      <c r="AT152" s="167"/>
      <c r="AU152" s="6"/>
      <c r="AV152" s="167"/>
      <c r="AW152" s="167"/>
      <c r="AX152" s="167"/>
      <c r="AY152" s="249"/>
      <c r="AZ152" s="167"/>
      <c r="BA152" s="167"/>
      <c r="BB152" s="167"/>
      <c r="BC152" s="167"/>
      <c r="BD152" s="167"/>
      <c r="BE152" s="167"/>
      <c r="BF152" s="249"/>
      <c r="BG152" s="167"/>
      <c r="BH152" s="167"/>
      <c r="BI152" s="167"/>
      <c r="BJ152" s="167"/>
      <c r="BK152" s="167"/>
      <c r="BL152" s="167"/>
      <c r="BM152" s="249"/>
      <c r="BN152" s="167"/>
      <c r="BO152" s="167"/>
      <c r="BP152" s="167"/>
      <c r="BQ152" s="167">
        <v>6</v>
      </c>
      <c r="BR152" s="160" t="s">
        <v>3190</v>
      </c>
      <c r="BS152" s="163" t="s">
        <v>3191</v>
      </c>
      <c r="BT152" s="171"/>
      <c r="BU152" s="16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47"/>
      <c r="CQ152" s="147"/>
      <c r="CR152" s="147"/>
      <c r="CS152" s="147"/>
    </row>
    <row r="153" spans="1:97" ht="36">
      <c r="A153" s="135">
        <v>32</v>
      </c>
      <c r="B153" s="143"/>
      <c r="C153" s="568" t="s">
        <v>5585</v>
      </c>
      <c r="D153" s="166" t="s">
        <v>5586</v>
      </c>
      <c r="E153" s="165" t="s">
        <v>213</v>
      </c>
      <c r="F153" s="135">
        <v>2024</v>
      </c>
      <c r="G153" s="135">
        <v>2024</v>
      </c>
      <c r="H153" s="135">
        <v>6</v>
      </c>
      <c r="I153" s="165" t="s">
        <v>5587</v>
      </c>
      <c r="J153" s="468">
        <v>15000000</v>
      </c>
      <c r="K153" s="468">
        <v>15000000</v>
      </c>
      <c r="L153" s="165" t="s">
        <v>4269</v>
      </c>
      <c r="M153" s="135">
        <v>3</v>
      </c>
      <c r="N153" s="7" t="s">
        <v>5290</v>
      </c>
      <c r="O153" s="9" t="s">
        <v>3223</v>
      </c>
      <c r="P153" s="135" t="s">
        <v>3215</v>
      </c>
      <c r="Q153" s="15" t="s">
        <v>4951</v>
      </c>
      <c r="R153" s="21">
        <v>6843087</v>
      </c>
      <c r="S153" s="171" t="s">
        <v>3114</v>
      </c>
      <c r="T153" s="293" t="s">
        <v>2010</v>
      </c>
      <c r="U153" s="245">
        <f>$K153/3</f>
        <v>5000000</v>
      </c>
      <c r="V153" s="165" t="s">
        <v>166</v>
      </c>
      <c r="W153" s="6" t="s">
        <v>4282</v>
      </c>
      <c r="X153" s="6" t="s">
        <v>4269</v>
      </c>
      <c r="Y153" s="15">
        <v>1093</v>
      </c>
      <c r="Z153" s="204" t="s">
        <v>4271</v>
      </c>
      <c r="AA153" s="6">
        <v>6835039</v>
      </c>
      <c r="AB153" s="11" t="s">
        <v>2009</v>
      </c>
      <c r="AC153" s="6" t="s">
        <v>37</v>
      </c>
      <c r="AD153" s="245">
        <f>$K153/3</f>
        <v>5000000</v>
      </c>
      <c r="AE153" s="165" t="s">
        <v>166</v>
      </c>
      <c r="AF153" s="165" t="s">
        <v>4282</v>
      </c>
      <c r="AG153" s="6" t="s">
        <v>4269</v>
      </c>
      <c r="AH153" s="8">
        <v>6789028</v>
      </c>
      <c r="AI153" s="162" t="s">
        <v>1917</v>
      </c>
      <c r="AJ153" s="6" t="s">
        <v>179</v>
      </c>
      <c r="AK153" s="245">
        <f>$K153/3</f>
        <v>5000000</v>
      </c>
      <c r="AL153" s="165" t="s">
        <v>166</v>
      </c>
      <c r="AM153" s="165" t="s">
        <v>4282</v>
      </c>
      <c r="AN153" s="6" t="s">
        <v>4269</v>
      </c>
      <c r="AO153" s="167"/>
      <c r="AP153" s="167"/>
      <c r="AQ153" s="167"/>
      <c r="AR153" s="245"/>
      <c r="AS153" s="167"/>
      <c r="AT153" s="167"/>
      <c r="AU153" s="6"/>
      <c r="AV153" s="167"/>
      <c r="AW153" s="167"/>
      <c r="AX153" s="167"/>
      <c r="AY153" s="249"/>
      <c r="AZ153" s="167"/>
      <c r="BA153" s="167"/>
      <c r="BB153" s="167"/>
      <c r="BC153" s="167"/>
      <c r="BD153" s="167"/>
      <c r="BE153" s="167"/>
      <c r="BF153" s="249"/>
      <c r="BG153" s="167"/>
      <c r="BH153" s="167"/>
      <c r="BI153" s="167"/>
      <c r="BJ153" s="167"/>
      <c r="BK153" s="167"/>
      <c r="BL153" s="167"/>
      <c r="BM153" s="249"/>
      <c r="BN153" s="167"/>
      <c r="BO153" s="167"/>
      <c r="BP153" s="167"/>
      <c r="BQ153" s="167">
        <v>3</v>
      </c>
      <c r="BR153" s="160" t="s">
        <v>3190</v>
      </c>
      <c r="BS153" s="163" t="s">
        <v>3191</v>
      </c>
      <c r="BT153" s="171"/>
      <c r="BU153" s="167"/>
      <c r="BV153" s="167"/>
      <c r="BW153" s="167"/>
      <c r="BX153" s="167"/>
      <c r="BY153" s="167"/>
      <c r="BZ153" s="167"/>
      <c r="CA153" s="167"/>
      <c r="CB153" s="167"/>
      <c r="CC153" s="167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  <c r="CO153" s="167"/>
      <c r="CP153" s="147"/>
      <c r="CQ153" s="147"/>
      <c r="CR153" s="147"/>
      <c r="CS153" s="147"/>
    </row>
    <row r="154" spans="1:97" ht="60">
      <c r="A154" s="8">
        <v>33</v>
      </c>
      <c r="B154" s="143"/>
      <c r="C154" s="568" t="s">
        <v>5588</v>
      </c>
      <c r="D154" s="166" t="s">
        <v>5589</v>
      </c>
      <c r="E154" s="165" t="s">
        <v>213</v>
      </c>
      <c r="F154" s="135">
        <v>2024</v>
      </c>
      <c r="G154" s="135">
        <v>2024</v>
      </c>
      <c r="H154" s="135">
        <v>6</v>
      </c>
      <c r="I154" s="165" t="s">
        <v>5524</v>
      </c>
      <c r="J154" s="468">
        <v>15000000</v>
      </c>
      <c r="K154" s="468">
        <v>15000000</v>
      </c>
      <c r="L154" s="165" t="s">
        <v>4269</v>
      </c>
      <c r="M154" s="135">
        <v>2</v>
      </c>
      <c r="N154" s="7" t="s">
        <v>5290</v>
      </c>
      <c r="O154" s="9" t="s">
        <v>3223</v>
      </c>
      <c r="P154" s="135" t="s">
        <v>3215</v>
      </c>
      <c r="Q154" s="15" t="s">
        <v>4951</v>
      </c>
      <c r="R154" s="21">
        <v>6898606</v>
      </c>
      <c r="S154" s="171" t="s">
        <v>3109</v>
      </c>
      <c r="T154" s="204" t="s">
        <v>2460</v>
      </c>
      <c r="U154" s="245">
        <f>$K154/5</f>
        <v>3000000</v>
      </c>
      <c r="V154" s="165" t="s">
        <v>151</v>
      </c>
      <c r="W154" s="6" t="s">
        <v>3224</v>
      </c>
      <c r="X154" s="6" t="s">
        <v>4269</v>
      </c>
      <c r="Y154" s="15">
        <v>1093</v>
      </c>
      <c r="Z154" s="204" t="s">
        <v>4271</v>
      </c>
      <c r="AA154" s="8"/>
      <c r="AB154" s="8"/>
      <c r="AC154" s="513" t="s">
        <v>3121</v>
      </c>
      <c r="AD154" s="245">
        <f>$K154/5</f>
        <v>3000000</v>
      </c>
      <c r="AE154" s="165" t="s">
        <v>3110</v>
      </c>
      <c r="AF154" s="165"/>
      <c r="AG154" s="6" t="s">
        <v>4269</v>
      </c>
      <c r="AH154" s="138">
        <v>210955</v>
      </c>
      <c r="AI154" s="140" t="s">
        <v>2404</v>
      </c>
      <c r="AJ154" s="167" t="s">
        <v>97</v>
      </c>
      <c r="AK154" s="245">
        <f>$K154/5</f>
        <v>3000000</v>
      </c>
      <c r="AL154" s="165" t="s">
        <v>151</v>
      </c>
      <c r="AM154" s="165" t="s">
        <v>3224</v>
      </c>
      <c r="AN154" s="6" t="s">
        <v>4269</v>
      </c>
      <c r="AO154" s="8">
        <v>258471</v>
      </c>
      <c r="AP154" s="162" t="s">
        <v>3504</v>
      </c>
      <c r="AQ154" s="6" t="s">
        <v>60</v>
      </c>
      <c r="AR154" s="245">
        <f>$K154/5</f>
        <v>3000000</v>
      </c>
      <c r="AS154" s="167" t="s">
        <v>155</v>
      </c>
      <c r="AT154" s="167" t="s">
        <v>3224</v>
      </c>
      <c r="AU154" s="6" t="s">
        <v>4269</v>
      </c>
      <c r="AV154" s="239">
        <v>6843797</v>
      </c>
      <c r="AW154" s="240" t="s">
        <v>2418</v>
      </c>
      <c r="AX154" s="239" t="s">
        <v>190</v>
      </c>
      <c r="AY154" s="245">
        <f>$K154/5</f>
        <v>3000000</v>
      </c>
      <c r="AZ154" s="167" t="s">
        <v>151</v>
      </c>
      <c r="BA154" s="167" t="s">
        <v>3224</v>
      </c>
      <c r="BB154" s="6" t="s">
        <v>4269</v>
      </c>
      <c r="BC154" s="167"/>
      <c r="BD154" s="167"/>
      <c r="BE154" s="167"/>
      <c r="BF154" s="249"/>
      <c r="BG154" s="167"/>
      <c r="BH154" s="167"/>
      <c r="BI154" s="167"/>
      <c r="BJ154" s="167"/>
      <c r="BK154" s="167"/>
      <c r="BL154" s="167"/>
      <c r="BM154" s="249"/>
      <c r="BN154" s="167"/>
      <c r="BO154" s="167"/>
      <c r="BP154" s="167"/>
      <c r="BQ154" s="167">
        <v>2</v>
      </c>
      <c r="BR154" s="160" t="s">
        <v>3190</v>
      </c>
      <c r="BS154" s="163" t="s">
        <v>3191</v>
      </c>
      <c r="BT154" s="171"/>
      <c r="BU154" s="167"/>
      <c r="BV154" s="167"/>
      <c r="BW154" s="167"/>
      <c r="BX154" s="167"/>
      <c r="BY154" s="167"/>
      <c r="BZ154" s="167"/>
      <c r="CA154" s="167"/>
      <c r="CB154" s="167"/>
      <c r="CC154" s="167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  <c r="CO154" s="167"/>
      <c r="CP154" s="147"/>
      <c r="CQ154" s="147"/>
      <c r="CR154" s="147"/>
      <c r="CS154" s="147"/>
    </row>
    <row r="155" spans="1:97" ht="24">
      <c r="A155" s="8">
        <v>34</v>
      </c>
      <c r="B155" s="143"/>
      <c r="C155" s="165"/>
      <c r="D155" s="166" t="s">
        <v>5590</v>
      </c>
      <c r="E155" s="165" t="s">
        <v>5067</v>
      </c>
      <c r="F155" s="135">
        <v>2024</v>
      </c>
      <c r="G155" s="135">
        <v>2024</v>
      </c>
      <c r="H155" s="135"/>
      <c r="I155" s="165"/>
      <c r="J155" s="468">
        <v>42331000</v>
      </c>
      <c r="K155" s="468">
        <v>42331000</v>
      </c>
      <c r="L155" s="165" t="s">
        <v>4269</v>
      </c>
      <c r="M155" s="514"/>
      <c r="N155" s="7" t="s">
        <v>5591</v>
      </c>
      <c r="O155" s="166" t="s">
        <v>5592</v>
      </c>
      <c r="P155" s="135" t="s">
        <v>3215</v>
      </c>
      <c r="Q155" s="165" t="s">
        <v>4970</v>
      </c>
      <c r="R155" s="13">
        <v>258471</v>
      </c>
      <c r="S155" s="23" t="s">
        <v>60</v>
      </c>
      <c r="T155" s="16" t="s">
        <v>3504</v>
      </c>
      <c r="U155" s="245">
        <f>$K155/3</f>
        <v>14110333.333333334</v>
      </c>
      <c r="V155" s="165" t="s">
        <v>155</v>
      </c>
      <c r="W155" s="6" t="s">
        <v>3224</v>
      </c>
      <c r="X155" s="6" t="s">
        <v>4269</v>
      </c>
      <c r="Y155" s="15">
        <v>1093</v>
      </c>
      <c r="Z155" s="204" t="s">
        <v>4271</v>
      </c>
      <c r="AA155" s="167"/>
      <c r="AB155" s="167"/>
      <c r="AC155" s="167" t="s">
        <v>3126</v>
      </c>
      <c r="AD155" s="245">
        <f>$K155/3</f>
        <v>14110333.333333334</v>
      </c>
      <c r="AE155" s="165" t="s">
        <v>155</v>
      </c>
      <c r="AF155" s="165"/>
      <c r="AG155" s="165"/>
      <c r="AH155" s="167"/>
      <c r="AI155" s="167"/>
      <c r="AJ155" s="167" t="s">
        <v>184</v>
      </c>
      <c r="AK155" s="245">
        <f>$K155/3</f>
        <v>14110333.333333334</v>
      </c>
      <c r="AL155" s="165" t="s">
        <v>166</v>
      </c>
      <c r="AM155" s="165"/>
      <c r="AN155" s="165"/>
      <c r="AO155" s="167"/>
      <c r="AP155" s="167"/>
      <c r="AQ155" s="167"/>
      <c r="AR155" s="249"/>
      <c r="AS155" s="167"/>
      <c r="AT155" s="167"/>
      <c r="AU155" s="167"/>
      <c r="AV155" s="167"/>
      <c r="AW155" s="167"/>
      <c r="AX155" s="167"/>
      <c r="AY155" s="249"/>
      <c r="AZ155" s="167"/>
      <c r="BA155" s="167"/>
      <c r="BB155" s="167"/>
      <c r="BC155" s="167"/>
      <c r="BD155" s="167"/>
      <c r="BE155" s="167"/>
      <c r="BF155" s="249"/>
      <c r="BG155" s="167"/>
      <c r="BH155" s="167"/>
      <c r="BI155" s="167"/>
      <c r="BJ155" s="167"/>
      <c r="BK155" s="167"/>
      <c r="BL155" s="167"/>
      <c r="BM155" s="249"/>
      <c r="BN155" s="167"/>
      <c r="BO155" s="167"/>
      <c r="BP155" s="167"/>
      <c r="BQ155" s="167">
        <v>9.11</v>
      </c>
      <c r="BR155" s="569" t="s">
        <v>3190</v>
      </c>
      <c r="BS155" s="163" t="s">
        <v>3191</v>
      </c>
      <c r="BT155" s="171"/>
      <c r="BU155" s="167"/>
      <c r="BV155" s="167"/>
      <c r="BW155" s="167"/>
      <c r="BX155" s="167"/>
      <c r="BY155" s="167"/>
      <c r="BZ155" s="167"/>
      <c r="CA155" s="167"/>
      <c r="CB155" s="167"/>
      <c r="CC155" s="167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  <c r="CO155" s="167"/>
      <c r="CP155" s="147"/>
      <c r="CQ155" s="147"/>
      <c r="CR155" s="147"/>
      <c r="CS155" s="147"/>
    </row>
    <row r="156" spans="1:97" ht="36">
      <c r="A156" s="135">
        <v>35</v>
      </c>
      <c r="B156" s="143"/>
      <c r="C156" s="165"/>
      <c r="D156" s="166" t="s">
        <v>5593</v>
      </c>
      <c r="E156" s="165" t="s">
        <v>5067</v>
      </c>
      <c r="F156" s="135">
        <v>2024</v>
      </c>
      <c r="G156" s="135">
        <v>2024</v>
      </c>
      <c r="H156" s="135"/>
      <c r="I156" s="165"/>
      <c r="J156" s="468">
        <v>40250000</v>
      </c>
      <c r="K156" s="468">
        <v>40250000</v>
      </c>
      <c r="L156" s="165" t="s">
        <v>4269</v>
      </c>
      <c r="M156" s="514"/>
      <c r="N156" s="7" t="s">
        <v>5591</v>
      </c>
      <c r="O156" s="166" t="s">
        <v>5592</v>
      </c>
      <c r="P156" s="135" t="s">
        <v>3215</v>
      </c>
      <c r="Q156" s="165" t="s">
        <v>4970</v>
      </c>
      <c r="R156" s="13">
        <v>259781</v>
      </c>
      <c r="S156" s="23" t="s">
        <v>26</v>
      </c>
      <c r="T156" s="16" t="s">
        <v>982</v>
      </c>
      <c r="U156" s="245">
        <f>$K156/3</f>
        <v>13416666.666666666</v>
      </c>
      <c r="V156" s="165" t="s">
        <v>169</v>
      </c>
      <c r="W156" s="6" t="s">
        <v>4449</v>
      </c>
      <c r="X156" s="6" t="s">
        <v>4269</v>
      </c>
      <c r="Y156" s="15">
        <v>1093</v>
      </c>
      <c r="Z156" s="204" t="s">
        <v>4271</v>
      </c>
      <c r="AA156" s="167"/>
      <c r="AB156" s="167"/>
      <c r="AC156" s="167" t="s">
        <v>4381</v>
      </c>
      <c r="AD156" s="245">
        <f>$K156/3</f>
        <v>13416666.666666666</v>
      </c>
      <c r="AE156" s="165" t="s">
        <v>169</v>
      </c>
      <c r="AF156" s="165"/>
      <c r="AG156" s="165"/>
      <c r="AH156" s="167"/>
      <c r="AI156" s="167"/>
      <c r="AJ156" s="167" t="s">
        <v>5594</v>
      </c>
      <c r="AK156" s="245">
        <f>$K156/3</f>
        <v>13416666.666666666</v>
      </c>
      <c r="AL156" s="532" t="s">
        <v>1852</v>
      </c>
      <c r="AM156" s="532"/>
      <c r="AN156" s="532"/>
      <c r="AO156" s="167"/>
      <c r="AP156" s="167"/>
      <c r="AQ156" s="167"/>
      <c r="AR156" s="249"/>
      <c r="AS156" s="167"/>
      <c r="AT156" s="167"/>
      <c r="AU156" s="167"/>
      <c r="AV156" s="167"/>
      <c r="AW156" s="167"/>
      <c r="AX156" s="167"/>
      <c r="AY156" s="249"/>
      <c r="AZ156" s="167"/>
      <c r="BA156" s="167"/>
      <c r="BB156" s="167"/>
      <c r="BC156" s="167"/>
      <c r="BD156" s="167"/>
      <c r="BE156" s="167"/>
      <c r="BF156" s="249"/>
      <c r="BG156" s="167"/>
      <c r="BH156" s="167"/>
      <c r="BI156" s="167"/>
      <c r="BJ156" s="167"/>
      <c r="BK156" s="167"/>
      <c r="BL156" s="167"/>
      <c r="BM156" s="249"/>
      <c r="BN156" s="167"/>
      <c r="BO156" s="167"/>
      <c r="BP156" s="167"/>
      <c r="BQ156" s="167">
        <v>8</v>
      </c>
      <c r="BR156" s="569" t="s">
        <v>3190</v>
      </c>
      <c r="BS156" s="163" t="s">
        <v>3191</v>
      </c>
      <c r="BT156" s="171"/>
      <c r="BU156" s="167"/>
      <c r="BV156" s="167"/>
      <c r="BW156" s="167"/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47"/>
      <c r="CQ156" s="147"/>
      <c r="CR156" s="147"/>
      <c r="CS156" s="147"/>
    </row>
    <row r="157" spans="1:97" ht="36">
      <c r="A157" s="8">
        <v>36</v>
      </c>
      <c r="B157" s="143"/>
      <c r="C157" s="165"/>
      <c r="D157" s="166" t="s">
        <v>5595</v>
      </c>
      <c r="E157" s="165" t="s">
        <v>5067</v>
      </c>
      <c r="F157" s="135">
        <v>2024</v>
      </c>
      <c r="G157" s="135">
        <v>2024</v>
      </c>
      <c r="H157" s="135"/>
      <c r="I157" s="165"/>
      <c r="J157" s="468">
        <v>45000000</v>
      </c>
      <c r="K157" s="468">
        <v>45000000</v>
      </c>
      <c r="L157" s="165" t="s">
        <v>4269</v>
      </c>
      <c r="M157" s="514"/>
      <c r="N157" s="7" t="s">
        <v>5591</v>
      </c>
      <c r="O157" s="166" t="s">
        <v>5592</v>
      </c>
      <c r="P157" s="135" t="s">
        <v>3215</v>
      </c>
      <c r="Q157" s="165" t="s">
        <v>4970</v>
      </c>
      <c r="R157" s="13">
        <v>6665306</v>
      </c>
      <c r="S157" s="23" t="s">
        <v>28</v>
      </c>
      <c r="T157" s="16" t="s">
        <v>1727</v>
      </c>
      <c r="U157" s="245">
        <f>$K157/3</f>
        <v>15000000</v>
      </c>
      <c r="V157" s="165" t="s">
        <v>166</v>
      </c>
      <c r="W157" s="6" t="s">
        <v>4282</v>
      </c>
      <c r="X157" s="6" t="s">
        <v>4269</v>
      </c>
      <c r="Y157" s="15">
        <v>1093</v>
      </c>
      <c r="Z157" s="204" t="s">
        <v>4271</v>
      </c>
      <c r="AA157" s="167"/>
      <c r="AB157" s="167"/>
      <c r="AC157" s="167" t="s">
        <v>4524</v>
      </c>
      <c r="AD157" s="245">
        <f>$K157/3</f>
        <v>15000000</v>
      </c>
      <c r="AE157" s="165" t="s">
        <v>166</v>
      </c>
      <c r="AF157" s="165"/>
      <c r="AG157" s="165"/>
      <c r="AH157" s="167"/>
      <c r="AI157" s="167"/>
      <c r="AJ157" s="167"/>
      <c r="AK157" s="245">
        <f>$K157/3</f>
        <v>15000000</v>
      </c>
      <c r="AL157" s="165"/>
      <c r="AM157" s="165"/>
      <c r="AN157" s="165"/>
      <c r="AO157" s="167"/>
      <c r="AP157" s="167"/>
      <c r="AQ157" s="167"/>
      <c r="AR157" s="249"/>
      <c r="AS157" s="167"/>
      <c r="AT157" s="167"/>
      <c r="AU157" s="167"/>
      <c r="AV157" s="167"/>
      <c r="AW157" s="167"/>
      <c r="AX157" s="167"/>
      <c r="AY157" s="249"/>
      <c r="AZ157" s="167"/>
      <c r="BA157" s="167"/>
      <c r="BB157" s="167"/>
      <c r="BC157" s="167"/>
      <c r="BD157" s="167"/>
      <c r="BE157" s="167"/>
      <c r="BF157" s="249"/>
      <c r="BG157" s="167"/>
      <c r="BH157" s="167"/>
      <c r="BI157" s="167"/>
      <c r="BJ157" s="167"/>
      <c r="BK157" s="167"/>
      <c r="BL157" s="167"/>
      <c r="BM157" s="249"/>
      <c r="BN157" s="167"/>
      <c r="BO157" s="167"/>
      <c r="BP157" s="167"/>
      <c r="BQ157" s="167">
        <v>2.8</v>
      </c>
      <c r="BR157" s="569" t="s">
        <v>3190</v>
      </c>
      <c r="BS157" s="163" t="s">
        <v>3191</v>
      </c>
      <c r="BT157" s="171"/>
      <c r="BU157" s="167"/>
      <c r="BV157" s="16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47"/>
      <c r="CQ157" s="147"/>
      <c r="CR157" s="147"/>
      <c r="CS157" s="147"/>
    </row>
    <row r="158" spans="1:97" ht="36">
      <c r="A158" s="8">
        <v>37</v>
      </c>
      <c r="B158" s="143"/>
      <c r="C158" s="143" t="s">
        <v>5596</v>
      </c>
      <c r="D158" s="166" t="s">
        <v>5597</v>
      </c>
      <c r="E158" s="165" t="s">
        <v>215</v>
      </c>
      <c r="F158" s="135">
        <v>2024</v>
      </c>
      <c r="G158" s="135">
        <v>2024</v>
      </c>
      <c r="H158" s="135"/>
      <c r="I158" s="165" t="s">
        <v>5524</v>
      </c>
      <c r="J158" s="465">
        <v>4920000</v>
      </c>
      <c r="K158" s="465">
        <v>4920000</v>
      </c>
      <c r="L158" s="165" t="s">
        <v>4269</v>
      </c>
      <c r="M158" s="514">
        <v>2</v>
      </c>
      <c r="N158" s="7" t="s">
        <v>5290</v>
      </c>
      <c r="O158" s="9" t="s">
        <v>3223</v>
      </c>
      <c r="P158" s="135" t="s">
        <v>3215</v>
      </c>
      <c r="Q158" s="15" t="s">
        <v>4951</v>
      </c>
      <c r="R158" s="516" t="s">
        <v>5598</v>
      </c>
      <c r="S158" s="171" t="s">
        <v>4666</v>
      </c>
      <c r="T158" s="515" t="s">
        <v>2343</v>
      </c>
      <c r="U158" s="245">
        <f>$K158/3</f>
        <v>1640000</v>
      </c>
      <c r="V158" s="165" t="s">
        <v>166</v>
      </c>
      <c r="W158" s="6" t="s">
        <v>4282</v>
      </c>
      <c r="X158" s="6" t="s">
        <v>4269</v>
      </c>
      <c r="Y158" s="15">
        <v>1093</v>
      </c>
      <c r="Z158" s="204" t="s">
        <v>4271</v>
      </c>
      <c r="AA158" s="516">
        <v>6832969</v>
      </c>
      <c r="AB158" s="517" t="s">
        <v>2901</v>
      </c>
      <c r="AC158" s="167" t="s">
        <v>5547</v>
      </c>
      <c r="AD158" s="245">
        <f>$K158/3</f>
        <v>1640000</v>
      </c>
      <c r="AE158" s="165" t="s">
        <v>166</v>
      </c>
      <c r="AF158" s="165" t="s">
        <v>4282</v>
      </c>
      <c r="AG158" s="165" t="s">
        <v>4269</v>
      </c>
      <c r="AH158" s="516" t="s">
        <v>3954</v>
      </c>
      <c r="AI158" s="517" t="s">
        <v>2010</v>
      </c>
      <c r="AJ158" s="167" t="s">
        <v>3114</v>
      </c>
      <c r="AK158" s="245">
        <f>$K158/3</f>
        <v>1640000</v>
      </c>
      <c r="AL158" s="165" t="s">
        <v>166</v>
      </c>
      <c r="AM158" s="165" t="s">
        <v>4282</v>
      </c>
      <c r="AN158" s="165" t="s">
        <v>4269</v>
      </c>
      <c r="AO158" s="167"/>
      <c r="AP158" s="167"/>
      <c r="AQ158" s="167"/>
      <c r="AR158" s="249"/>
      <c r="AS158" s="167"/>
      <c r="AT158" s="167"/>
      <c r="AU158" s="167"/>
      <c r="AV158" s="167"/>
      <c r="AW158" s="167"/>
      <c r="AX158" s="167"/>
      <c r="AY158" s="249"/>
      <c r="AZ158" s="167"/>
      <c r="BA158" s="167"/>
      <c r="BB158" s="167"/>
      <c r="BC158" s="167"/>
      <c r="BD158" s="167"/>
      <c r="BE158" s="167"/>
      <c r="BF158" s="249"/>
      <c r="BG158" s="167"/>
      <c r="BH158" s="167"/>
      <c r="BI158" s="167"/>
      <c r="BJ158" s="167"/>
      <c r="BK158" s="167"/>
      <c r="BL158" s="167"/>
      <c r="BM158" s="249"/>
      <c r="BN158" s="167"/>
      <c r="BO158" s="167"/>
      <c r="BP158" s="167"/>
      <c r="BQ158" s="167">
        <v>2</v>
      </c>
      <c r="BR158" s="160" t="s">
        <v>3190</v>
      </c>
      <c r="BS158" s="160" t="s">
        <v>3191</v>
      </c>
      <c r="BT158" s="171"/>
      <c r="BU158" s="167"/>
      <c r="BV158" s="16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47"/>
      <c r="CQ158" s="147"/>
      <c r="CR158" s="147"/>
      <c r="CS158" s="147"/>
    </row>
    <row r="159" spans="1:97" ht="36">
      <c r="A159" s="135">
        <v>38</v>
      </c>
      <c r="B159" s="143"/>
      <c r="C159" s="143" t="s">
        <v>5599</v>
      </c>
      <c r="D159" s="166" t="s">
        <v>3076</v>
      </c>
      <c r="E159" s="165" t="s">
        <v>217</v>
      </c>
      <c r="F159" s="135">
        <v>2024</v>
      </c>
      <c r="G159" s="135">
        <v>2024</v>
      </c>
      <c r="H159" s="135"/>
      <c r="I159" s="165" t="s">
        <v>5524</v>
      </c>
      <c r="J159" s="465">
        <v>10000000</v>
      </c>
      <c r="K159" s="465">
        <v>10000000</v>
      </c>
      <c r="L159" s="165" t="s">
        <v>4269</v>
      </c>
      <c r="M159" s="514">
        <v>4</v>
      </c>
      <c r="N159" s="7" t="s">
        <v>5290</v>
      </c>
      <c r="O159" s="9" t="s">
        <v>3223</v>
      </c>
      <c r="P159" s="135" t="s">
        <v>3215</v>
      </c>
      <c r="Q159" s="15" t="s">
        <v>4951</v>
      </c>
      <c r="R159" s="516" t="s">
        <v>3980</v>
      </c>
      <c r="S159" s="171" t="s">
        <v>4383</v>
      </c>
      <c r="T159" s="515" t="s">
        <v>2698</v>
      </c>
      <c r="U159" s="245">
        <f>$K159/2</f>
        <v>5000000</v>
      </c>
      <c r="V159" s="165" t="s">
        <v>166</v>
      </c>
      <c r="W159" s="6" t="s">
        <v>4282</v>
      </c>
      <c r="X159" s="6" t="s">
        <v>4269</v>
      </c>
      <c r="Y159" s="15">
        <v>1093</v>
      </c>
      <c r="Z159" s="204" t="s">
        <v>4271</v>
      </c>
      <c r="AA159" s="516" t="s">
        <v>4199</v>
      </c>
      <c r="AB159" s="517" t="s">
        <v>978</v>
      </c>
      <c r="AC159" s="167" t="s">
        <v>119</v>
      </c>
      <c r="AD159" s="245">
        <f>$K159/2</f>
        <v>5000000</v>
      </c>
      <c r="AE159" s="165" t="s">
        <v>166</v>
      </c>
      <c r="AF159" s="165" t="s">
        <v>4282</v>
      </c>
      <c r="AG159" s="165" t="s">
        <v>4269</v>
      </c>
      <c r="AH159" s="516"/>
      <c r="AI159" s="516"/>
      <c r="AJ159" s="167"/>
      <c r="AK159" s="245"/>
      <c r="AL159" s="165"/>
      <c r="AM159" s="165"/>
      <c r="AN159" s="165"/>
      <c r="AO159" s="167"/>
      <c r="AP159" s="167"/>
      <c r="AQ159" s="167"/>
      <c r="AR159" s="249"/>
      <c r="AS159" s="167"/>
      <c r="AT159" s="167"/>
      <c r="AU159" s="167"/>
      <c r="AV159" s="167"/>
      <c r="AW159" s="167"/>
      <c r="AX159" s="167"/>
      <c r="AY159" s="249"/>
      <c r="AZ159" s="167"/>
      <c r="BA159" s="167"/>
      <c r="BB159" s="167"/>
      <c r="BC159" s="167"/>
      <c r="BD159" s="167"/>
      <c r="BE159" s="167"/>
      <c r="BF159" s="249"/>
      <c r="BG159" s="167"/>
      <c r="BH159" s="167"/>
      <c r="BI159" s="167"/>
      <c r="BJ159" s="167"/>
      <c r="BK159" s="167"/>
      <c r="BL159" s="167"/>
      <c r="BM159" s="249"/>
      <c r="BN159" s="167"/>
      <c r="BO159" s="167"/>
      <c r="BP159" s="167"/>
      <c r="BQ159" s="167">
        <v>4</v>
      </c>
      <c r="BR159" s="160" t="s">
        <v>3190</v>
      </c>
      <c r="BS159" s="160" t="s">
        <v>3191</v>
      </c>
      <c r="BT159" s="171"/>
      <c r="BU159" s="167"/>
      <c r="BV159" s="167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47"/>
      <c r="CQ159" s="147"/>
      <c r="CR159" s="147"/>
      <c r="CS159" s="147"/>
    </row>
    <row r="160" spans="1:97" ht="24">
      <c r="A160" s="8">
        <v>39</v>
      </c>
      <c r="B160" s="143"/>
      <c r="C160" s="143" t="s">
        <v>5600</v>
      </c>
      <c r="D160" s="166" t="s">
        <v>5601</v>
      </c>
      <c r="E160" s="165" t="s">
        <v>217</v>
      </c>
      <c r="F160" s="135">
        <v>2024</v>
      </c>
      <c r="G160" s="135">
        <v>2024</v>
      </c>
      <c r="H160" s="135"/>
      <c r="I160" s="165" t="s">
        <v>5517</v>
      </c>
      <c r="J160" s="465">
        <v>10000000</v>
      </c>
      <c r="K160" s="465">
        <v>10000000</v>
      </c>
      <c r="L160" s="165" t="s">
        <v>4269</v>
      </c>
      <c r="M160" s="514">
        <v>3</v>
      </c>
      <c r="N160" s="7" t="s">
        <v>5290</v>
      </c>
      <c r="O160" s="9" t="s">
        <v>3223</v>
      </c>
      <c r="P160" s="135" t="s">
        <v>3215</v>
      </c>
      <c r="Q160" s="15" t="s">
        <v>4951</v>
      </c>
      <c r="R160" s="516" t="s">
        <v>3924</v>
      </c>
      <c r="S160" s="171" t="s">
        <v>142</v>
      </c>
      <c r="T160" s="515" t="s">
        <v>2672</v>
      </c>
      <c r="U160" s="245">
        <f>$K160/4</f>
        <v>2500000</v>
      </c>
      <c r="V160" s="165" t="s">
        <v>171</v>
      </c>
      <c r="W160" s="6" t="s">
        <v>4272</v>
      </c>
      <c r="X160" s="6" t="s">
        <v>4269</v>
      </c>
      <c r="Y160" s="15">
        <v>1093</v>
      </c>
      <c r="Z160" s="204" t="s">
        <v>4271</v>
      </c>
      <c r="AA160" s="516" t="s">
        <v>5602</v>
      </c>
      <c r="AB160" s="517" t="s">
        <v>2671</v>
      </c>
      <c r="AC160" s="167" t="s">
        <v>4661</v>
      </c>
      <c r="AD160" s="245">
        <f>$K160/4</f>
        <v>2500000</v>
      </c>
      <c r="AE160" s="165" t="s">
        <v>171</v>
      </c>
      <c r="AF160" s="6" t="s">
        <v>4272</v>
      </c>
      <c r="AG160" s="6" t="s">
        <v>4269</v>
      </c>
      <c r="AH160" s="516" t="s">
        <v>5603</v>
      </c>
      <c r="AI160" s="517" t="s">
        <v>2700</v>
      </c>
      <c r="AJ160" s="167" t="s">
        <v>4363</v>
      </c>
      <c r="AK160" s="245">
        <f>$K160/4</f>
        <v>2500000</v>
      </c>
      <c r="AL160" s="165" t="s">
        <v>171</v>
      </c>
      <c r="AM160" s="6" t="s">
        <v>4272</v>
      </c>
      <c r="AN160" s="6" t="s">
        <v>4269</v>
      </c>
      <c r="AO160" s="167">
        <v>6767777</v>
      </c>
      <c r="AP160" s="167">
        <v>713059501</v>
      </c>
      <c r="AQ160" s="167" t="s">
        <v>3116</v>
      </c>
      <c r="AR160" s="245">
        <f>$K160/4</f>
        <v>2500000</v>
      </c>
      <c r="AS160" s="165" t="s">
        <v>171</v>
      </c>
      <c r="AT160" s="6" t="s">
        <v>4272</v>
      </c>
      <c r="AU160" s="6" t="s">
        <v>4269</v>
      </c>
      <c r="AV160" s="167"/>
      <c r="AW160" s="167"/>
      <c r="AX160" s="167"/>
      <c r="AY160" s="249"/>
      <c r="AZ160" s="167"/>
      <c r="BA160" s="167"/>
      <c r="BB160" s="167"/>
      <c r="BC160" s="167"/>
      <c r="BD160" s="167"/>
      <c r="BE160" s="167"/>
      <c r="BF160" s="249"/>
      <c r="BG160" s="167"/>
      <c r="BH160" s="167"/>
      <c r="BI160" s="167"/>
      <c r="BJ160" s="167"/>
      <c r="BK160" s="167"/>
      <c r="BL160" s="167"/>
      <c r="BM160" s="249"/>
      <c r="BN160" s="167"/>
      <c r="BO160" s="167"/>
      <c r="BP160" s="167"/>
      <c r="BQ160" s="167">
        <v>3</v>
      </c>
      <c r="BR160" s="160" t="s">
        <v>3190</v>
      </c>
      <c r="BS160" s="160" t="s">
        <v>3191</v>
      </c>
      <c r="BT160" s="171"/>
      <c r="BU160" s="167"/>
      <c r="BV160" s="167"/>
      <c r="BW160" s="167"/>
      <c r="BX160" s="167"/>
      <c r="BY160" s="167"/>
      <c r="BZ160" s="167"/>
      <c r="CA160" s="167"/>
      <c r="CB160" s="167"/>
      <c r="CC160" s="167"/>
      <c r="CD160" s="167"/>
      <c r="CE160" s="167"/>
      <c r="CF160" s="167"/>
      <c r="CG160" s="167"/>
      <c r="CH160" s="167"/>
      <c r="CI160" s="167"/>
      <c r="CJ160" s="167"/>
      <c r="CK160" s="167"/>
      <c r="CL160" s="167"/>
      <c r="CM160" s="167"/>
      <c r="CN160" s="167"/>
      <c r="CO160" s="167"/>
      <c r="CP160" s="147"/>
      <c r="CQ160" s="147"/>
      <c r="CR160" s="147"/>
      <c r="CS160" s="147"/>
    </row>
    <row r="161" spans="1:97" ht="24">
      <c r="A161" s="8">
        <v>40</v>
      </c>
      <c r="B161" s="143"/>
      <c r="C161" s="143" t="s">
        <v>5604</v>
      </c>
      <c r="D161" s="166" t="s">
        <v>5605</v>
      </c>
      <c r="E161" s="165" t="s">
        <v>217</v>
      </c>
      <c r="F161" s="135">
        <v>2024</v>
      </c>
      <c r="G161" s="135">
        <v>2024</v>
      </c>
      <c r="H161" s="135"/>
      <c r="I161" s="165" t="s">
        <v>5524</v>
      </c>
      <c r="J161" s="465">
        <v>9500000</v>
      </c>
      <c r="K161" s="465">
        <v>9500000</v>
      </c>
      <c r="L161" s="165" t="s">
        <v>4269</v>
      </c>
      <c r="M161" s="514">
        <v>2</v>
      </c>
      <c r="N161" s="7" t="s">
        <v>5290</v>
      </c>
      <c r="O161" s="9" t="s">
        <v>3223</v>
      </c>
      <c r="P161" s="135" t="s">
        <v>3215</v>
      </c>
      <c r="Q161" s="15" t="s">
        <v>4951</v>
      </c>
      <c r="R161" s="516" t="s">
        <v>5606</v>
      </c>
      <c r="S161" s="171" t="s">
        <v>3119</v>
      </c>
      <c r="T161" s="515" t="s">
        <v>979</v>
      </c>
      <c r="U161" s="245">
        <f>$K161/3</f>
        <v>3166666.6666666665</v>
      </c>
      <c r="V161" s="165" t="s">
        <v>171</v>
      </c>
      <c r="W161" s="6" t="s">
        <v>4272</v>
      </c>
      <c r="X161" s="6" t="s">
        <v>4269</v>
      </c>
      <c r="Y161" s="15">
        <v>1093</v>
      </c>
      <c r="Z161" s="204" t="s">
        <v>4271</v>
      </c>
      <c r="AA161" s="516" t="s">
        <v>5607</v>
      </c>
      <c r="AB161" s="517" t="s">
        <v>1008</v>
      </c>
      <c r="AC161" s="167" t="s">
        <v>3120</v>
      </c>
      <c r="AD161" s="245">
        <f>$K161/3</f>
        <v>3166666.6666666665</v>
      </c>
      <c r="AE161" s="165" t="s">
        <v>171</v>
      </c>
      <c r="AF161" s="6" t="s">
        <v>4272</v>
      </c>
      <c r="AG161" s="6" t="s">
        <v>4269</v>
      </c>
      <c r="AH161" s="516" t="s">
        <v>5608</v>
      </c>
      <c r="AI161" s="517" t="s">
        <v>2044</v>
      </c>
      <c r="AJ161" s="167" t="s">
        <v>4727</v>
      </c>
      <c r="AK161" s="245">
        <f>$K161/3</f>
        <v>3166666.6666666665</v>
      </c>
      <c r="AL161" s="165" t="s">
        <v>171</v>
      </c>
      <c r="AM161" s="6" t="s">
        <v>4272</v>
      </c>
      <c r="AN161" s="6" t="s">
        <v>4269</v>
      </c>
      <c r="AO161" s="167"/>
      <c r="AP161" s="167"/>
      <c r="AQ161" s="167"/>
      <c r="AR161" s="249"/>
      <c r="AS161" s="167"/>
      <c r="AT161" s="167"/>
      <c r="AU161" s="167"/>
      <c r="AV161" s="167"/>
      <c r="AW161" s="167"/>
      <c r="AX161" s="167"/>
      <c r="AY161" s="249"/>
      <c r="AZ161" s="167"/>
      <c r="BA161" s="167"/>
      <c r="BB161" s="167"/>
      <c r="BC161" s="167"/>
      <c r="BD161" s="167"/>
      <c r="BE161" s="167"/>
      <c r="BF161" s="249"/>
      <c r="BG161" s="167"/>
      <c r="BH161" s="167"/>
      <c r="BI161" s="167"/>
      <c r="BJ161" s="167"/>
      <c r="BK161" s="167"/>
      <c r="BL161" s="167"/>
      <c r="BM161" s="249"/>
      <c r="BN161" s="167"/>
      <c r="BO161" s="167"/>
      <c r="BP161" s="167"/>
      <c r="BQ161" s="167">
        <v>2</v>
      </c>
      <c r="BR161" s="160" t="s">
        <v>3190</v>
      </c>
      <c r="BS161" s="160" t="s">
        <v>3191</v>
      </c>
      <c r="BT161" s="171"/>
      <c r="BU161" s="167"/>
      <c r="BV161" s="167"/>
      <c r="BW161" s="167"/>
      <c r="BX161" s="167"/>
      <c r="BY161" s="167"/>
      <c r="BZ161" s="167"/>
      <c r="CA161" s="167"/>
      <c r="CB161" s="167"/>
      <c r="CC161" s="167"/>
      <c r="CD161" s="167"/>
      <c r="CE161" s="167"/>
      <c r="CF161" s="167"/>
      <c r="CG161" s="167"/>
      <c r="CH161" s="167"/>
      <c r="CI161" s="167"/>
      <c r="CJ161" s="167"/>
      <c r="CK161" s="167"/>
      <c r="CL161" s="167"/>
      <c r="CM161" s="167"/>
      <c r="CN161" s="167"/>
      <c r="CO161" s="167"/>
      <c r="CP161" s="147"/>
      <c r="CQ161" s="147"/>
      <c r="CR161" s="147"/>
      <c r="CS161" s="147"/>
    </row>
    <row r="162" spans="1:97" ht="24">
      <c r="A162" s="135">
        <v>41</v>
      </c>
      <c r="B162" s="143"/>
      <c r="C162" s="143" t="s">
        <v>5609</v>
      </c>
      <c r="D162" s="166" t="s">
        <v>5610</v>
      </c>
      <c r="E162" s="165" t="s">
        <v>217</v>
      </c>
      <c r="F162" s="135">
        <v>2024</v>
      </c>
      <c r="G162" s="135">
        <v>2024</v>
      </c>
      <c r="H162" s="135"/>
      <c r="I162" s="165" t="s">
        <v>5536</v>
      </c>
      <c r="J162" s="465">
        <v>9964000</v>
      </c>
      <c r="K162" s="465">
        <v>9964000</v>
      </c>
      <c r="L162" s="165" t="s">
        <v>4269</v>
      </c>
      <c r="M162" s="514">
        <v>4</v>
      </c>
      <c r="N162" s="7" t="s">
        <v>5290</v>
      </c>
      <c r="O162" s="9" t="s">
        <v>3223</v>
      </c>
      <c r="P162" s="135" t="s">
        <v>3215</v>
      </c>
      <c r="Q162" s="15" t="s">
        <v>4951</v>
      </c>
      <c r="R162" s="516" t="s">
        <v>5611</v>
      </c>
      <c r="S162" s="171" t="s">
        <v>3112</v>
      </c>
      <c r="T162" s="515" t="s">
        <v>1770</v>
      </c>
      <c r="U162" s="245">
        <f>$K162/3</f>
        <v>3321333.3333333335</v>
      </c>
      <c r="V162" s="165" t="s">
        <v>155</v>
      </c>
      <c r="W162" s="6" t="s">
        <v>3224</v>
      </c>
      <c r="X162" s="6" t="s">
        <v>4269</v>
      </c>
      <c r="Y162" s="15">
        <v>1093</v>
      </c>
      <c r="Z162" s="204" t="s">
        <v>4271</v>
      </c>
      <c r="AA162" s="516" t="s">
        <v>5612</v>
      </c>
      <c r="AB162" s="517" t="s">
        <v>5613</v>
      </c>
      <c r="AC162" s="167" t="s">
        <v>3113</v>
      </c>
      <c r="AD162" s="245">
        <f>$K162/3</f>
        <v>3321333.3333333335</v>
      </c>
      <c r="AE162" s="165" t="s">
        <v>151</v>
      </c>
      <c r="AF162" s="6" t="s">
        <v>3224</v>
      </c>
      <c r="AG162" s="6" t="s">
        <v>4269</v>
      </c>
      <c r="AH162" s="516" t="s">
        <v>4029</v>
      </c>
      <c r="AI162" s="517" t="s">
        <v>3504</v>
      </c>
      <c r="AJ162" s="167" t="s">
        <v>5614</v>
      </c>
      <c r="AK162" s="245">
        <f>$K162/3</f>
        <v>3321333.3333333335</v>
      </c>
      <c r="AL162" s="165" t="s">
        <v>155</v>
      </c>
      <c r="AM162" s="6" t="s">
        <v>3224</v>
      </c>
      <c r="AN162" s="6" t="s">
        <v>4269</v>
      </c>
      <c r="AO162" s="167"/>
      <c r="AP162" s="167"/>
      <c r="AQ162" s="167"/>
      <c r="AR162" s="249"/>
      <c r="AS162" s="167"/>
      <c r="AT162" s="167"/>
      <c r="AU162" s="167"/>
      <c r="AV162" s="167"/>
      <c r="AW162" s="167"/>
      <c r="AX162" s="167"/>
      <c r="AY162" s="249"/>
      <c r="AZ162" s="167"/>
      <c r="BA162" s="167"/>
      <c r="BB162" s="167"/>
      <c r="BC162" s="167"/>
      <c r="BD162" s="167"/>
      <c r="BE162" s="167"/>
      <c r="BF162" s="249"/>
      <c r="BG162" s="167"/>
      <c r="BH162" s="167"/>
      <c r="BI162" s="167"/>
      <c r="BJ162" s="167"/>
      <c r="BK162" s="167"/>
      <c r="BL162" s="167"/>
      <c r="BM162" s="249"/>
      <c r="BN162" s="167"/>
      <c r="BO162" s="167"/>
      <c r="BP162" s="167"/>
      <c r="BQ162" s="167">
        <v>4</v>
      </c>
      <c r="BR162" s="160" t="s">
        <v>3190</v>
      </c>
      <c r="BS162" s="160" t="s">
        <v>3191</v>
      </c>
      <c r="BT162" s="171"/>
      <c r="BU162" s="167"/>
      <c r="BV162" s="167"/>
      <c r="BW162" s="167"/>
      <c r="BX162" s="167"/>
      <c r="BY162" s="167"/>
      <c r="BZ162" s="167"/>
      <c r="CA162" s="167"/>
      <c r="CB162" s="167"/>
      <c r="CC162" s="167"/>
      <c r="CD162" s="167"/>
      <c r="CE162" s="167"/>
      <c r="CF162" s="167"/>
      <c r="CG162" s="167"/>
      <c r="CH162" s="167"/>
      <c r="CI162" s="167"/>
      <c r="CJ162" s="167"/>
      <c r="CK162" s="167"/>
      <c r="CL162" s="167"/>
      <c r="CM162" s="167"/>
      <c r="CN162" s="167"/>
      <c r="CO162" s="167"/>
      <c r="CP162" s="147"/>
      <c r="CQ162" s="147"/>
      <c r="CR162" s="147"/>
      <c r="CS162" s="147"/>
    </row>
    <row r="163" spans="1:97" ht="36">
      <c r="A163" s="8">
        <v>42</v>
      </c>
      <c r="B163" s="143"/>
      <c r="C163" s="143" t="s">
        <v>5615</v>
      </c>
      <c r="D163" s="166" t="s">
        <v>5616</v>
      </c>
      <c r="E163" s="165" t="s">
        <v>217</v>
      </c>
      <c r="F163" s="135">
        <v>2024</v>
      </c>
      <c r="G163" s="135">
        <v>2024</v>
      </c>
      <c r="H163" s="135"/>
      <c r="I163" s="165" t="s">
        <v>5524</v>
      </c>
      <c r="J163" s="465">
        <v>10000000</v>
      </c>
      <c r="K163" s="465">
        <v>10000000</v>
      </c>
      <c r="L163" s="165" t="s">
        <v>4269</v>
      </c>
      <c r="M163" s="514">
        <v>3</v>
      </c>
      <c r="N163" s="7" t="s">
        <v>5290</v>
      </c>
      <c r="O163" s="9" t="s">
        <v>3223</v>
      </c>
      <c r="P163" s="135" t="s">
        <v>3215</v>
      </c>
      <c r="Q163" s="15" t="s">
        <v>4951</v>
      </c>
      <c r="R163" s="516" t="s">
        <v>5617</v>
      </c>
      <c r="S163" s="171" t="s">
        <v>5618</v>
      </c>
      <c r="T163" s="515" t="s">
        <v>2471</v>
      </c>
      <c r="U163" s="245">
        <f>$K163/3</f>
        <v>3333333.3333333335</v>
      </c>
      <c r="V163" s="165" t="s">
        <v>154</v>
      </c>
      <c r="W163" s="6" t="s">
        <v>3224</v>
      </c>
      <c r="X163" s="6" t="s">
        <v>4269</v>
      </c>
      <c r="Y163" s="15">
        <v>1093</v>
      </c>
      <c r="Z163" s="204" t="s">
        <v>4271</v>
      </c>
      <c r="AA163" s="516" t="s">
        <v>5619</v>
      </c>
      <c r="AB163" s="517" t="s">
        <v>1782</v>
      </c>
      <c r="AC163" s="167" t="s">
        <v>4911</v>
      </c>
      <c r="AD163" s="245">
        <f>$K163/3</f>
        <v>3333333.3333333335</v>
      </c>
      <c r="AE163" s="165" t="s">
        <v>154</v>
      </c>
      <c r="AF163" s="6" t="s">
        <v>3224</v>
      </c>
      <c r="AG163" s="6" t="s">
        <v>4269</v>
      </c>
      <c r="AH163" s="516" t="s">
        <v>5620</v>
      </c>
      <c r="AI163" s="517" t="s">
        <v>3020</v>
      </c>
      <c r="AJ163" s="167" t="s">
        <v>4822</v>
      </c>
      <c r="AK163" s="245">
        <f>$K163/3</f>
        <v>3333333.3333333335</v>
      </c>
      <c r="AL163" s="165" t="s">
        <v>154</v>
      </c>
      <c r="AM163" s="6" t="s">
        <v>3224</v>
      </c>
      <c r="AN163" s="6" t="s">
        <v>4269</v>
      </c>
      <c r="AO163" s="167"/>
      <c r="AP163" s="167"/>
      <c r="AQ163" s="167"/>
      <c r="AR163" s="249"/>
      <c r="AS163" s="167"/>
      <c r="AT163" s="167"/>
      <c r="AU163" s="167"/>
      <c r="AV163" s="167"/>
      <c r="AW163" s="167"/>
      <c r="AX163" s="167"/>
      <c r="AY163" s="249"/>
      <c r="AZ163" s="167"/>
      <c r="BA163" s="167"/>
      <c r="BB163" s="167"/>
      <c r="BC163" s="167"/>
      <c r="BD163" s="167"/>
      <c r="BE163" s="167"/>
      <c r="BF163" s="249"/>
      <c r="BG163" s="167"/>
      <c r="BH163" s="167"/>
      <c r="BI163" s="167"/>
      <c r="BJ163" s="167"/>
      <c r="BK163" s="167"/>
      <c r="BL163" s="167"/>
      <c r="BM163" s="249"/>
      <c r="BN163" s="167"/>
      <c r="BO163" s="167"/>
      <c r="BP163" s="167"/>
      <c r="BQ163" s="167">
        <v>9</v>
      </c>
      <c r="BR163" s="160" t="s">
        <v>3190</v>
      </c>
      <c r="BS163" s="160" t="s">
        <v>3191</v>
      </c>
      <c r="BT163" s="171"/>
      <c r="BU163" s="167"/>
      <c r="BV163" s="167"/>
      <c r="BW163" s="167"/>
      <c r="BX163" s="167"/>
      <c r="BY163" s="167"/>
      <c r="BZ163" s="167"/>
      <c r="CA163" s="167"/>
      <c r="CB163" s="167"/>
      <c r="CC163" s="167"/>
      <c r="CD163" s="167"/>
      <c r="CE163" s="167"/>
      <c r="CF163" s="167"/>
      <c r="CG163" s="167"/>
      <c r="CH163" s="167"/>
      <c r="CI163" s="167"/>
      <c r="CJ163" s="167"/>
      <c r="CK163" s="167"/>
      <c r="CL163" s="167"/>
      <c r="CM163" s="167"/>
      <c r="CN163" s="167"/>
      <c r="CO163" s="167"/>
      <c r="CP163" s="147"/>
      <c r="CQ163" s="147"/>
      <c r="CR163" s="147"/>
      <c r="CS163" s="147"/>
    </row>
    <row r="164" spans="1:97" s="314" customFormat="1">
      <c r="A164" s="309"/>
      <c r="B164" s="155"/>
      <c r="C164" s="311"/>
      <c r="D164" s="570"/>
      <c r="E164" s="311"/>
      <c r="F164" s="310"/>
      <c r="G164" s="310"/>
      <c r="H164" s="310"/>
      <c r="I164" s="311"/>
      <c r="J164" s="571"/>
      <c r="K164" s="571"/>
      <c r="L164" s="311"/>
      <c r="M164" s="310"/>
      <c r="N164" s="311"/>
      <c r="O164" s="9" t="s">
        <v>3223</v>
      </c>
      <c r="P164" s="310"/>
      <c r="Q164" s="310"/>
      <c r="R164" s="572"/>
      <c r="S164" s="573"/>
      <c r="T164" s="310"/>
      <c r="U164" s="575"/>
      <c r="V164" s="311"/>
      <c r="W164" s="153"/>
      <c r="X164" s="153"/>
      <c r="Y164" s="310"/>
      <c r="Z164" s="310"/>
      <c r="AA164" s="572"/>
      <c r="AB164" s="572"/>
      <c r="AC164" s="572"/>
      <c r="AD164" s="577"/>
      <c r="AE164" s="311"/>
      <c r="AF164" s="311"/>
      <c r="AG164" s="311"/>
      <c r="AH164" s="572"/>
      <c r="AI164" s="572"/>
      <c r="AJ164" s="572"/>
      <c r="AK164" s="577"/>
      <c r="AL164" s="311"/>
      <c r="AM164" s="311"/>
      <c r="AN164" s="311"/>
      <c r="AO164" s="572"/>
      <c r="AP164" s="572"/>
      <c r="AQ164" s="572"/>
      <c r="AR164" s="572"/>
      <c r="AS164" s="572"/>
      <c r="AT164" s="572"/>
      <c r="AU164" s="572"/>
      <c r="AV164" s="572"/>
      <c r="AW164" s="572"/>
      <c r="AX164" s="572"/>
      <c r="AY164" s="572"/>
      <c r="AZ164" s="572"/>
      <c r="BA164" s="572"/>
      <c r="BB164" s="572"/>
      <c r="BC164" s="572"/>
      <c r="BD164" s="572"/>
      <c r="BE164" s="572"/>
      <c r="BF164" s="572"/>
      <c r="BG164" s="572"/>
      <c r="BH164" s="572"/>
      <c r="BI164" s="572"/>
      <c r="BJ164" s="572"/>
      <c r="BK164" s="572"/>
      <c r="BL164" s="572"/>
      <c r="BM164" s="572"/>
      <c r="BN164" s="572"/>
      <c r="BO164" s="572"/>
      <c r="BP164" s="572"/>
      <c r="BQ164" s="572"/>
      <c r="BR164" s="578"/>
      <c r="BS164" s="309"/>
      <c r="BT164" s="573"/>
      <c r="BU164" s="572"/>
      <c r="BV164" s="572"/>
      <c r="BW164" s="572"/>
      <c r="BX164" s="572"/>
      <c r="BY164" s="572"/>
      <c r="BZ164" s="572"/>
      <c r="CA164" s="572"/>
      <c r="CB164" s="572"/>
      <c r="CC164" s="572"/>
      <c r="CD164" s="572"/>
      <c r="CE164" s="572"/>
      <c r="CF164" s="572"/>
      <c r="CG164" s="572"/>
      <c r="CH164" s="572"/>
      <c r="CI164" s="572"/>
      <c r="CJ164" s="572"/>
      <c r="CK164" s="572"/>
      <c r="CL164" s="572"/>
      <c r="CM164" s="572"/>
      <c r="CN164" s="572"/>
      <c r="CO164" s="572"/>
      <c r="CP164" s="579"/>
      <c r="CQ164" s="579"/>
      <c r="CR164" s="579"/>
      <c r="CS164" s="579"/>
    </row>
    <row r="165" spans="1:97" ht="48">
      <c r="A165" s="8">
        <v>1</v>
      </c>
      <c r="B165" s="143"/>
      <c r="C165" s="165"/>
      <c r="D165" s="166" t="s">
        <v>5621</v>
      </c>
      <c r="E165" s="165" t="s">
        <v>5622</v>
      </c>
      <c r="F165" s="135">
        <v>2025</v>
      </c>
      <c r="G165" s="135">
        <v>2025</v>
      </c>
      <c r="H165" s="135">
        <v>6</v>
      </c>
      <c r="I165" s="165" t="s">
        <v>4796</v>
      </c>
      <c r="J165" s="465">
        <v>20000000</v>
      </c>
      <c r="K165" s="465">
        <v>20000000</v>
      </c>
      <c r="L165" s="165" t="s">
        <v>4269</v>
      </c>
      <c r="M165" s="514">
        <v>4</v>
      </c>
      <c r="N165" s="165"/>
      <c r="O165" s="9" t="s">
        <v>3223</v>
      </c>
      <c r="P165" s="135" t="s">
        <v>3215</v>
      </c>
      <c r="Q165" s="135" t="s">
        <v>3072</v>
      </c>
      <c r="R165" s="167"/>
      <c r="S165" s="171" t="s">
        <v>5623</v>
      </c>
      <c r="T165" s="168" t="s">
        <v>1963</v>
      </c>
      <c r="U165" s="245">
        <v>20000000</v>
      </c>
      <c r="V165" s="165" t="s">
        <v>5624</v>
      </c>
      <c r="W165" s="6" t="s">
        <v>3224</v>
      </c>
      <c r="X165" s="6" t="s">
        <v>4269</v>
      </c>
      <c r="Y165" s="15">
        <v>1093</v>
      </c>
      <c r="Z165" s="204" t="s">
        <v>4271</v>
      </c>
      <c r="AA165" s="167">
        <v>6099359</v>
      </c>
      <c r="AB165" s="168" t="s">
        <v>977</v>
      </c>
      <c r="AC165" s="167" t="s">
        <v>5528</v>
      </c>
      <c r="AD165" s="245">
        <v>20000000</v>
      </c>
      <c r="AE165" s="165" t="s">
        <v>166</v>
      </c>
      <c r="AF165" s="165" t="s">
        <v>4282</v>
      </c>
      <c r="AG165" s="165" t="s">
        <v>4269</v>
      </c>
      <c r="AH165" s="167">
        <v>6658755</v>
      </c>
      <c r="AI165" s="170" t="s">
        <v>1901</v>
      </c>
      <c r="AJ165" s="167" t="s">
        <v>4408</v>
      </c>
      <c r="AK165" s="245">
        <v>20000000</v>
      </c>
      <c r="AL165" s="165" t="s">
        <v>164</v>
      </c>
      <c r="AM165" s="165" t="s">
        <v>4272</v>
      </c>
      <c r="AN165" s="6" t="s">
        <v>4269</v>
      </c>
      <c r="AO165" s="167">
        <v>28854</v>
      </c>
      <c r="AP165" s="170" t="s">
        <v>2959</v>
      </c>
      <c r="AQ165" s="167" t="s">
        <v>146</v>
      </c>
      <c r="AR165" s="245">
        <v>20000000</v>
      </c>
      <c r="AS165" s="165" t="s">
        <v>164</v>
      </c>
      <c r="AT165" s="165" t="s">
        <v>4272</v>
      </c>
      <c r="AU165" s="6" t="s">
        <v>4269</v>
      </c>
      <c r="AV165" s="167">
        <v>6868847</v>
      </c>
      <c r="AW165" s="170" t="s">
        <v>2393</v>
      </c>
      <c r="AX165" s="167" t="s">
        <v>4865</v>
      </c>
      <c r="AY165" s="245">
        <v>20000000</v>
      </c>
      <c r="AZ165" s="165" t="s">
        <v>164</v>
      </c>
      <c r="BA165" s="165" t="s">
        <v>4272</v>
      </c>
      <c r="BB165" s="6" t="s">
        <v>4269</v>
      </c>
      <c r="BC165" s="167"/>
      <c r="BD165" s="167"/>
      <c r="BE165" s="167"/>
      <c r="BF165" s="249"/>
      <c r="BG165" s="167"/>
      <c r="BH165" s="167"/>
      <c r="BI165" s="167"/>
      <c r="BJ165" s="167"/>
      <c r="BK165" s="167"/>
      <c r="BL165" s="167"/>
      <c r="BM165" s="249"/>
      <c r="BN165" s="167"/>
      <c r="BO165" s="167"/>
      <c r="BP165" s="167"/>
      <c r="BQ165" s="167"/>
      <c r="BR165" s="586" t="s">
        <v>3190</v>
      </c>
      <c r="BS165" s="8"/>
      <c r="BT165" s="171"/>
      <c r="BU165" s="167"/>
      <c r="BV165" s="167"/>
      <c r="BW165" s="167"/>
      <c r="BX165" s="167"/>
      <c r="BY165" s="167"/>
      <c r="BZ165" s="167"/>
      <c r="CA165" s="167"/>
      <c r="CB165" s="167"/>
      <c r="CC165" s="167"/>
      <c r="CD165" s="167"/>
      <c r="CE165" s="167"/>
      <c r="CF165" s="167"/>
      <c r="CG165" s="167"/>
      <c r="CH165" s="167"/>
      <c r="CI165" s="167"/>
      <c r="CJ165" s="167"/>
      <c r="CK165" s="167"/>
      <c r="CL165" s="167"/>
      <c r="CM165" s="167"/>
      <c r="CN165" s="167"/>
      <c r="CO165" s="167"/>
      <c r="CP165" s="147"/>
      <c r="CQ165" s="147"/>
      <c r="CR165" s="147"/>
      <c r="CS165" s="147"/>
    </row>
    <row r="166" spans="1:97" ht="48">
      <c r="A166" s="8">
        <v>2</v>
      </c>
      <c r="B166" s="143"/>
      <c r="C166" s="165"/>
      <c r="D166" s="166" t="s">
        <v>5625</v>
      </c>
      <c r="E166" s="165" t="s">
        <v>5622</v>
      </c>
      <c r="F166" s="135">
        <v>2025</v>
      </c>
      <c r="G166" s="135">
        <v>2025</v>
      </c>
      <c r="H166" s="135">
        <v>6</v>
      </c>
      <c r="I166" s="165" t="s">
        <v>4796</v>
      </c>
      <c r="J166" s="465">
        <v>20000000</v>
      </c>
      <c r="K166" s="465">
        <v>20000000</v>
      </c>
      <c r="L166" s="165" t="s">
        <v>4269</v>
      </c>
      <c r="M166" s="514">
        <v>4</v>
      </c>
      <c r="N166" s="165"/>
      <c r="O166" s="9" t="s">
        <v>3223</v>
      </c>
      <c r="P166" s="135" t="s">
        <v>3215</v>
      </c>
      <c r="Q166" s="135" t="s">
        <v>3072</v>
      </c>
      <c r="R166" s="167">
        <v>6680633</v>
      </c>
      <c r="S166" s="171" t="s">
        <v>1211</v>
      </c>
      <c r="T166" s="168" t="s">
        <v>1703</v>
      </c>
      <c r="U166" s="245">
        <v>20000000</v>
      </c>
      <c r="V166" s="165" t="s">
        <v>5626</v>
      </c>
      <c r="W166" s="6" t="s">
        <v>4272</v>
      </c>
      <c r="X166" s="6" t="s">
        <v>4269</v>
      </c>
      <c r="Y166" s="15">
        <v>1093</v>
      </c>
      <c r="Z166" s="204" t="s">
        <v>4271</v>
      </c>
      <c r="AA166" s="167">
        <v>6789028</v>
      </c>
      <c r="AB166" s="170" t="s">
        <v>1917</v>
      </c>
      <c r="AC166" s="167" t="s">
        <v>4728</v>
      </c>
      <c r="AD166" s="245">
        <v>20000000</v>
      </c>
      <c r="AE166" s="165" t="s">
        <v>166</v>
      </c>
      <c r="AF166" s="165" t="s">
        <v>4282</v>
      </c>
      <c r="AG166" s="165" t="s">
        <v>4269</v>
      </c>
      <c r="AH166" s="167">
        <v>6680928</v>
      </c>
      <c r="AI166" s="170" t="s">
        <v>5613</v>
      </c>
      <c r="AJ166" s="167" t="s">
        <v>3113</v>
      </c>
      <c r="AK166" s="245">
        <v>20000000</v>
      </c>
      <c r="AL166" s="165" t="s">
        <v>151</v>
      </c>
      <c r="AM166" s="6" t="s">
        <v>3224</v>
      </c>
      <c r="AN166" s="6" t="s">
        <v>4269</v>
      </c>
      <c r="AO166" s="167">
        <v>6835039</v>
      </c>
      <c r="AP166" s="170" t="s">
        <v>2009</v>
      </c>
      <c r="AQ166" s="167" t="s">
        <v>4694</v>
      </c>
      <c r="AR166" s="245">
        <v>20000000</v>
      </c>
      <c r="AS166" s="165" t="s">
        <v>166</v>
      </c>
      <c r="AT166" s="165" t="s">
        <v>4282</v>
      </c>
      <c r="AU166" s="6" t="s">
        <v>4269</v>
      </c>
      <c r="AV166" s="167">
        <v>6767777</v>
      </c>
      <c r="AW166" s="170" t="s">
        <v>2673</v>
      </c>
      <c r="AX166" s="167" t="s">
        <v>3116</v>
      </c>
      <c r="AY166" s="245">
        <v>20000000</v>
      </c>
      <c r="AZ166" s="167" t="s">
        <v>171</v>
      </c>
      <c r="BA166" s="165" t="s">
        <v>4272</v>
      </c>
      <c r="BB166" s="6" t="s">
        <v>4269</v>
      </c>
      <c r="BC166" s="167"/>
      <c r="BD166" s="167"/>
      <c r="BE166" s="167"/>
      <c r="BF166" s="249"/>
      <c r="BG166" s="167"/>
      <c r="BH166" s="167"/>
      <c r="BI166" s="167"/>
      <c r="BJ166" s="167"/>
      <c r="BK166" s="167"/>
      <c r="BL166" s="167"/>
      <c r="BM166" s="249"/>
      <c r="BN166" s="167"/>
      <c r="BO166" s="167"/>
      <c r="BP166" s="167"/>
      <c r="BQ166" s="167"/>
      <c r="BR166" s="586" t="s">
        <v>3190</v>
      </c>
      <c r="BS166" s="8"/>
      <c r="BT166" s="171"/>
      <c r="BU166" s="167"/>
      <c r="BV166" s="167"/>
      <c r="BW166" s="167"/>
      <c r="BX166" s="167"/>
      <c r="BY166" s="167"/>
      <c r="BZ166" s="167"/>
      <c r="CA166" s="167"/>
      <c r="CB166" s="167"/>
      <c r="CC166" s="167"/>
      <c r="CD166" s="167"/>
      <c r="CE166" s="167"/>
      <c r="CF166" s="167"/>
      <c r="CG166" s="167"/>
      <c r="CH166" s="167"/>
      <c r="CI166" s="167"/>
      <c r="CJ166" s="167"/>
      <c r="CK166" s="167"/>
      <c r="CL166" s="167"/>
      <c r="CM166" s="167"/>
      <c r="CN166" s="167"/>
      <c r="CO166" s="167"/>
      <c r="CP166" s="147"/>
      <c r="CQ166" s="147"/>
      <c r="CR166" s="147"/>
      <c r="CS166" s="147"/>
    </row>
    <row r="167" spans="1:97" ht="48">
      <c r="A167" s="8">
        <v>3</v>
      </c>
      <c r="B167" s="143"/>
      <c r="C167" s="165"/>
      <c r="D167" s="166" t="s">
        <v>5627</v>
      </c>
      <c r="E167" s="165" t="s">
        <v>5622</v>
      </c>
      <c r="F167" s="135">
        <v>2025</v>
      </c>
      <c r="G167" s="135">
        <v>2025</v>
      </c>
      <c r="H167" s="135">
        <v>6</v>
      </c>
      <c r="I167" s="165" t="s">
        <v>4796</v>
      </c>
      <c r="J167" s="465">
        <v>15000000</v>
      </c>
      <c r="K167" s="465">
        <v>15000000</v>
      </c>
      <c r="L167" s="165" t="s">
        <v>4269</v>
      </c>
      <c r="M167" s="514">
        <v>4</v>
      </c>
      <c r="N167" s="165"/>
      <c r="O167" s="9" t="s">
        <v>3223</v>
      </c>
      <c r="P167" s="135" t="s">
        <v>3215</v>
      </c>
      <c r="Q167" s="135" t="s">
        <v>3072</v>
      </c>
      <c r="R167" s="167">
        <v>210955</v>
      </c>
      <c r="S167" s="171" t="s">
        <v>4288</v>
      </c>
      <c r="T167" s="135">
        <v>1001017601</v>
      </c>
      <c r="U167" s="245">
        <v>15000000</v>
      </c>
      <c r="V167" s="165" t="s">
        <v>5628</v>
      </c>
      <c r="W167" s="6" t="s">
        <v>3224</v>
      </c>
      <c r="X167" s="6" t="s">
        <v>4269</v>
      </c>
      <c r="Y167" s="15">
        <v>1093</v>
      </c>
      <c r="Z167" s="204" t="s">
        <v>4271</v>
      </c>
      <c r="AA167" s="167">
        <v>6843797</v>
      </c>
      <c r="AB167" s="170" t="s">
        <v>2418</v>
      </c>
      <c r="AC167" s="167" t="s">
        <v>190</v>
      </c>
      <c r="AD167" s="245">
        <v>15000000</v>
      </c>
      <c r="AE167" s="165" t="s">
        <v>151</v>
      </c>
      <c r="AF167" s="165" t="s">
        <v>3224</v>
      </c>
      <c r="AG167" s="165" t="s">
        <v>4269</v>
      </c>
      <c r="AH167" s="167">
        <v>6898606</v>
      </c>
      <c r="AI167" s="170" t="s">
        <v>2460</v>
      </c>
      <c r="AJ167" s="167" t="s">
        <v>3109</v>
      </c>
      <c r="AK167" s="245">
        <v>15000000</v>
      </c>
      <c r="AL167" s="165" t="s">
        <v>151</v>
      </c>
      <c r="AM167" s="6" t="s">
        <v>3224</v>
      </c>
      <c r="AN167" s="6" t="s">
        <v>4269</v>
      </c>
      <c r="AO167" s="167">
        <v>6834400</v>
      </c>
      <c r="AP167" s="170" t="s">
        <v>2698</v>
      </c>
      <c r="AQ167" s="167" t="s">
        <v>4383</v>
      </c>
      <c r="AR167" s="245">
        <v>15000000</v>
      </c>
      <c r="AS167" s="165" t="s">
        <v>166</v>
      </c>
      <c r="AT167" s="165" t="s">
        <v>4282</v>
      </c>
      <c r="AU167" s="6" t="s">
        <v>4269</v>
      </c>
      <c r="AV167" s="167">
        <v>6682794</v>
      </c>
      <c r="AW167" s="170" t="s">
        <v>1744</v>
      </c>
      <c r="AX167" s="167" t="s">
        <v>4671</v>
      </c>
      <c r="AY167" s="245">
        <v>15000000</v>
      </c>
      <c r="AZ167" s="167" t="s">
        <v>151</v>
      </c>
      <c r="BA167" s="135" t="s">
        <v>3224</v>
      </c>
      <c r="BB167" s="6" t="s">
        <v>4269</v>
      </c>
      <c r="BC167" s="167"/>
      <c r="BD167" s="167"/>
      <c r="BE167" s="167"/>
      <c r="BF167" s="249"/>
      <c r="BG167" s="167"/>
      <c r="BH167" s="167"/>
      <c r="BI167" s="167"/>
      <c r="BJ167" s="167"/>
      <c r="BK167" s="167"/>
      <c r="BL167" s="167"/>
      <c r="BM167" s="249"/>
      <c r="BN167" s="167"/>
      <c r="BO167" s="167"/>
      <c r="BP167" s="167"/>
      <c r="BQ167" s="167"/>
      <c r="BR167" s="586" t="s">
        <v>3190</v>
      </c>
      <c r="BS167" s="8"/>
      <c r="BT167" s="171"/>
      <c r="BU167" s="167"/>
      <c r="BV167" s="167"/>
      <c r="BW167" s="167"/>
      <c r="BX167" s="167"/>
      <c r="BY167" s="167"/>
      <c r="BZ167" s="167"/>
      <c r="CA167" s="167"/>
      <c r="CB167" s="167"/>
      <c r="CC167" s="167"/>
      <c r="CD167" s="167"/>
      <c r="CE167" s="167"/>
      <c r="CF167" s="167"/>
      <c r="CG167" s="167"/>
      <c r="CH167" s="167"/>
      <c r="CI167" s="167"/>
      <c r="CJ167" s="167"/>
      <c r="CK167" s="167"/>
      <c r="CL167" s="167"/>
      <c r="CM167" s="167"/>
      <c r="CN167" s="167"/>
      <c r="CO167" s="167"/>
      <c r="CP167" s="147"/>
      <c r="CQ167" s="147"/>
      <c r="CR167" s="147"/>
      <c r="CS167" s="147"/>
    </row>
    <row r="168" spans="1:97" ht="48">
      <c r="A168" s="8">
        <v>4</v>
      </c>
      <c r="B168" s="143"/>
      <c r="C168" s="165"/>
      <c r="D168" s="166" t="s">
        <v>5629</v>
      </c>
      <c r="E168" s="165" t="s">
        <v>5622</v>
      </c>
      <c r="F168" s="135">
        <v>2025</v>
      </c>
      <c r="G168" s="135">
        <v>2025</v>
      </c>
      <c r="H168" s="135">
        <v>6</v>
      </c>
      <c r="I168" s="165" t="s">
        <v>4796</v>
      </c>
      <c r="J168" s="465">
        <v>13000000</v>
      </c>
      <c r="K168" s="465">
        <v>13000000</v>
      </c>
      <c r="L168" s="165" t="s">
        <v>4269</v>
      </c>
      <c r="M168" s="514">
        <v>4</v>
      </c>
      <c r="N168" s="165"/>
      <c r="O168" s="9" t="s">
        <v>3223</v>
      </c>
      <c r="P168" s="135" t="s">
        <v>3215</v>
      </c>
      <c r="Q168" s="135" t="s">
        <v>3072</v>
      </c>
      <c r="R168" s="135">
        <v>6679083</v>
      </c>
      <c r="S168" s="171" t="s">
        <v>117</v>
      </c>
      <c r="T168" s="170" t="s">
        <v>2292</v>
      </c>
      <c r="U168" s="245">
        <v>13000000</v>
      </c>
      <c r="V168" s="165" t="s">
        <v>5626</v>
      </c>
      <c r="W168" s="6" t="s">
        <v>4272</v>
      </c>
      <c r="X168" s="6" t="s">
        <v>4269</v>
      </c>
      <c r="Y168" s="15">
        <v>1093</v>
      </c>
      <c r="Z168" s="204" t="s">
        <v>4271</v>
      </c>
      <c r="AA168" s="167">
        <v>6825598</v>
      </c>
      <c r="AB168" s="170" t="s">
        <v>1774</v>
      </c>
      <c r="AC168" s="167" t="s">
        <v>4147</v>
      </c>
      <c r="AD168" s="245">
        <v>13000000</v>
      </c>
      <c r="AE168" s="165" t="s">
        <v>156</v>
      </c>
      <c r="AF168" s="165" t="s">
        <v>4272</v>
      </c>
      <c r="AG168" s="6" t="s">
        <v>4269</v>
      </c>
      <c r="AH168" s="581" t="s">
        <v>5630</v>
      </c>
      <c r="AI168" s="170" t="s">
        <v>959</v>
      </c>
      <c r="AJ168" s="167" t="s">
        <v>4350</v>
      </c>
      <c r="AK168" s="245">
        <v>13000000</v>
      </c>
      <c r="AL168" s="165" t="s">
        <v>156</v>
      </c>
      <c r="AM168" s="165" t="s">
        <v>4272</v>
      </c>
      <c r="AN168" s="6" t="s">
        <v>4269</v>
      </c>
      <c r="AO168" s="167"/>
      <c r="AP168" s="167"/>
      <c r="AQ168" s="167" t="s">
        <v>3121</v>
      </c>
      <c r="AR168" s="245">
        <v>13000000</v>
      </c>
      <c r="AS168" s="167"/>
      <c r="AT168" s="167"/>
      <c r="AU168" s="167"/>
      <c r="AV168" s="167">
        <v>6680615</v>
      </c>
      <c r="AW168" s="170" t="s">
        <v>2481</v>
      </c>
      <c r="AX168" s="167" t="s">
        <v>4821</v>
      </c>
      <c r="AY168" s="245">
        <v>13000000</v>
      </c>
      <c r="AZ168" s="167" t="s">
        <v>154</v>
      </c>
      <c r="BA168" s="135" t="s">
        <v>3224</v>
      </c>
      <c r="BB168" s="6" t="s">
        <v>4269</v>
      </c>
      <c r="BC168" s="167"/>
      <c r="BD168" s="167"/>
      <c r="BE168" s="167"/>
      <c r="BF168" s="249"/>
      <c r="BG168" s="167"/>
      <c r="BH168" s="167"/>
      <c r="BI168" s="167"/>
      <c r="BJ168" s="167"/>
      <c r="BK168" s="167"/>
      <c r="BL168" s="167"/>
      <c r="BM168" s="249"/>
      <c r="BN168" s="167"/>
      <c r="BO168" s="167"/>
      <c r="BP168" s="167"/>
      <c r="BQ168" s="167"/>
      <c r="BR168" s="586" t="s">
        <v>3190</v>
      </c>
      <c r="BS168" s="8"/>
      <c r="BT168" s="171"/>
      <c r="BU168" s="167"/>
      <c r="BV168" s="167"/>
      <c r="BW168" s="167"/>
      <c r="BX168" s="167"/>
      <c r="BY168" s="167"/>
      <c r="BZ168" s="167"/>
      <c r="CA168" s="167"/>
      <c r="CB168" s="167"/>
      <c r="CC168" s="167"/>
      <c r="CD168" s="167"/>
      <c r="CE168" s="167"/>
      <c r="CF168" s="167"/>
      <c r="CG168" s="167"/>
      <c r="CH168" s="167"/>
      <c r="CI168" s="167"/>
      <c r="CJ168" s="167"/>
      <c r="CK168" s="167"/>
      <c r="CL168" s="167"/>
      <c r="CM168" s="167"/>
      <c r="CN168" s="167"/>
      <c r="CO168" s="167"/>
      <c r="CP168" s="147"/>
      <c r="CQ168" s="147"/>
      <c r="CR168" s="147"/>
      <c r="CS168" s="147"/>
    </row>
    <row r="169" spans="1:97" ht="48">
      <c r="A169" s="8">
        <v>5</v>
      </c>
      <c r="B169" s="143"/>
      <c r="C169" s="165"/>
      <c r="D169" s="166" t="s">
        <v>5631</v>
      </c>
      <c r="E169" s="165" t="s">
        <v>5622</v>
      </c>
      <c r="F169" s="135">
        <v>2025</v>
      </c>
      <c r="G169" s="135">
        <v>2025</v>
      </c>
      <c r="H169" s="135">
        <v>6</v>
      </c>
      <c r="I169" s="165" t="s">
        <v>4796</v>
      </c>
      <c r="J169" s="465">
        <v>12000000</v>
      </c>
      <c r="K169" s="465">
        <v>12000000</v>
      </c>
      <c r="L169" s="165" t="s">
        <v>4269</v>
      </c>
      <c r="M169" s="514">
        <v>4</v>
      </c>
      <c r="N169" s="165"/>
      <c r="O169" s="9" t="s">
        <v>3223</v>
      </c>
      <c r="P169" s="135" t="s">
        <v>3215</v>
      </c>
      <c r="Q169" s="135" t="s">
        <v>3072</v>
      </c>
      <c r="R169" s="167">
        <v>6680664</v>
      </c>
      <c r="S169" s="171" t="s">
        <v>4744</v>
      </c>
      <c r="T169" s="168" t="s">
        <v>2288</v>
      </c>
      <c r="U169" s="245">
        <v>12000000</v>
      </c>
      <c r="V169" s="165" t="s">
        <v>5626</v>
      </c>
      <c r="W169" s="6" t="s">
        <v>4272</v>
      </c>
      <c r="X169" s="6" t="s">
        <v>4269</v>
      </c>
      <c r="Y169" s="15">
        <v>1093</v>
      </c>
      <c r="Z169" s="204" t="s">
        <v>4271</v>
      </c>
      <c r="AA169" s="167">
        <v>6680664</v>
      </c>
      <c r="AB169" s="170" t="s">
        <v>4248</v>
      </c>
      <c r="AC169" s="167" t="s">
        <v>4797</v>
      </c>
      <c r="AD169" s="245">
        <v>12000000</v>
      </c>
      <c r="AE169" s="165" t="s">
        <v>156</v>
      </c>
      <c r="AF169" s="165" t="s">
        <v>4272</v>
      </c>
      <c r="AG169" s="6" t="s">
        <v>4269</v>
      </c>
      <c r="AH169" s="167">
        <v>6886510</v>
      </c>
      <c r="AI169" s="170" t="s">
        <v>2010</v>
      </c>
      <c r="AJ169" s="167" t="s">
        <v>3114</v>
      </c>
      <c r="AK169" s="245">
        <v>12000000</v>
      </c>
      <c r="AL169" s="165" t="s">
        <v>166</v>
      </c>
      <c r="AM169" s="165" t="s">
        <v>4282</v>
      </c>
      <c r="AN169" s="6" t="s">
        <v>4269</v>
      </c>
      <c r="AO169" s="167">
        <v>6833033</v>
      </c>
      <c r="AP169" s="170" t="s">
        <v>2023</v>
      </c>
      <c r="AQ169" s="167" t="s">
        <v>5544</v>
      </c>
      <c r="AR169" s="245">
        <v>12000000</v>
      </c>
      <c r="AS169" s="165" t="s">
        <v>166</v>
      </c>
      <c r="AT169" s="165" t="s">
        <v>4282</v>
      </c>
      <c r="AU169" s="6" t="s">
        <v>4269</v>
      </c>
      <c r="AV169" s="167">
        <v>6833034</v>
      </c>
      <c r="AW169" s="170" t="s">
        <v>2022</v>
      </c>
      <c r="AX169" s="167" t="s">
        <v>4667</v>
      </c>
      <c r="AY169" s="245">
        <v>12000000</v>
      </c>
      <c r="AZ169" s="165" t="s">
        <v>166</v>
      </c>
      <c r="BA169" s="165" t="s">
        <v>4282</v>
      </c>
      <c r="BB169" s="6" t="s">
        <v>4269</v>
      </c>
      <c r="BC169" s="167"/>
      <c r="BD169" s="167"/>
      <c r="BE169" s="167"/>
      <c r="BF169" s="249"/>
      <c r="BG169" s="167"/>
      <c r="BH169" s="167"/>
      <c r="BI169" s="167"/>
      <c r="BJ169" s="167"/>
      <c r="BK169" s="167"/>
      <c r="BL169" s="167"/>
      <c r="BM169" s="249"/>
      <c r="BN169" s="167"/>
      <c r="BO169" s="167"/>
      <c r="BP169" s="167"/>
      <c r="BQ169" s="167"/>
      <c r="BR169" s="586" t="s">
        <v>3190</v>
      </c>
      <c r="BS169" s="8"/>
      <c r="BT169" s="171"/>
      <c r="BU169" s="167"/>
      <c r="BV169" s="167"/>
      <c r="BW169" s="167"/>
      <c r="BX169" s="167"/>
      <c r="BY169" s="167"/>
      <c r="BZ169" s="167"/>
      <c r="CA169" s="167"/>
      <c r="CB169" s="167"/>
      <c r="CC169" s="167"/>
      <c r="CD169" s="167"/>
      <c r="CE169" s="167"/>
      <c r="CF169" s="167"/>
      <c r="CG169" s="167"/>
      <c r="CH169" s="167"/>
      <c r="CI169" s="167"/>
      <c r="CJ169" s="167"/>
      <c r="CK169" s="167"/>
      <c r="CL169" s="167"/>
      <c r="CM169" s="167"/>
      <c r="CN169" s="167"/>
      <c r="CO169" s="167"/>
      <c r="CP169" s="147"/>
      <c r="CQ169" s="147"/>
      <c r="CR169" s="147"/>
      <c r="CS169" s="147"/>
    </row>
    <row r="170" spans="1:97" ht="24">
      <c r="A170" s="8">
        <v>6</v>
      </c>
      <c r="B170" s="143"/>
      <c r="C170" s="165"/>
      <c r="D170" s="166" t="s">
        <v>5632</v>
      </c>
      <c r="E170" s="165" t="s">
        <v>5633</v>
      </c>
      <c r="F170" s="135">
        <v>2025</v>
      </c>
      <c r="G170" s="135">
        <v>2025</v>
      </c>
      <c r="H170" s="135">
        <v>6</v>
      </c>
      <c r="I170" s="165" t="s">
        <v>5634</v>
      </c>
      <c r="J170" s="465">
        <v>10000000</v>
      </c>
      <c r="K170" s="465">
        <v>10000000</v>
      </c>
      <c r="L170" s="165" t="s">
        <v>4269</v>
      </c>
      <c r="M170" s="514">
        <v>3</v>
      </c>
      <c r="N170" s="165"/>
      <c r="O170" s="9" t="s">
        <v>3223</v>
      </c>
      <c r="P170" s="135" t="s">
        <v>3215</v>
      </c>
      <c r="Q170" s="135" t="s">
        <v>3072</v>
      </c>
      <c r="R170" s="167">
        <v>6680612</v>
      </c>
      <c r="S170" s="171" t="s">
        <v>4341</v>
      </c>
      <c r="T170" s="168" t="s">
        <v>960</v>
      </c>
      <c r="U170" s="245">
        <v>10000000</v>
      </c>
      <c r="V170" s="165" t="s">
        <v>5624</v>
      </c>
      <c r="W170" s="6" t="s">
        <v>3224</v>
      </c>
      <c r="X170" s="6" t="s">
        <v>4269</v>
      </c>
      <c r="Y170" s="15">
        <v>1093</v>
      </c>
      <c r="Z170" s="204" t="s">
        <v>4271</v>
      </c>
      <c r="AA170" s="167">
        <v>6853203</v>
      </c>
      <c r="AB170" s="170" t="s">
        <v>3905</v>
      </c>
      <c r="AC170" s="167" t="s">
        <v>4802</v>
      </c>
      <c r="AD170" s="245">
        <v>10000000</v>
      </c>
      <c r="AE170" s="165" t="s">
        <v>155</v>
      </c>
      <c r="AF170" s="165" t="s">
        <v>3224</v>
      </c>
      <c r="AG170" s="165" t="s">
        <v>4269</v>
      </c>
      <c r="AH170" s="167">
        <v>6859016</v>
      </c>
      <c r="AI170" s="170" t="s">
        <v>2497</v>
      </c>
      <c r="AJ170" s="167" t="s">
        <v>3126</v>
      </c>
      <c r="AK170" s="245">
        <v>10000000</v>
      </c>
      <c r="AL170" s="165" t="s">
        <v>155</v>
      </c>
      <c r="AM170" s="165" t="s">
        <v>3224</v>
      </c>
      <c r="AN170" s="165" t="s">
        <v>4269</v>
      </c>
      <c r="AO170" s="167"/>
      <c r="AP170" s="167"/>
      <c r="AQ170" s="167"/>
      <c r="AR170" s="249"/>
      <c r="AS170" s="167"/>
      <c r="AT170" s="167"/>
      <c r="AU170" s="167"/>
      <c r="AV170" s="167"/>
      <c r="AW170" s="167"/>
      <c r="AX170" s="167"/>
      <c r="AY170" s="249"/>
      <c r="AZ170" s="167"/>
      <c r="BA170" s="167"/>
      <c r="BB170" s="167"/>
      <c r="BC170" s="167"/>
      <c r="BD170" s="167"/>
      <c r="BE170" s="167"/>
      <c r="BF170" s="249"/>
      <c r="BG170" s="167"/>
      <c r="BH170" s="167"/>
      <c r="BI170" s="167"/>
      <c r="BJ170" s="167"/>
      <c r="BK170" s="167"/>
      <c r="BL170" s="167"/>
      <c r="BM170" s="249"/>
      <c r="BN170" s="167"/>
      <c r="BO170" s="167"/>
      <c r="BP170" s="167"/>
      <c r="BQ170" s="167"/>
      <c r="BR170" s="586" t="s">
        <v>3190</v>
      </c>
      <c r="BS170" s="8"/>
      <c r="BT170" s="171"/>
      <c r="BU170" s="167"/>
      <c r="BV170" s="167"/>
      <c r="BW170" s="167"/>
      <c r="BX170" s="167"/>
      <c r="BY170" s="167"/>
      <c r="BZ170" s="167"/>
      <c r="CA170" s="167"/>
      <c r="CB170" s="167"/>
      <c r="CC170" s="167"/>
      <c r="CD170" s="167"/>
      <c r="CE170" s="167"/>
      <c r="CF170" s="167"/>
      <c r="CG170" s="167"/>
      <c r="CH170" s="167"/>
      <c r="CI170" s="167"/>
      <c r="CJ170" s="167"/>
      <c r="CK170" s="167"/>
      <c r="CL170" s="167"/>
      <c r="CM170" s="167"/>
      <c r="CN170" s="167"/>
      <c r="CO170" s="167"/>
      <c r="CP170" s="147"/>
      <c r="CQ170" s="147"/>
      <c r="CR170" s="147"/>
      <c r="CS170" s="147"/>
    </row>
    <row r="171" spans="1:97" ht="36">
      <c r="A171" s="8">
        <v>7</v>
      </c>
      <c r="B171" s="143"/>
      <c r="C171" s="165"/>
      <c r="D171" s="166" t="s">
        <v>5635</v>
      </c>
      <c r="E171" s="165" t="s">
        <v>5633</v>
      </c>
      <c r="F171" s="135">
        <v>2025</v>
      </c>
      <c r="G171" s="135">
        <v>2025</v>
      </c>
      <c r="H171" s="135">
        <v>6</v>
      </c>
      <c r="I171" s="165"/>
      <c r="J171" s="465">
        <v>10000000</v>
      </c>
      <c r="K171" s="465">
        <v>10000000</v>
      </c>
      <c r="L171" s="165"/>
      <c r="M171" s="514"/>
      <c r="N171" s="165"/>
      <c r="O171" s="9" t="s">
        <v>3223</v>
      </c>
      <c r="P171" s="135"/>
      <c r="Q171" s="135" t="s">
        <v>3072</v>
      </c>
      <c r="R171" s="167"/>
      <c r="S171" s="171" t="s">
        <v>4381</v>
      </c>
      <c r="T171" s="135"/>
      <c r="U171" s="245"/>
      <c r="V171" s="165" t="s">
        <v>5636</v>
      </c>
      <c r="W171" s="6" t="s">
        <v>4449</v>
      </c>
      <c r="X171" s="6" t="s">
        <v>4269</v>
      </c>
      <c r="Y171" s="15">
        <v>1093</v>
      </c>
      <c r="Z171" s="204" t="s">
        <v>4271</v>
      </c>
      <c r="AA171" s="167"/>
      <c r="AB171" s="167"/>
      <c r="AC171" s="167" t="s">
        <v>5637</v>
      </c>
      <c r="AD171" s="248">
        <v>10000000</v>
      </c>
      <c r="AE171" s="165"/>
      <c r="AF171" s="165"/>
      <c r="AG171" s="165"/>
      <c r="AH171" s="167"/>
      <c r="AI171" s="167"/>
      <c r="AJ171" s="167" t="s">
        <v>5638</v>
      </c>
      <c r="AK171" s="248">
        <v>10000000</v>
      </c>
      <c r="AL171" s="165"/>
      <c r="AM171" s="165"/>
      <c r="AN171" s="165"/>
      <c r="AO171" s="167"/>
      <c r="AP171" s="167"/>
      <c r="AQ171" s="167"/>
      <c r="AR171" s="249"/>
      <c r="AS171" s="167"/>
      <c r="AT171" s="167"/>
      <c r="AU171" s="167"/>
      <c r="AV171" s="167"/>
      <c r="AW171" s="167"/>
      <c r="AX171" s="167"/>
      <c r="AY171" s="249"/>
      <c r="AZ171" s="167"/>
      <c r="BA171" s="167"/>
      <c r="BB171" s="167"/>
      <c r="BC171" s="167"/>
      <c r="BD171" s="167"/>
      <c r="BE171" s="167"/>
      <c r="BF171" s="249"/>
      <c r="BG171" s="167"/>
      <c r="BH171" s="167"/>
      <c r="BI171" s="167"/>
      <c r="BJ171" s="167"/>
      <c r="BK171" s="167"/>
      <c r="BL171" s="167"/>
      <c r="BM171" s="249"/>
      <c r="BN171" s="167"/>
      <c r="BO171" s="167"/>
      <c r="BP171" s="167"/>
      <c r="BQ171" s="167"/>
      <c r="BR171" s="586" t="s">
        <v>3190</v>
      </c>
      <c r="BS171" s="8"/>
      <c r="BT171" s="171"/>
      <c r="BU171" s="167"/>
      <c r="BV171" s="167"/>
      <c r="BW171" s="167"/>
      <c r="BX171" s="167"/>
      <c r="BY171" s="167"/>
      <c r="BZ171" s="167"/>
      <c r="CA171" s="167"/>
      <c r="CB171" s="167"/>
      <c r="CC171" s="167"/>
      <c r="CD171" s="167"/>
      <c r="CE171" s="167"/>
      <c r="CF171" s="167"/>
      <c r="CG171" s="167"/>
      <c r="CH171" s="167"/>
      <c r="CI171" s="167"/>
      <c r="CJ171" s="167"/>
      <c r="CK171" s="167"/>
      <c r="CL171" s="167"/>
      <c r="CM171" s="167"/>
      <c r="CN171" s="167"/>
      <c r="CO171" s="167"/>
      <c r="CP171" s="147"/>
      <c r="CQ171" s="147"/>
      <c r="CR171" s="147"/>
      <c r="CS171" s="147"/>
    </row>
    <row r="172" spans="1:97" ht="36">
      <c r="A172" s="8">
        <v>8</v>
      </c>
      <c r="B172" s="143"/>
      <c r="C172" s="165"/>
      <c r="D172" s="166" t="s">
        <v>5639</v>
      </c>
      <c r="E172" s="165" t="s">
        <v>5633</v>
      </c>
      <c r="F172" s="135">
        <v>2025</v>
      </c>
      <c r="G172" s="135">
        <v>2025</v>
      </c>
      <c r="H172" s="135">
        <v>6</v>
      </c>
      <c r="I172" s="165"/>
      <c r="J172" s="465">
        <v>10000000</v>
      </c>
      <c r="K172" s="465">
        <v>10000000</v>
      </c>
      <c r="L172" s="165"/>
      <c r="M172" s="514"/>
      <c r="N172" s="165"/>
      <c r="O172" s="9" t="s">
        <v>3223</v>
      </c>
      <c r="P172" s="135"/>
      <c r="Q172" s="135" t="s">
        <v>3072</v>
      </c>
      <c r="R172" s="167"/>
      <c r="S172" s="171" t="s">
        <v>145</v>
      </c>
      <c r="T172" s="135"/>
      <c r="U172" s="245"/>
      <c r="V172" s="165" t="s">
        <v>5636</v>
      </c>
      <c r="W172" s="6" t="s">
        <v>4449</v>
      </c>
      <c r="X172" s="6" t="s">
        <v>4269</v>
      </c>
      <c r="Y172" s="15">
        <v>1093</v>
      </c>
      <c r="Z172" s="204" t="s">
        <v>4271</v>
      </c>
      <c r="AA172" s="167"/>
      <c r="AB172" s="167"/>
      <c r="AC172" s="167" t="s">
        <v>5637</v>
      </c>
      <c r="AD172" s="248">
        <v>10000000</v>
      </c>
      <c r="AE172" s="165"/>
      <c r="AF172" s="165"/>
      <c r="AG172" s="165"/>
      <c r="AH172" s="167"/>
      <c r="AI172" s="170" t="s">
        <v>5640</v>
      </c>
      <c r="AJ172" s="167" t="s">
        <v>4875</v>
      </c>
      <c r="AK172" s="248">
        <v>10000000</v>
      </c>
      <c r="AL172" s="165" t="s">
        <v>169</v>
      </c>
      <c r="AM172" s="165" t="s">
        <v>4449</v>
      </c>
      <c r="AN172" s="165" t="s">
        <v>4269</v>
      </c>
      <c r="AO172" s="167">
        <v>6898606</v>
      </c>
      <c r="AP172" s="170" t="s">
        <v>2460</v>
      </c>
      <c r="AQ172" s="167" t="s">
        <v>3109</v>
      </c>
      <c r="AR172" s="248">
        <v>10000000</v>
      </c>
      <c r="AS172" s="167" t="s">
        <v>151</v>
      </c>
      <c r="AT172" s="135" t="s">
        <v>3224</v>
      </c>
      <c r="AU172" s="6" t="s">
        <v>4269</v>
      </c>
      <c r="AV172" s="167"/>
      <c r="AW172" s="167"/>
      <c r="AX172" s="167"/>
      <c r="AY172" s="249"/>
      <c r="AZ172" s="167"/>
      <c r="BA172" s="167"/>
      <c r="BB172" s="167"/>
      <c r="BC172" s="167"/>
      <c r="BD172" s="167"/>
      <c r="BE172" s="167"/>
      <c r="BF172" s="249"/>
      <c r="BG172" s="167"/>
      <c r="BH172" s="167"/>
      <c r="BI172" s="167"/>
      <c r="BJ172" s="167"/>
      <c r="BK172" s="167"/>
      <c r="BL172" s="167"/>
      <c r="BM172" s="249"/>
      <c r="BN172" s="167"/>
      <c r="BO172" s="167"/>
      <c r="BP172" s="167"/>
      <c r="BQ172" s="167"/>
      <c r="BR172" s="586" t="s">
        <v>3190</v>
      </c>
      <c r="BS172" s="8"/>
      <c r="BT172" s="171"/>
      <c r="BU172" s="167"/>
      <c r="BV172" s="167"/>
      <c r="BW172" s="167"/>
      <c r="BX172" s="167"/>
      <c r="BY172" s="167"/>
      <c r="BZ172" s="167"/>
      <c r="CA172" s="167"/>
      <c r="CB172" s="167"/>
      <c r="CC172" s="167"/>
      <c r="CD172" s="167"/>
      <c r="CE172" s="167"/>
      <c r="CF172" s="167"/>
      <c r="CG172" s="167"/>
      <c r="CH172" s="167"/>
      <c r="CI172" s="167"/>
      <c r="CJ172" s="167"/>
      <c r="CK172" s="167"/>
      <c r="CL172" s="167"/>
      <c r="CM172" s="167"/>
      <c r="CN172" s="167"/>
      <c r="CO172" s="167"/>
      <c r="CP172" s="147"/>
      <c r="CQ172" s="147"/>
      <c r="CR172" s="147"/>
      <c r="CS172" s="147"/>
    </row>
    <row r="173" spans="1:97" ht="24">
      <c r="A173" s="8">
        <v>9</v>
      </c>
      <c r="B173" s="143"/>
      <c r="C173" s="165"/>
      <c r="D173" s="166" t="s">
        <v>5641</v>
      </c>
      <c r="E173" s="165" t="s">
        <v>5633</v>
      </c>
      <c r="F173" s="135">
        <v>2025</v>
      </c>
      <c r="G173" s="135">
        <v>2025</v>
      </c>
      <c r="H173" s="135">
        <v>6</v>
      </c>
      <c r="I173" s="165"/>
      <c r="J173" s="465">
        <v>10000000</v>
      </c>
      <c r="K173" s="465">
        <v>10000000</v>
      </c>
      <c r="L173" s="165"/>
      <c r="M173" s="514"/>
      <c r="N173" s="165"/>
      <c r="O173" s="9" t="s">
        <v>3223</v>
      </c>
      <c r="P173" s="135"/>
      <c r="Q173" s="135" t="s">
        <v>3072</v>
      </c>
      <c r="R173" s="167"/>
      <c r="S173" s="171" t="s">
        <v>3081</v>
      </c>
      <c r="T173" s="135"/>
      <c r="U173" s="245"/>
      <c r="V173" s="165" t="s">
        <v>5642</v>
      </c>
      <c r="W173" s="6" t="s">
        <v>4272</v>
      </c>
      <c r="X173" s="6" t="s">
        <v>4269</v>
      </c>
      <c r="Y173" s="15">
        <v>1093</v>
      </c>
      <c r="Z173" s="204" t="s">
        <v>4271</v>
      </c>
      <c r="AA173" s="167">
        <v>6787821</v>
      </c>
      <c r="AB173" s="170" t="s">
        <v>1756</v>
      </c>
      <c r="AC173" s="167" t="s">
        <v>4616</v>
      </c>
      <c r="AD173" s="248">
        <v>10000000</v>
      </c>
      <c r="AE173" s="165" t="s">
        <v>172</v>
      </c>
      <c r="AF173" s="165" t="s">
        <v>4282</v>
      </c>
      <c r="AG173" s="165" t="s">
        <v>4269</v>
      </c>
      <c r="AH173" s="167">
        <v>6939282</v>
      </c>
      <c r="AI173" s="167"/>
      <c r="AJ173" s="167" t="s">
        <v>4764</v>
      </c>
      <c r="AK173" s="248">
        <v>10000000</v>
      </c>
      <c r="AL173" s="165" t="s">
        <v>175</v>
      </c>
      <c r="AM173" s="165" t="s">
        <v>4272</v>
      </c>
      <c r="AN173" s="6" t="s">
        <v>4269</v>
      </c>
      <c r="AO173" s="167"/>
      <c r="AP173" s="167"/>
      <c r="AQ173" s="167" t="s">
        <v>136</v>
      </c>
      <c r="AR173" s="248">
        <v>10000000</v>
      </c>
      <c r="AS173" s="167" t="s">
        <v>171</v>
      </c>
      <c r="AT173" s="135" t="s">
        <v>4272</v>
      </c>
      <c r="AU173" s="6" t="s">
        <v>4269</v>
      </c>
      <c r="AV173" s="167"/>
      <c r="AW173" s="167"/>
      <c r="AX173" s="167"/>
      <c r="AY173" s="249"/>
      <c r="AZ173" s="167"/>
      <c r="BA173" s="167"/>
      <c r="BB173" s="167"/>
      <c r="BC173" s="167"/>
      <c r="BD173" s="167"/>
      <c r="BE173" s="167"/>
      <c r="BF173" s="249"/>
      <c r="BG173" s="167"/>
      <c r="BH173" s="167"/>
      <c r="BI173" s="167"/>
      <c r="BJ173" s="167"/>
      <c r="BK173" s="167"/>
      <c r="BL173" s="167"/>
      <c r="BM173" s="249"/>
      <c r="BN173" s="167"/>
      <c r="BO173" s="167"/>
      <c r="BP173" s="167"/>
      <c r="BQ173" s="167"/>
      <c r="BR173" s="586" t="s">
        <v>3190</v>
      </c>
      <c r="BS173" s="8"/>
      <c r="BT173" s="171"/>
      <c r="BU173" s="167"/>
      <c r="BV173" s="167"/>
      <c r="BW173" s="167"/>
      <c r="BX173" s="167"/>
      <c r="BY173" s="167"/>
      <c r="BZ173" s="167"/>
      <c r="CA173" s="167"/>
      <c r="CB173" s="167"/>
      <c r="CC173" s="167"/>
      <c r="CD173" s="167"/>
      <c r="CE173" s="167"/>
      <c r="CF173" s="167"/>
      <c r="CG173" s="167"/>
      <c r="CH173" s="167"/>
      <c r="CI173" s="167"/>
      <c r="CJ173" s="167"/>
      <c r="CK173" s="167"/>
      <c r="CL173" s="167"/>
      <c r="CM173" s="167"/>
      <c r="CN173" s="167"/>
      <c r="CO173" s="167"/>
      <c r="CP173" s="147"/>
      <c r="CQ173" s="147"/>
      <c r="CR173" s="147"/>
      <c r="CS173" s="147"/>
    </row>
    <row r="174" spans="1:97" ht="24">
      <c r="A174" s="8">
        <v>10</v>
      </c>
      <c r="B174" s="143"/>
      <c r="C174" s="165"/>
      <c r="D174" s="166" t="s">
        <v>5643</v>
      </c>
      <c r="E174" s="165" t="s">
        <v>5633</v>
      </c>
      <c r="F174" s="135">
        <v>2025</v>
      </c>
      <c r="G174" s="135">
        <v>2025</v>
      </c>
      <c r="H174" s="135">
        <v>6</v>
      </c>
      <c r="I174" s="165"/>
      <c r="J174" s="465">
        <v>10000000</v>
      </c>
      <c r="K174" s="465">
        <v>10000000</v>
      </c>
      <c r="L174" s="165"/>
      <c r="M174" s="514"/>
      <c r="N174" s="165"/>
      <c r="O174" s="9" t="s">
        <v>3223</v>
      </c>
      <c r="P174" s="135"/>
      <c r="Q174" s="135" t="s">
        <v>3072</v>
      </c>
      <c r="R174" s="167"/>
      <c r="S174" s="171" t="s">
        <v>4147</v>
      </c>
      <c r="T174" s="135"/>
      <c r="U174" s="245"/>
      <c r="V174" s="165" t="s">
        <v>5626</v>
      </c>
      <c r="W174" s="6" t="s">
        <v>4272</v>
      </c>
      <c r="X174" s="6" t="s">
        <v>4269</v>
      </c>
      <c r="Y174" s="15">
        <v>1093</v>
      </c>
      <c r="Z174" s="204" t="s">
        <v>4271</v>
      </c>
      <c r="AA174" s="167"/>
      <c r="AB174" s="167"/>
      <c r="AC174" s="167" t="s">
        <v>4797</v>
      </c>
      <c r="AD174" s="248">
        <v>10000000</v>
      </c>
      <c r="AE174" s="165" t="s">
        <v>156</v>
      </c>
      <c r="AF174" s="165" t="s">
        <v>4272</v>
      </c>
      <c r="AG174" s="6" t="s">
        <v>4269</v>
      </c>
      <c r="AH174" s="167"/>
      <c r="AI174" s="167"/>
      <c r="AJ174" s="167" t="s">
        <v>4545</v>
      </c>
      <c r="AK174" s="248">
        <v>10000000</v>
      </c>
      <c r="AL174" s="165" t="s">
        <v>156</v>
      </c>
      <c r="AM174" s="165" t="s">
        <v>4272</v>
      </c>
      <c r="AN174" s="6" t="s">
        <v>4269</v>
      </c>
      <c r="AO174" s="167"/>
      <c r="AP174" s="167"/>
      <c r="AQ174" s="167" t="s">
        <v>117</v>
      </c>
      <c r="AR174" s="248">
        <v>10000000</v>
      </c>
      <c r="AS174" s="165" t="s">
        <v>156</v>
      </c>
      <c r="AT174" s="165" t="s">
        <v>4272</v>
      </c>
      <c r="AU174" s="6" t="s">
        <v>4269</v>
      </c>
      <c r="AV174" s="167"/>
      <c r="AW174" s="167"/>
      <c r="AX174" s="167"/>
      <c r="AY174" s="249"/>
      <c r="AZ174" s="167"/>
      <c r="BA174" s="167"/>
      <c r="BB174" s="167"/>
      <c r="BC174" s="167"/>
      <c r="BD174" s="167"/>
      <c r="BE174" s="167"/>
      <c r="BF174" s="249"/>
      <c r="BG174" s="167"/>
      <c r="BH174" s="167"/>
      <c r="BI174" s="167"/>
      <c r="BJ174" s="167"/>
      <c r="BK174" s="167"/>
      <c r="BL174" s="167"/>
      <c r="BM174" s="249"/>
      <c r="BN174" s="167"/>
      <c r="BO174" s="167"/>
      <c r="BP174" s="167"/>
      <c r="BQ174" s="167"/>
      <c r="BR174" s="586" t="s">
        <v>3190</v>
      </c>
      <c r="BS174" s="8"/>
      <c r="BT174" s="171"/>
      <c r="BU174" s="167"/>
      <c r="BV174" s="167"/>
      <c r="BW174" s="167"/>
      <c r="BX174" s="167"/>
      <c r="BY174" s="167"/>
      <c r="BZ174" s="167"/>
      <c r="CA174" s="167"/>
      <c r="CB174" s="167"/>
      <c r="CC174" s="167"/>
      <c r="CD174" s="167"/>
      <c r="CE174" s="167"/>
      <c r="CF174" s="167"/>
      <c r="CG174" s="167"/>
      <c r="CH174" s="167"/>
      <c r="CI174" s="167"/>
      <c r="CJ174" s="167"/>
      <c r="CK174" s="167"/>
      <c r="CL174" s="167"/>
      <c r="CM174" s="167"/>
      <c r="CN174" s="167"/>
      <c r="CO174" s="167"/>
      <c r="CP174" s="147"/>
      <c r="CQ174" s="147"/>
      <c r="CR174" s="147"/>
      <c r="CS174" s="147"/>
    </row>
    <row r="175" spans="1:97" ht="24">
      <c r="A175" s="8">
        <v>11</v>
      </c>
      <c r="B175" s="143"/>
      <c r="C175" s="165"/>
      <c r="D175" s="166" t="s">
        <v>5644</v>
      </c>
      <c r="E175" s="165" t="s">
        <v>5633</v>
      </c>
      <c r="F175" s="135">
        <v>2025</v>
      </c>
      <c r="G175" s="135">
        <v>2025</v>
      </c>
      <c r="H175" s="135">
        <v>6</v>
      </c>
      <c r="I175" s="165"/>
      <c r="J175" s="465">
        <v>10000000</v>
      </c>
      <c r="K175" s="465">
        <v>10000000</v>
      </c>
      <c r="L175" s="165"/>
      <c r="M175" s="514"/>
      <c r="N175" s="165"/>
      <c r="O175" s="9" t="s">
        <v>3223</v>
      </c>
      <c r="P175" s="135"/>
      <c r="Q175" s="135" t="s">
        <v>3072</v>
      </c>
      <c r="R175" s="167"/>
      <c r="S175" s="171" t="s">
        <v>143</v>
      </c>
      <c r="T175" s="135"/>
      <c r="U175" s="245"/>
      <c r="V175" s="165" t="s">
        <v>5642</v>
      </c>
      <c r="W175" s="6" t="s">
        <v>4272</v>
      </c>
      <c r="X175" s="6" t="s">
        <v>4269</v>
      </c>
      <c r="Y175" s="15">
        <v>1093</v>
      </c>
      <c r="Z175" s="204" t="s">
        <v>4271</v>
      </c>
      <c r="AA175" s="167"/>
      <c r="AB175" s="167"/>
      <c r="AC175" s="167" t="s">
        <v>3124</v>
      </c>
      <c r="AD175" s="248">
        <v>10000000</v>
      </c>
      <c r="AE175" s="165" t="s">
        <v>156</v>
      </c>
      <c r="AF175" s="165" t="s">
        <v>4272</v>
      </c>
      <c r="AG175" s="6" t="s">
        <v>4269</v>
      </c>
      <c r="AH175" s="167"/>
      <c r="AI175" s="167"/>
      <c r="AJ175" s="167" t="s">
        <v>5544</v>
      </c>
      <c r="AK175" s="248">
        <v>10000000</v>
      </c>
      <c r="AL175" s="165" t="s">
        <v>166</v>
      </c>
      <c r="AM175" s="165" t="s">
        <v>4282</v>
      </c>
      <c r="AN175" s="6" t="s">
        <v>4269</v>
      </c>
      <c r="AO175" s="167"/>
      <c r="AP175" s="167"/>
      <c r="AQ175" s="167"/>
      <c r="AR175" s="249"/>
      <c r="AS175" s="167"/>
      <c r="AT175" s="167"/>
      <c r="AU175" s="167"/>
      <c r="AV175" s="167"/>
      <c r="AW175" s="167"/>
      <c r="AX175" s="167"/>
      <c r="AY175" s="249"/>
      <c r="AZ175" s="167"/>
      <c r="BA175" s="167"/>
      <c r="BB175" s="167"/>
      <c r="BC175" s="167"/>
      <c r="BD175" s="167"/>
      <c r="BE175" s="167"/>
      <c r="BF175" s="249"/>
      <c r="BG175" s="167"/>
      <c r="BH175" s="167"/>
      <c r="BI175" s="167"/>
      <c r="BJ175" s="167"/>
      <c r="BK175" s="167"/>
      <c r="BL175" s="167"/>
      <c r="BM175" s="249"/>
      <c r="BN175" s="167"/>
      <c r="BO175" s="167"/>
      <c r="BP175" s="167"/>
      <c r="BQ175" s="167"/>
      <c r="BR175" s="586" t="s">
        <v>3190</v>
      </c>
      <c r="BS175" s="8"/>
      <c r="BT175" s="171"/>
      <c r="BU175" s="167"/>
      <c r="BV175" s="167"/>
      <c r="BW175" s="167"/>
      <c r="BX175" s="167"/>
      <c r="BY175" s="167"/>
      <c r="BZ175" s="167"/>
      <c r="CA175" s="167"/>
      <c r="CB175" s="167"/>
      <c r="CC175" s="167"/>
      <c r="CD175" s="167"/>
      <c r="CE175" s="167"/>
      <c r="CF175" s="167"/>
      <c r="CG175" s="167"/>
      <c r="CH175" s="167"/>
      <c r="CI175" s="167"/>
      <c r="CJ175" s="167"/>
      <c r="CK175" s="167"/>
      <c r="CL175" s="167"/>
      <c r="CM175" s="167"/>
      <c r="CN175" s="167"/>
      <c r="CO175" s="167"/>
      <c r="CP175" s="147"/>
      <c r="CQ175" s="147"/>
      <c r="CR175" s="147"/>
      <c r="CS175" s="147"/>
    </row>
    <row r="176" spans="1:97" ht="36">
      <c r="A176" s="8">
        <v>12</v>
      </c>
      <c r="B176" s="252"/>
      <c r="C176" s="587"/>
      <c r="D176" s="588" t="s">
        <v>5645</v>
      </c>
      <c r="E176" s="587" t="s">
        <v>5633</v>
      </c>
      <c r="F176" s="135">
        <v>2025</v>
      </c>
      <c r="G176" s="135">
        <v>2025</v>
      </c>
      <c r="H176" s="589">
        <v>6</v>
      </c>
      <c r="I176" s="587"/>
      <c r="J176" s="590">
        <v>10000000</v>
      </c>
      <c r="K176" s="590">
        <v>10000000</v>
      </c>
      <c r="L176" s="587"/>
      <c r="M176" s="591"/>
      <c r="N176" s="587"/>
      <c r="O176" s="9" t="s">
        <v>3223</v>
      </c>
      <c r="P176" s="589"/>
      <c r="Q176" s="135" t="s">
        <v>3072</v>
      </c>
      <c r="R176" s="497"/>
      <c r="S176" s="592" t="s">
        <v>3112</v>
      </c>
      <c r="T176" s="589"/>
      <c r="U176" s="594"/>
      <c r="V176" s="587" t="s">
        <v>5624</v>
      </c>
      <c r="W176" s="6" t="s">
        <v>3224</v>
      </c>
      <c r="X176" s="6" t="s">
        <v>4269</v>
      </c>
      <c r="Y176" s="15">
        <v>1093</v>
      </c>
      <c r="Z176" s="204" t="s">
        <v>4271</v>
      </c>
      <c r="AA176" s="497"/>
      <c r="AB176" s="497"/>
      <c r="AC176" s="497" t="s">
        <v>3126</v>
      </c>
      <c r="AD176" s="248">
        <v>10000000</v>
      </c>
      <c r="AE176" s="587" t="s">
        <v>155</v>
      </c>
      <c r="AF176" s="165" t="s">
        <v>3224</v>
      </c>
      <c r="AG176" s="165" t="s">
        <v>4269</v>
      </c>
      <c r="AH176" s="497"/>
      <c r="AI176" s="497"/>
      <c r="AJ176" s="497" t="s">
        <v>4666</v>
      </c>
      <c r="AK176" s="248">
        <v>10000000</v>
      </c>
      <c r="AL176" s="165" t="s">
        <v>166</v>
      </c>
      <c r="AM176" s="165" t="s">
        <v>4282</v>
      </c>
      <c r="AN176" s="6" t="s">
        <v>4269</v>
      </c>
      <c r="AO176" s="497"/>
      <c r="AP176" s="497"/>
      <c r="AQ176" s="497"/>
      <c r="AR176" s="596"/>
      <c r="AS176" s="497"/>
      <c r="AT176" s="497"/>
      <c r="AU176" s="497"/>
      <c r="AV176" s="497"/>
      <c r="AW176" s="497"/>
      <c r="AX176" s="497"/>
      <c r="AY176" s="596"/>
      <c r="AZ176" s="497"/>
      <c r="BA176" s="497"/>
      <c r="BB176" s="497"/>
      <c r="BC176" s="497"/>
      <c r="BD176" s="497"/>
      <c r="BE176" s="497"/>
      <c r="BF176" s="596"/>
      <c r="BG176" s="497"/>
      <c r="BH176" s="497"/>
      <c r="BI176" s="497"/>
      <c r="BJ176" s="497"/>
      <c r="BK176" s="497"/>
      <c r="BL176" s="497"/>
      <c r="BM176" s="596"/>
      <c r="BN176" s="497"/>
      <c r="BO176" s="497"/>
      <c r="BP176" s="497"/>
      <c r="BQ176" s="497"/>
      <c r="BR176" s="586" t="s">
        <v>3190</v>
      </c>
      <c r="BS176" s="22"/>
      <c r="BT176" s="592"/>
      <c r="BU176" s="497"/>
      <c r="BV176" s="497"/>
      <c r="BW176" s="497"/>
      <c r="BX176" s="497"/>
      <c r="BY176" s="497"/>
      <c r="BZ176" s="497"/>
      <c r="CA176" s="497"/>
      <c r="CB176" s="497"/>
      <c r="CC176" s="497"/>
      <c r="CD176" s="497"/>
      <c r="CE176" s="497"/>
      <c r="CF176" s="497"/>
      <c r="CG176" s="497"/>
      <c r="CH176" s="497"/>
      <c r="CI176" s="497"/>
      <c r="CJ176" s="497"/>
      <c r="CK176" s="497"/>
      <c r="CL176" s="497"/>
      <c r="CM176" s="497"/>
      <c r="CN176" s="497"/>
      <c r="CO176" s="497"/>
    </row>
    <row r="177" spans="1:93" ht="24">
      <c r="A177" s="8">
        <v>13</v>
      </c>
      <c r="B177" s="143"/>
      <c r="C177" s="165"/>
      <c r="D177" s="166" t="s">
        <v>5646</v>
      </c>
      <c r="E177" s="165" t="s">
        <v>5633</v>
      </c>
      <c r="F177" s="135">
        <v>2025</v>
      </c>
      <c r="G177" s="135">
        <v>2025</v>
      </c>
      <c r="H177" s="135">
        <v>6</v>
      </c>
      <c r="I177" s="165"/>
      <c r="J177" s="465">
        <v>10000000</v>
      </c>
      <c r="K177" s="465">
        <v>10000000</v>
      </c>
      <c r="L177" s="165"/>
      <c r="M177" s="514"/>
      <c r="N177" s="165"/>
      <c r="O177" s="9" t="s">
        <v>3223</v>
      </c>
      <c r="P177" s="135"/>
      <c r="Q177" s="135" t="s">
        <v>3072</v>
      </c>
      <c r="R177" s="167"/>
      <c r="S177" s="171" t="s">
        <v>4875</v>
      </c>
      <c r="T177" s="135"/>
      <c r="U177" s="245"/>
      <c r="V177" s="165" t="s">
        <v>5636</v>
      </c>
      <c r="W177" s="6" t="s">
        <v>4449</v>
      </c>
      <c r="X177" s="6" t="s">
        <v>4269</v>
      </c>
      <c r="Y177" s="15">
        <v>1093</v>
      </c>
      <c r="Z177" s="204" t="s">
        <v>4271</v>
      </c>
      <c r="AA177" s="167"/>
      <c r="AB177" s="167"/>
      <c r="AC177" s="167" t="s">
        <v>5638</v>
      </c>
      <c r="AD177" s="248"/>
      <c r="AE177" s="165"/>
      <c r="AF177" s="165"/>
      <c r="AG177" s="165"/>
      <c r="AH177" s="167"/>
      <c r="AI177" s="167"/>
      <c r="AJ177" s="167" t="s">
        <v>145</v>
      </c>
      <c r="AK177" s="248">
        <v>10000000</v>
      </c>
      <c r="AL177" s="165" t="s">
        <v>169</v>
      </c>
      <c r="AM177" s="165" t="s">
        <v>4449</v>
      </c>
      <c r="AN177" s="165" t="s">
        <v>4269</v>
      </c>
      <c r="AO177" s="167"/>
      <c r="AP177" s="167"/>
      <c r="AQ177" s="167"/>
      <c r="AR177" s="249"/>
      <c r="AS177" s="167"/>
      <c r="AT177" s="167"/>
      <c r="AU177" s="167"/>
      <c r="AV177" s="167"/>
      <c r="AW177" s="167"/>
      <c r="AX177" s="167"/>
      <c r="AY177" s="249"/>
      <c r="AZ177" s="167"/>
      <c r="BA177" s="167"/>
      <c r="BB177" s="167"/>
      <c r="BC177" s="167"/>
      <c r="BD177" s="167"/>
      <c r="BE177" s="167"/>
      <c r="BF177" s="249"/>
      <c r="BG177" s="167"/>
      <c r="BH177" s="167"/>
      <c r="BI177" s="167"/>
      <c r="BJ177" s="167"/>
      <c r="BK177" s="167"/>
      <c r="BL177" s="167"/>
      <c r="BM177" s="249"/>
      <c r="BN177" s="167"/>
      <c r="BO177" s="167"/>
      <c r="BP177" s="167"/>
      <c r="BQ177" s="167"/>
      <c r="BR177" s="586" t="s">
        <v>3190</v>
      </c>
      <c r="BS177" s="8"/>
      <c r="BT177" s="171"/>
      <c r="BU177" s="167"/>
      <c r="BV177" s="167"/>
      <c r="BW177" s="167"/>
      <c r="BX177" s="167"/>
      <c r="BY177" s="167"/>
      <c r="BZ177" s="167"/>
      <c r="CA177" s="167"/>
      <c r="CB177" s="167"/>
      <c r="CC177" s="167"/>
      <c r="CD177" s="167"/>
      <c r="CE177" s="167"/>
      <c r="CF177" s="167"/>
      <c r="CG177" s="167"/>
      <c r="CH177" s="167"/>
      <c r="CI177" s="167"/>
      <c r="CJ177" s="167"/>
      <c r="CK177" s="167"/>
      <c r="CL177" s="167"/>
      <c r="CM177" s="167"/>
      <c r="CN177" s="167"/>
      <c r="CO177" s="167"/>
    </row>
    <row r="178" spans="1:93" ht="24">
      <c r="A178" s="8">
        <v>14</v>
      </c>
      <c r="B178" s="143"/>
      <c r="C178" s="165"/>
      <c r="D178" s="166" t="s">
        <v>5647</v>
      </c>
      <c r="E178" s="165" t="s">
        <v>5633</v>
      </c>
      <c r="F178" s="135">
        <v>2025</v>
      </c>
      <c r="G178" s="135">
        <v>2025</v>
      </c>
      <c r="H178" s="135">
        <v>6</v>
      </c>
      <c r="I178" s="165"/>
      <c r="J178" s="465">
        <v>10000000</v>
      </c>
      <c r="K178" s="465">
        <v>10000000</v>
      </c>
      <c r="L178" s="165"/>
      <c r="M178" s="514"/>
      <c r="N178" s="165"/>
      <c r="O178" s="9" t="s">
        <v>3223</v>
      </c>
      <c r="P178" s="135"/>
      <c r="Q178" s="135" t="s">
        <v>3072</v>
      </c>
      <c r="R178" s="167"/>
      <c r="S178" s="171" t="s">
        <v>4379</v>
      </c>
      <c r="T178" s="135"/>
      <c r="U178" s="245"/>
      <c r="V178" s="165" t="s">
        <v>5636</v>
      </c>
      <c r="W178" s="6" t="s">
        <v>4449</v>
      </c>
      <c r="X178" s="6" t="s">
        <v>4269</v>
      </c>
      <c r="Y178" s="15">
        <v>1093</v>
      </c>
      <c r="Z178" s="204" t="s">
        <v>4271</v>
      </c>
      <c r="AA178" s="167"/>
      <c r="AB178" s="167"/>
      <c r="AC178" s="167" t="s">
        <v>5571</v>
      </c>
      <c r="AD178" s="248">
        <v>10000000</v>
      </c>
      <c r="AE178" s="165" t="s">
        <v>169</v>
      </c>
      <c r="AF178" s="165" t="s">
        <v>4449</v>
      </c>
      <c r="AG178" s="165" t="s">
        <v>4269</v>
      </c>
      <c r="AH178" s="167"/>
      <c r="AI178" s="167"/>
      <c r="AJ178" s="167" t="s">
        <v>4383</v>
      </c>
      <c r="AK178" s="248">
        <v>10000000</v>
      </c>
      <c r="AL178" s="165" t="s">
        <v>166</v>
      </c>
      <c r="AM178" s="165" t="s">
        <v>4282</v>
      </c>
      <c r="AN178" s="6" t="s">
        <v>4269</v>
      </c>
      <c r="AO178" s="167"/>
      <c r="AP178" s="167"/>
      <c r="AQ178" s="167" t="s">
        <v>4381</v>
      </c>
      <c r="AR178" s="248">
        <v>10000000</v>
      </c>
      <c r="AS178" s="165" t="s">
        <v>169</v>
      </c>
      <c r="AT178" s="165" t="s">
        <v>4449</v>
      </c>
      <c r="AU178" s="165" t="s">
        <v>4269</v>
      </c>
      <c r="AV178" s="167"/>
      <c r="AW178" s="167"/>
      <c r="AX178" s="167"/>
      <c r="AY178" s="249"/>
      <c r="AZ178" s="167"/>
      <c r="BA178" s="167"/>
      <c r="BB178" s="167"/>
      <c r="BC178" s="167"/>
      <c r="BD178" s="167"/>
      <c r="BE178" s="167"/>
      <c r="BF178" s="249"/>
      <c r="BG178" s="167"/>
      <c r="BH178" s="167"/>
      <c r="BI178" s="167"/>
      <c r="BJ178" s="167"/>
      <c r="BK178" s="167"/>
      <c r="BL178" s="167"/>
      <c r="BM178" s="249"/>
      <c r="BN178" s="167"/>
      <c r="BO178" s="167"/>
      <c r="BP178" s="167"/>
      <c r="BQ178" s="167"/>
      <c r="BR178" s="586" t="s">
        <v>3190</v>
      </c>
      <c r="BS178" s="8"/>
      <c r="BT178" s="171"/>
      <c r="BU178" s="167"/>
      <c r="BV178" s="167"/>
      <c r="BW178" s="167"/>
      <c r="BX178" s="167"/>
      <c r="BY178" s="167"/>
      <c r="BZ178" s="167"/>
      <c r="CA178" s="167"/>
      <c r="CB178" s="167"/>
      <c r="CC178" s="167"/>
      <c r="CD178" s="167"/>
      <c r="CE178" s="167"/>
      <c r="CF178" s="167"/>
      <c r="CG178" s="167"/>
      <c r="CH178" s="167"/>
      <c r="CI178" s="167"/>
      <c r="CJ178" s="167"/>
      <c r="CK178" s="167"/>
      <c r="CL178" s="167"/>
      <c r="CM178" s="167"/>
      <c r="CN178" s="167"/>
      <c r="CO178" s="167"/>
    </row>
    <row r="179" spans="1:93" ht="48">
      <c r="A179" s="8">
        <v>15</v>
      </c>
      <c r="B179" s="143"/>
      <c r="C179" s="165"/>
      <c r="D179" s="166" t="s">
        <v>5648</v>
      </c>
      <c r="E179" s="165" t="s">
        <v>5633</v>
      </c>
      <c r="F179" s="135">
        <v>2025</v>
      </c>
      <c r="G179" s="135">
        <v>2025</v>
      </c>
      <c r="H179" s="135">
        <v>6</v>
      </c>
      <c r="I179" s="165"/>
      <c r="J179" s="465">
        <v>10000000</v>
      </c>
      <c r="K179" s="465">
        <v>10000000</v>
      </c>
      <c r="L179" s="165"/>
      <c r="M179" s="514"/>
      <c r="N179" s="165"/>
      <c r="O179" s="9" t="s">
        <v>3223</v>
      </c>
      <c r="P179" s="135"/>
      <c r="Q179" s="135" t="s">
        <v>3072</v>
      </c>
      <c r="R179" s="167"/>
      <c r="S179" s="171" t="s">
        <v>5528</v>
      </c>
      <c r="T179" s="135"/>
      <c r="U179" s="245"/>
      <c r="V179" s="165" t="s">
        <v>5649</v>
      </c>
      <c r="W179" s="6" t="s">
        <v>4282</v>
      </c>
      <c r="X179" s="6" t="s">
        <v>4269</v>
      </c>
      <c r="Y179" s="15">
        <v>1093</v>
      </c>
      <c r="Z179" s="204" t="s">
        <v>4271</v>
      </c>
      <c r="AA179" s="167"/>
      <c r="AB179" s="167"/>
      <c r="AC179" s="167" t="s">
        <v>3128</v>
      </c>
      <c r="AD179" s="248">
        <v>10000000</v>
      </c>
      <c r="AE179" s="165" t="s">
        <v>5649</v>
      </c>
      <c r="AF179" s="6" t="s">
        <v>4282</v>
      </c>
      <c r="AG179" s="6" t="s">
        <v>4269</v>
      </c>
      <c r="AH179" s="167"/>
      <c r="AI179" s="167"/>
      <c r="AJ179" s="167" t="s">
        <v>4545</v>
      </c>
      <c r="AK179" s="248">
        <v>10000000</v>
      </c>
      <c r="AL179" s="165" t="s">
        <v>156</v>
      </c>
      <c r="AM179" s="165" t="s">
        <v>4272</v>
      </c>
      <c r="AN179" s="6" t="s">
        <v>4269</v>
      </c>
      <c r="AO179" s="167"/>
      <c r="AP179" s="167"/>
      <c r="AQ179" s="167" t="s">
        <v>4839</v>
      </c>
      <c r="AR179" s="248">
        <v>10000000</v>
      </c>
      <c r="AS179" s="165" t="s">
        <v>166</v>
      </c>
      <c r="AT179" s="165" t="s">
        <v>4282</v>
      </c>
      <c r="AU179" s="6" t="s">
        <v>4269</v>
      </c>
      <c r="AV179" s="167"/>
      <c r="AW179" s="167"/>
      <c r="AX179" s="167" t="s">
        <v>4694</v>
      </c>
      <c r="AY179" s="248">
        <v>10000000</v>
      </c>
      <c r="AZ179" s="165" t="s">
        <v>166</v>
      </c>
      <c r="BA179" s="165" t="s">
        <v>4282</v>
      </c>
      <c r="BB179" s="6" t="s">
        <v>4269</v>
      </c>
      <c r="BC179" s="167"/>
      <c r="BD179" s="167"/>
      <c r="BE179" s="167"/>
      <c r="BF179" s="249"/>
      <c r="BG179" s="167"/>
      <c r="BH179" s="167"/>
      <c r="BI179" s="167"/>
      <c r="BJ179" s="167"/>
      <c r="BK179" s="167"/>
      <c r="BL179" s="167"/>
      <c r="BM179" s="249"/>
      <c r="BN179" s="167"/>
      <c r="BO179" s="167"/>
      <c r="BP179" s="167"/>
      <c r="BQ179" s="167"/>
      <c r="BR179" s="586" t="s">
        <v>3190</v>
      </c>
      <c r="BS179" s="8"/>
      <c r="BT179" s="171"/>
      <c r="BU179" s="167"/>
      <c r="BV179" s="167"/>
      <c r="BW179" s="167"/>
      <c r="BX179" s="167"/>
      <c r="BY179" s="167"/>
      <c r="BZ179" s="167"/>
      <c r="CA179" s="167"/>
      <c r="CB179" s="167"/>
      <c r="CC179" s="167"/>
      <c r="CD179" s="167"/>
      <c r="CE179" s="167"/>
      <c r="CF179" s="167"/>
      <c r="CG179" s="167"/>
      <c r="CH179" s="167"/>
      <c r="CI179" s="167"/>
      <c r="CJ179" s="167"/>
      <c r="CK179" s="167"/>
      <c r="CL179" s="167"/>
      <c r="CM179" s="167"/>
      <c r="CN179" s="167"/>
      <c r="CO179" s="167"/>
    </row>
    <row r="180" spans="1:93" ht="36">
      <c r="A180" s="8">
        <v>16</v>
      </c>
      <c r="B180" s="143"/>
      <c r="C180" s="165"/>
      <c r="D180" s="166" t="s">
        <v>5650</v>
      </c>
      <c r="E180" s="165" t="s">
        <v>5633</v>
      </c>
      <c r="F180" s="135">
        <v>2025</v>
      </c>
      <c r="G180" s="135">
        <v>2025</v>
      </c>
      <c r="H180" s="135">
        <v>6</v>
      </c>
      <c r="I180" s="165"/>
      <c r="J180" s="465">
        <v>10000000</v>
      </c>
      <c r="K180" s="465">
        <v>10000000</v>
      </c>
      <c r="L180" s="165"/>
      <c r="M180" s="514"/>
      <c r="N180" s="165"/>
      <c r="O180" s="9" t="s">
        <v>3223</v>
      </c>
      <c r="P180" s="135"/>
      <c r="Q180" s="135" t="s">
        <v>3072</v>
      </c>
      <c r="R180" s="167"/>
      <c r="S180" s="171" t="s">
        <v>2056</v>
      </c>
      <c r="T180" s="135"/>
      <c r="U180" s="245"/>
      <c r="V180" s="165" t="s">
        <v>5651</v>
      </c>
      <c r="W180" s="6" t="s">
        <v>4282</v>
      </c>
      <c r="X180" s="6" t="s">
        <v>4269</v>
      </c>
      <c r="Y180" s="15">
        <v>1093</v>
      </c>
      <c r="Z180" s="204" t="s">
        <v>4271</v>
      </c>
      <c r="AA180" s="167"/>
      <c r="AB180" s="167"/>
      <c r="AC180" s="167" t="s">
        <v>4737</v>
      </c>
      <c r="AD180" s="248">
        <v>10000000</v>
      </c>
      <c r="AE180" s="165"/>
      <c r="AF180" s="165"/>
      <c r="AG180" s="165"/>
      <c r="AH180" s="167"/>
      <c r="AI180" s="167"/>
      <c r="AJ180" s="167" t="s">
        <v>4562</v>
      </c>
      <c r="AK180" s="248">
        <v>10000000</v>
      </c>
      <c r="AL180" s="165" t="s">
        <v>160</v>
      </c>
      <c r="AM180" s="165" t="s">
        <v>4282</v>
      </c>
      <c r="AN180" s="6" t="s">
        <v>4269</v>
      </c>
      <c r="AO180" s="167"/>
      <c r="AP180" s="167"/>
      <c r="AQ180" s="167"/>
      <c r="AR180" s="249"/>
      <c r="AS180" s="167"/>
      <c r="AT180" s="167"/>
      <c r="AU180" s="167"/>
      <c r="AV180" s="167"/>
      <c r="AW180" s="167"/>
      <c r="AX180" s="167"/>
      <c r="AY180" s="249"/>
      <c r="AZ180" s="167"/>
      <c r="BA180" s="167"/>
      <c r="BB180" s="167"/>
      <c r="BC180" s="167"/>
      <c r="BD180" s="167"/>
      <c r="BE180" s="167"/>
      <c r="BF180" s="249"/>
      <c r="BG180" s="167"/>
      <c r="BH180" s="167"/>
      <c r="BI180" s="167"/>
      <c r="BJ180" s="167"/>
      <c r="BK180" s="167"/>
      <c r="BL180" s="167"/>
      <c r="BM180" s="249"/>
      <c r="BN180" s="167"/>
      <c r="BO180" s="167"/>
      <c r="BP180" s="167"/>
      <c r="BQ180" s="167"/>
      <c r="BR180" s="586" t="s">
        <v>3190</v>
      </c>
      <c r="BS180" s="8"/>
      <c r="BT180" s="171"/>
      <c r="BU180" s="167"/>
      <c r="BV180" s="167"/>
      <c r="BW180" s="167"/>
      <c r="BX180" s="167"/>
      <c r="BY180" s="167"/>
      <c r="BZ180" s="167"/>
      <c r="CA180" s="167"/>
      <c r="CB180" s="167"/>
      <c r="CC180" s="167"/>
      <c r="CD180" s="167"/>
      <c r="CE180" s="167"/>
      <c r="CF180" s="167"/>
      <c r="CG180" s="167"/>
      <c r="CH180" s="167"/>
      <c r="CI180" s="167"/>
      <c r="CJ180" s="167"/>
      <c r="CK180" s="167"/>
      <c r="CL180" s="167"/>
      <c r="CM180" s="167"/>
      <c r="CN180" s="167"/>
      <c r="CO180" s="167"/>
    </row>
    <row r="181" spans="1:93" ht="24">
      <c r="A181" s="8">
        <v>17</v>
      </c>
      <c r="B181" s="143"/>
      <c r="C181" s="165"/>
      <c r="D181" s="166" t="s">
        <v>5652</v>
      </c>
      <c r="E181" s="165" t="s">
        <v>5633</v>
      </c>
      <c r="F181" s="135">
        <v>2025</v>
      </c>
      <c r="G181" s="135">
        <v>2025</v>
      </c>
      <c r="H181" s="135">
        <v>6</v>
      </c>
      <c r="I181" s="165"/>
      <c r="J181" s="465">
        <v>10000000</v>
      </c>
      <c r="K181" s="465">
        <v>10000000</v>
      </c>
      <c r="L181" s="165"/>
      <c r="M181" s="514"/>
      <c r="N181" s="165"/>
      <c r="O181" s="9" t="s">
        <v>3223</v>
      </c>
      <c r="P181" s="135"/>
      <c r="Q181" s="135" t="s">
        <v>3072</v>
      </c>
      <c r="R181" s="167"/>
      <c r="S181" s="171" t="s">
        <v>5571</v>
      </c>
      <c r="T181" s="135"/>
      <c r="U181" s="245"/>
      <c r="V181" s="165" t="s">
        <v>5636</v>
      </c>
      <c r="W181" s="6" t="s">
        <v>4449</v>
      </c>
      <c r="X181" s="6" t="s">
        <v>4269</v>
      </c>
      <c r="Y181" s="15">
        <v>1093</v>
      </c>
      <c r="Z181" s="204" t="s">
        <v>4271</v>
      </c>
      <c r="AA181" s="167"/>
      <c r="AB181" s="167"/>
      <c r="AC181" s="167" t="s">
        <v>5569</v>
      </c>
      <c r="AD181" s="248">
        <v>10000000</v>
      </c>
      <c r="AE181" s="165" t="s">
        <v>169</v>
      </c>
      <c r="AF181" s="165" t="s">
        <v>4449</v>
      </c>
      <c r="AG181" s="165" t="s">
        <v>4269</v>
      </c>
      <c r="AH181" s="167"/>
      <c r="AI181" s="167"/>
      <c r="AJ181" s="167" t="s">
        <v>5518</v>
      </c>
      <c r="AK181" s="248">
        <v>10000000</v>
      </c>
      <c r="AL181" s="165" t="s">
        <v>169</v>
      </c>
      <c r="AM181" s="165" t="s">
        <v>4449</v>
      </c>
      <c r="AN181" s="165" t="s">
        <v>4269</v>
      </c>
      <c r="AO181" s="167"/>
      <c r="AP181" s="167"/>
      <c r="AQ181" s="167"/>
      <c r="AR181" s="249"/>
      <c r="AS181" s="167"/>
      <c r="AT181" s="167"/>
      <c r="AU181" s="167"/>
      <c r="AV181" s="167"/>
      <c r="AW181" s="167"/>
      <c r="AX181" s="167"/>
      <c r="AY181" s="249"/>
      <c r="AZ181" s="167"/>
      <c r="BA181" s="167"/>
      <c r="BB181" s="167"/>
      <c r="BC181" s="167"/>
      <c r="BD181" s="167"/>
      <c r="BE181" s="167"/>
      <c r="BF181" s="249"/>
      <c r="BG181" s="167"/>
      <c r="BH181" s="167"/>
      <c r="BI181" s="167"/>
      <c r="BJ181" s="167"/>
      <c r="BK181" s="167"/>
      <c r="BL181" s="167"/>
      <c r="BM181" s="249"/>
      <c r="BN181" s="167"/>
      <c r="BO181" s="167"/>
      <c r="BP181" s="167"/>
      <c r="BQ181" s="167"/>
      <c r="BR181" s="586" t="s">
        <v>3190</v>
      </c>
      <c r="BS181" s="8"/>
      <c r="BT181" s="171"/>
      <c r="BU181" s="167"/>
      <c r="BV181" s="167"/>
      <c r="BW181" s="167"/>
      <c r="BX181" s="167"/>
      <c r="BY181" s="167"/>
      <c r="BZ181" s="167"/>
      <c r="CA181" s="167"/>
      <c r="CB181" s="167"/>
      <c r="CC181" s="167"/>
      <c r="CD181" s="167"/>
      <c r="CE181" s="167"/>
      <c r="CF181" s="167"/>
      <c r="CG181" s="167"/>
      <c r="CH181" s="167"/>
      <c r="CI181" s="167"/>
      <c r="CJ181" s="167"/>
      <c r="CK181" s="167"/>
      <c r="CL181" s="167"/>
      <c r="CM181" s="167"/>
      <c r="CN181" s="167"/>
      <c r="CO181" s="167"/>
    </row>
    <row r="182" spans="1:93" ht="24">
      <c r="A182" s="8">
        <v>18</v>
      </c>
      <c r="B182" s="143"/>
      <c r="C182" s="165"/>
      <c r="D182" s="166" t="s">
        <v>5653</v>
      </c>
      <c r="E182" s="165" t="s">
        <v>5633</v>
      </c>
      <c r="F182" s="135">
        <v>2025</v>
      </c>
      <c r="G182" s="135">
        <v>2025</v>
      </c>
      <c r="H182" s="135">
        <v>6</v>
      </c>
      <c r="I182" s="165"/>
      <c r="J182" s="465">
        <v>10000000</v>
      </c>
      <c r="K182" s="465">
        <v>10000000</v>
      </c>
      <c r="L182" s="165"/>
      <c r="M182" s="514"/>
      <c r="N182" s="165"/>
      <c r="O182" s="9" t="s">
        <v>3223</v>
      </c>
      <c r="P182" s="135"/>
      <c r="Q182" s="135" t="s">
        <v>3072</v>
      </c>
      <c r="R182" s="167"/>
      <c r="S182" s="171" t="s">
        <v>4770</v>
      </c>
      <c r="T182" s="135"/>
      <c r="U182" s="245"/>
      <c r="V182" s="165" t="s">
        <v>5654</v>
      </c>
      <c r="W182" s="6" t="s">
        <v>4282</v>
      </c>
      <c r="X182" s="6" t="s">
        <v>4269</v>
      </c>
      <c r="Y182" s="15">
        <v>1093</v>
      </c>
      <c r="Z182" s="204" t="s">
        <v>4271</v>
      </c>
      <c r="AA182" s="167"/>
      <c r="AB182" s="167"/>
      <c r="AC182" s="167" t="s">
        <v>4305</v>
      </c>
      <c r="AD182" s="248">
        <v>10000000</v>
      </c>
      <c r="AE182" s="165" t="s">
        <v>160</v>
      </c>
      <c r="AF182" s="165" t="s">
        <v>4282</v>
      </c>
      <c r="AG182" s="6" t="s">
        <v>4269</v>
      </c>
      <c r="AH182" s="167"/>
      <c r="AI182" s="167"/>
      <c r="AJ182" s="167" t="s">
        <v>141</v>
      </c>
      <c r="AK182" s="248">
        <v>10000000</v>
      </c>
      <c r="AL182" s="165" t="s">
        <v>172</v>
      </c>
      <c r="AM182" s="165" t="s">
        <v>4282</v>
      </c>
      <c r="AN182" s="6" t="s">
        <v>4269</v>
      </c>
      <c r="AO182" s="167"/>
      <c r="AP182" s="167"/>
      <c r="AQ182" s="167"/>
      <c r="AR182" s="249"/>
      <c r="AS182" s="167"/>
      <c r="AT182" s="167"/>
      <c r="AU182" s="167"/>
      <c r="AV182" s="167"/>
      <c r="AW182" s="167"/>
      <c r="AX182" s="167"/>
      <c r="AY182" s="249"/>
      <c r="AZ182" s="167"/>
      <c r="BA182" s="167"/>
      <c r="BB182" s="167"/>
      <c r="BC182" s="167"/>
      <c r="BD182" s="167"/>
      <c r="BE182" s="167"/>
      <c r="BF182" s="249"/>
      <c r="BG182" s="167"/>
      <c r="BH182" s="167"/>
      <c r="BI182" s="167"/>
      <c r="BJ182" s="167"/>
      <c r="BK182" s="167"/>
      <c r="BL182" s="167"/>
      <c r="BM182" s="249"/>
      <c r="BN182" s="167"/>
      <c r="BO182" s="167"/>
      <c r="BP182" s="167"/>
      <c r="BQ182" s="167"/>
      <c r="BR182" s="586" t="s">
        <v>3190</v>
      </c>
      <c r="BS182" s="8"/>
      <c r="BT182" s="171"/>
      <c r="BU182" s="167"/>
      <c r="BV182" s="167"/>
      <c r="BW182" s="167"/>
      <c r="BX182" s="167"/>
      <c r="BY182" s="167"/>
      <c r="BZ182" s="167"/>
      <c r="CA182" s="167"/>
      <c r="CB182" s="167"/>
      <c r="CC182" s="167"/>
      <c r="CD182" s="167"/>
      <c r="CE182" s="167"/>
      <c r="CF182" s="167"/>
      <c r="CG182" s="167"/>
      <c r="CH182" s="167"/>
      <c r="CI182" s="167"/>
      <c r="CJ182" s="167"/>
      <c r="CK182" s="167"/>
      <c r="CL182" s="167"/>
      <c r="CM182" s="167"/>
      <c r="CN182" s="167"/>
      <c r="CO182" s="167"/>
    </row>
    <row r="183" spans="1:93" ht="24">
      <c r="A183" s="8">
        <v>19</v>
      </c>
      <c r="B183" s="143"/>
      <c r="C183" s="165"/>
      <c r="D183" s="166" t="s">
        <v>5655</v>
      </c>
      <c r="E183" s="165" t="s">
        <v>5633</v>
      </c>
      <c r="F183" s="135">
        <v>2025</v>
      </c>
      <c r="G183" s="135">
        <v>2025</v>
      </c>
      <c r="H183" s="135">
        <v>6</v>
      </c>
      <c r="I183" s="165"/>
      <c r="J183" s="465">
        <v>10000000</v>
      </c>
      <c r="K183" s="465">
        <v>10000000</v>
      </c>
      <c r="L183" s="165"/>
      <c r="M183" s="514"/>
      <c r="N183" s="165"/>
      <c r="O183" s="9" t="s">
        <v>3223</v>
      </c>
      <c r="P183" s="135"/>
      <c r="Q183" s="135" t="s">
        <v>3072</v>
      </c>
      <c r="R183" s="167"/>
      <c r="S183" s="171" t="s">
        <v>4593</v>
      </c>
      <c r="T183" s="135"/>
      <c r="U183" s="245"/>
      <c r="V183" s="165" t="s">
        <v>5642</v>
      </c>
      <c r="W183" s="6" t="s">
        <v>4272</v>
      </c>
      <c r="X183" s="6" t="s">
        <v>4269</v>
      </c>
      <c r="Y183" s="15">
        <v>1093</v>
      </c>
      <c r="Z183" s="204" t="s">
        <v>4271</v>
      </c>
      <c r="AA183" s="167"/>
      <c r="AB183" s="167"/>
      <c r="AC183" s="167" t="s">
        <v>4408</v>
      </c>
      <c r="AD183" s="248">
        <v>10000000</v>
      </c>
      <c r="AE183" s="165" t="s">
        <v>164</v>
      </c>
      <c r="AF183" s="165" t="s">
        <v>4272</v>
      </c>
      <c r="AG183" s="6" t="s">
        <v>4269</v>
      </c>
      <c r="AH183" s="167"/>
      <c r="AI183" s="167"/>
      <c r="AJ183" s="167" t="s">
        <v>4865</v>
      </c>
      <c r="AK183" s="248">
        <v>10000000</v>
      </c>
      <c r="AL183" s="165" t="s">
        <v>164</v>
      </c>
      <c r="AM183" s="165" t="s">
        <v>4272</v>
      </c>
      <c r="AN183" s="6" t="s">
        <v>4269</v>
      </c>
      <c r="AO183" s="167"/>
      <c r="AP183" s="167"/>
      <c r="AQ183" s="167"/>
      <c r="AR183" s="249"/>
      <c r="AS183" s="167"/>
      <c r="AT183" s="167"/>
      <c r="AU183" s="167"/>
      <c r="AV183" s="167"/>
      <c r="AW183" s="167"/>
      <c r="AX183" s="167"/>
      <c r="AY183" s="249"/>
      <c r="AZ183" s="167"/>
      <c r="BA183" s="167"/>
      <c r="BB183" s="167"/>
      <c r="BC183" s="167"/>
      <c r="BD183" s="167"/>
      <c r="BE183" s="167"/>
      <c r="BF183" s="249"/>
      <c r="BG183" s="167"/>
      <c r="BH183" s="167"/>
      <c r="BI183" s="167"/>
      <c r="BJ183" s="167"/>
      <c r="BK183" s="167"/>
      <c r="BL183" s="167"/>
      <c r="BM183" s="249"/>
      <c r="BN183" s="167"/>
      <c r="BO183" s="167"/>
      <c r="BP183" s="167"/>
      <c r="BQ183" s="167"/>
      <c r="BR183" s="586" t="s">
        <v>3190</v>
      </c>
      <c r="BS183" s="8"/>
      <c r="BT183" s="171"/>
      <c r="BU183" s="167"/>
      <c r="BV183" s="167"/>
      <c r="BW183" s="167"/>
      <c r="BX183" s="167"/>
      <c r="BY183" s="167"/>
      <c r="BZ183" s="167"/>
      <c r="CA183" s="167"/>
      <c r="CB183" s="167"/>
      <c r="CC183" s="167"/>
      <c r="CD183" s="167"/>
      <c r="CE183" s="167"/>
      <c r="CF183" s="167"/>
      <c r="CG183" s="167"/>
      <c r="CH183" s="167"/>
      <c r="CI183" s="167"/>
      <c r="CJ183" s="167"/>
      <c r="CK183" s="167"/>
      <c r="CL183" s="167"/>
      <c r="CM183" s="167"/>
      <c r="CN183" s="167"/>
      <c r="CO183" s="167"/>
    </row>
    <row r="184" spans="1:93" ht="24">
      <c r="A184" s="8">
        <v>20</v>
      </c>
      <c r="B184" s="143"/>
      <c r="C184" s="165"/>
      <c r="D184" s="166" t="s">
        <v>5656</v>
      </c>
      <c r="E184" s="165" t="s">
        <v>5633</v>
      </c>
      <c r="F184" s="135">
        <v>2025</v>
      </c>
      <c r="G184" s="135">
        <v>2025</v>
      </c>
      <c r="H184" s="135">
        <v>6</v>
      </c>
      <c r="I184" s="165"/>
      <c r="J184" s="465">
        <v>10000000</v>
      </c>
      <c r="K184" s="465">
        <v>10000000</v>
      </c>
      <c r="L184" s="165"/>
      <c r="M184" s="514"/>
      <c r="N184" s="165"/>
      <c r="O184" s="9" t="s">
        <v>3223</v>
      </c>
      <c r="P184" s="135"/>
      <c r="Q184" s="135" t="s">
        <v>3072</v>
      </c>
      <c r="R184" s="167"/>
      <c r="S184" s="171" t="s">
        <v>4280</v>
      </c>
      <c r="T184" s="135"/>
      <c r="U184" s="245"/>
      <c r="V184" s="165" t="s">
        <v>5624</v>
      </c>
      <c r="W184" s="6" t="s">
        <v>3224</v>
      </c>
      <c r="X184" s="6" t="s">
        <v>4269</v>
      </c>
      <c r="Y184" s="15">
        <v>1093</v>
      </c>
      <c r="Z184" s="204" t="s">
        <v>4271</v>
      </c>
      <c r="AA184" s="167"/>
      <c r="AB184" s="167"/>
      <c r="AC184" s="167" t="s">
        <v>4911</v>
      </c>
      <c r="AD184" s="248">
        <v>10000000</v>
      </c>
      <c r="AE184" s="165" t="s">
        <v>154</v>
      </c>
      <c r="AF184" s="165" t="s">
        <v>3224</v>
      </c>
      <c r="AG184" s="165" t="s">
        <v>4269</v>
      </c>
      <c r="AH184" s="167"/>
      <c r="AI184" s="167"/>
      <c r="AJ184" s="167" t="s">
        <v>4524</v>
      </c>
      <c r="AK184" s="248">
        <v>10000000</v>
      </c>
      <c r="AL184" s="165" t="s">
        <v>166</v>
      </c>
      <c r="AM184" s="165" t="s">
        <v>4282</v>
      </c>
      <c r="AN184" s="6" t="s">
        <v>4269</v>
      </c>
      <c r="AO184" s="167"/>
      <c r="AP184" s="167"/>
      <c r="AQ184" s="167"/>
      <c r="AR184" s="249"/>
      <c r="AS184" s="167"/>
      <c r="AT184" s="167"/>
      <c r="AU184" s="167"/>
      <c r="AV184" s="167"/>
      <c r="AW184" s="167"/>
      <c r="AX184" s="167"/>
      <c r="AY184" s="249"/>
      <c r="AZ184" s="167"/>
      <c r="BA184" s="167"/>
      <c r="BB184" s="167"/>
      <c r="BC184" s="167"/>
      <c r="BD184" s="167"/>
      <c r="BE184" s="167"/>
      <c r="BF184" s="249"/>
      <c r="BG184" s="167"/>
      <c r="BH184" s="167"/>
      <c r="BI184" s="167"/>
      <c r="BJ184" s="167"/>
      <c r="BK184" s="167"/>
      <c r="BL184" s="167"/>
      <c r="BM184" s="249"/>
      <c r="BN184" s="167"/>
      <c r="BO184" s="167"/>
      <c r="BP184" s="167"/>
      <c r="BQ184" s="167"/>
      <c r="BR184" s="586" t="s">
        <v>3190</v>
      </c>
      <c r="BS184" s="8"/>
      <c r="BT184" s="171"/>
      <c r="BU184" s="167"/>
      <c r="BV184" s="167"/>
      <c r="BW184" s="167"/>
      <c r="BX184" s="167"/>
      <c r="BY184" s="167"/>
      <c r="BZ184" s="167"/>
      <c r="CA184" s="167"/>
      <c r="CB184" s="167"/>
      <c r="CC184" s="167"/>
      <c r="CD184" s="167"/>
      <c r="CE184" s="167"/>
      <c r="CF184" s="167"/>
      <c r="CG184" s="167"/>
      <c r="CH184" s="167"/>
      <c r="CI184" s="167"/>
      <c r="CJ184" s="167"/>
      <c r="CK184" s="167"/>
      <c r="CL184" s="167"/>
      <c r="CM184" s="167"/>
      <c r="CN184" s="167"/>
      <c r="CO184" s="167"/>
    </row>
    <row r="185" spans="1:93" ht="48">
      <c r="A185" s="8">
        <v>21</v>
      </c>
      <c r="B185" s="143"/>
      <c r="C185" s="165"/>
      <c r="D185" s="166" t="s">
        <v>5657</v>
      </c>
      <c r="E185" s="165" t="s">
        <v>5633</v>
      </c>
      <c r="F185" s="135">
        <v>2025</v>
      </c>
      <c r="G185" s="135">
        <v>2025</v>
      </c>
      <c r="H185" s="135">
        <v>6</v>
      </c>
      <c r="I185" s="165"/>
      <c r="J185" s="465">
        <v>10000000</v>
      </c>
      <c r="K185" s="465">
        <v>10000000</v>
      </c>
      <c r="L185" s="165"/>
      <c r="M185" s="514"/>
      <c r="N185" s="165"/>
      <c r="O185" s="9" t="s">
        <v>3223</v>
      </c>
      <c r="P185" s="135"/>
      <c r="Q185" s="135" t="s">
        <v>3072</v>
      </c>
      <c r="R185" s="167"/>
      <c r="S185" s="171" t="s">
        <v>123</v>
      </c>
      <c r="T185" s="135"/>
      <c r="U185" s="245"/>
      <c r="V185" s="165" t="s">
        <v>5649</v>
      </c>
      <c r="W185" s="6" t="s">
        <v>4282</v>
      </c>
      <c r="X185" s="6" t="s">
        <v>4269</v>
      </c>
      <c r="Y185" s="15">
        <v>1093</v>
      </c>
      <c r="Z185" s="204" t="s">
        <v>4271</v>
      </c>
      <c r="AA185" s="167"/>
      <c r="AB185" s="167"/>
      <c r="AC185" s="167" t="s">
        <v>3128</v>
      </c>
      <c r="AD185" s="248">
        <v>10000000</v>
      </c>
      <c r="AE185" s="165" t="s">
        <v>166</v>
      </c>
      <c r="AF185" s="165" t="s">
        <v>4282</v>
      </c>
      <c r="AG185" s="165" t="s">
        <v>4269</v>
      </c>
      <c r="AH185" s="167"/>
      <c r="AI185" s="167"/>
      <c r="AJ185" s="167" t="s">
        <v>5547</v>
      </c>
      <c r="AK185" s="248">
        <v>10000000</v>
      </c>
      <c r="AL185" s="165" t="s">
        <v>166</v>
      </c>
      <c r="AM185" s="165" t="s">
        <v>4282</v>
      </c>
      <c r="AN185" s="165" t="s">
        <v>4269</v>
      </c>
      <c r="AO185" s="167"/>
      <c r="AP185" s="167"/>
      <c r="AQ185" s="167" t="s">
        <v>112</v>
      </c>
      <c r="AR185" s="248">
        <v>10000000</v>
      </c>
      <c r="AS185" s="165" t="s">
        <v>166</v>
      </c>
      <c r="AT185" s="165" t="s">
        <v>4282</v>
      </c>
      <c r="AU185" s="165" t="s">
        <v>4269</v>
      </c>
      <c r="AV185" s="167"/>
      <c r="AW185" s="167"/>
      <c r="AX185" s="167" t="s">
        <v>3111</v>
      </c>
      <c r="AY185" s="248">
        <v>10000000</v>
      </c>
      <c r="AZ185" s="165" t="s">
        <v>171</v>
      </c>
      <c r="BA185" s="165" t="s">
        <v>4272</v>
      </c>
      <c r="BB185" s="165" t="s">
        <v>4269</v>
      </c>
      <c r="BC185" s="167"/>
      <c r="BD185" s="167"/>
      <c r="BE185" s="167" t="s">
        <v>3111</v>
      </c>
      <c r="BF185" s="248">
        <v>10000000</v>
      </c>
      <c r="BG185" s="165" t="s">
        <v>166</v>
      </c>
      <c r="BH185" s="165" t="s">
        <v>4282</v>
      </c>
      <c r="BI185" s="165" t="s">
        <v>4269</v>
      </c>
      <c r="BJ185" s="167"/>
      <c r="BK185" s="167"/>
      <c r="BL185" s="167"/>
      <c r="BM185" s="249"/>
      <c r="BN185" s="167"/>
      <c r="BO185" s="167"/>
      <c r="BP185" s="167"/>
      <c r="BQ185" s="167"/>
      <c r="BR185" s="586" t="s">
        <v>3190</v>
      </c>
      <c r="BS185" s="8"/>
      <c r="BT185" s="171"/>
      <c r="BU185" s="167"/>
      <c r="BV185" s="167"/>
      <c r="BW185" s="167"/>
      <c r="BX185" s="167"/>
      <c r="BY185" s="167"/>
      <c r="BZ185" s="167"/>
      <c r="CA185" s="167"/>
      <c r="CB185" s="167"/>
      <c r="CC185" s="167"/>
      <c r="CD185" s="167"/>
      <c r="CE185" s="167"/>
      <c r="CF185" s="167"/>
      <c r="CG185" s="167"/>
      <c r="CH185" s="167"/>
      <c r="CI185" s="167"/>
      <c r="CJ185" s="167"/>
      <c r="CK185" s="167"/>
      <c r="CL185" s="167"/>
      <c r="CM185" s="167"/>
      <c r="CN185" s="167"/>
      <c r="CO185" s="167"/>
    </row>
    <row r="186" spans="1:93" ht="24">
      <c r="A186" s="8">
        <v>22</v>
      </c>
      <c r="B186" s="143"/>
      <c r="C186" s="165"/>
      <c r="D186" s="166" t="s">
        <v>5658</v>
      </c>
      <c r="E186" s="165" t="s">
        <v>5633</v>
      </c>
      <c r="F186" s="135">
        <v>2025</v>
      </c>
      <c r="G186" s="135">
        <v>2025</v>
      </c>
      <c r="H186" s="135">
        <v>6</v>
      </c>
      <c r="I186" s="165"/>
      <c r="J186" s="465">
        <v>10000000</v>
      </c>
      <c r="K186" s="465">
        <v>10000000</v>
      </c>
      <c r="L186" s="165"/>
      <c r="M186" s="514"/>
      <c r="N186" s="165"/>
      <c r="O186" s="9" t="s">
        <v>3223</v>
      </c>
      <c r="P186" s="135"/>
      <c r="Q186" s="135" t="s">
        <v>3072</v>
      </c>
      <c r="R186" s="167"/>
      <c r="S186" s="171" t="s">
        <v>4727</v>
      </c>
      <c r="T186" s="135"/>
      <c r="U186" s="245"/>
      <c r="V186" s="165" t="s">
        <v>5659</v>
      </c>
      <c r="W186" s="6" t="s">
        <v>4272</v>
      </c>
      <c r="X186" s="6" t="s">
        <v>4269</v>
      </c>
      <c r="Y186" s="15">
        <v>1093</v>
      </c>
      <c r="Z186" s="204" t="s">
        <v>4271</v>
      </c>
      <c r="AA186" s="167"/>
      <c r="AB186" s="167"/>
      <c r="AC186" s="167" t="s">
        <v>5660</v>
      </c>
      <c r="AD186" s="248">
        <v>10000000</v>
      </c>
      <c r="AE186" s="165"/>
      <c r="AF186" s="165"/>
      <c r="AG186" s="165"/>
      <c r="AH186" s="167"/>
      <c r="AI186" s="167"/>
      <c r="AJ186" s="167" t="s">
        <v>141</v>
      </c>
      <c r="AK186" s="248">
        <v>10000000</v>
      </c>
      <c r="AL186" s="165" t="s">
        <v>172</v>
      </c>
      <c r="AM186" s="165" t="s">
        <v>4282</v>
      </c>
      <c r="AN186" s="6" t="s">
        <v>4269</v>
      </c>
      <c r="AO186" s="167"/>
      <c r="AP186" s="167"/>
      <c r="AQ186" s="167" t="s">
        <v>4619</v>
      </c>
      <c r="AR186" s="248">
        <v>10000000</v>
      </c>
      <c r="AS186" s="165" t="s">
        <v>172</v>
      </c>
      <c r="AT186" s="165" t="s">
        <v>4282</v>
      </c>
      <c r="AU186" s="6" t="s">
        <v>4269</v>
      </c>
      <c r="AV186" s="167"/>
      <c r="AW186" s="167"/>
      <c r="AX186" s="167"/>
      <c r="AY186" s="249"/>
      <c r="AZ186" s="167"/>
      <c r="BA186" s="167"/>
      <c r="BB186" s="167"/>
      <c r="BC186" s="167"/>
      <c r="BD186" s="167"/>
      <c r="BE186" s="167"/>
      <c r="BF186" s="249"/>
      <c r="BG186" s="167"/>
      <c r="BH186" s="167"/>
      <c r="BI186" s="167"/>
      <c r="BJ186" s="167"/>
      <c r="BK186" s="167"/>
      <c r="BL186" s="167"/>
      <c r="BM186" s="249"/>
      <c r="BN186" s="167"/>
      <c r="BO186" s="167"/>
      <c r="BP186" s="167"/>
      <c r="BQ186" s="167"/>
      <c r="BR186" s="586" t="s">
        <v>3190</v>
      </c>
      <c r="BS186" s="8"/>
      <c r="BT186" s="171"/>
      <c r="BU186" s="167"/>
      <c r="BV186" s="167"/>
      <c r="BW186" s="167"/>
      <c r="BX186" s="167"/>
      <c r="BY186" s="167"/>
      <c r="BZ186" s="167"/>
      <c r="CA186" s="167"/>
      <c r="CB186" s="167"/>
      <c r="CC186" s="167"/>
      <c r="CD186" s="167"/>
      <c r="CE186" s="167"/>
      <c r="CF186" s="167"/>
      <c r="CG186" s="167"/>
      <c r="CH186" s="167"/>
      <c r="CI186" s="167"/>
      <c r="CJ186" s="167"/>
      <c r="CK186" s="167"/>
      <c r="CL186" s="167"/>
      <c r="CM186" s="167"/>
      <c r="CN186" s="167"/>
      <c r="CO186" s="167"/>
    </row>
    <row r="187" spans="1:93" ht="24">
      <c r="A187" s="8">
        <v>23</v>
      </c>
      <c r="B187" s="143"/>
      <c r="C187" s="165"/>
      <c r="D187" s="166" t="s">
        <v>5661</v>
      </c>
      <c r="E187" s="165" t="s">
        <v>5633</v>
      </c>
      <c r="F187" s="135">
        <v>2025</v>
      </c>
      <c r="G187" s="135">
        <v>2025</v>
      </c>
      <c r="H187" s="135">
        <v>6</v>
      </c>
      <c r="I187" s="165"/>
      <c r="J187" s="465">
        <v>9795000</v>
      </c>
      <c r="K187" s="465">
        <v>9795000</v>
      </c>
      <c r="L187" s="165"/>
      <c r="M187" s="514"/>
      <c r="N187" s="165"/>
      <c r="O187" s="9" t="s">
        <v>3223</v>
      </c>
      <c r="P187" s="135"/>
      <c r="Q187" s="135" t="s">
        <v>3072</v>
      </c>
      <c r="R187" s="167"/>
      <c r="S187" s="171" t="s">
        <v>3124</v>
      </c>
      <c r="T187" s="135"/>
      <c r="U187" s="245"/>
      <c r="V187" s="165" t="s">
        <v>5626</v>
      </c>
      <c r="W187" s="6" t="s">
        <v>4272</v>
      </c>
      <c r="X187" s="6" t="s">
        <v>4269</v>
      </c>
      <c r="Y187" s="15">
        <v>1093</v>
      </c>
      <c r="Z187" s="204" t="s">
        <v>4271</v>
      </c>
      <c r="AA187" s="167"/>
      <c r="AB187" s="167"/>
      <c r="AC187" s="167" t="s">
        <v>4898</v>
      </c>
      <c r="AD187" s="248">
        <v>9795000</v>
      </c>
      <c r="AE187" s="165" t="s">
        <v>151</v>
      </c>
      <c r="AF187" s="165" t="s">
        <v>3224</v>
      </c>
      <c r="AG187" s="165" t="s">
        <v>4269</v>
      </c>
      <c r="AH187" s="167"/>
      <c r="AI187" s="167"/>
      <c r="AJ187" s="167"/>
      <c r="AK187" s="248"/>
      <c r="AL187" s="165"/>
      <c r="AM187" s="165"/>
      <c r="AN187" s="165"/>
      <c r="AO187" s="167"/>
      <c r="AP187" s="167"/>
      <c r="AQ187" s="167"/>
      <c r="AR187" s="249"/>
      <c r="AS187" s="167"/>
      <c r="AT187" s="167"/>
      <c r="AU187" s="167"/>
      <c r="AV187" s="167"/>
      <c r="AW187" s="167"/>
      <c r="AX187" s="167"/>
      <c r="AY187" s="249"/>
      <c r="AZ187" s="167"/>
      <c r="BA187" s="167"/>
      <c r="BB187" s="167"/>
      <c r="BC187" s="167"/>
      <c r="BD187" s="167"/>
      <c r="BE187" s="167"/>
      <c r="BF187" s="249"/>
      <c r="BG187" s="167"/>
      <c r="BH187" s="167"/>
      <c r="BI187" s="167"/>
      <c r="BJ187" s="167"/>
      <c r="BK187" s="167"/>
      <c r="BL187" s="167"/>
      <c r="BM187" s="249"/>
      <c r="BN187" s="167"/>
      <c r="BO187" s="167"/>
      <c r="BP187" s="167"/>
      <c r="BQ187" s="167"/>
      <c r="BR187" s="586" t="s">
        <v>3190</v>
      </c>
      <c r="BS187" s="8"/>
      <c r="BT187" s="171"/>
      <c r="BU187" s="167"/>
      <c r="BV187" s="167"/>
      <c r="BW187" s="167"/>
      <c r="BX187" s="167"/>
      <c r="BY187" s="167"/>
      <c r="BZ187" s="167"/>
      <c r="CA187" s="167"/>
      <c r="CB187" s="167"/>
      <c r="CC187" s="167"/>
      <c r="CD187" s="167"/>
      <c r="CE187" s="167"/>
      <c r="CF187" s="167"/>
      <c r="CG187" s="167"/>
      <c r="CH187" s="167"/>
      <c r="CI187" s="167"/>
      <c r="CJ187" s="167"/>
      <c r="CK187" s="167"/>
      <c r="CL187" s="167"/>
      <c r="CM187" s="167"/>
      <c r="CN187" s="167"/>
      <c r="CO187" s="167"/>
    </row>
    <row r="188" spans="1:93" ht="36">
      <c r="A188" s="8">
        <v>24</v>
      </c>
      <c r="B188" s="143"/>
      <c r="C188" s="165"/>
      <c r="D188" s="166" t="s">
        <v>5662</v>
      </c>
      <c r="E188" s="165" t="s">
        <v>5633</v>
      </c>
      <c r="F188" s="135">
        <v>2025</v>
      </c>
      <c r="G188" s="135">
        <v>2025</v>
      </c>
      <c r="H188" s="135">
        <v>6</v>
      </c>
      <c r="I188" s="165"/>
      <c r="J188" s="465">
        <v>8810000</v>
      </c>
      <c r="K188" s="465">
        <v>8810000</v>
      </c>
      <c r="L188" s="165"/>
      <c r="M188" s="514"/>
      <c r="N188" s="165"/>
      <c r="O188" s="9" t="s">
        <v>3223</v>
      </c>
      <c r="P188" s="135"/>
      <c r="Q188" s="135" t="s">
        <v>3072</v>
      </c>
      <c r="R188" s="167"/>
      <c r="S188" s="171" t="s">
        <v>3116</v>
      </c>
      <c r="T188" s="135"/>
      <c r="U188" s="245"/>
      <c r="V188" s="165" t="s">
        <v>5659</v>
      </c>
      <c r="W188" s="6" t="s">
        <v>4272</v>
      </c>
      <c r="X188" s="6" t="s">
        <v>4269</v>
      </c>
      <c r="Y188" s="15">
        <v>1093</v>
      </c>
      <c r="Z188" s="204" t="s">
        <v>4271</v>
      </c>
      <c r="AA188" s="167"/>
      <c r="AB188" s="167"/>
      <c r="AC188" s="167" t="s">
        <v>4363</v>
      </c>
      <c r="AD188" s="248">
        <v>8810000</v>
      </c>
      <c r="AE188" s="165" t="s">
        <v>171</v>
      </c>
      <c r="AF188" s="165" t="s">
        <v>4272</v>
      </c>
      <c r="AG188" s="6" t="s">
        <v>4269</v>
      </c>
      <c r="AH188" s="167"/>
      <c r="AI188" s="167"/>
      <c r="AJ188" s="167" t="s">
        <v>4616</v>
      </c>
      <c r="AK188" s="248">
        <v>8810000</v>
      </c>
      <c r="AL188" s="165" t="s">
        <v>175</v>
      </c>
      <c r="AM188" s="165" t="s">
        <v>4272</v>
      </c>
      <c r="AN188" s="6" t="s">
        <v>4269</v>
      </c>
      <c r="AO188" s="167"/>
      <c r="AP188" s="167"/>
      <c r="AQ188" s="167"/>
      <c r="AR188" s="249"/>
      <c r="AS188" s="167"/>
      <c r="AT188" s="167"/>
      <c r="AU188" s="167"/>
      <c r="AV188" s="167"/>
      <c r="AW188" s="167"/>
      <c r="AX188" s="167"/>
      <c r="AY188" s="249"/>
      <c r="AZ188" s="167"/>
      <c r="BA188" s="167"/>
      <c r="BB188" s="167"/>
      <c r="BC188" s="167"/>
      <c r="BD188" s="167"/>
      <c r="BE188" s="167"/>
      <c r="BF188" s="249"/>
      <c r="BG188" s="167"/>
      <c r="BH188" s="167"/>
      <c r="BI188" s="167"/>
      <c r="BJ188" s="167"/>
      <c r="BK188" s="167"/>
      <c r="BL188" s="167"/>
      <c r="BM188" s="249"/>
      <c r="BN188" s="167"/>
      <c r="BO188" s="167"/>
      <c r="BP188" s="167"/>
      <c r="BQ188" s="167"/>
      <c r="BR188" s="586" t="s">
        <v>3190</v>
      </c>
      <c r="BS188" s="8"/>
      <c r="BT188" s="171"/>
      <c r="BU188" s="167"/>
      <c r="BV188" s="167"/>
      <c r="BW188" s="167"/>
      <c r="BX188" s="167"/>
      <c r="BY188" s="167"/>
      <c r="BZ188" s="167"/>
      <c r="CA188" s="167"/>
      <c r="CB188" s="167"/>
      <c r="CC188" s="167"/>
      <c r="CD188" s="167"/>
      <c r="CE188" s="167"/>
      <c r="CF188" s="167"/>
      <c r="CG188" s="167"/>
      <c r="CH188" s="167"/>
      <c r="CI188" s="167"/>
      <c r="CJ188" s="167"/>
      <c r="CK188" s="167"/>
      <c r="CL188" s="167"/>
      <c r="CM188" s="167"/>
      <c r="CN188" s="167"/>
      <c r="CO188" s="167"/>
    </row>
    <row r="189" spans="1:93" ht="24">
      <c r="A189" s="8">
        <v>25</v>
      </c>
      <c r="B189" s="143"/>
      <c r="C189" s="165"/>
      <c r="D189" s="166" t="s">
        <v>5663</v>
      </c>
      <c r="E189" s="165" t="s">
        <v>5664</v>
      </c>
      <c r="F189" s="135">
        <v>2025</v>
      </c>
      <c r="G189" s="135">
        <v>2025</v>
      </c>
      <c r="H189" s="135">
        <v>6</v>
      </c>
      <c r="I189" s="165" t="s">
        <v>5536</v>
      </c>
      <c r="J189" s="465">
        <v>4990000</v>
      </c>
      <c r="K189" s="465">
        <v>4990000</v>
      </c>
      <c r="L189" s="165" t="s">
        <v>4269</v>
      </c>
      <c r="M189" s="514">
        <v>2</v>
      </c>
      <c r="N189" s="165"/>
      <c r="O189" s="9" t="s">
        <v>3223</v>
      </c>
      <c r="P189" s="135" t="s">
        <v>3215</v>
      </c>
      <c r="Q189" s="135" t="s">
        <v>3072</v>
      </c>
      <c r="R189" s="167">
        <v>6826743</v>
      </c>
      <c r="S189" s="171" t="s">
        <v>4600</v>
      </c>
      <c r="T189" s="168" t="s">
        <v>1880</v>
      </c>
      <c r="U189" s="245">
        <v>4990000</v>
      </c>
      <c r="V189" s="165" t="s">
        <v>5651</v>
      </c>
      <c r="W189" s="6" t="s">
        <v>4282</v>
      </c>
      <c r="X189" s="6" t="s">
        <v>4269</v>
      </c>
      <c r="Y189" s="6">
        <v>1093</v>
      </c>
      <c r="Z189" s="11" t="s">
        <v>4271</v>
      </c>
      <c r="AA189" s="167">
        <v>6658545</v>
      </c>
      <c r="AB189" s="170" t="s">
        <v>984</v>
      </c>
      <c r="AC189" s="167" t="s">
        <v>4751</v>
      </c>
      <c r="AD189" s="245">
        <v>4990000</v>
      </c>
      <c r="AE189" s="165" t="s">
        <v>5651</v>
      </c>
      <c r="AF189" s="6" t="s">
        <v>4282</v>
      </c>
      <c r="AG189" s="6" t="s">
        <v>4269</v>
      </c>
      <c r="AH189" s="167">
        <v>6892129</v>
      </c>
      <c r="AI189" s="170" t="s">
        <v>2557</v>
      </c>
      <c r="AJ189" s="167" t="s">
        <v>115</v>
      </c>
      <c r="AK189" s="245">
        <v>4990000</v>
      </c>
      <c r="AL189" s="165" t="s">
        <v>5651</v>
      </c>
      <c r="AM189" s="6" t="s">
        <v>4282</v>
      </c>
      <c r="AN189" s="6" t="s">
        <v>4269</v>
      </c>
      <c r="AO189" s="167"/>
      <c r="AP189" s="167"/>
      <c r="AQ189" s="167"/>
      <c r="AR189" s="249"/>
      <c r="AS189" s="167"/>
      <c r="AT189" s="167"/>
      <c r="AU189" s="167"/>
      <c r="AV189" s="167"/>
      <c r="AW189" s="167"/>
      <c r="AX189" s="167"/>
      <c r="AY189" s="249"/>
      <c r="AZ189" s="167"/>
      <c r="BA189" s="167"/>
      <c r="BB189" s="167"/>
      <c r="BC189" s="167"/>
      <c r="BD189" s="167"/>
      <c r="BE189" s="167"/>
      <c r="BF189" s="249"/>
      <c r="BG189" s="167"/>
      <c r="BH189" s="167"/>
      <c r="BI189" s="167"/>
      <c r="BJ189" s="167"/>
      <c r="BK189" s="167"/>
      <c r="BL189" s="167"/>
      <c r="BM189" s="249"/>
      <c r="BN189" s="167"/>
      <c r="BO189" s="167"/>
      <c r="BP189" s="167"/>
      <c r="BQ189" s="167"/>
      <c r="BR189" s="586" t="s">
        <v>3190</v>
      </c>
      <c r="BS189" s="8"/>
      <c r="BT189" s="171"/>
      <c r="BU189" s="167"/>
      <c r="BV189" s="167"/>
      <c r="BW189" s="167"/>
      <c r="BX189" s="167"/>
      <c r="BY189" s="167"/>
      <c r="BZ189" s="167"/>
      <c r="CA189" s="167"/>
      <c r="CB189" s="167"/>
      <c r="CC189" s="167"/>
      <c r="CD189" s="167"/>
      <c r="CE189" s="167"/>
      <c r="CF189" s="167"/>
      <c r="CG189" s="167"/>
      <c r="CH189" s="167"/>
      <c r="CI189" s="167"/>
      <c r="CJ189" s="167"/>
      <c r="CK189" s="167"/>
      <c r="CL189" s="167"/>
      <c r="CM189" s="167"/>
      <c r="CN189" s="167"/>
      <c r="CO189" s="167"/>
    </row>
    <row r="190" spans="1:93" ht="24">
      <c r="A190" s="8">
        <v>26</v>
      </c>
      <c r="B190" s="143"/>
      <c r="C190" s="165"/>
      <c r="D190" s="166" t="s">
        <v>5665</v>
      </c>
      <c r="E190" s="165" t="s">
        <v>5664</v>
      </c>
      <c r="F190" s="135">
        <v>2025</v>
      </c>
      <c r="G190" s="135">
        <v>2025</v>
      </c>
      <c r="H190" s="135">
        <v>6</v>
      </c>
      <c r="I190" s="165" t="s">
        <v>5524</v>
      </c>
      <c r="J190" s="465">
        <v>4950000</v>
      </c>
      <c r="K190" s="465">
        <v>4950000</v>
      </c>
      <c r="L190" s="165" t="s">
        <v>4269</v>
      </c>
      <c r="M190" s="514">
        <v>2</v>
      </c>
      <c r="N190" s="165"/>
      <c r="O190" s="9" t="s">
        <v>3223</v>
      </c>
      <c r="P190" s="135" t="s">
        <v>3215</v>
      </c>
      <c r="Q190" s="135" t="s">
        <v>3072</v>
      </c>
      <c r="R190" s="167">
        <v>6680626</v>
      </c>
      <c r="S190" s="171" t="s">
        <v>3120</v>
      </c>
      <c r="T190" s="168" t="s">
        <v>1008</v>
      </c>
      <c r="U190" s="245">
        <v>4950000</v>
      </c>
      <c r="V190" s="165" t="s">
        <v>5659</v>
      </c>
      <c r="W190" s="6" t="s">
        <v>4272</v>
      </c>
      <c r="X190" s="6" t="s">
        <v>4269</v>
      </c>
      <c r="Y190" s="6">
        <v>1093</v>
      </c>
      <c r="Z190" s="11" t="s">
        <v>4271</v>
      </c>
      <c r="AA190" s="167">
        <v>6803558</v>
      </c>
      <c r="AB190" s="170" t="s">
        <v>2699</v>
      </c>
      <c r="AC190" s="167" t="s">
        <v>135</v>
      </c>
      <c r="AD190" s="245">
        <v>4950000</v>
      </c>
      <c r="AE190" s="165" t="s">
        <v>171</v>
      </c>
      <c r="AF190" s="165" t="s">
        <v>4272</v>
      </c>
      <c r="AG190" s="6" t="s">
        <v>4269</v>
      </c>
      <c r="AH190" s="167">
        <v>6773159</v>
      </c>
      <c r="AI190" s="170" t="s">
        <v>3683</v>
      </c>
      <c r="AJ190" s="167" t="s">
        <v>4907</v>
      </c>
      <c r="AK190" s="245">
        <v>4950000</v>
      </c>
      <c r="AL190" s="165" t="s">
        <v>171</v>
      </c>
      <c r="AM190" s="165" t="s">
        <v>4272</v>
      </c>
      <c r="AN190" s="6" t="s">
        <v>4269</v>
      </c>
      <c r="AO190" s="167"/>
      <c r="AP190" s="167"/>
      <c r="AQ190" s="167"/>
      <c r="AR190" s="249"/>
      <c r="AS190" s="167"/>
      <c r="AT190" s="167"/>
      <c r="AU190" s="167"/>
      <c r="AV190" s="167"/>
      <c r="AW190" s="167"/>
      <c r="AX190" s="167"/>
      <c r="AY190" s="249"/>
      <c r="AZ190" s="167"/>
      <c r="BA190" s="167"/>
      <c r="BB190" s="167"/>
      <c r="BC190" s="167"/>
      <c r="BD190" s="167"/>
      <c r="BE190" s="167"/>
      <c r="BF190" s="249"/>
      <c r="BG190" s="167"/>
      <c r="BH190" s="167"/>
      <c r="BI190" s="167"/>
      <c r="BJ190" s="167"/>
      <c r="BK190" s="167"/>
      <c r="BL190" s="167"/>
      <c r="BM190" s="249"/>
      <c r="BN190" s="167"/>
      <c r="BO190" s="167"/>
      <c r="BP190" s="167"/>
      <c r="BQ190" s="167"/>
      <c r="BR190" s="586" t="s">
        <v>3190</v>
      </c>
      <c r="BS190" s="8"/>
      <c r="BT190" s="171"/>
      <c r="BU190" s="167"/>
      <c r="BV190" s="167"/>
      <c r="BW190" s="167"/>
      <c r="BX190" s="167"/>
      <c r="BY190" s="167"/>
      <c r="BZ190" s="167"/>
      <c r="CA190" s="167"/>
      <c r="CB190" s="167"/>
      <c r="CC190" s="167"/>
      <c r="CD190" s="167"/>
      <c r="CE190" s="167"/>
      <c r="CF190" s="167"/>
      <c r="CG190" s="167"/>
      <c r="CH190" s="167"/>
      <c r="CI190" s="167"/>
      <c r="CJ190" s="167"/>
      <c r="CK190" s="167"/>
      <c r="CL190" s="167"/>
      <c r="CM190" s="167"/>
      <c r="CN190" s="167"/>
      <c r="CO190" s="167"/>
    </row>
    <row r="191" spans="1:93" ht="24">
      <c r="A191" s="8">
        <v>27</v>
      </c>
      <c r="B191" s="143"/>
      <c r="C191" s="165"/>
      <c r="D191" s="166" t="s">
        <v>5666</v>
      </c>
      <c r="E191" s="165" t="s">
        <v>5664</v>
      </c>
      <c r="F191" s="135">
        <v>2025</v>
      </c>
      <c r="G191" s="135">
        <v>2025</v>
      </c>
      <c r="H191" s="135">
        <v>6</v>
      </c>
      <c r="I191" s="165" t="s">
        <v>5524</v>
      </c>
      <c r="J191" s="465">
        <v>2480000</v>
      </c>
      <c r="K191" s="465">
        <v>2480000</v>
      </c>
      <c r="L191" s="165" t="s">
        <v>4269</v>
      </c>
      <c r="M191" s="514">
        <v>3</v>
      </c>
      <c r="N191" s="165"/>
      <c r="O191" s="9" t="s">
        <v>3223</v>
      </c>
      <c r="P191" s="135" t="s">
        <v>3215</v>
      </c>
      <c r="Q191" s="135" t="s">
        <v>3072</v>
      </c>
      <c r="R191" s="167">
        <v>6806662</v>
      </c>
      <c r="S191" s="171" t="s">
        <v>4331</v>
      </c>
      <c r="T191" s="168" t="s">
        <v>1897</v>
      </c>
      <c r="U191" s="245">
        <v>2480000</v>
      </c>
      <c r="V191" s="165" t="s">
        <v>5642</v>
      </c>
      <c r="W191" s="6" t="s">
        <v>4272</v>
      </c>
      <c r="X191" s="6" t="s">
        <v>4269</v>
      </c>
      <c r="Y191" s="6">
        <v>1093</v>
      </c>
      <c r="Z191" s="11" t="s">
        <v>4271</v>
      </c>
      <c r="AA191" s="167">
        <v>6760392</v>
      </c>
      <c r="AB191" s="170" t="s">
        <v>948</v>
      </c>
      <c r="AC191" s="167" t="s">
        <v>3081</v>
      </c>
      <c r="AD191" s="245">
        <v>2480000</v>
      </c>
      <c r="AE191" s="165" t="s">
        <v>175</v>
      </c>
      <c r="AF191" s="165" t="s">
        <v>4272</v>
      </c>
      <c r="AG191" s="6" t="s">
        <v>4269</v>
      </c>
      <c r="AH191" s="167">
        <v>6793410</v>
      </c>
      <c r="AI191" s="170" t="s">
        <v>947</v>
      </c>
      <c r="AJ191" s="167" t="s">
        <v>4316</v>
      </c>
      <c r="AK191" s="245">
        <v>2480000</v>
      </c>
      <c r="AL191" s="165" t="s">
        <v>175</v>
      </c>
      <c r="AM191" s="165" t="s">
        <v>4272</v>
      </c>
      <c r="AN191" s="6" t="s">
        <v>4269</v>
      </c>
      <c r="AO191" s="167"/>
      <c r="AP191" s="167"/>
      <c r="AQ191" s="167"/>
      <c r="AR191" s="249"/>
      <c r="AS191" s="167"/>
      <c r="AT191" s="167"/>
      <c r="AU191" s="167"/>
      <c r="AV191" s="167"/>
      <c r="AW191" s="167"/>
      <c r="AX191" s="167"/>
      <c r="AY191" s="249"/>
      <c r="AZ191" s="167"/>
      <c r="BA191" s="167"/>
      <c r="BB191" s="167"/>
      <c r="BC191" s="167"/>
      <c r="BD191" s="167"/>
      <c r="BE191" s="167"/>
      <c r="BF191" s="249"/>
      <c r="BG191" s="167"/>
      <c r="BH191" s="167"/>
      <c r="BI191" s="167"/>
      <c r="BJ191" s="167"/>
      <c r="BK191" s="167"/>
      <c r="BL191" s="167"/>
      <c r="BM191" s="249"/>
      <c r="BN191" s="167"/>
      <c r="BO191" s="167"/>
      <c r="BP191" s="167"/>
      <c r="BQ191" s="167"/>
      <c r="BR191" s="586" t="s">
        <v>3190</v>
      </c>
      <c r="BS191" s="8"/>
      <c r="BT191" s="171"/>
      <c r="BU191" s="167"/>
      <c r="BV191" s="167"/>
      <c r="BW191" s="167"/>
      <c r="BX191" s="167"/>
      <c r="BY191" s="167"/>
      <c r="BZ191" s="167"/>
      <c r="CA191" s="167"/>
      <c r="CB191" s="167"/>
      <c r="CC191" s="167"/>
      <c r="CD191" s="167"/>
      <c r="CE191" s="167"/>
      <c r="CF191" s="167"/>
      <c r="CG191" s="167"/>
      <c r="CH191" s="167"/>
      <c r="CI191" s="167"/>
      <c r="CJ191" s="167"/>
      <c r="CK191" s="167"/>
      <c r="CL191" s="167"/>
      <c r="CM191" s="167"/>
      <c r="CN191" s="167"/>
      <c r="CO191" s="167"/>
    </row>
    <row r="192" spans="1:93" ht="48">
      <c r="A192" s="8">
        <v>28</v>
      </c>
      <c r="B192" s="143"/>
      <c r="C192" s="165"/>
      <c r="D192" s="166" t="s">
        <v>5667</v>
      </c>
      <c r="E192" s="165" t="s">
        <v>5668</v>
      </c>
      <c r="F192" s="135">
        <v>2025</v>
      </c>
      <c r="G192" s="135">
        <v>2025</v>
      </c>
      <c r="H192" s="135">
        <v>6</v>
      </c>
      <c r="I192" s="165"/>
      <c r="J192" s="465">
        <v>52400000</v>
      </c>
      <c r="K192" s="465">
        <v>52400000</v>
      </c>
      <c r="L192" s="165"/>
      <c r="M192" s="514"/>
      <c r="N192" s="165"/>
      <c r="O192" s="166" t="s">
        <v>3077</v>
      </c>
      <c r="P192" s="135"/>
      <c r="Q192" s="135" t="s">
        <v>4970</v>
      </c>
      <c r="R192" s="167"/>
      <c r="S192" s="171" t="s">
        <v>4579</v>
      </c>
      <c r="T192" s="135"/>
      <c r="U192" s="245"/>
      <c r="V192" s="165"/>
      <c r="W192" s="6"/>
      <c r="X192" s="6"/>
      <c r="Y192" s="135"/>
      <c r="Z192" s="135"/>
      <c r="AA192" s="167"/>
      <c r="AB192" s="167"/>
      <c r="AC192" s="167"/>
      <c r="AD192" s="248"/>
      <c r="AE192" s="165"/>
      <c r="AF192" s="165"/>
      <c r="AG192" s="165"/>
      <c r="AH192" s="167"/>
      <c r="AI192" s="167"/>
      <c r="AJ192" s="167"/>
      <c r="AK192" s="248"/>
      <c r="AL192" s="165"/>
      <c r="AM192" s="165"/>
      <c r="AN192" s="165"/>
      <c r="AO192" s="167"/>
      <c r="AP192" s="167"/>
      <c r="AQ192" s="167"/>
      <c r="AR192" s="249"/>
      <c r="AS192" s="167"/>
      <c r="AT192" s="167"/>
      <c r="AU192" s="167"/>
      <c r="AV192" s="167"/>
      <c r="AW192" s="167"/>
      <c r="AX192" s="167"/>
      <c r="AY192" s="249"/>
      <c r="AZ192" s="167"/>
      <c r="BA192" s="167"/>
      <c r="BB192" s="167"/>
      <c r="BC192" s="167"/>
      <c r="BD192" s="167"/>
      <c r="BE192" s="167"/>
      <c r="BF192" s="249"/>
      <c r="BG192" s="167"/>
      <c r="BH192" s="167"/>
      <c r="BI192" s="167"/>
      <c r="BJ192" s="167"/>
      <c r="BK192" s="167"/>
      <c r="BL192" s="167"/>
      <c r="BM192" s="249"/>
      <c r="BN192" s="167"/>
      <c r="BO192" s="167"/>
      <c r="BP192" s="167"/>
      <c r="BQ192" s="167"/>
      <c r="BR192" s="160"/>
      <c r="BS192" s="8"/>
      <c r="BT192" s="171"/>
      <c r="BU192" s="167"/>
      <c r="BV192" s="167"/>
      <c r="BW192" s="167"/>
      <c r="BX192" s="167"/>
      <c r="BY192" s="167"/>
      <c r="BZ192" s="167"/>
      <c r="CA192" s="167"/>
      <c r="CB192" s="167"/>
      <c r="CC192" s="167"/>
      <c r="CD192" s="167"/>
      <c r="CE192" s="167"/>
      <c r="CF192" s="167"/>
      <c r="CG192" s="167"/>
      <c r="CH192" s="167"/>
      <c r="CI192" s="167"/>
      <c r="CJ192" s="167"/>
      <c r="CK192" s="167"/>
      <c r="CL192" s="167"/>
      <c r="CM192" s="167"/>
      <c r="CN192" s="167"/>
      <c r="CO192" s="167"/>
    </row>
    <row r="193" spans="1:93">
      <c r="A193" s="8"/>
      <c r="B193" s="143"/>
      <c r="C193" s="165"/>
      <c r="D193" s="166"/>
      <c r="E193" s="165"/>
      <c r="F193" s="135"/>
      <c r="G193" s="135"/>
      <c r="H193" s="135"/>
      <c r="I193" s="165"/>
      <c r="J193" s="465"/>
      <c r="K193" s="465"/>
      <c r="L193" s="165"/>
      <c r="M193" s="514"/>
      <c r="N193" s="165"/>
      <c r="O193" s="166"/>
      <c r="P193" s="135"/>
      <c r="Q193" s="135"/>
      <c r="R193" s="167"/>
      <c r="S193" s="171"/>
      <c r="T193" s="135"/>
      <c r="U193" s="245"/>
      <c r="V193" s="165"/>
      <c r="W193" s="6"/>
      <c r="X193" s="6"/>
      <c r="Y193" s="135"/>
      <c r="Z193" s="135"/>
      <c r="AA193" s="167"/>
      <c r="AB193" s="167"/>
      <c r="AC193" s="167"/>
      <c r="AD193" s="248"/>
      <c r="AE193" s="165"/>
      <c r="AF193" s="165"/>
      <c r="AG193" s="165"/>
      <c r="AH193" s="167"/>
      <c r="AI193" s="167"/>
      <c r="AJ193" s="167"/>
      <c r="AK193" s="248"/>
      <c r="AL193" s="165"/>
      <c r="AM193" s="165"/>
      <c r="AN193" s="165"/>
      <c r="AO193" s="167"/>
      <c r="AP193" s="167"/>
      <c r="AQ193" s="167"/>
      <c r="AR193" s="249"/>
      <c r="AS193" s="167"/>
      <c r="AT193" s="167"/>
      <c r="AU193" s="167"/>
      <c r="AV193" s="167"/>
      <c r="AW193" s="167"/>
      <c r="AX193" s="167"/>
      <c r="AY193" s="249"/>
      <c r="AZ193" s="167"/>
      <c r="BA193" s="167"/>
      <c r="BB193" s="167"/>
      <c r="BC193" s="167"/>
      <c r="BD193" s="167"/>
      <c r="BE193" s="167"/>
      <c r="BF193" s="249"/>
      <c r="BG193" s="167"/>
      <c r="BH193" s="167"/>
      <c r="BI193" s="167"/>
      <c r="BJ193" s="167"/>
      <c r="BK193" s="167"/>
      <c r="BL193" s="167"/>
      <c r="BM193" s="249"/>
      <c r="BN193" s="167"/>
      <c r="BO193" s="167"/>
      <c r="BP193" s="167"/>
      <c r="BQ193" s="167"/>
      <c r="BR193" s="160"/>
      <c r="BS193" s="8"/>
      <c r="BT193" s="171"/>
      <c r="BU193" s="167"/>
      <c r="BV193" s="167"/>
      <c r="BW193" s="167"/>
      <c r="BX193" s="167"/>
      <c r="BY193" s="167"/>
      <c r="BZ193" s="167"/>
      <c r="CA193" s="167"/>
      <c r="CB193" s="167"/>
      <c r="CC193" s="167"/>
      <c r="CD193" s="167"/>
      <c r="CE193" s="167"/>
      <c r="CF193" s="167"/>
      <c r="CG193" s="167"/>
      <c r="CH193" s="167"/>
      <c r="CI193" s="167"/>
      <c r="CJ193" s="167"/>
      <c r="CK193" s="167"/>
      <c r="CL193" s="167"/>
      <c r="CM193" s="167"/>
      <c r="CN193" s="167"/>
      <c r="CO193" s="167"/>
    </row>
    <row r="194" spans="1:93">
      <c r="A194" s="8"/>
      <c r="B194" s="143"/>
      <c r="C194" s="165"/>
      <c r="D194" s="166"/>
      <c r="E194" s="165"/>
      <c r="F194" s="135"/>
      <c r="G194" s="135"/>
      <c r="H194" s="135"/>
      <c r="I194" s="165"/>
      <c r="J194" s="465"/>
      <c r="K194" s="465"/>
      <c r="L194" s="165"/>
      <c r="M194" s="514"/>
      <c r="N194" s="165"/>
      <c r="O194" s="166"/>
      <c r="P194" s="135"/>
      <c r="Q194" s="135"/>
      <c r="R194" s="167"/>
      <c r="S194" s="171"/>
      <c r="T194" s="135"/>
      <c r="U194" s="245"/>
      <c r="V194" s="165"/>
      <c r="W194" s="6"/>
      <c r="X194" s="6"/>
      <c r="Y194" s="135"/>
      <c r="Z194" s="135"/>
      <c r="AA194" s="167"/>
      <c r="AB194" s="167"/>
      <c r="AC194" s="167"/>
      <c r="AD194" s="248"/>
      <c r="AE194" s="165"/>
      <c r="AF194" s="165"/>
      <c r="AG194" s="165"/>
      <c r="AH194" s="167"/>
      <c r="AI194" s="167"/>
      <c r="AJ194" s="167"/>
      <c r="AK194" s="248"/>
      <c r="AL194" s="165"/>
      <c r="AM194" s="165"/>
      <c r="AN194" s="165"/>
      <c r="AO194" s="167"/>
      <c r="AP194" s="167"/>
      <c r="AQ194" s="167"/>
      <c r="AR194" s="249"/>
      <c r="AS194" s="167"/>
      <c r="AT194" s="167"/>
      <c r="AU194" s="167"/>
      <c r="AV194" s="167"/>
      <c r="AW194" s="167"/>
      <c r="AX194" s="167"/>
      <c r="AY194" s="249"/>
      <c r="AZ194" s="167"/>
      <c r="BA194" s="167"/>
      <c r="BB194" s="167"/>
      <c r="BC194" s="167"/>
      <c r="BD194" s="167"/>
      <c r="BE194" s="167"/>
      <c r="BF194" s="249"/>
      <c r="BG194" s="167"/>
      <c r="BH194" s="167"/>
      <c r="BI194" s="167"/>
      <c r="BJ194" s="167"/>
      <c r="BK194" s="167"/>
      <c r="BL194" s="167"/>
      <c r="BM194" s="249"/>
      <c r="BN194" s="167"/>
      <c r="BO194" s="167"/>
      <c r="BP194" s="167"/>
      <c r="BQ194" s="167"/>
      <c r="BR194" s="160"/>
      <c r="BS194" s="8"/>
      <c r="BT194" s="171"/>
      <c r="BU194" s="167"/>
      <c r="BV194" s="167"/>
      <c r="BW194" s="167"/>
      <c r="BX194" s="167"/>
      <c r="BY194" s="167"/>
      <c r="BZ194" s="167"/>
      <c r="CA194" s="167"/>
      <c r="CB194" s="167"/>
      <c r="CC194" s="167"/>
      <c r="CD194" s="167"/>
      <c r="CE194" s="167"/>
      <c r="CF194" s="167"/>
      <c r="CG194" s="167"/>
      <c r="CH194" s="167"/>
      <c r="CI194" s="167"/>
      <c r="CJ194" s="167"/>
      <c r="CK194" s="167"/>
      <c r="CL194" s="167"/>
      <c r="CM194" s="167"/>
      <c r="CN194" s="167"/>
      <c r="CO194" s="167"/>
    </row>
    <row r="195" spans="1:93">
      <c r="A195" s="8"/>
      <c r="B195" s="143"/>
      <c r="C195" s="165"/>
      <c r="D195" s="166"/>
      <c r="E195" s="165"/>
      <c r="F195" s="135"/>
      <c r="G195" s="135"/>
      <c r="H195" s="135"/>
      <c r="I195" s="165"/>
      <c r="J195" s="465"/>
      <c r="K195" s="465"/>
      <c r="L195" s="165"/>
      <c r="M195" s="514"/>
      <c r="N195" s="165"/>
      <c r="O195" s="166"/>
      <c r="P195" s="135"/>
      <c r="Q195" s="135"/>
      <c r="R195" s="167"/>
      <c r="S195" s="171"/>
      <c r="T195" s="135"/>
      <c r="U195" s="245"/>
      <c r="V195" s="165"/>
      <c r="W195" s="6"/>
      <c r="X195" s="6"/>
      <c r="Y195" s="135"/>
      <c r="Z195" s="135"/>
      <c r="AA195" s="167"/>
      <c r="AB195" s="167"/>
      <c r="AC195" s="167"/>
      <c r="AD195" s="248"/>
      <c r="AE195" s="165"/>
      <c r="AF195" s="165"/>
      <c r="AG195" s="165"/>
      <c r="AH195" s="167"/>
      <c r="AI195" s="167"/>
      <c r="AJ195" s="167"/>
      <c r="AK195" s="248"/>
      <c r="AL195" s="165"/>
      <c r="AM195" s="165"/>
      <c r="AN195" s="165"/>
      <c r="AO195" s="167"/>
      <c r="AP195" s="167"/>
      <c r="AQ195" s="167"/>
      <c r="AR195" s="249"/>
      <c r="AS195" s="167"/>
      <c r="AT195" s="167"/>
      <c r="AU195" s="167"/>
      <c r="AV195" s="167"/>
      <c r="AW195" s="167"/>
      <c r="AX195" s="167"/>
      <c r="AY195" s="249"/>
      <c r="AZ195" s="167"/>
      <c r="BA195" s="167"/>
      <c r="BB195" s="167"/>
      <c r="BC195" s="167"/>
      <c r="BD195" s="167"/>
      <c r="BE195" s="167"/>
      <c r="BF195" s="249"/>
      <c r="BG195" s="167"/>
      <c r="BH195" s="167"/>
      <c r="BI195" s="167"/>
      <c r="BJ195" s="167"/>
      <c r="BK195" s="167"/>
      <c r="BL195" s="167"/>
      <c r="BM195" s="249"/>
      <c r="BN195" s="167"/>
      <c r="BO195" s="167"/>
      <c r="BP195" s="167"/>
      <c r="BQ195" s="167"/>
      <c r="BR195" s="160"/>
      <c r="BS195" s="8"/>
      <c r="BT195" s="171"/>
      <c r="BU195" s="167"/>
      <c r="BV195" s="167"/>
      <c r="BW195" s="167"/>
      <c r="BX195" s="167"/>
      <c r="BY195" s="167"/>
      <c r="BZ195" s="167"/>
      <c r="CA195" s="167"/>
      <c r="CB195" s="167"/>
      <c r="CC195" s="167"/>
      <c r="CD195" s="167"/>
      <c r="CE195" s="167"/>
      <c r="CF195" s="167"/>
      <c r="CG195" s="167"/>
      <c r="CH195" s="167"/>
      <c r="CI195" s="167"/>
      <c r="CJ195" s="167"/>
      <c r="CK195" s="167"/>
      <c r="CL195" s="167"/>
      <c r="CM195" s="167"/>
      <c r="CN195" s="167"/>
      <c r="CO195" s="167"/>
    </row>
    <row r="196" spans="1:93">
      <c r="A196" s="8"/>
      <c r="B196" s="143"/>
      <c r="C196" s="165"/>
      <c r="D196" s="166"/>
      <c r="E196" s="165"/>
      <c r="F196" s="135"/>
      <c r="G196" s="135"/>
      <c r="H196" s="135"/>
      <c r="I196" s="165"/>
      <c r="J196" s="465"/>
      <c r="K196" s="465"/>
      <c r="L196" s="165"/>
      <c r="M196" s="514"/>
      <c r="N196" s="165"/>
      <c r="O196" s="166"/>
      <c r="P196" s="135"/>
      <c r="Q196" s="135"/>
      <c r="R196" s="167"/>
      <c r="S196" s="171"/>
      <c r="T196" s="135"/>
      <c r="U196" s="245"/>
      <c r="V196" s="165"/>
      <c r="W196" s="6"/>
      <c r="X196" s="6"/>
      <c r="Y196" s="135"/>
      <c r="Z196" s="135"/>
      <c r="AA196" s="167"/>
      <c r="AB196" s="167"/>
      <c r="AC196" s="167"/>
      <c r="AD196" s="248"/>
      <c r="AE196" s="165"/>
      <c r="AF196" s="165"/>
      <c r="AG196" s="165"/>
      <c r="AH196" s="167"/>
      <c r="AI196" s="167"/>
      <c r="AJ196" s="167"/>
      <c r="AK196" s="248"/>
      <c r="AL196" s="165"/>
      <c r="AM196" s="165"/>
      <c r="AN196" s="165"/>
      <c r="AO196" s="167"/>
      <c r="AP196" s="167"/>
      <c r="AQ196" s="167"/>
      <c r="AR196" s="249"/>
      <c r="AS196" s="167"/>
      <c r="AT196" s="167"/>
      <c r="AU196" s="167"/>
      <c r="AV196" s="167"/>
      <c r="AW196" s="167"/>
      <c r="AX196" s="167"/>
      <c r="AY196" s="249"/>
      <c r="AZ196" s="167"/>
      <c r="BA196" s="167"/>
      <c r="BB196" s="167"/>
      <c r="BC196" s="167"/>
      <c r="BD196" s="167"/>
      <c r="BE196" s="167"/>
      <c r="BF196" s="249"/>
      <c r="BG196" s="167"/>
      <c r="BH196" s="167"/>
      <c r="BI196" s="167"/>
      <c r="BJ196" s="167"/>
      <c r="BK196" s="167"/>
      <c r="BL196" s="167"/>
      <c r="BM196" s="249"/>
      <c r="BN196" s="167"/>
      <c r="BO196" s="167"/>
      <c r="BP196" s="167"/>
      <c r="BQ196" s="167"/>
      <c r="BR196" s="160"/>
      <c r="BS196" s="8"/>
      <c r="BT196" s="171"/>
      <c r="BU196" s="167"/>
      <c r="BV196" s="167"/>
      <c r="BW196" s="167"/>
      <c r="BX196" s="167"/>
      <c r="BY196" s="167"/>
      <c r="BZ196" s="167"/>
      <c r="CA196" s="167"/>
      <c r="CB196" s="167"/>
      <c r="CC196" s="167"/>
      <c r="CD196" s="167"/>
      <c r="CE196" s="167"/>
      <c r="CF196" s="167"/>
      <c r="CG196" s="167"/>
      <c r="CH196" s="167"/>
      <c r="CI196" s="167"/>
      <c r="CJ196" s="167"/>
      <c r="CK196" s="167"/>
      <c r="CL196" s="167"/>
      <c r="CM196" s="167"/>
      <c r="CN196" s="167"/>
      <c r="CO196" s="167"/>
    </row>
    <row r="197" spans="1:93">
      <c r="A197" s="8"/>
      <c r="B197" s="143"/>
      <c r="C197" s="165"/>
      <c r="D197" s="166"/>
      <c r="E197" s="165"/>
      <c r="F197" s="135"/>
      <c r="G197" s="135"/>
      <c r="H197" s="135"/>
      <c r="I197" s="165"/>
      <c r="J197" s="465"/>
      <c r="K197" s="465"/>
      <c r="L197" s="165"/>
      <c r="M197" s="514"/>
      <c r="N197" s="165"/>
      <c r="O197" s="166"/>
      <c r="P197" s="135"/>
      <c r="Q197" s="135"/>
      <c r="R197" s="167"/>
      <c r="S197" s="171"/>
      <c r="T197" s="135"/>
      <c r="U197" s="245"/>
      <c r="V197" s="165"/>
      <c r="W197" s="6"/>
      <c r="X197" s="6"/>
      <c r="Y197" s="135"/>
      <c r="Z197" s="135"/>
      <c r="AA197" s="167"/>
      <c r="AB197" s="167"/>
      <c r="AC197" s="167"/>
      <c r="AD197" s="248"/>
      <c r="AE197" s="165"/>
      <c r="AF197" s="165"/>
      <c r="AG197" s="165"/>
      <c r="AH197" s="167"/>
      <c r="AI197" s="167"/>
      <c r="AJ197" s="167"/>
      <c r="AK197" s="248"/>
      <c r="AL197" s="165"/>
      <c r="AM197" s="165"/>
      <c r="AN197" s="165"/>
      <c r="AO197" s="167"/>
      <c r="AP197" s="167"/>
      <c r="AQ197" s="167"/>
      <c r="AR197" s="249"/>
      <c r="AS197" s="167"/>
      <c r="AT197" s="167"/>
      <c r="AU197" s="167"/>
      <c r="AV197" s="167"/>
      <c r="AW197" s="167"/>
      <c r="AX197" s="167"/>
      <c r="AY197" s="249"/>
      <c r="AZ197" s="167"/>
      <c r="BA197" s="167"/>
      <c r="BB197" s="167"/>
      <c r="BC197" s="167"/>
      <c r="BD197" s="167"/>
      <c r="BE197" s="167"/>
      <c r="BF197" s="249"/>
      <c r="BG197" s="167"/>
      <c r="BH197" s="167"/>
      <c r="BI197" s="167"/>
      <c r="BJ197" s="167"/>
      <c r="BK197" s="167"/>
      <c r="BL197" s="167"/>
      <c r="BM197" s="249"/>
      <c r="BN197" s="167"/>
      <c r="BO197" s="167"/>
      <c r="BP197" s="167"/>
      <c r="BQ197" s="167"/>
      <c r="BR197" s="160"/>
      <c r="BS197" s="8"/>
      <c r="BT197" s="171"/>
      <c r="BU197" s="167"/>
      <c r="BV197" s="167"/>
      <c r="BW197" s="167"/>
      <c r="BX197" s="167"/>
      <c r="BY197" s="167"/>
      <c r="BZ197" s="167"/>
      <c r="CA197" s="167"/>
      <c r="CB197" s="167"/>
      <c r="CC197" s="167"/>
      <c r="CD197" s="167"/>
      <c r="CE197" s="167"/>
      <c r="CF197" s="167"/>
      <c r="CG197" s="167"/>
      <c r="CH197" s="167"/>
      <c r="CI197" s="167"/>
      <c r="CJ197" s="167"/>
      <c r="CK197" s="167"/>
      <c r="CL197" s="167"/>
      <c r="CM197" s="167"/>
      <c r="CN197" s="167"/>
      <c r="CO197" s="167"/>
    </row>
    <row r="198" spans="1:93">
      <c r="A198" s="8"/>
      <c r="B198" s="143"/>
      <c r="C198" s="165"/>
      <c r="D198" s="166"/>
      <c r="E198" s="165"/>
      <c r="F198" s="135"/>
      <c r="G198" s="135"/>
      <c r="H198" s="135"/>
      <c r="I198" s="165"/>
      <c r="J198" s="465"/>
      <c r="K198" s="465"/>
      <c r="L198" s="165"/>
      <c r="M198" s="514"/>
      <c r="N198" s="165"/>
      <c r="O198" s="166"/>
      <c r="P198" s="135"/>
      <c r="Q198" s="135"/>
      <c r="R198" s="167"/>
      <c r="S198" s="171"/>
      <c r="T198" s="135"/>
      <c r="U198" s="245"/>
      <c r="V198" s="165"/>
      <c r="W198" s="6"/>
      <c r="X198" s="6"/>
      <c r="Y198" s="135"/>
      <c r="Z198" s="135"/>
      <c r="AA198" s="167"/>
      <c r="AB198" s="167"/>
      <c r="AC198" s="167"/>
      <c r="AD198" s="248"/>
      <c r="AE198" s="165"/>
      <c r="AF198" s="165"/>
      <c r="AG198" s="165"/>
      <c r="AH198" s="167"/>
      <c r="AI198" s="167"/>
      <c r="AJ198" s="167"/>
      <c r="AK198" s="248"/>
      <c r="AL198" s="165"/>
      <c r="AM198" s="165"/>
      <c r="AN198" s="165"/>
      <c r="AO198" s="167"/>
      <c r="AP198" s="167"/>
      <c r="AQ198" s="167"/>
      <c r="AR198" s="249"/>
      <c r="AS198" s="167"/>
      <c r="AT198" s="167"/>
      <c r="AU198" s="167"/>
      <c r="AV198" s="167"/>
      <c r="AW198" s="167"/>
      <c r="AX198" s="167"/>
      <c r="AY198" s="249"/>
      <c r="AZ198" s="167"/>
      <c r="BA198" s="167"/>
      <c r="BB198" s="167"/>
      <c r="BC198" s="167"/>
      <c r="BD198" s="167"/>
      <c r="BE198" s="167"/>
      <c r="BF198" s="249"/>
      <c r="BG198" s="167"/>
      <c r="BH198" s="167"/>
      <c r="BI198" s="167"/>
      <c r="BJ198" s="167"/>
      <c r="BK198" s="167"/>
      <c r="BL198" s="167"/>
      <c r="BM198" s="249"/>
      <c r="BN198" s="167"/>
      <c r="BO198" s="167"/>
      <c r="BP198" s="167"/>
      <c r="BQ198" s="167"/>
      <c r="BR198" s="160"/>
      <c r="BS198" s="8"/>
      <c r="BT198" s="171"/>
      <c r="BU198" s="167"/>
      <c r="BV198" s="167"/>
      <c r="BW198" s="167"/>
      <c r="BX198" s="167"/>
      <c r="BY198" s="167"/>
      <c r="BZ198" s="167"/>
      <c r="CA198" s="167"/>
      <c r="CB198" s="167"/>
      <c r="CC198" s="167"/>
      <c r="CD198" s="167"/>
      <c r="CE198" s="167"/>
      <c r="CF198" s="167"/>
      <c r="CG198" s="167"/>
      <c r="CH198" s="167"/>
      <c r="CI198" s="167"/>
      <c r="CJ198" s="167"/>
      <c r="CK198" s="167"/>
      <c r="CL198" s="167"/>
      <c r="CM198" s="167"/>
      <c r="CN198" s="167"/>
      <c r="CO198" s="167"/>
    </row>
    <row r="199" spans="1:93">
      <c r="A199" s="8"/>
      <c r="B199" s="143"/>
      <c r="C199" s="165"/>
      <c r="D199" s="166"/>
      <c r="E199" s="165"/>
      <c r="F199" s="135"/>
      <c r="G199" s="135"/>
      <c r="H199" s="135"/>
      <c r="I199" s="165"/>
      <c r="J199" s="465"/>
      <c r="K199" s="465"/>
      <c r="L199" s="165"/>
      <c r="M199" s="514"/>
      <c r="N199" s="165"/>
      <c r="O199" s="166"/>
      <c r="P199" s="135"/>
      <c r="Q199" s="135"/>
      <c r="R199" s="167"/>
      <c r="S199" s="171"/>
      <c r="T199" s="135"/>
      <c r="U199" s="245"/>
      <c r="V199" s="165"/>
      <c r="W199" s="6"/>
      <c r="X199" s="6"/>
      <c r="Y199" s="135"/>
      <c r="Z199" s="135"/>
      <c r="AA199" s="167"/>
      <c r="AB199" s="167"/>
      <c r="AC199" s="167"/>
      <c r="AD199" s="248"/>
      <c r="AE199" s="165"/>
      <c r="AF199" s="165"/>
      <c r="AG199" s="165"/>
      <c r="AH199" s="167"/>
      <c r="AI199" s="167"/>
      <c r="AJ199" s="167"/>
      <c r="AK199" s="248"/>
      <c r="AL199" s="165"/>
      <c r="AM199" s="165"/>
      <c r="AN199" s="165"/>
      <c r="AO199" s="167"/>
      <c r="AP199" s="167"/>
      <c r="AQ199" s="167"/>
      <c r="AR199" s="249"/>
      <c r="AS199" s="167"/>
      <c r="AT199" s="167"/>
      <c r="AU199" s="167"/>
      <c r="AV199" s="167"/>
      <c r="AW199" s="167"/>
      <c r="AX199" s="167"/>
      <c r="AY199" s="249"/>
      <c r="AZ199" s="167"/>
      <c r="BA199" s="167"/>
      <c r="BB199" s="167"/>
      <c r="BC199" s="167"/>
      <c r="BD199" s="167"/>
      <c r="BE199" s="167"/>
      <c r="BF199" s="249"/>
      <c r="BG199" s="167"/>
      <c r="BH199" s="167"/>
      <c r="BI199" s="167"/>
      <c r="BJ199" s="167"/>
      <c r="BK199" s="167"/>
      <c r="BL199" s="167"/>
      <c r="BM199" s="249"/>
      <c r="BN199" s="167"/>
      <c r="BO199" s="167"/>
      <c r="BP199" s="167"/>
      <c r="BQ199" s="167"/>
      <c r="BR199" s="160"/>
      <c r="BS199" s="8"/>
      <c r="BT199" s="171"/>
      <c r="BU199" s="167"/>
      <c r="BV199" s="167"/>
      <c r="BW199" s="167"/>
      <c r="BX199" s="167"/>
      <c r="BY199" s="167"/>
      <c r="BZ199" s="167"/>
      <c r="CA199" s="167"/>
      <c r="CB199" s="167"/>
      <c r="CC199" s="167"/>
      <c r="CD199" s="167"/>
      <c r="CE199" s="167"/>
      <c r="CF199" s="167"/>
      <c r="CG199" s="167"/>
      <c r="CH199" s="167"/>
      <c r="CI199" s="167"/>
      <c r="CJ199" s="167"/>
      <c r="CK199" s="167"/>
      <c r="CL199" s="167"/>
      <c r="CM199" s="167"/>
      <c r="CN199" s="167"/>
      <c r="CO199" s="167"/>
    </row>
    <row r="200" spans="1:93">
      <c r="A200" s="8"/>
      <c r="B200" s="143"/>
      <c r="C200" s="165"/>
      <c r="D200" s="166"/>
      <c r="E200" s="165"/>
      <c r="F200" s="135"/>
      <c r="G200" s="135"/>
      <c r="H200" s="135"/>
      <c r="I200" s="165"/>
      <c r="J200" s="465"/>
      <c r="K200" s="465"/>
      <c r="L200" s="165"/>
      <c r="M200" s="514"/>
      <c r="N200" s="165"/>
      <c r="O200" s="166"/>
      <c r="P200" s="135"/>
      <c r="Q200" s="135"/>
      <c r="R200" s="167"/>
      <c r="S200" s="171"/>
      <c r="T200" s="135"/>
      <c r="U200" s="245"/>
      <c r="V200" s="165"/>
      <c r="W200" s="6"/>
      <c r="X200" s="6"/>
      <c r="Y200" s="135"/>
      <c r="Z200" s="135"/>
      <c r="AA200" s="167"/>
      <c r="AB200" s="167"/>
      <c r="AC200" s="167"/>
      <c r="AD200" s="248"/>
      <c r="AE200" s="165"/>
      <c r="AF200" s="165"/>
      <c r="AG200" s="165"/>
      <c r="AH200" s="167"/>
      <c r="AI200" s="167"/>
      <c r="AJ200" s="167"/>
      <c r="AK200" s="248"/>
      <c r="AL200" s="165"/>
      <c r="AM200" s="165"/>
      <c r="AN200" s="165"/>
      <c r="AO200" s="167"/>
      <c r="AP200" s="167"/>
      <c r="AQ200" s="167"/>
      <c r="AR200" s="249"/>
      <c r="AS200" s="167"/>
      <c r="AT200" s="167"/>
      <c r="AU200" s="167"/>
      <c r="AV200" s="167"/>
      <c r="AW200" s="167"/>
      <c r="AX200" s="167"/>
      <c r="AY200" s="249"/>
      <c r="AZ200" s="167"/>
      <c r="BA200" s="167"/>
      <c r="BB200" s="167"/>
      <c r="BC200" s="167"/>
      <c r="BD200" s="167"/>
      <c r="BE200" s="167"/>
      <c r="BF200" s="249"/>
      <c r="BG200" s="167"/>
      <c r="BH200" s="167"/>
      <c r="BI200" s="167"/>
      <c r="BJ200" s="167"/>
      <c r="BK200" s="167"/>
      <c r="BL200" s="167"/>
      <c r="BM200" s="249"/>
      <c r="BN200" s="167"/>
      <c r="BO200" s="167"/>
      <c r="BP200" s="167"/>
      <c r="BQ200" s="167"/>
      <c r="BR200" s="160"/>
      <c r="BS200" s="8"/>
      <c r="BT200" s="171"/>
      <c r="BU200" s="167"/>
      <c r="BV200" s="167"/>
      <c r="BW200" s="167"/>
      <c r="BX200" s="167"/>
      <c r="BY200" s="167"/>
      <c r="BZ200" s="167"/>
      <c r="CA200" s="167"/>
      <c r="CB200" s="167"/>
      <c r="CC200" s="167"/>
      <c r="CD200" s="167"/>
      <c r="CE200" s="167"/>
      <c r="CF200" s="167"/>
      <c r="CG200" s="167"/>
      <c r="CH200" s="167"/>
      <c r="CI200" s="167"/>
      <c r="CJ200" s="167"/>
      <c r="CK200" s="167"/>
      <c r="CL200" s="167"/>
      <c r="CM200" s="167"/>
      <c r="CN200" s="167"/>
      <c r="CO200" s="167"/>
    </row>
    <row r="201" spans="1:93">
      <c r="A201" s="8"/>
      <c r="B201" s="143"/>
      <c r="C201" s="165"/>
      <c r="D201" s="166"/>
      <c r="E201" s="165"/>
      <c r="F201" s="135"/>
      <c r="G201" s="135"/>
      <c r="H201" s="135"/>
      <c r="I201" s="165"/>
      <c r="J201" s="465"/>
      <c r="K201" s="465"/>
      <c r="L201" s="165"/>
      <c r="M201" s="514"/>
      <c r="N201" s="165"/>
      <c r="O201" s="166"/>
      <c r="P201" s="135"/>
      <c r="Q201" s="135"/>
      <c r="R201" s="167"/>
      <c r="S201" s="171"/>
      <c r="T201" s="135"/>
      <c r="U201" s="245"/>
      <c r="V201" s="165"/>
      <c r="W201" s="6"/>
      <c r="X201" s="6"/>
      <c r="Y201" s="135"/>
      <c r="Z201" s="135"/>
      <c r="AA201" s="167"/>
      <c r="AB201" s="167"/>
      <c r="AC201" s="167"/>
      <c r="AD201" s="248"/>
      <c r="AE201" s="165"/>
      <c r="AF201" s="165"/>
      <c r="AG201" s="165"/>
      <c r="AH201" s="167"/>
      <c r="AI201" s="167"/>
      <c r="AJ201" s="167"/>
      <c r="AK201" s="248"/>
      <c r="AL201" s="165"/>
      <c r="AM201" s="165"/>
      <c r="AN201" s="165"/>
      <c r="AO201" s="167"/>
      <c r="AP201" s="167"/>
      <c r="AQ201" s="167"/>
      <c r="AR201" s="249"/>
      <c r="AS201" s="167"/>
      <c r="AT201" s="167"/>
      <c r="AU201" s="167"/>
      <c r="AV201" s="167"/>
      <c r="AW201" s="167"/>
      <c r="AX201" s="167"/>
      <c r="AY201" s="249"/>
      <c r="AZ201" s="167"/>
      <c r="BA201" s="167"/>
      <c r="BB201" s="167"/>
      <c r="BC201" s="167"/>
      <c r="BD201" s="167"/>
      <c r="BE201" s="167"/>
      <c r="BF201" s="249"/>
      <c r="BG201" s="167"/>
      <c r="BH201" s="167"/>
      <c r="BI201" s="167"/>
      <c r="BJ201" s="167"/>
      <c r="BK201" s="167"/>
      <c r="BL201" s="167"/>
      <c r="BM201" s="249"/>
      <c r="BN201" s="167"/>
      <c r="BO201" s="167"/>
      <c r="BP201" s="167"/>
      <c r="BQ201" s="167"/>
      <c r="BR201" s="160"/>
      <c r="BS201" s="8"/>
      <c r="BT201" s="171"/>
      <c r="BU201" s="167"/>
      <c r="BV201" s="167"/>
      <c r="BW201" s="167"/>
      <c r="BX201" s="167"/>
      <c r="BY201" s="167"/>
      <c r="BZ201" s="167"/>
      <c r="CA201" s="167"/>
      <c r="CB201" s="167"/>
      <c r="CC201" s="167"/>
      <c r="CD201" s="167"/>
      <c r="CE201" s="167"/>
      <c r="CF201" s="167"/>
      <c r="CG201" s="167"/>
      <c r="CH201" s="167"/>
      <c r="CI201" s="167"/>
      <c r="CJ201" s="167"/>
      <c r="CK201" s="167"/>
      <c r="CL201" s="167"/>
      <c r="CM201" s="167"/>
      <c r="CN201" s="167"/>
      <c r="CO201" s="167"/>
    </row>
    <row r="202" spans="1:93">
      <c r="A202" s="8"/>
      <c r="B202" s="143"/>
      <c r="C202" s="165"/>
      <c r="D202" s="166"/>
      <c r="E202" s="165"/>
      <c r="F202" s="135"/>
      <c r="G202" s="135"/>
      <c r="H202" s="135"/>
      <c r="I202" s="165"/>
      <c r="J202" s="465"/>
      <c r="K202" s="465"/>
      <c r="L202" s="165"/>
      <c r="M202" s="514"/>
      <c r="N202" s="165"/>
      <c r="O202" s="166"/>
      <c r="P202" s="135"/>
      <c r="Q202" s="135"/>
      <c r="R202" s="167"/>
      <c r="S202" s="171"/>
      <c r="T202" s="135"/>
      <c r="U202" s="245"/>
      <c r="V202" s="165"/>
      <c r="W202" s="6"/>
      <c r="X202" s="6"/>
      <c r="Y202" s="135"/>
      <c r="Z202" s="135"/>
      <c r="AA202" s="167"/>
      <c r="AB202" s="167"/>
      <c r="AC202" s="167"/>
      <c r="AD202" s="248"/>
      <c r="AE202" s="165"/>
      <c r="AF202" s="165"/>
      <c r="AG202" s="165"/>
      <c r="AH202" s="167"/>
      <c r="AI202" s="167"/>
      <c r="AJ202" s="167"/>
      <c r="AK202" s="248"/>
      <c r="AL202" s="165"/>
      <c r="AM202" s="165"/>
      <c r="AN202" s="165"/>
      <c r="AO202" s="167"/>
      <c r="AP202" s="167"/>
      <c r="AQ202" s="167"/>
      <c r="AR202" s="249"/>
      <c r="AS202" s="167"/>
      <c r="AT202" s="167"/>
      <c r="AU202" s="167"/>
      <c r="AV202" s="167"/>
      <c r="AW202" s="167"/>
      <c r="AX202" s="167"/>
      <c r="AY202" s="249"/>
      <c r="AZ202" s="167"/>
      <c r="BA202" s="167"/>
      <c r="BB202" s="167"/>
      <c r="BC202" s="167"/>
      <c r="BD202" s="167"/>
      <c r="BE202" s="167"/>
      <c r="BF202" s="249"/>
      <c r="BG202" s="167"/>
      <c r="BH202" s="167"/>
      <c r="BI202" s="167"/>
      <c r="BJ202" s="167"/>
      <c r="BK202" s="167"/>
      <c r="BL202" s="167"/>
      <c r="BM202" s="249"/>
      <c r="BN202" s="167"/>
      <c r="BO202" s="167"/>
      <c r="BP202" s="167"/>
      <c r="BQ202" s="167"/>
      <c r="BR202" s="160"/>
      <c r="BS202" s="8"/>
      <c r="BT202" s="171"/>
      <c r="BU202" s="167"/>
      <c r="BV202" s="167"/>
      <c r="BW202" s="167"/>
      <c r="BX202" s="167"/>
      <c r="BY202" s="167"/>
      <c r="BZ202" s="167"/>
      <c r="CA202" s="167"/>
      <c r="CB202" s="167"/>
      <c r="CC202" s="167"/>
      <c r="CD202" s="167"/>
      <c r="CE202" s="167"/>
      <c r="CF202" s="167"/>
      <c r="CG202" s="167"/>
      <c r="CH202" s="167"/>
      <c r="CI202" s="167"/>
      <c r="CJ202" s="167"/>
      <c r="CK202" s="167"/>
      <c r="CL202" s="167"/>
      <c r="CM202" s="167"/>
      <c r="CN202" s="167"/>
      <c r="CO202" s="167"/>
    </row>
    <row r="203" spans="1:93">
      <c r="A203" s="8"/>
      <c r="B203" s="143"/>
      <c r="C203" s="165"/>
      <c r="D203" s="166"/>
      <c r="E203" s="165"/>
      <c r="F203" s="135"/>
      <c r="G203" s="135"/>
      <c r="H203" s="135"/>
      <c r="I203" s="165"/>
      <c r="J203" s="465"/>
      <c r="K203" s="465"/>
      <c r="L203" s="165"/>
      <c r="M203" s="514"/>
      <c r="N203" s="165"/>
      <c r="O203" s="166"/>
      <c r="P203" s="135"/>
      <c r="Q203" s="135"/>
      <c r="R203" s="167"/>
      <c r="S203" s="171"/>
      <c r="T203" s="135"/>
      <c r="U203" s="245"/>
      <c r="V203" s="165"/>
      <c r="W203" s="6"/>
      <c r="X203" s="6"/>
      <c r="Y203" s="135"/>
      <c r="Z203" s="135"/>
      <c r="AA203" s="167"/>
      <c r="AB203" s="167"/>
      <c r="AC203" s="167"/>
      <c r="AD203" s="248"/>
      <c r="AE203" s="165"/>
      <c r="AF203" s="165"/>
      <c r="AG203" s="165"/>
      <c r="AH203" s="167"/>
      <c r="AI203" s="167"/>
      <c r="AJ203" s="167"/>
      <c r="AK203" s="248"/>
      <c r="AL203" s="165"/>
      <c r="AM203" s="165"/>
      <c r="AN203" s="165"/>
      <c r="AO203" s="167"/>
      <c r="AP203" s="167"/>
      <c r="AQ203" s="167"/>
      <c r="AR203" s="249"/>
      <c r="AS203" s="167"/>
      <c r="AT203" s="167"/>
      <c r="AU203" s="167"/>
      <c r="AV203" s="167"/>
      <c r="AW203" s="167"/>
      <c r="AX203" s="167"/>
      <c r="AY203" s="249"/>
      <c r="AZ203" s="167"/>
      <c r="BA203" s="167"/>
      <c r="BB203" s="167"/>
      <c r="BC203" s="167"/>
      <c r="BD203" s="167"/>
      <c r="BE203" s="167"/>
      <c r="BF203" s="249"/>
      <c r="BG203" s="167"/>
      <c r="BH203" s="167"/>
      <c r="BI203" s="167"/>
      <c r="BJ203" s="167"/>
      <c r="BK203" s="167"/>
      <c r="BL203" s="167"/>
      <c r="BM203" s="249"/>
      <c r="BN203" s="167"/>
      <c r="BO203" s="167"/>
      <c r="BP203" s="167"/>
      <c r="BQ203" s="167"/>
      <c r="BR203" s="160"/>
      <c r="BS203" s="8"/>
      <c r="BT203" s="171"/>
      <c r="BU203" s="167"/>
      <c r="BV203" s="167"/>
      <c r="BW203" s="167"/>
      <c r="BX203" s="167"/>
      <c r="BY203" s="167"/>
      <c r="BZ203" s="167"/>
      <c r="CA203" s="167"/>
      <c r="CB203" s="167"/>
      <c r="CC203" s="167"/>
      <c r="CD203" s="167"/>
      <c r="CE203" s="167"/>
      <c r="CF203" s="167"/>
      <c r="CG203" s="167"/>
      <c r="CH203" s="167"/>
      <c r="CI203" s="167"/>
      <c r="CJ203" s="167"/>
      <c r="CK203" s="167"/>
      <c r="CL203" s="167"/>
      <c r="CM203" s="167"/>
      <c r="CN203" s="167"/>
      <c r="CO203" s="167"/>
    </row>
    <row r="204" spans="1:93">
      <c r="A204" s="8"/>
      <c r="B204" s="143"/>
      <c r="C204" s="165"/>
      <c r="D204" s="166"/>
      <c r="E204" s="165"/>
      <c r="F204" s="135"/>
      <c r="G204" s="135"/>
      <c r="H204" s="135"/>
      <c r="I204" s="165"/>
      <c r="J204" s="465"/>
      <c r="K204" s="465"/>
      <c r="L204" s="165"/>
      <c r="M204" s="514"/>
      <c r="N204" s="165"/>
      <c r="O204" s="166"/>
      <c r="P204" s="135"/>
      <c r="Q204" s="135"/>
      <c r="R204" s="167"/>
      <c r="S204" s="171"/>
      <c r="T204" s="135"/>
      <c r="U204" s="245"/>
      <c r="V204" s="165"/>
      <c r="W204" s="6"/>
      <c r="X204" s="6"/>
      <c r="Y204" s="135"/>
      <c r="Z204" s="135"/>
      <c r="AA204" s="167"/>
      <c r="AB204" s="167"/>
      <c r="AC204" s="167"/>
      <c r="AD204" s="248"/>
      <c r="AE204" s="165"/>
      <c r="AF204" s="165"/>
      <c r="AG204" s="165"/>
      <c r="AH204" s="167"/>
      <c r="AI204" s="167"/>
      <c r="AJ204" s="167"/>
      <c r="AK204" s="248"/>
      <c r="AL204" s="165"/>
      <c r="AM204" s="165"/>
      <c r="AN204" s="165"/>
      <c r="AO204" s="167"/>
      <c r="AP204" s="167"/>
      <c r="AQ204" s="167"/>
      <c r="AR204" s="249"/>
      <c r="AS204" s="167"/>
      <c r="AT204" s="167"/>
      <c r="AU204" s="167"/>
      <c r="AV204" s="167"/>
      <c r="AW204" s="167"/>
      <c r="AX204" s="167"/>
      <c r="AY204" s="249"/>
      <c r="AZ204" s="167"/>
      <c r="BA204" s="167"/>
      <c r="BB204" s="167"/>
      <c r="BC204" s="167"/>
      <c r="BD204" s="167"/>
      <c r="BE204" s="167"/>
      <c r="BF204" s="249"/>
      <c r="BG204" s="167"/>
      <c r="BH204" s="167"/>
      <c r="BI204" s="167"/>
      <c r="BJ204" s="167"/>
      <c r="BK204" s="167"/>
      <c r="BL204" s="167"/>
      <c r="BM204" s="249"/>
      <c r="BN204" s="167"/>
      <c r="BO204" s="167"/>
      <c r="BP204" s="167"/>
      <c r="BQ204" s="167"/>
      <c r="BR204" s="160"/>
      <c r="BS204" s="8"/>
      <c r="BT204" s="171"/>
      <c r="BU204" s="167"/>
      <c r="BV204" s="167"/>
      <c r="BW204" s="167"/>
      <c r="BX204" s="167"/>
      <c r="BY204" s="167"/>
      <c r="BZ204" s="167"/>
      <c r="CA204" s="167"/>
      <c r="CB204" s="167"/>
      <c r="CC204" s="167"/>
      <c r="CD204" s="167"/>
      <c r="CE204" s="167"/>
      <c r="CF204" s="167"/>
      <c r="CG204" s="167"/>
      <c r="CH204" s="167"/>
      <c r="CI204" s="167"/>
      <c r="CJ204" s="167"/>
      <c r="CK204" s="167"/>
      <c r="CL204" s="167"/>
      <c r="CM204" s="167"/>
      <c r="CN204" s="167"/>
      <c r="CO204" s="167"/>
    </row>
    <row r="205" spans="1:93">
      <c r="A205" s="8"/>
      <c r="B205" s="143"/>
      <c r="C205" s="165"/>
      <c r="D205" s="166"/>
      <c r="E205" s="165"/>
      <c r="F205" s="135"/>
      <c r="G205" s="135"/>
      <c r="H205" s="135"/>
      <c r="I205" s="165"/>
      <c r="J205" s="465"/>
      <c r="K205" s="465"/>
      <c r="L205" s="165"/>
      <c r="M205" s="514"/>
      <c r="N205" s="165"/>
      <c r="O205" s="166"/>
      <c r="P205" s="135"/>
      <c r="Q205" s="135"/>
      <c r="R205" s="167"/>
      <c r="S205" s="171"/>
      <c r="T205" s="135"/>
      <c r="U205" s="245"/>
      <c r="V205" s="165"/>
      <c r="W205" s="6"/>
      <c r="X205" s="6"/>
      <c r="Y205" s="135"/>
      <c r="Z205" s="135"/>
      <c r="AA205" s="167"/>
      <c r="AB205" s="167"/>
      <c r="AC205" s="167"/>
      <c r="AD205" s="248"/>
      <c r="AE205" s="165"/>
      <c r="AF205" s="165"/>
      <c r="AG205" s="165"/>
      <c r="AH205" s="167"/>
      <c r="AI205" s="167"/>
      <c r="AJ205" s="167"/>
      <c r="AK205" s="248"/>
      <c r="AL205" s="165"/>
      <c r="AM205" s="165"/>
      <c r="AN205" s="165"/>
      <c r="AO205" s="167"/>
      <c r="AP205" s="167"/>
      <c r="AQ205" s="167"/>
      <c r="AR205" s="249"/>
      <c r="AS205" s="167"/>
      <c r="AT205" s="167"/>
      <c r="AU205" s="167"/>
      <c r="AV205" s="167"/>
      <c r="AW205" s="167"/>
      <c r="AX205" s="167"/>
      <c r="AY205" s="249"/>
      <c r="AZ205" s="167"/>
      <c r="BA205" s="167"/>
      <c r="BB205" s="167"/>
      <c r="BC205" s="167"/>
      <c r="BD205" s="167"/>
      <c r="BE205" s="167"/>
      <c r="BF205" s="249"/>
      <c r="BG205" s="167"/>
      <c r="BH205" s="167"/>
      <c r="BI205" s="167"/>
      <c r="BJ205" s="167"/>
      <c r="BK205" s="167"/>
      <c r="BL205" s="167"/>
      <c r="BM205" s="249"/>
      <c r="BN205" s="167"/>
      <c r="BO205" s="167"/>
      <c r="BP205" s="167"/>
      <c r="BQ205" s="167"/>
      <c r="BR205" s="160"/>
      <c r="BS205" s="8"/>
      <c r="BT205" s="171"/>
      <c r="BU205" s="167"/>
      <c r="BV205" s="167"/>
      <c r="BW205" s="167"/>
      <c r="BX205" s="167"/>
      <c r="BY205" s="167"/>
      <c r="BZ205" s="167"/>
      <c r="CA205" s="167"/>
      <c r="CB205" s="167"/>
      <c r="CC205" s="167"/>
      <c r="CD205" s="167"/>
      <c r="CE205" s="167"/>
      <c r="CF205" s="167"/>
      <c r="CG205" s="167"/>
      <c r="CH205" s="167"/>
      <c r="CI205" s="167"/>
      <c r="CJ205" s="167"/>
      <c r="CK205" s="167"/>
      <c r="CL205" s="167"/>
      <c r="CM205" s="167"/>
      <c r="CN205" s="167"/>
      <c r="CO205" s="167"/>
    </row>
    <row r="206" spans="1:93">
      <c r="A206" s="8"/>
      <c r="B206" s="143"/>
      <c r="C206" s="165"/>
      <c r="D206" s="166"/>
      <c r="E206" s="165"/>
      <c r="F206" s="135"/>
      <c r="G206" s="135"/>
      <c r="H206" s="135"/>
      <c r="I206" s="165"/>
      <c r="J206" s="465"/>
      <c r="K206" s="465"/>
      <c r="L206" s="165"/>
      <c r="M206" s="514"/>
      <c r="N206" s="165"/>
      <c r="O206" s="166"/>
      <c r="P206" s="135"/>
      <c r="Q206" s="135"/>
      <c r="R206" s="167"/>
      <c r="S206" s="171"/>
      <c r="T206" s="135"/>
      <c r="U206" s="245"/>
      <c r="V206" s="165"/>
      <c r="W206" s="6"/>
      <c r="X206" s="6"/>
      <c r="Y206" s="135"/>
      <c r="Z206" s="135"/>
      <c r="AA206" s="167"/>
      <c r="AB206" s="167"/>
      <c r="AC206" s="167"/>
      <c r="AD206" s="248"/>
      <c r="AE206" s="165"/>
      <c r="AF206" s="165"/>
      <c r="AG206" s="165"/>
      <c r="AH206" s="167"/>
      <c r="AI206" s="167"/>
      <c r="AJ206" s="167"/>
      <c r="AK206" s="248"/>
      <c r="AL206" s="165"/>
      <c r="AM206" s="165"/>
      <c r="AN206" s="165"/>
      <c r="AO206" s="167"/>
      <c r="AP206" s="167"/>
      <c r="AQ206" s="167"/>
      <c r="AR206" s="249"/>
      <c r="AS206" s="167"/>
      <c r="AT206" s="167"/>
      <c r="AU206" s="167"/>
      <c r="AV206" s="167"/>
      <c r="AW206" s="167"/>
      <c r="AX206" s="167"/>
      <c r="AY206" s="249"/>
      <c r="AZ206" s="167"/>
      <c r="BA206" s="167"/>
      <c r="BB206" s="167"/>
      <c r="BC206" s="167"/>
      <c r="BD206" s="167"/>
      <c r="BE206" s="167"/>
      <c r="BF206" s="249"/>
      <c r="BG206" s="167"/>
      <c r="BH206" s="167"/>
      <c r="BI206" s="167"/>
      <c r="BJ206" s="167"/>
      <c r="BK206" s="167"/>
      <c r="BL206" s="167"/>
      <c r="BM206" s="249"/>
      <c r="BN206" s="167"/>
      <c r="BO206" s="167"/>
      <c r="BP206" s="167"/>
      <c r="BQ206" s="167"/>
      <c r="BR206" s="160"/>
      <c r="BS206" s="8"/>
      <c r="BT206" s="171"/>
      <c r="BU206" s="167"/>
      <c r="BV206" s="167"/>
      <c r="BW206" s="167"/>
      <c r="BX206" s="167"/>
      <c r="BY206" s="167"/>
      <c r="BZ206" s="167"/>
      <c r="CA206" s="167"/>
      <c r="CB206" s="167"/>
      <c r="CC206" s="167"/>
      <c r="CD206" s="167"/>
      <c r="CE206" s="167"/>
      <c r="CF206" s="167"/>
      <c r="CG206" s="167"/>
      <c r="CH206" s="167"/>
      <c r="CI206" s="167"/>
      <c r="CJ206" s="167"/>
      <c r="CK206" s="167"/>
      <c r="CL206" s="167"/>
      <c r="CM206" s="167"/>
      <c r="CN206" s="167"/>
      <c r="CO206" s="167"/>
    </row>
  </sheetData>
  <hyperlinks>
    <hyperlink ref="B77" r:id="rId2" display="../../../../../:b:/r/personal/lppm_ittelkom-sby_ac_id/Documents/2023/SK/SK LPPM Telah disahkan/REK. 025_ABDI1_REK_II_2023 Penetapan Penerima Dan Pelaksana Pengabdian Masyarakat Hibah Internal Institut Teknologi Telkom Surabaya Tahun Anggaran 2023.pdf?csf=1&amp;web=1&amp;e=PbmSL1" xr:uid="{00000000-0004-0000-0E00-000000000000}"/>
    <hyperlink ref="B78:B92" r:id="rId3" display="REK. 025/ABDI1/REK/II/2023" xr:uid="{00000000-0004-0000-0E00-000001000000}"/>
    <hyperlink ref="B93" r:id="rId4" display="../../../../../:b:/r/personal/lppm_ittelkom-sby_ac_id/Documents/2023/SK/SK LPPM Telah disahkan/REK. 011_SAM4_REK_I_2023 Penerima Dan Pelaksana Hibah Program Ayo Bikin Nyata Telkom CDC Tahun Anggaran 2022 .pdf?csf=1&amp;web=1&amp;e=U5h4q6" xr:uid="{00000000-0004-0000-0E00-000002000000}"/>
    <hyperlink ref="B94" r:id="rId5" display="../../../../../:b:/r/personal/lppm_ittelkom-sby_ac_id/Documents/2023/SK/SK LPPM Telah disahkan/REK. 097_ABDI3_REK_VII_2023 Penerima %26 Pelaksana Penelitian Pengmas Hibah Dikti Tahun 2023.pdf?csf=1&amp;web=1&amp;e=tOBHwV" xr:uid="{00000000-0004-0000-0E00-000003000000}"/>
    <hyperlink ref="B95" r:id="rId6" display="../../../../../:b:/r/personal/lppm_ittelkom-sby_ac_id/Documents/2023/SK/SK LPPM Telah disahkan/REK. 097_ABDI3_REK_VII_2023 Penerima %26 Pelaksana Penelitian Pengmas Hibah Dikti Tahun 2023.pdf?csf=1&amp;web=1&amp;e=tOBHwV" xr:uid="{00000000-0004-0000-0E00-000004000000}"/>
    <hyperlink ref="B96" r:id="rId7" display="../../../../../:b:/r/personal/lppm_ittelkom-sby_ac_id/Documents/2023/SK/SK LPPM Telah disahkan/REK. 117_ABDI1_REK_VIII_2023 Penetapan Penerima Dan Pelaksana Pengabdian Masyarakat Hibah Internal Batch 2 Institut Teknologi Telkom Surabaya Tahun Anggaran 2023.pdf?csf=1&amp;web=1&amp;e=VC0R45" xr:uid="{00000000-0004-0000-0E00-000005000000}"/>
    <hyperlink ref="B97:B106" r:id="rId8" display="REK. 117/ABDI1/REK/VIII/2023" xr:uid="{00000000-0004-0000-0E00-000006000000}"/>
    <hyperlink ref="B107" r:id="rId9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7000000}"/>
    <hyperlink ref="B109" r:id="rId10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8000000}"/>
    <hyperlink ref="B39" r:id="rId11" display="https://drive.google.com/file/d/1xogy7NNIe_4vm0YtA55G6X96NJOBXuPA/view?usp=sharing" xr:uid="{00000000-0004-0000-0E00-000009000000}"/>
    <hyperlink ref="B40:B55" r:id="rId12" display="REK.070/ABDI1/REK/II/2022" xr:uid="{00000000-0004-0000-0E00-00000A000000}"/>
    <hyperlink ref="B8" r:id="rId13" display="https://drive.google.com/file/d/17b1Xi3t-8LeWp6X-i8U8Od_yMPjKsqaN/view?usp=sharing" xr:uid="{00000000-0004-0000-0E00-00000B000000}"/>
    <hyperlink ref="B9:B18" r:id="rId14" display="REK.091/ABDI1/REK/III/2021" xr:uid="{00000000-0004-0000-0E00-00000C000000}"/>
    <hyperlink ref="B19" r:id="rId15" display="https://drive.google.com/file/d/17MYjaTOD_p7JiHH0Vtml3USllFlr3gsm/view?usp=sharing" xr:uid="{00000000-0004-0000-0E00-00000D000000}"/>
    <hyperlink ref="B20" r:id="rId16" display="https://drive.google.com/file/d/1EavCAwX21XC_cwdcb_q3271xprhlkUcE/view?usp=sharing" xr:uid="{00000000-0004-0000-0E00-00000E000000}"/>
    <hyperlink ref="B21:B24" r:id="rId17" display="REK.119/ABDI1/REK/V/2021" xr:uid="{00000000-0004-0000-0E00-00000F000000}"/>
    <hyperlink ref="B25" r:id="rId18" display="https://drive.google.com/file/d/1DfoKl33q2Z6klF4C9MJmSHLBCiUsjDSL/view?usp=sharing" xr:uid="{00000000-0004-0000-0E00-000010000000}"/>
    <hyperlink ref="B26" r:id="rId19" display="https://drive.google.com/file/d/14t2vxRtswVcDzyBK7BIzB-wOSz4Uvd2J/view?usp=sharing" xr:uid="{00000000-0004-0000-0E00-000011000000}"/>
    <hyperlink ref="B27:B35" r:id="rId20" display="REK.150/SAM4/REK/VIII/2021" xr:uid="{00000000-0004-0000-0E00-000012000000}"/>
    <hyperlink ref="B36" r:id="rId21" display="https://drive.google.com/file/d/1rv_ZyGNztP8WP8g6MGtVZrcFn1vOqeei/view?usp=sharing" xr:uid="{00000000-0004-0000-0E00-000013000000}"/>
    <hyperlink ref="C77" r:id="rId22" display="https://cdn.ittelkom-sby.ac.id/research/z16933624400bdd985958ba3514a88b6fa899e11897.pdf" xr:uid="{00000000-0004-0000-0E00-000014000000}"/>
    <hyperlink ref="C78" r:id="rId23" display="https://cdn.ittelkom-sby.ac.id/research/z16933603004e1c377d9b8b9511800cf89af758f14d.pdf" xr:uid="{00000000-0004-0000-0E00-000015000000}"/>
    <hyperlink ref="C79" r:id="rId24" display="https://cdn.ittelkom-sby.ac.id/research/z1693360802542662b940fcdb02d7f3bc3c2305f340.pdf" xr:uid="{00000000-0004-0000-0E00-000016000000}"/>
    <hyperlink ref="C80" r:id="rId25" display="https://cdn.ittelkom-sby.ac.id/research/z16933616697cfdda1616ab11810fd6f873ef7b59df.pdf" xr:uid="{00000000-0004-0000-0E00-000017000000}"/>
    <hyperlink ref="C81" r:id="rId26" display="https://cdn.ittelkom-sby.ac.id/research/z16933618047ff7339e6d7a8050a7a609fd612ea5a5.pdf" xr:uid="{00000000-0004-0000-0E00-000018000000}"/>
    <hyperlink ref="C82" r:id="rId27" display="https://cdn.ittelkom-sby.ac.id/research/z16933613093b309f4f363696400323228d0c4e2bb8.pdf" xr:uid="{00000000-0004-0000-0E00-000019000000}"/>
    <hyperlink ref="C83" r:id="rId28" display="https://cdn.ittelkom-sby.ac.id/research/z169336194683adf3c3715ee33f0bffdd3533817e4d.pdf" xr:uid="{00000000-0004-0000-0E00-00001A000000}"/>
    <hyperlink ref="C84" r:id="rId29" display="https://cdn.ittelkom-sby.ac.id/research/z16933623122d081db2111ab3299e9ac9264972c23f.pdf" xr:uid="{00000000-0004-0000-0E00-00001B000000}"/>
    <hyperlink ref="C85" r:id="rId30" display="https://cdn.ittelkom-sby.ac.id/research/z1693360561fecee4734ce7294464dd802d84925696.pdf" xr:uid="{00000000-0004-0000-0E00-00001C000000}"/>
    <hyperlink ref="C86" r:id="rId31" display="https://cdn.ittelkom-sby.ac.id/research/z169336098641aa6cedd99e9a00f454014141d268a7.pdf" xr:uid="{00000000-0004-0000-0E00-00001D000000}"/>
    <hyperlink ref="C87" r:id="rId32" display="https://cdn.ittelkom-sby.ac.id/research/z16943974813946e3f095e3a272c1e2e7757945dd4b.pdf" xr:uid="{00000000-0004-0000-0E00-00001E000000}"/>
    <hyperlink ref="C88" r:id="rId33" display="https://cdn.ittelkom-sby.ac.id/research/z16933601397fe894b9f7b1012e7dbfb6a051a28344.pdf" xr:uid="{00000000-0004-0000-0E00-00001F000000}"/>
    <hyperlink ref="C89" r:id="rId34" display="https://cdn.ittelkom-sby.ac.id/research/z16933615170aae51a209e1861fac6c6874e213ceed.pdf" xr:uid="{00000000-0004-0000-0E00-000020000000}"/>
    <hyperlink ref="C90" r:id="rId35" display="https://cdn.ittelkom-sby.ac.id/research/z1693360433e5b91174ef7442ff3b4e71752f93293c.pdf" xr:uid="{00000000-0004-0000-0E00-000021000000}"/>
    <hyperlink ref="C91" r:id="rId36" display="https://cdn.ittelkom-sby.ac.id/research/z1693360072f79f9947a356ac4d15f1b240d8322c2c.pdf" xr:uid="{00000000-0004-0000-0E00-000022000000}"/>
    <hyperlink ref="C96" r:id="rId37" display="https://cdn.ittelkom-sby.ac.id/research/z1693382855924412c44fe637d205785ee50d39eb36.pdf" xr:uid="{00000000-0004-0000-0E00-000023000000}"/>
    <hyperlink ref="C97" r:id="rId38" display="https://cdn.ittelkom-sby.ac.id/research/z169387990386b421112081461254204132b9d3597a.pdf" xr:uid="{00000000-0004-0000-0E00-000024000000}"/>
    <hyperlink ref="C98" r:id="rId39" display="https://cdn.ittelkom-sby.ac.id/research/z1694050677ea140ed9eb4d9c63a5e12acba4ecf7bc.pdf" xr:uid="{00000000-0004-0000-0E00-000025000000}"/>
    <hyperlink ref="C99" r:id="rId40" display="https://cdn.ittelkom-sby.ac.id/research/z16933826151a498daf2b41a46b3fec095be431c918.pdf" xr:uid="{00000000-0004-0000-0E00-000026000000}"/>
    <hyperlink ref="C100" r:id="rId41" display="https://cdn.ittelkom-sby.ac.id/research/z169338278491d18fe1ee9ba6db29c79eebb23d2be4.pdf" xr:uid="{00000000-0004-0000-0E00-000027000000}"/>
    <hyperlink ref="C101" r:id="rId42" display="https://cdn.ittelkom-sby.ac.id/research/z16933829700236eb3e1c3bbd96364c32db82b9853b.pdf" xr:uid="{00000000-0004-0000-0E00-000028000000}"/>
    <hyperlink ref="C102" r:id="rId43" display="https://cdn.ittelkom-sby.ac.id/research/z1693382686cc52baf62d7d6399be63450d6cee03b4.pdf" xr:uid="{00000000-0004-0000-0E00-000029000000}"/>
    <hyperlink ref="C103" r:id="rId44" display="https://cdn.ittelkom-sby.ac.id/research/z169338289731a601820f52fc97ab937afa782a7d6e.pdf" xr:uid="{00000000-0004-0000-0E00-00002A000000}"/>
    <hyperlink ref="C104" r:id="rId45" display="https://cdn.ittelkom-sby.ac.id/research/z1693879966e31d78d44782879ef10b274ca7a2097b.pdf" xr:uid="{00000000-0004-0000-0E00-00002B000000}"/>
    <hyperlink ref="C105" r:id="rId46" display="https://cdn.ittelkom-sby.ac.id/research/z1693384077be9dea1206336ba4b2ffec1fe2a75caf.pdf" xr:uid="{00000000-0004-0000-0E00-00002C000000}"/>
    <hyperlink ref="C92" r:id="rId47" display="https://cdn.ittelkom-sby.ac.id/research/z1693361439b356de0ebe36889349b73aa62fc3075b.pdf" xr:uid="{00000000-0004-0000-0E00-00002D000000}"/>
    <hyperlink ref="C106" r:id="rId48" display="https://cdn.ittelkom-sby.ac.id/research/z169338415943afc52c0cc8e8c3123465d0ecad6520.pdf" xr:uid="{00000000-0004-0000-0E00-00002E000000}"/>
    <hyperlink ref="C107" r:id="rId49" display="https://cdn.ittelkom-sby.ac.id/research/z170167484087bde8ad1400ab47f7fcccd68be7a1dc.pdf" xr:uid="{00000000-0004-0000-0E00-00002F000000}"/>
    <hyperlink ref="C40" r:id="rId50" display="https://cdn.ittelkom-sby.ac.id/research/z165483225036fd50f53ef4939ff1e707b96e8aebe7.pdf" xr:uid="{00000000-0004-0000-0E00-000030000000}"/>
    <hyperlink ref="C41" r:id="rId51" display="https://cdn.ittelkom-sby.ac.id/research/z1663125347b71ed542b2a216ff789e788e063e0509.pdf" xr:uid="{00000000-0004-0000-0E00-000031000000}"/>
    <hyperlink ref="C42" r:id="rId52" display="https://cdn.ittelkom-sby.ac.id/research/z165483261119bb95d27e58fa171146c4a68599324d.pdf" xr:uid="{00000000-0004-0000-0E00-000032000000}"/>
    <hyperlink ref="C43" r:id="rId53" display="https://cdn.ittelkom-sby.ac.id/research/z1654832510a5afa45805cadbb7a70d600e291d5833.pdf" xr:uid="{00000000-0004-0000-0E00-000033000000}"/>
    <hyperlink ref="C44" r:id="rId54" display="https://cdn.ittelkom-sby.ac.id/research/z1654832170d0c25729b5c0a42652957b724d6e01bb.pdf" xr:uid="{00000000-0004-0000-0E00-000034000000}"/>
    <hyperlink ref="C45" r:id="rId55" display="https://cdn.ittelkom-sby.ac.id/research/z1655089442292b995ca37e5538082f58900a54053a.pdf" xr:uid="{00000000-0004-0000-0E00-000035000000}"/>
    <hyperlink ref="C46" r:id="rId56" display="https://cdn.ittelkom-sby.ac.id/research/z1663125252c41d93887c45e272359da60558a43c69.pdf" xr:uid="{00000000-0004-0000-0E00-000036000000}"/>
    <hyperlink ref="C47" r:id="rId57" display="https://cdn.ittelkom-sby.ac.id/research/z1654832089ce52bede5f880121f4bfa7df4a351082.pdf" xr:uid="{00000000-0004-0000-0E00-000037000000}"/>
    <hyperlink ref="C48" r:id="rId58" display="https://cdn.ittelkom-sby.ac.id/research/z165483276868ef29fa611963f35a64704202150f4d.pdf" xr:uid="{00000000-0004-0000-0E00-000038000000}"/>
    <hyperlink ref="C49" r:id="rId59" display="https://cdn.ittelkom-sby.ac.id/research/z165483269414fa2ee9eddaf8e3884223c23169b1ce.pdf" xr:uid="{00000000-0004-0000-0E00-000039000000}"/>
    <hyperlink ref="C50" r:id="rId60" display="https://cdn.ittelkom-sby.ac.id/research/z1654832399365e19c03374e597c9538293176f74cf.pdf" xr:uid="{00000000-0004-0000-0E00-00003A000000}"/>
    <hyperlink ref="C51" r:id="rId61" display="https://cdn.ittelkom-sby.ac.id/research/z16432778985b043871c2840ece1ff4c3cd2988a7ca.pdf" xr:uid="{00000000-0004-0000-0E00-00003B000000}"/>
    <hyperlink ref="C52" r:id="rId62" display="https://cdn.ittelkom-sby.ac.id/research/z16548329714cb73132fa21321f09284544f833008e.pdf" xr:uid="{00000000-0004-0000-0E00-00003C000000}"/>
    <hyperlink ref="C53" r:id="rId63" display="https://cdn.ittelkom-sby.ac.id/research/z165483230952e0ca19aec4569506f26bcf8cd71b2f.pdf" xr:uid="{00000000-0004-0000-0E00-00003D000000}"/>
    <hyperlink ref="C55" r:id="rId64" display="https://cdn.ittelkom-sby.ac.id/research/z166312688454a5089d51b4c124355eaa89d95c1a51.pdf" xr:uid="{00000000-0004-0000-0E00-00003E000000}"/>
    <hyperlink ref="C56" r:id="rId65" display="https://cdn.ittelkom-sby.ac.id/research/z1663126696dde2e58127bfc8828bb3f8fa5c353430.pdf" xr:uid="{00000000-0004-0000-0E00-00003F000000}"/>
    <hyperlink ref="C57" r:id="rId66" display="https://cdn.ittelkom-sby.ac.id/research/z16631264882eb2671fb8ce9c412644f55e7118f7dd.pdf" xr:uid="{00000000-0004-0000-0E00-000040000000}"/>
    <hyperlink ref="C58" r:id="rId67" display="https://cdn.ittelkom-sby.ac.id/research/z16631260913bf6d2e4cc83ce088ce10414a96de560.pdf" xr:uid="{00000000-0004-0000-0E00-000041000000}"/>
    <hyperlink ref="C59" r:id="rId68" display="https://cdn.ittelkom-sby.ac.id/research/z1663126200f80f8c68aa37c5691587a8900977adc5.pdf" xr:uid="{00000000-0004-0000-0E00-000042000000}"/>
    <hyperlink ref="C60" r:id="rId69" display="https://cdn.ittelkom-sby.ac.id/research/z166312714810937d7477396e633d5134cf512ad242.pdf" xr:uid="{00000000-0004-0000-0E00-000043000000}"/>
    <hyperlink ref="C61" r:id="rId70" display="https://cdn.ittelkom-sby.ac.id/research/z16631273107e381b68e001f3798914672681f130c2.pdf" xr:uid="{00000000-0004-0000-0E00-000044000000}"/>
    <hyperlink ref="C62" r:id="rId71" display="https://cdn.ittelkom-sby.ac.id/research/z166312628625704775749a1e6ce4bd00618491da20.pdf" xr:uid="{00000000-0004-0000-0E00-000045000000}"/>
    <hyperlink ref="C65" r:id="rId72" display="https://cdn.ittelkom-sby.ac.id/research/z16631259952c4cf7983566dd98928b7dba10cbeafb.pdf" xr:uid="{00000000-0004-0000-0E00-000046000000}"/>
    <hyperlink ref="C66" r:id="rId73" display="https://cdn.ittelkom-sby.ac.id/research/z16631267999dcfcd191b8a6df45f9f3615e7977a20.pdf" xr:uid="{00000000-0004-0000-0E00-000047000000}"/>
    <hyperlink ref="C8" r:id="rId74" display="https://cdn.ittelkom-sby.ac.id/research/z1628053612bb4ce90cb1e751f1fa9006711affdc72.pdf" xr:uid="{00000000-0004-0000-0E00-000048000000}"/>
    <hyperlink ref="C9" r:id="rId75" display="https://cdn.ittelkom-sby.ac.id/research/z1628053400415728a31d60cc6664a51d6278a45bc3.pdf" xr:uid="{00000000-0004-0000-0E00-000049000000}"/>
    <hyperlink ref="C10" r:id="rId76" display="https://cdn.ittelkom-sby.ac.id/research/z1628053140f0b3864028344aea3ff33da6fb13d37a.pdf" xr:uid="{00000000-0004-0000-0E00-00004A000000}"/>
    <hyperlink ref="C11" r:id="rId77" display="https://cdn.ittelkom-sby.ac.id/research/z1628052878f4c8c3ce58655383f69f593a14f37890.pdf" xr:uid="{00000000-0004-0000-0E00-00004B000000}"/>
    <hyperlink ref="C12" r:id="rId78" display="https://cdn.ittelkom-sby.ac.id/research/z1628053055c300781a859366f7a636114d5df55dd5.pdf" xr:uid="{00000000-0004-0000-0E00-00004C000000}"/>
    <hyperlink ref="C13" r:id="rId79" display="https://cdn.ittelkom-sby.ac.id/research/z1628053722a15f6953e6a543ea149b44afe6a7867b.pdf" xr:uid="{00000000-0004-0000-0E00-00004D000000}"/>
    <hyperlink ref="C14" r:id="rId80" display="https://cdn.ittelkom-sby.ac.id/research/z16280532228f1fb2823b430629bf47e70b23d5a2c0.pdf" xr:uid="{00000000-0004-0000-0E00-00004E000000}"/>
    <hyperlink ref="C15" r:id="rId81" display="https://cdn.ittelkom-sby.ac.id/research/z1628053476af2014b95c001a13fc2b9ab7cf56e496.pdf" xr:uid="{00000000-0004-0000-0E00-00004F000000}"/>
    <hyperlink ref="C16" r:id="rId82" display="https://cdn.ittelkom-sby.ac.id/research/z1628053341dcc5f10649339b3606998a91ffdcda8f.pdf" xr:uid="{00000000-0004-0000-0E00-000050000000}"/>
    <hyperlink ref="C26" r:id="rId83" display="https://cdn.ittelkom-sby.ac.id/research/z163357849451c6d18021693979b2ec1e81ac1d1a52.pdf" xr:uid="{00000000-0004-0000-0E00-000051000000}"/>
    <hyperlink ref="C27" r:id="rId84" display="https://cdn.ittelkom-sby.ac.id/research/z1633502822080072e91f6266690df905799d83ebfe.pdf" xr:uid="{00000000-0004-0000-0E00-000052000000}"/>
    <hyperlink ref="C19" r:id="rId85" display="https://cdn.ittelkom-sby.ac.id/research/z16280546664d89c2d450a8662fb1ee61c1a451ddce.pdf" xr:uid="{00000000-0004-0000-0E00-000053000000}"/>
    <hyperlink ref="C20" r:id="rId86" display="https://cdn.ittelkom-sby.ac.id/research/z163349926961efdbf1abe007881e0111feea21709b.pdf" xr:uid="{00000000-0004-0000-0E00-000054000000}"/>
    <hyperlink ref="C21" r:id="rId87" display="https://cdn.ittelkom-sby.ac.id/research/z163349921477c75166197a23e8b8cc687da87f6c76.pdf" xr:uid="{00000000-0004-0000-0E00-000055000000}"/>
    <hyperlink ref="C22" r:id="rId88" display="https://cdn.ittelkom-sby.ac.id/research/z1633506530a378d47fb9d6853a64698e60179ab3b6.pdf" xr:uid="{00000000-0004-0000-0E00-000056000000}"/>
    <hyperlink ref="C23" r:id="rId89" display="https://cdn.ittelkom-sby.ac.id/research/z16335064254f3f8d9c0086903b12b3fff3f086ff91.pdf" xr:uid="{00000000-0004-0000-0E00-000057000000}"/>
    <hyperlink ref="C17" r:id="rId90" display="https://cdn.ittelkom-sby.ac.id/research/z1628052515f49255fea602f40931bf2e5ed2f1a965.pdf" xr:uid="{00000000-0004-0000-0E00-000058000000}"/>
    <hyperlink ref="C18" r:id="rId91" display="https://cdn.ittelkom-sby.ac.id/research/z16280523832b7f5a71f25aed00443d22ae04e5ae5b.pdf" xr:uid="{00000000-0004-0000-0E00-000059000000}"/>
    <hyperlink ref="C93" r:id="rId92" display="https://cdn.ittelkom-sby.ac.id/research/z1693363316c91091b9568181deb0fa8d05a39450ad.pdf" xr:uid="{00000000-0004-0000-0E00-00005A000000}"/>
    <hyperlink ref="BR109" r:id="rId93" display="https://cdn.ittelkom-sby.ac.id/research/z1688355814e8e0ffe846d85b2b0507785c46f84fc7.pdf" xr:uid="{00000000-0004-0000-0E00-00005B000000}"/>
    <hyperlink ref="BR107" r:id="rId94" display="https://cdn.ittelkom-sby.ac.id/research/z1687863308182533361167e24a2f21ffe7a30a2ae4.pdf" xr:uid="{00000000-0004-0000-0E00-00005C000000}"/>
    <hyperlink ref="BS107" r:id="rId95" display="https://cdn.ittelkom-sby.ac.id/research/z169804525908fe7cef4b9042e8da952d16534e86c1.pdf" xr:uid="{00000000-0004-0000-0E00-00005D000000}"/>
    <hyperlink ref="BR106" r:id="rId96" display="https://cdn.ittelkom-sby.ac.id/research/z1692014697947b16082af52c05208a586cde7877f3.pdf" xr:uid="{00000000-0004-0000-0E00-00005E000000}"/>
    <hyperlink ref="BR105" r:id="rId97" display="https://cdn.ittelkom-sby.ac.id/research/z169199480989b3334b823c1b3438349880be98d98d.pdf" xr:uid="{00000000-0004-0000-0E00-00005F000000}"/>
    <hyperlink ref="BR104" r:id="rId98" display="https://cdn.ittelkom-sby.ac.id/research/z169380199105cc88870c5acce3b46931de54369e30.pdf" xr:uid="{00000000-0004-0000-0E00-000060000000}"/>
    <hyperlink ref="BR103" r:id="rId99" display="https://cdn.ittelkom-sby.ac.id/research/z1688140217f9b899f6a1f39e8a6a38ab0511f9184c.pdf" xr:uid="{00000000-0004-0000-0E00-000061000000}"/>
    <hyperlink ref="BR102" r:id="rId100" display="https://cdn.ittelkom-sby.ac.id/research/z1692610415532f31f627d047c2dc9c324bfc229573.pdf" xr:uid="{00000000-0004-0000-0E00-000062000000}"/>
    <hyperlink ref="BR101" r:id="rId101" display="https://cdn.ittelkom-sby.ac.id/research/z168856419776b7db6b066cd23bb13ac94486f6568a.pdf" xr:uid="{00000000-0004-0000-0E00-000063000000}"/>
    <hyperlink ref="BR100" r:id="rId102" display="https://cdn.ittelkom-sby.ac.id/research/z16887283872e7d5f214b209fd22de82d257d7a3b97.pdf" xr:uid="{00000000-0004-0000-0E00-000064000000}"/>
    <hyperlink ref="BR99" r:id="rId103" display="https://cdn.ittelkom-sby.ac.id/research/z1692599524d3d6e9db686cb3f66763c0880c0dfc83.pdf" xr:uid="{00000000-0004-0000-0E00-000065000000}"/>
    <hyperlink ref="BR98" r:id="rId104" display="https://cdn.ittelkom-sby.ac.id/research/z1688213104e30dffd889c999f67b30311b2150288c.pdf" xr:uid="{00000000-0004-0000-0E00-000066000000}"/>
    <hyperlink ref="BR97" r:id="rId105" display="https://cdn.ittelkom-sby.ac.id/research/z1692022330b364d816734219ce130bb6ef08decd09.pdf" xr:uid="{00000000-0004-0000-0E00-000067000000}"/>
    <hyperlink ref="BR96" r:id="rId106" display="https://cdn.ittelkom-sby.ac.id/research/z16878452998830c0d7ab9f2a2969bb1c3f05e50d8b.pdf" xr:uid="{00000000-0004-0000-0E00-000068000000}"/>
    <hyperlink ref="BR92" r:id="rId107" display="https://cdn.ittelkom-sby.ac.id/research/z16756435048ac44c6ac0dc1a8d11509e53961c5a6b.pdf" xr:uid="{00000000-0004-0000-0E00-000069000000}"/>
    <hyperlink ref="BR91" r:id="rId108" display="https://cdn.ittelkom-sby.ac.id/research/z1675650687b988ae6fa6eeeb651e6111a62dad63a1.pdf" xr:uid="{00000000-0004-0000-0E00-00006A000000}"/>
    <hyperlink ref="BS91" r:id="rId109" display="https://cdn.ittelkom-sby.ac.id/research/z16944173889123d1e454429ffcef867fe76dbe15ea.pdf" xr:uid="{00000000-0004-0000-0E00-00006B000000}"/>
    <hyperlink ref="BR90" r:id="rId110" display="https://cdn.ittelkom-sby.ac.id/research/z1675647206129b3d9c5e26b25ed44fcfe361c43cce.pdf" xr:uid="{00000000-0004-0000-0E00-00006C000000}"/>
    <hyperlink ref="BS90" r:id="rId111" display="https://cdn.ittelkom-sby.ac.id/research/z1696990323a0751743a685d75f87a57f7dccf08472.pdf" xr:uid="{00000000-0004-0000-0E00-00006D000000}"/>
    <hyperlink ref="BR89" r:id="rId112" display="https://cdn.ittelkom-sby.ac.id/research/z1675647290989228579f0029953f9419b86e7bb451.pdf" xr:uid="{00000000-0004-0000-0E00-00006E000000}"/>
    <hyperlink ref="BS89" r:id="rId113" display="https://cdn.ittelkom-sby.ac.id/research/z169476092202df8c9390902ef01b5cc7f5bf018fe7.pdf" xr:uid="{00000000-0004-0000-0E00-00006F000000}"/>
    <hyperlink ref="BR88" r:id="rId114" display="https://cdn.ittelkom-sby.ac.id/research/z16756430666243b4aee9600f4f64ad7bfa0cd2c326.pdf" xr:uid="{00000000-0004-0000-0E00-000070000000}"/>
    <hyperlink ref="BS88" r:id="rId115" display="https://cdn.ittelkom-sby.ac.id/research/z169443681028c3d118aae574695b6f97f1d8b25cf6.pdf" xr:uid="{00000000-0004-0000-0E00-000071000000}"/>
    <hyperlink ref="BR87" r:id="rId116" display="https://cdn.ittelkom-sby.ac.id/research/z1675645235b4c115aeb6a010fc63646fa54f7d6c05.pdf" xr:uid="{00000000-0004-0000-0E00-000072000000}"/>
    <hyperlink ref="BS87" r:id="rId117" display="https://cdn.ittelkom-sby.ac.id/research/z1695960304488df12c572b3ddecc9acc256e16932a.pdf" xr:uid="{00000000-0004-0000-0E00-000073000000}"/>
    <hyperlink ref="BR86" r:id="rId118" display="https://cdn.ittelkom-sby.ac.id/research/z167564314252b8817dee3e0236bb085b85305108bd.pdf" xr:uid="{00000000-0004-0000-0E00-000074000000}"/>
    <hyperlink ref="BS86" r:id="rId119" display="https://cdn.ittelkom-sby.ac.id/research/z169451967143028a8f474c5f416217e9d2572e3cee.pdf" xr:uid="{00000000-0004-0000-0E00-000075000000}"/>
    <hyperlink ref="BR85" r:id="rId120" display="https://cdn.ittelkom-sby.ac.id/research/z167564298344c38d8b5a0da2cfeec64628753fa742.pdf" xr:uid="{00000000-0004-0000-0E00-000076000000}"/>
    <hyperlink ref="BS85" r:id="rId121" display="https://cdn.ittelkom-sby.ac.id/research/z1694520872527ac157f5839ef2cd84bf1ce5c9c50c.pdf" xr:uid="{00000000-0004-0000-0E00-000077000000}"/>
    <hyperlink ref="BR84" r:id="rId122" display="https://cdn.ittelkom-sby.ac.id/research/z16756451046d125a5d0e8aa45d8a2df00f5ae90d06.pdf" xr:uid="{00000000-0004-0000-0E00-000078000000}"/>
    <hyperlink ref="BS84" r:id="rId123" display="https://cdn.ittelkom-sby.ac.id/research/z169474918336a77a496a697bc79e54273fb4014a6f.pdf" xr:uid="{00000000-0004-0000-0E00-000079000000}"/>
    <hyperlink ref="BR83" r:id="rId124" display="https://cdn.ittelkom-sby.ac.id/research/z1675644994ae5f7f10610a0872aabb5256822da021.pdf" xr:uid="{00000000-0004-0000-0E00-00007A000000}"/>
    <hyperlink ref="BS83" r:id="rId125" display="https://cdn.ittelkom-sby.ac.id/research/z16947609816b3cc088c308848446b102f799428a52.pdf" xr:uid="{00000000-0004-0000-0E00-00007B000000}"/>
    <hyperlink ref="BR82" r:id="rId126" display="https://cdn.ittelkom-sby.ac.id/research/z1675642802a0edcdb15fadd4d915faf86e7d7951eb.pdf" xr:uid="{00000000-0004-0000-0E00-00007C000000}"/>
    <hyperlink ref="BS82" r:id="rId127" display="https://cdn.ittelkom-sby.ac.id/research/z1694420131326556c156ded44d85ec3714e5302166.pdf" xr:uid="{00000000-0004-0000-0E00-00007D000000}"/>
    <hyperlink ref="BR81" r:id="rId128" display="https://cdn.ittelkom-sby.ac.id/research/z1675644918eea8a7a14e067b527be1710f97edd7df.pdf" xr:uid="{00000000-0004-0000-0E00-00007E000000}"/>
    <hyperlink ref="BS81" r:id="rId129" display="https://cdn.ittelkom-sby.ac.id/research/z1694763252369d9ca566d46adadb267218d1cb8125.pdf" xr:uid="{00000000-0004-0000-0E00-00007F000000}"/>
    <hyperlink ref="BR80" r:id="rId130" display="https://cdn.ittelkom-sby.ac.id/research/z16756447282c105d54741563e89220e609e33bdd3f.pdf" xr:uid="{00000000-0004-0000-0E00-000080000000}"/>
    <hyperlink ref="BS80" r:id="rId131" display="https://cdn.ittelkom-sby.ac.id/research/z1694749021d762676d8a5bdc0b0a87d457e5a836a5.pdf" xr:uid="{00000000-0004-0000-0E00-000081000000}"/>
    <hyperlink ref="BR79" r:id="rId132" display="https://cdn.ittelkom-sby.ac.id/research/z16756427041e16b26b7d8a472f708261cfcfa49aa9.pdf" xr:uid="{00000000-0004-0000-0E00-000082000000}"/>
    <hyperlink ref="BS79" r:id="rId133" display="https://cdn.ittelkom-sby.ac.id/research/z1694503117438936e3250779de32f57778fabbf2c7.pdf" xr:uid="{00000000-0004-0000-0E00-000083000000}"/>
    <hyperlink ref="BR78" r:id="rId134" display="https://cdn.ittelkom-sby.ac.id/research/z1675642541cddf78e47c3e0fc8d138eb6246331dc1.pdf" xr:uid="{00000000-0004-0000-0E00-000084000000}"/>
    <hyperlink ref="BS78" r:id="rId135" display="https://cdn.ittelkom-sby.ac.id/research/z1694400683195000180ad9a4c057ef6c1786195281.pdf" xr:uid="{00000000-0004-0000-0E00-000085000000}"/>
    <hyperlink ref="BR77" r:id="rId136" display="https://cdn.ittelkom-sby.ac.id/research/z167564246051d203d7d9733ed83e97c739e1b14068.pdf" xr:uid="{00000000-0004-0000-0E00-000086000000}"/>
    <hyperlink ref="BS77" r:id="rId137" display="https://cdn.ittelkom-sby.ac.id/research/z169476188979e5b3a5ec9edf0c396423714c9cd9cd.pdf" xr:uid="{00000000-0004-0000-0E00-000087000000}"/>
    <hyperlink ref="BR66" r:id="rId138" display="https://cdn.ittelkom-sby.ac.id/research/z1655344660f79de20d9bc073bd897dd1a4334a9557.pdf" xr:uid="{00000000-0004-0000-0E00-000088000000}"/>
    <hyperlink ref="BS66" r:id="rId139" display="https://cdn.ittelkom-sby.ac.id/research/z1668566980932ea3e76f5500f6b51ebb81e01b3766.pdf" xr:uid="{00000000-0004-0000-0E00-000089000000}"/>
    <hyperlink ref="BR65" r:id="rId140" display="https://cdn.ittelkom-sby.ac.id/research/z1655344655bb5d671673854990d7e35cc82cd791bf.pdf" xr:uid="{00000000-0004-0000-0E00-00008A000000}"/>
    <hyperlink ref="BS65" r:id="rId141" display="https://cdn.ittelkom-sby.ac.id/research/z16698666312c34b0652c309f02ef1bff546bbe6bc1.pdf" xr:uid="{00000000-0004-0000-0E00-00008B000000}"/>
    <hyperlink ref="BR62" r:id="rId142" display="https://cdn.ittelkom-sby.ac.id/research/z1657852014d10dd1f03e8a6dbebf3efe9bff0efb62.pdf" xr:uid="{00000000-0004-0000-0E00-00008C000000}"/>
    <hyperlink ref="BS62" r:id="rId143" display="https://cdn.ittelkom-sby.ac.id/research/z167228238118a0846d0fb5ef75edbadc7b052d25f3.pdf" xr:uid="{00000000-0004-0000-0E00-00008D000000}"/>
    <hyperlink ref="BR61" r:id="rId144" display="https://cdn.ittelkom-sby.ac.id/research/z1657877023eea6204dd560ec5e2abfa981bd6b115d.pdf" xr:uid="{00000000-0004-0000-0E00-00008E000000}"/>
    <hyperlink ref="BS61" r:id="rId145" display="https://cdn.ittelkom-sby.ac.id/research/z168256098705c755a06e2d922d779183a0e579c925.pdf" xr:uid="{00000000-0004-0000-0E00-00008F000000}"/>
    <hyperlink ref="BR60" r:id="rId146" display="https://cdn.ittelkom-sby.ac.id/research/z16554604328ac44d10696d51ed8c25e8a811aabdce.pdf" xr:uid="{00000000-0004-0000-0E00-000090000000}"/>
    <hyperlink ref="BS60" r:id="rId147" display="https://cdn.ittelkom-sby.ac.id/research/z1668604186c87aa360c325674499b14ffa4df95cc7.pdf" xr:uid="{00000000-0004-0000-0E00-000091000000}"/>
    <hyperlink ref="BR59" r:id="rId148" display="Aris Kusumawati" xr:uid="{00000000-0004-0000-0E00-000092000000}"/>
    <hyperlink ref="BS59" r:id="rId149" display="https://cdn.ittelkom-sby.ac.id/research/z168247484370c13ecf77148c92ece959f64aa2b58c.pdf" xr:uid="{00000000-0004-0000-0E00-000093000000}"/>
    <hyperlink ref="BR58" r:id="rId150" display="https://cdn.ittelkom-sby.ac.id/research/z1655457617efc08ae07597cdc47f456a72a86b38ab.pdf" xr:uid="{00000000-0004-0000-0E00-000094000000}"/>
    <hyperlink ref="BS58" r:id="rId151" display="https://cdn.ittelkom-sby.ac.id/research/z1682560747832dbcec2a98576a99f3892b3bc22391.pdf" xr:uid="{00000000-0004-0000-0E00-000095000000}"/>
    <hyperlink ref="BR57" r:id="rId152" display="https://cdn.ittelkom-sby.ac.id/research/z16578553465b178e88a225817cd1e3cb0becfd1c60.pdf" xr:uid="{00000000-0004-0000-0E00-000096000000}"/>
    <hyperlink ref="BS57" r:id="rId153" display="https://cdn.ittelkom-sby.ac.id/research/z1682498157cadaf5ff4e7d34fbd8e8dd4be3d79f76.pdf" xr:uid="{00000000-0004-0000-0E00-000097000000}"/>
    <hyperlink ref="BR56" r:id="rId154" display="https://cdn.ittelkom-sby.ac.id/research/z1655353535f8f9b983a9df0666da41fd622dd9bbb1.pdf" xr:uid="{00000000-0004-0000-0E00-000098000000}"/>
    <hyperlink ref="BS56" r:id="rId155" display="https://cdn.ittelkom-sby.ac.id/research/z16836134339fc37b78aa7980fac74888cc97ce862a.pdf" xr:uid="{00000000-0004-0000-0E00-000099000000}"/>
    <hyperlink ref="BR55" r:id="rId156" display="https://cdn.ittelkom-sby.ac.id/research/z1655453242c222285edc234161d7acdea0ebf2af89.pdf" xr:uid="{00000000-0004-0000-0E00-00009A000000}"/>
    <hyperlink ref="BS55" r:id="rId157" display="https://cdn.ittelkom-sby.ac.id/research/z1682495503028b350e2e681241be837c7938928a05.pdf" xr:uid="{00000000-0004-0000-0E00-00009B000000}"/>
    <hyperlink ref="BR54" r:id="rId158" display="https://cdn.ittelkom-sby.ac.id/research/z164326963334463df88ad6bc0e93d10e4eec6c09df.pdf" xr:uid="{00000000-0004-0000-0E00-00009C000000}"/>
    <hyperlink ref="BS54" r:id="rId159" display="https://cdn.ittelkom-sby.ac.id/research/z1682495396474b3732b046148b3646af9826cce57f.pdf" xr:uid="{00000000-0004-0000-0E00-00009D000000}"/>
    <hyperlink ref="BR53" r:id="rId160" display="https://cdn.ittelkom-sby.ac.id/research/z16432740892854e81dcd1e7cb6a10df1a20c6d3a08.pdf" xr:uid="{00000000-0004-0000-0E00-00009E000000}"/>
    <hyperlink ref="BS53" r:id="rId161" display="https://cdn.ittelkom-sby.ac.id/research/z16619138809338a154b31abb697a3f0ced111e0533.pdf" xr:uid="{00000000-0004-0000-0E00-00009F000000}"/>
    <hyperlink ref="BR52" r:id="rId162" display="https://cdn.ittelkom-sby.ac.id/research/z1643356626eff81b05a2d1dab7d684b8fc940f87da.pdf" xr:uid="{00000000-0004-0000-0E00-0000A0000000}"/>
    <hyperlink ref="BS52" r:id="rId163" display="https://cdn.ittelkom-sby.ac.id/research/z1682493693aa19e4dc4f8a8b8ff5dba65f30a64e6c.pdf" xr:uid="{00000000-0004-0000-0E00-0000A1000000}"/>
    <hyperlink ref="BR51" r:id="rId164" display="https://cdn.ittelkom-sby.ac.id/research/z16432778985b043871c2840ece1ff4c3cd2988a7ca.pdf" xr:uid="{00000000-0004-0000-0E00-0000A2000000}"/>
    <hyperlink ref="BS51" r:id="rId165" display="https://cdn.ittelkom-sby.ac.id/research/z16652174178c650cb4e425582fbfa98e7eac9ade26.pdf" xr:uid="{00000000-0004-0000-0E00-0000A3000000}"/>
    <hyperlink ref="BR50" r:id="rId166" display="https://cdn.ittelkom-sby.ac.id/research/z1643276100442a77576bcc3e41fa1e7f6f9b61ee5b.pdf" xr:uid="{00000000-0004-0000-0E00-0000A4000000}"/>
    <hyperlink ref="BS50" r:id="rId167" display="https://cdn.ittelkom-sby.ac.id/research/z1662623104b2149e4a0881ddf3634f0de4465b607d.pdf" xr:uid="{00000000-0004-0000-0E00-0000A5000000}"/>
    <hyperlink ref="BR49" r:id="rId168" display="https://cdn.ittelkom-sby.ac.id/research/z16432803154d563220dff40bf1d59e8c772b40d9b9.pdf" xr:uid="{00000000-0004-0000-0E00-0000A6000000}"/>
    <hyperlink ref="BS49" r:id="rId169" display="https://cdn.ittelkom-sby.ac.id/research/z16824912033abc2e47cf135fe711f17f6a34d5dc96.pdf" xr:uid="{00000000-0004-0000-0E00-0000A7000000}"/>
    <hyperlink ref="BR48" r:id="rId170" display="https://cdn.ittelkom-sby.ac.id/research/z164328415724efea534642d5f846e71bbaf3ce8068.pdf" xr:uid="{00000000-0004-0000-0E00-0000A8000000}"/>
    <hyperlink ref="BS48" r:id="rId171" display="https://cdn.ittelkom-sby.ac.id/research/z1661738334c8f5a7ad796724caa0b9edd2e36125d8.pdf" xr:uid="{00000000-0004-0000-0E00-0000A9000000}"/>
    <hyperlink ref="BR47" r:id="rId172" display="https://cdn.ittelkom-sby.ac.id/research/z1643253013557505e7175f83e94bdfbb7186034d43.pdf" xr:uid="{00000000-0004-0000-0E00-0000AA000000}"/>
    <hyperlink ref="BS47" r:id="rId173" display="https://cdn.ittelkom-sby.ac.id/research/z16824799910e656198c1d2feee7546ff57acd95e48.pdf" xr:uid="{00000000-0004-0000-0E00-0000AB000000}"/>
    <hyperlink ref="BR46" r:id="rId174" display="https://cdn.ittelkom-sby.ac.id/research/z16432950000b15db590f04bfe765bbd595a96c563e.pdf" xr:uid="{00000000-0004-0000-0E00-0000AC000000}"/>
    <hyperlink ref="BS46" r:id="rId175" display="https://cdn.ittelkom-sby.ac.id/research/z16824807069b2929d3fdbe1912a4494e606f5e7971.pdf" xr:uid="{00000000-0004-0000-0E00-0000AD000000}"/>
    <hyperlink ref="BR45" r:id="rId176" display="https://cdn.ittelkom-sby.ac.id/research/z16431729566805f7ce7991f383318371083dceb410.pdf" xr:uid="{00000000-0004-0000-0E00-0000AE000000}"/>
    <hyperlink ref="BS45" r:id="rId177" display="https://cdn.ittelkom-sby.ac.id/research/z1682481752e17df078350515f59287fbee27977270.pdf" xr:uid="{00000000-0004-0000-0E00-0000AF000000}"/>
    <hyperlink ref="BR44" r:id="rId178" display="https://cdn.ittelkom-sby.ac.id/research/z16432728857f3dd0b2dd76332fee7e8274389eb6a6.pdf" xr:uid="{00000000-0004-0000-0E00-0000B0000000}"/>
    <hyperlink ref="BS44" r:id="rId179" display="https://cdn.ittelkom-sby.ac.id/research/z16642626272f06d1319cc017de1a31ee456457ab3b.pdf" xr:uid="{00000000-0004-0000-0E00-0000B1000000}"/>
    <hyperlink ref="BR43" r:id="rId180" display="https://cdn.ittelkom-sby.ac.id/research/z1643278552c451e85e06fd077f50a1efc5945f9cb7.pdf" xr:uid="{00000000-0004-0000-0E00-0000B2000000}"/>
    <hyperlink ref="BS43" r:id="rId181" display="https://cdn.ittelkom-sby.ac.id/research/z16824843535af0898474412d2730bc1f4d1c122784.pdf" xr:uid="{00000000-0004-0000-0E00-0000B3000000}"/>
    <hyperlink ref="BR42" r:id="rId182" display="https://cdn.ittelkom-sby.ac.id/research/z164327978115bcb7c444888adf1c8ab2a63c3f7992.pdf" xr:uid="{00000000-0004-0000-0E00-0000B4000000}"/>
    <hyperlink ref="BS42" r:id="rId183" display="https://cdn.ittelkom-sby.ac.id/research/z1682491919c1039e10f1b443b66341ef68223ba2ca.pdf" xr:uid="{00000000-0004-0000-0E00-0000B5000000}"/>
    <hyperlink ref="BR41" r:id="rId184" display="https://cdn.ittelkom-sby.ac.id/research/z1661756727c1e25da339bcf97cf5692d07b10791c6.pdf" xr:uid="{00000000-0004-0000-0E00-0000B6000000}"/>
    <hyperlink ref="BS41" r:id="rId185" display="https://cdn.ittelkom-sby.ac.id/research/z16624456852ae61a217faa90f237ab5a2b89841a75.pdf" xr:uid="{00000000-0004-0000-0E00-0000B7000000}"/>
    <hyperlink ref="BR40" r:id="rId186" display="https://cdn.ittelkom-sby.ac.id/research/z16432728851fad8d6fada104c800ee2e1cd54f344d.pdf" xr:uid="{00000000-0004-0000-0E00-0000B8000000}"/>
    <hyperlink ref="BS40" r:id="rId187" display="https://cdn.ittelkom-sby.ac.id/research/z1658480413e738bbdf6410ddf1a92060fb7f513db3.pdf" xr:uid="{00000000-0004-0000-0E00-0000B9000000}"/>
    <hyperlink ref="BR68" r:id="rId188" display="https://cdn.ittelkom-sby.ac.id/research/z165374931023976b653399c7b8c4502f9bbf899915.pdf" xr:uid="{00000000-0004-0000-0E00-0000BA000000}"/>
    <hyperlink ref="BR35" r:id="rId189" display="https://cdn.ittelkom-sby.ac.id/research/z1626326059743ae62cbb444c2e923c844e7fc13f0f.pdf" xr:uid="{00000000-0004-0000-0E00-0000BB000000}"/>
    <hyperlink ref="BS35" r:id="rId190" display="https://cdn.ittelkom-sby.ac.id/research/z1636983826bd07008bef0eda3148896bc3a24e9a4f.pdf" xr:uid="{00000000-0004-0000-0E00-0000BC000000}"/>
    <hyperlink ref="BS34" r:id="rId191" display="https://cdn.ittelkom-sby.ac.id/research/z16385452192761de5a13fa79207913fc90286ecccc.pdf" xr:uid="{00000000-0004-0000-0E00-0000BD000000}"/>
    <hyperlink ref="BR34" r:id="rId192" display="https://cdn.ittelkom-sby.ac.id/research/z162643529808119a91f37360e909913027788bc063.pdf" xr:uid="{00000000-0004-0000-0E00-0000BE000000}"/>
    <hyperlink ref="BR33" r:id="rId193" display="https://cdn.ittelkom-sby.ac.id/research/z16265004268f745946faa21c5ec4759bf4f0056e62.pdf" xr:uid="{00000000-0004-0000-0E00-0000BF000000}"/>
    <hyperlink ref="BS33" r:id="rId194" display="https://cdn.ittelkom-sby.ac.id/research/z163849726227b9f841846005d8da465ef55a2510b8.pdf" xr:uid="{00000000-0004-0000-0E00-0000C0000000}"/>
    <hyperlink ref="BR32" r:id="rId195" display="https://cdn.ittelkom-sby.ac.id/research/z1626293456a1328cd531e814252b3db4c69412eb58.pdf" xr:uid="{00000000-0004-0000-0E00-0000C1000000}"/>
    <hyperlink ref="BS32" r:id="rId196" display="https://cdn.ittelkom-sby.ac.id/research/z163834105808f8c375060a5e44e3f1a64c623edd77.pdf" xr:uid="{00000000-0004-0000-0E00-0000C2000000}"/>
    <hyperlink ref="BR31" r:id="rId197" display="https://cdn.ittelkom-sby.ac.id/research/z1626421241cdb1174f1223ada1957a384c1aaf93d1.pdf" xr:uid="{00000000-0004-0000-0E00-0000C3000000}"/>
    <hyperlink ref="BS31" r:id="rId198" display="https://cdn.ittelkom-sby.ac.id/research/z16385419229e59a6ea6285f74002b320ae75c9b2de.pdf" xr:uid="{00000000-0004-0000-0E00-0000C4000000}"/>
    <hyperlink ref="BR30" r:id="rId199" display="Moh.Hamim Zajuli Al Faroby" xr:uid="{00000000-0004-0000-0E00-0000C5000000}"/>
    <hyperlink ref="BS30" r:id="rId200" display="https://cdn.ittelkom-sby.ac.id/research/z1638499638fe9d8213b285687e6cb3cc334701b361.pdf" xr:uid="{00000000-0004-0000-0E00-0000C6000000}"/>
    <hyperlink ref="BR29" r:id="rId201" display="https://cdn.ittelkom-sby.ac.id/research/z1626431096110c2c8e5a026f56ae9a5cbc4d2d4103.pdf" xr:uid="{00000000-0004-0000-0E00-0000C7000000}"/>
    <hyperlink ref="BS29" r:id="rId202" display="https://cdn.ittelkom-sby.ac.id/research/z1638498863456ff40ebc643c1c0529051c152a000f.pdf" xr:uid="{00000000-0004-0000-0E00-0000C8000000}"/>
    <hyperlink ref="BR28" r:id="rId203" display="https://cdn.ittelkom-sby.ac.id/research/z1626159471ade7853add289e51831e9960d082204f.pdf" xr:uid="{00000000-0004-0000-0E00-0000C9000000}"/>
    <hyperlink ref="BS28" r:id="rId204" display="https://cdn.ittelkom-sby.ac.id/research/z1638253027ac1519eeb4173cdac60c7a07773f8288.pdf" xr:uid="{00000000-0004-0000-0E00-0000CA000000}"/>
    <hyperlink ref="BR27" r:id="rId205" display="https://cdn.ittelkom-sby.ac.id/research/z1615382107bc11e1509bef258828736567c876e42d.pdf" xr:uid="{00000000-0004-0000-0E00-0000CB000000}"/>
    <hyperlink ref="BR26" r:id="rId206" display="https://cdn.ittelkom-sby.ac.id/research/z1626354588a5998d524f6d9f36c717f5033bc74fd7.pdf" xr:uid="{00000000-0004-0000-0E00-0000CC000000}"/>
    <hyperlink ref="BS26" r:id="rId207" display="https://cdn.ittelkom-sby.ac.id/research/z1638529400541a40d94c6df24384301971202bc467.pdf" xr:uid="{00000000-0004-0000-0E00-0000CD000000}"/>
    <hyperlink ref="BR24" r:id="rId208" display="https://cdn.ittelkom-sby.ac.id/research/z1634272513e178e69e0eed22f739b28cadd731edfa.pdf" xr:uid="{00000000-0004-0000-0E00-0000CE000000}"/>
    <hyperlink ref="BS24" r:id="rId209" display="https://cdn.ittelkom-sby.ac.id/research/z1634273232f1202a4b34d55dd18dc46a2d2a90558f.pdf" xr:uid="{00000000-0004-0000-0E00-0000CF000000}"/>
    <hyperlink ref="BR23" r:id="rId210" display="https://cdn.ittelkom-sby.ac.id/research/z16255390580189e3eaf32c85a6c0b6be288d9b8ba7.pdf" xr:uid="{00000000-0004-0000-0E00-0000D0000000}"/>
    <hyperlink ref="BS23" r:id="rId211" display="https://cdn.ittelkom-sby.ac.id/research/z1626065522fd910ae319f42b4f078d720c7539e3b9.pdf" xr:uid="{00000000-0004-0000-0E00-0000D1000000}"/>
    <hyperlink ref="BR22" r:id="rId212" display="https://cdn.ittelkom-sby.ac.id/research/z16262438691853d909b91bad7063a298b31ec05057.pdf" xr:uid="{00000000-0004-0000-0E00-0000D2000000}"/>
    <hyperlink ref="BS22" r:id="rId213" display="https://cdn.ittelkom-sby.ac.id/research/z16262455134c21630d9dcae6b83974d756f346830c.pdf" xr:uid="{00000000-0004-0000-0E00-0000D3000000}"/>
    <hyperlink ref="BR21" r:id="rId214" display="https://cdn.ittelkom-sby.ac.id/research/z16183688971ddd2ddc1aba0fbbca9b9ae86f345b26.pdf" xr:uid="{00000000-0004-0000-0E00-0000D4000000}"/>
    <hyperlink ref="BS21" r:id="rId215" display="https://cdn.ittelkom-sby.ac.id/research/z1624258229c2bc65572a4cd7748a2f910e6a68945c.pdf" xr:uid="{00000000-0004-0000-0E00-0000D5000000}"/>
    <hyperlink ref="BR20" r:id="rId216" display="https://cdn.ittelkom-sby.ac.id/research/z16244174112a8c9a229ece07bd080a6f26c543cbb6.pdf" xr:uid="{00000000-0004-0000-0E00-0000D6000000}"/>
    <hyperlink ref="BS20" r:id="rId217" display="https://cdn.ittelkom-sby.ac.id/research/z1624418291eafb62a8e7fa70b263f66b0ace4d1d8d.pdf" xr:uid="{00000000-0004-0000-0E00-0000D7000000}"/>
    <hyperlink ref="BR19" r:id="rId218" display="https://cdn.ittelkom-sby.ac.id/research/z161604983363cd50010040655c8eebfbd6108ec242.pdf" xr:uid="{00000000-0004-0000-0E00-0000D8000000}"/>
    <hyperlink ref="BS19" r:id="rId219" display="https://cdn.ittelkom-sby.ac.id/research/z1632449031ebb440dcdb3a9d246cac0e83a0063a30.pdf" xr:uid="{00000000-0004-0000-0E00-0000D9000000}"/>
    <hyperlink ref="BR18" r:id="rId220" display="https://cdn.ittelkom-sby.ac.id/research/z1615367459b5634909835d1b3ea76d4db1362eea9c.pdf" xr:uid="{00000000-0004-0000-0E00-0000DA000000}"/>
    <hyperlink ref="BS18" r:id="rId221" display="https://cdn.ittelkom-sby.ac.id/research/z163301594761ae34f96e952cc5c02f628885cc4eba.pdf" xr:uid="{00000000-0004-0000-0E00-0000DB000000}"/>
    <hyperlink ref="BR17" r:id="rId222" display="https://cdn.ittelkom-sby.ac.id/research/z1615521059906638642f3a42908d7c9b7eb93bd231.pdf" xr:uid="{00000000-0004-0000-0E00-0000DC000000}"/>
    <hyperlink ref="BS17" r:id="rId223" display="https://cdn.ittelkom-sby.ac.id/research/z1615521059906638642f3a42908d7c9b7eb93bd231.pdf" xr:uid="{00000000-0004-0000-0E00-0000DD000000}"/>
    <hyperlink ref="BR16" r:id="rId224" display="https://cdn.ittelkom-sby.ac.id/research/z161554095560585ae9ef950e4e930a3db895a39183.pdf" xr:uid="{00000000-0004-0000-0E00-0000DE000000}"/>
    <hyperlink ref="BS16" r:id="rId225" display="https://cdn.ittelkom-sby.ac.id/research/z163299098734c6cc255b02651a18ff4754239bb402.pdf" xr:uid="{00000000-0004-0000-0E00-0000DF000000}"/>
    <hyperlink ref="BR15" r:id="rId226" display="https://cdn.ittelkom-sby.ac.id/research/z1615545138e60abcbb71388cca2a7cfae87b5944b5.pdf" xr:uid="{00000000-0004-0000-0E00-0000E0000000}"/>
    <hyperlink ref="BS15" r:id="rId227" display="https://cdn.ittelkom-sby.ac.id/research/z1634137123326601e51b8fdde567c8b6b89b267766.pdf" xr:uid="{00000000-0004-0000-0E00-0000E1000000}"/>
    <hyperlink ref="BR14" r:id="rId228" display="https://cdn.ittelkom-sby.ac.id/research/z16155401822bc2ee9dfbfc0c7c6f605733b67e1baf.pdf" xr:uid="{00000000-0004-0000-0E00-0000E2000000}"/>
    <hyperlink ref="BS14" r:id="rId229" display="https://cdn.ittelkom-sby.ac.id/research/z1633662665d05e7c89635a646ec785fd0caf4267a4.pdf" xr:uid="{00000000-0004-0000-0E00-0000E3000000}"/>
    <hyperlink ref="BR13" r:id="rId230" display="https://cdn.ittelkom-sby.ac.id/research/z1615554777febff2aea61611ec8fc4abf1c73f844f.pdf" xr:uid="{00000000-0004-0000-0E00-0000E4000000}"/>
    <hyperlink ref="BS13" r:id="rId231" display="https://cdn.ittelkom-sby.ac.id/research/z16342792408918240fba777489a1aa2f2aab8a3cac.pdf" xr:uid="{00000000-0004-0000-0E00-0000E5000000}"/>
    <hyperlink ref="BR12" r:id="rId232" display="https://cdn.ittelkom-sby.ac.id/research/z16155172840021e3531a98ee1b508662186a07df41.pdf" xr:uid="{00000000-0004-0000-0E00-0000E6000000}"/>
    <hyperlink ref="BS12" r:id="rId233" display="https://cdn.ittelkom-sby.ac.id/research/z163411957116d9286b18ba0c55fbbfa797934d33ac.pdf" xr:uid="{00000000-0004-0000-0E00-0000E7000000}"/>
    <hyperlink ref="BR11" r:id="rId234" display="https://cdn.ittelkom-sby.ac.id/research/z1614689746a47116107b29a15230611591c69059ef.pdf" xr:uid="{00000000-0004-0000-0E00-0000E8000000}"/>
    <hyperlink ref="BS11" r:id="rId235" display="https://cdn.ittelkom-sby.ac.id/research/z1632977923639772e18f2ef27809925a6c81cdd563.pdf" xr:uid="{00000000-0004-0000-0E00-0000E9000000}"/>
    <hyperlink ref="BR10" r:id="rId236" display="https://cdn.ittelkom-sby.ac.id/research/z1615521792b0f8c268c5a597b3e79a3a0d24ad0635.pdf" xr:uid="{00000000-0004-0000-0E00-0000EA000000}"/>
    <hyperlink ref="BS10" r:id="rId237" display="https://cdn.ittelkom-sby.ac.id/research/z1633700259593f334a58d87812670a19ac251843ee.pdf" xr:uid="{00000000-0004-0000-0E00-0000EB000000}"/>
    <hyperlink ref="BR9" r:id="rId238" display="https://cdn.ittelkom-sby.ac.id/research/z1615542074da6fc1e5e3e5e3c0d70bc47db39c7d15.pdf" xr:uid="{00000000-0004-0000-0E00-0000EC000000}"/>
    <hyperlink ref="BS9" r:id="rId239" display="https://cdn.ittelkom-sby.ac.id/research/z1634119340b78049b47580e34edff9cb36827410a0.pdf" xr:uid="{00000000-0004-0000-0E00-0000ED000000}"/>
    <hyperlink ref="BR8" r:id="rId240" display="https://cdn.ittelkom-sby.ac.id/research/z16155542849d5f732182738ad476880d73f4c19ae2.pdf" xr:uid="{00000000-0004-0000-0E00-0000EE000000}"/>
    <hyperlink ref="BS8" r:id="rId241" display="https://cdn.ittelkom-sby.ac.id/research/z16339599120a25ac4900cb83d7a6f3e605d80edf2d.pdf" xr:uid="{00000000-0004-0000-0E00-0000EF000000}"/>
    <hyperlink ref="BR6" r:id="rId242" display="https://cdn.ittelkom-sby.ac.id/research/z15984293105c6c5935542ecf8d0ae36bd694f86bd4.pdf" xr:uid="{00000000-0004-0000-0E00-0000F0000000}"/>
    <hyperlink ref="BS6" r:id="rId243" display="https://cdn.ittelkom-sby.ac.id/research/z16353003339689d2f1bba8c00d7c4f2428335a91f9.pdf" xr:uid="{00000000-0004-0000-0E00-0000F1000000}"/>
    <hyperlink ref="BR5" r:id="rId244" display="https://cdn.ittelkom-sby.ac.id/research/z1598493315616e0fa85faf054567b0818c87190f40.pdf" xr:uid="{00000000-0004-0000-0E00-0000F2000000}"/>
    <hyperlink ref="BS5" r:id="rId245" display="https://cdn.ittelkom-sby.ac.id/research/z1635300483d61e761b641b25a675f81ec08d24ce7d.pdf" xr:uid="{00000000-0004-0000-0E00-0000F3000000}"/>
    <hyperlink ref="BR4" r:id="rId246" display="https://cdn.ittelkom-sby.ac.id/research/z1598492615dfdbcc74dc562c7ed3ac6d3f0fd66f9d.pdf" xr:uid="{00000000-0004-0000-0E00-0000F4000000}"/>
    <hyperlink ref="BS4" r:id="rId247" display="https://cdn.ittelkom-sby.ac.id/research/z163530064691d883fd96bc1d5967ff24244cd39ce0.pdf" xr:uid="{00000000-0004-0000-0E00-0000F5000000}"/>
    <hyperlink ref="BR2" r:id="rId248" display="https://cdn.ittelkom-sby.ac.id/research/z1598425186699b0147ed710a7d3e656d6dfa2cd91c.pdf" xr:uid="{00000000-0004-0000-0E00-0000F6000000}"/>
    <hyperlink ref="BS2" r:id="rId249" display="https://cdn.ittelkom-sby.ac.id/research/z160143622855f025a2277492525a5b4db4cae9a48e.pdf" xr:uid="{00000000-0004-0000-0E00-0000F7000000}"/>
    <hyperlink ref="BR3" r:id="rId250" display="https://cdn.ittelkom-sby.ac.id/research/z1598426531fd21c478f4cc3b9698bc10c0d310bc11.pdf" xr:uid="{00000000-0004-0000-0E00-0000F8000000}"/>
    <hyperlink ref="BS3" r:id="rId251" display="https://cdn.ittelkom-sby.ac.id/research/z1610760432c80f5dd7a38f726ca100527d491fa7cd.pdf" xr:uid="{00000000-0004-0000-0E00-0000F9000000}"/>
    <hyperlink ref="B37" r:id="rId252" display="https://drive.google.com/file/d/1t6WzfDG91299Tx5UPFqRBVrJXYCwa9IY/view?usp=sharing" xr:uid="{00000000-0004-0000-0E00-0000FA000000}"/>
    <hyperlink ref="C39" r:id="rId253" display="https://cdn.ittelkom-sby.ac.id/research/z1654831727cbe0d512637a7d4bb4639230b8f54552.pdf" xr:uid="{00000000-0004-0000-0E00-0000FB000000}"/>
    <hyperlink ref="BR39" r:id="rId254" display="https://cdn.ittelkom-sby.ac.id/research/z16432801054eb548130be1bbad37f7f1d36df7594d.pdf" xr:uid="{00000000-0004-0000-0E00-0000FC000000}"/>
    <hyperlink ref="BS39" r:id="rId255" display="https://cdn.ittelkom-sby.ac.id/research/z1683612548ba58256485107596d1d3406481d55aea.pdf" xr:uid="{00000000-0004-0000-0E00-0000FD000000}"/>
    <hyperlink ref="B70" r:id="rId256" display="https://drive.google.com/file/d/1yCSp1LzQx1L-ax4eyplF9Kha5xkA9_nA/view" xr:uid="{00000000-0004-0000-0E00-0000FE000000}"/>
    <hyperlink ref="C34" r:id="rId257" display="../../../../../:b:/g/personal/lppm_ittelkom-sby_ac_id/EVPOpTZ-ybRKs7XdFozMPlABSMhzyc9q2cxPpYuQjQjm2g?e=zSdZUV" xr:uid="{00000000-0004-0000-0E00-0000FF000000}"/>
    <hyperlink ref="C29" r:id="rId258" display="../../../../../:b:/g/personal/lppm_ittelkom-sby_ac_id/EfhiDdlst-FClblDuQEXT-EBm3IuL0FOi-HitoiUpUP0HA?e=p47F2E" xr:uid="{00000000-0004-0000-0E00-000000010000}"/>
    <hyperlink ref="C30" r:id="rId259" display="../../../../../:b:/g/personal/lppm_ittelkom-sby_ac_id/EfhiDdlst-FClblDuQEXT-EBm3IuL0FOi-HitoiUpUP0HA?e=1isve7" xr:uid="{00000000-0004-0000-0E00-000001010000}"/>
    <hyperlink ref="C24" r:id="rId260" display="1821/ABDI1/LPPM/VIII/2021" xr:uid="{00000000-0004-0000-0E00-000002010000}"/>
    <hyperlink ref="C70" r:id="rId261" display="../../../../../:b:/g/personal/lppm_ittelkom-sby_ac_id/EQWig6bztItJnU3pOcyUmJkBgqpW-R6_rIGjnbhaZIlN1Q?e=1il2El" xr:uid="{00000000-0004-0000-0E00-000003010000}"/>
    <hyperlink ref="B72" r:id="rId262" display="https://drive.google.com/file/d/1Qks_IPrBZKgFx2Z8Rp987_gCx4yMAX_n/view?usp=drive_link" xr:uid="{00000000-0004-0000-0E00-000004010000}"/>
    <hyperlink ref="C72" r:id="rId263" display="https://cdn.ittelkom-sby.ac.id/research/z1700621926f5ed4c452d8aaaa3a09c4a1db65d16c2.pdf" xr:uid="{00000000-0004-0000-0E00-000005010000}"/>
    <hyperlink ref="BS72" r:id="rId264" display="https://cdn.ittelkom-sby.ac.id/research/z1700622087a9dec36cb2754ddebf9e85930ecf2168.pdf" xr:uid="{00000000-0004-0000-0E00-000006010000}"/>
    <hyperlink ref="BR72" r:id="rId265" display="https://cdn.ittelkom-sby.ac.id/research/z1700621706cb7acc1167d3bf4a11daf88e912bb832.pdf" xr:uid="{00000000-0004-0000-0E00-000007010000}"/>
    <hyperlink ref="BS70" r:id="rId266" display="https://drive.google.com/file/d/1rlbxK7n7OgGziP2s6OYVRc1zL5TSIxia/view?usp=sharing" xr:uid="{00000000-0004-0000-0E00-000008010000}"/>
    <hyperlink ref="BR70" r:id="rId267" display="https://drive.google.com/file/d/1Sf8V4vL_ghqDt2Nzkeyf98PGqQLAFKED/view?usp=sharing" xr:uid="{00000000-0004-0000-0E00-000009010000}"/>
    <hyperlink ref="C94" r:id="rId268" display="../../../../../:b:/g/personal/lppm_ittelkom-sby_ac_id/Eaz9x-oj_4NAnjg66YZLgnMBp347kSfRP9j2_r7fjR7HFA?e=XJfexh" xr:uid="{00000000-0004-0000-0E00-00000A010000}"/>
    <hyperlink ref="C95" r:id="rId269" display="../../../../../:b:/g/personal/lppm_ittelkom-sby_ac_id/Ebeju3VcF5RHpI1O5nmhg-wBYXNdxGK8Zn1gZQ5tyMKywQ?e=U8tYLi" xr:uid="{00000000-0004-0000-0E00-00000B010000}"/>
    <hyperlink ref="B108" r:id="rId270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0C010000}"/>
    <hyperlink ref="BR108" r:id="rId271" display="https://cdn.ittelkom-sby.ac.id/research/z17016804054df6ef484694b995fad64f4dd62ad677.pdf" xr:uid="{00000000-0004-0000-0E00-00000D010000}"/>
    <hyperlink ref="BS108" r:id="rId272" display="https://cdn.ittelkom-sby.ac.id/research/z170168124922a3e49146a86d2302607b6d04e58969.pdf" xr:uid="{00000000-0004-0000-0E00-00000E010000}"/>
    <hyperlink ref="C108" r:id="rId273" display="https://cdn.ittelkom-sby.ac.id/research/z1701680405fc9fbd3faf3ebd2b604a3e28582fa10d.pdf" xr:uid="{00000000-0004-0000-0E00-00000F010000}"/>
    <hyperlink ref="B122" r:id="rId274" display="https://yptorid-my.sharepoint.com/:b:/g/personal/lppm_ittelkom-sby_ac_id/EVmf0qXQaO1LvsHj6UcKHsMBOOYQB9GtgAeVzl_2orTDPg?e=9fZAvL" xr:uid="{00000000-0004-0000-0E00-000010010000}"/>
    <hyperlink ref="B123:B128" r:id="rId275" display="https://yptorid-my.sharepoint.com/:b:/g/personal/lppm_ittelkom-sby_ac_id/EVmf0qXQaO1LvsHj6UcKHsMBOOYQB9GtgAeVzl_2orTDPg?e=9fZAvL" xr:uid="{00000000-0004-0000-0E00-000011010000}"/>
    <hyperlink ref="BR126" r:id="rId276" display="http://cdndata.telkomuniversity.ac.id/research/z170856394418ebe243848e7455394c0b8615e6ddb8.pdf" xr:uid="{00000000-0004-0000-0E00-000012010000}"/>
    <hyperlink ref="BR128" r:id="rId277" display="http://cdndata.telkomuniversity.ac.id/research/z170971848336d2d990d2630cc9492df87c96ab0b05.pdf" xr:uid="{00000000-0004-0000-0E00-000013010000}"/>
    <hyperlink ref="BR123" r:id="rId278" display="http://cdndata.telkomuniversity.ac.id/research/z17080707217661b9081cbab844b0ac51d1e9d32612.pdf" xr:uid="{00000000-0004-0000-0E00-000014010000}"/>
    <hyperlink ref="BR122" r:id="rId279" display="http://cdndata.telkomuniversity.ac.id/research/z17084913435cd17398cebd083da4fde3adde978861.pdf" xr:uid="{00000000-0004-0000-0E00-000015010000}"/>
    <hyperlink ref="BR124" r:id="rId280" display="http://cdndata.telkomuniversity.ac.id/research/z1708273844fc016e87b3fd45ddfaaf3d695f38e172.pdf" xr:uid="{00000000-0004-0000-0E00-000016010000}"/>
    <hyperlink ref="BR125" r:id="rId281" display="http://cdndata.telkomuniversity.ac.id/research/z1708098508cd91991370e2f0066b69b024c72f945f.pdf" xr:uid="{00000000-0004-0000-0E00-000017010000}"/>
    <hyperlink ref="BR127" r:id="rId282" display="http://cdndata.telkomuniversity.ac.id/research/z17102997613d18b476410c0502502c94088d676a8a.pdf" xr:uid="{00000000-0004-0000-0E00-000018010000}"/>
    <hyperlink ref="BR129" r:id="rId283" display="https://abdimas-ppm.telkomuniversity.ac.id/unduh-dokumen-fn/2024%2CGocYU8ySOatmUNEn%2Cinternal%2Cproposal" xr:uid="{00000000-0004-0000-0E00-000019010000}"/>
    <hyperlink ref="BR130" r:id="rId284" display="https://abdimas-ppm.telkomuniversity.ac.id/unduh-dokumen-fn/2024%2CFKtT4f2rlDTAmGSL%2Cinternal%2Cproposal" xr:uid="{00000000-0004-0000-0E00-00001A010000}"/>
    <hyperlink ref="BR131" r:id="rId285" display="https://abdimas-ppm.telkomuniversity.ac.id/unduh-dokumen-fn/2024%2CHtCBKJOlpNTTe3gU%2Cinternal%2Cproposal" xr:uid="{00000000-0004-0000-0E00-00001B010000}"/>
    <hyperlink ref="C131" r:id="rId286" display="https://abdimas-ppm.telkomuniversity.ac.id/unduh-pks/2024%2CHtCBKJOlpNTTe3gU" xr:uid="{00000000-0004-0000-0E00-00001C010000}"/>
    <hyperlink ref="C132" r:id="rId287" display="https://abdimas-ppm.telkomuniversity.ac.id/unduh-pks/2024%2CtEm3F5t6OCn2BZTE" xr:uid="{00000000-0004-0000-0E00-00001D010000}"/>
    <hyperlink ref="BR132" r:id="rId288" display="https://abdimas-ppm.telkomuniversity.ac.id/unduh-dokumen-fn/2024%2CtEm3F5t6OCn2BZTE%2Cinternal%2Cproposal" xr:uid="{00000000-0004-0000-0E00-00001E010000}"/>
    <hyperlink ref="BR133" r:id="rId289" display="https://abdimas-ppm.telkomuniversity.ac.id/unduh-dokumen-fn/2024%2Cqy7PMrD88nNngfkn%2Cinternal%2Cproposal" xr:uid="{00000000-0004-0000-0E00-00001F010000}"/>
    <hyperlink ref="BR134" r:id="rId290" display="https://abdimas-ppm.telkomuniversity.ac.id/unduh-dokumen-fn/2024%2CN30yLCj7mCNqUWeS%2Cinternal%2Cproposal" xr:uid="{00000000-0004-0000-0E00-000020010000}"/>
    <hyperlink ref="BR135" r:id="rId291" display="https://abdimas-ppm.telkomuniversity.ac.id/unduh-dokumen-fn/2024%2CyWQQIrQ8HRVkMMgx%2Cinternal%2Cproposal" xr:uid="{00000000-0004-0000-0E00-000021010000}"/>
    <hyperlink ref="BR136" r:id="rId292" display="https://abdimas-ppm.telkomuniversity.ac.id/unduh-dokumen-fn/2024%2Cv5Xehq9p96rrhSMU%2Cinternal%2Cproposal" xr:uid="{00000000-0004-0000-0E00-000022010000}"/>
    <hyperlink ref="C137" r:id="rId293" display="https://abdimas-ppm.telkomuniversity.ac.id/unduh-pks/2024%2CwAXiqG6HLYo5L0Qv" xr:uid="{00000000-0004-0000-0E00-000023010000}"/>
    <hyperlink ref="BR137" r:id="rId294" display="https://abdimas-ppm.telkomuniversity.ac.id/unduh-dokumen-fn/2024%2CwAXiqG6HLYo5L0Qv%2Cinternal%2Cproposal" xr:uid="{00000000-0004-0000-0E00-000024010000}"/>
    <hyperlink ref="BR138" r:id="rId295" display="https://abdimas-ppm.telkomuniversity.ac.id/unduh-dokumen-fn/2024%2C0TGGHwynb164iKp1%2Cinternal%2Cproposal" xr:uid="{00000000-0004-0000-0E00-000025010000}"/>
    <hyperlink ref="C139" r:id="rId296" display="https://abdimas-ppm.telkomuniversity.ac.id/unduh-pks/2024%2CQRz6aL29P9mLFMk7" xr:uid="{00000000-0004-0000-0E00-000026010000}"/>
    <hyperlink ref="BR139" r:id="rId297" display="https://abdimas-ppm.telkomuniversity.ac.id/unduh-dokumen-fn/2024%2CQRz6aL29P9mLFMk7%2Cinternal%2Cproposal" xr:uid="{00000000-0004-0000-0E00-000027010000}"/>
    <hyperlink ref="BR140" r:id="rId298" display="https://abdimas-ppm.telkomuniversity.ac.id/unduh-dokumen-fn/2024%2CzO3CiWdABRcykU3K%2Cinternal%2Cproposal" xr:uid="{00000000-0004-0000-0E00-000028010000}"/>
    <hyperlink ref="C140" r:id="rId299" display="https://abdimas-ppm.telkomuniversity.ac.id/unduh-pks/2024%2CzO3CiWdABRcykU3K" xr:uid="{00000000-0004-0000-0E00-000029010000}"/>
    <hyperlink ref="BR141" r:id="rId300" display="https://abdimas-ppm.telkomuniversity.ac.id/unduh-dokumen-fn/2024%2CYU7INyMEsgBUasF6%2Cinternal%2Cproposal" xr:uid="{00000000-0004-0000-0E00-00002A010000}"/>
    <hyperlink ref="BR142" r:id="rId301" display="https://abdimas-ppm.telkomuniversity.ac.id/unduh-dokumen-fn/2024%2CYYQtUjmvVCyqKBCq%2Cinternal%2Cproposal" xr:uid="{00000000-0004-0000-0E00-00002B010000}"/>
    <hyperlink ref="C142" r:id="rId302" display="https://abdimas-ppm.telkomuniversity.ac.id/unduh-pks/2024%2CYYQtUjmvVCyqKBCq" xr:uid="{00000000-0004-0000-0E00-00002C010000}"/>
    <hyperlink ref="C143" r:id="rId303" display="https://abdimas-ppm.telkomuniversity.ac.id/unduh-pks/2024%2CxC6PEwffEkz594w8" xr:uid="{00000000-0004-0000-0E00-00002D010000}"/>
    <hyperlink ref="BR143" r:id="rId304" display="https://abdimas-ppm.telkomuniversity.ac.id/unduh-dokumen-fn/2024%2CxC6PEwffEkz594w8%2Cinternal%2Cproposal" xr:uid="{00000000-0004-0000-0E00-00002E010000}"/>
    <hyperlink ref="BR144" r:id="rId305" display="https://abdimas-ppm.telkomuniversity.ac.id/unduh-dokumen-fn/2024%2CPrNRXdw53DNtgA1U%2Cinternal%2Cproposal" xr:uid="{00000000-0004-0000-0E00-00002F010000}"/>
    <hyperlink ref="BR145" r:id="rId306" display="https://abdimas-ppm.telkomuniversity.ac.id/unduh-dokumen-fn/2024%2CuCiDQ8A7odUVCEt2%2Cinternal%2Cproposal" xr:uid="{00000000-0004-0000-0E00-000030010000}"/>
    <hyperlink ref="BR146" r:id="rId307" display="https://abdimas-ppm.telkomuniversity.ac.id/unduh-dokumen-fn/2024%2CBroX2jRGw79es87U%2Cinternal%2Cproposal" xr:uid="{00000000-0004-0000-0E00-000031010000}"/>
    <hyperlink ref="C147" r:id="rId308" display="https://abdimas-ppm.telkomuniversity.ac.id/unduh-pks/2024%2CobcFZyYNGHeEUK1H" xr:uid="{00000000-0004-0000-0E00-000032010000}"/>
    <hyperlink ref="BR147" r:id="rId309" display="https://abdimas-ppm.telkomuniversity.ac.id/unduh-dokumen-fn/2024%2CobcFZyYNGHeEUK1H%2Cinternal%2Cproposal" xr:uid="{00000000-0004-0000-0E00-000033010000}"/>
    <hyperlink ref="BR148" r:id="rId310" display="https://abdimas-ppm.telkomuniversity.ac.id/unduh-dokumen-fn/2024%2CWe7PpqJrOqoxByqL%2Cinternal%2Cproposal" xr:uid="{00000000-0004-0000-0E00-000034010000}"/>
    <hyperlink ref="BR149" r:id="rId311" display="https://abdimas-ppm.telkomuniversity.ac.id/unduh-dokumen-fn/2024%2CwYMnEvFVF2nG8bjK%2Cinternal%2Cproposal" xr:uid="{00000000-0004-0000-0E00-000035010000}"/>
    <hyperlink ref="C149" r:id="rId312" display="https://abdimas-ppm.telkomuniversity.ac.id/unduh-pks/2024%2CwYMnEvFVF2nG8bjK" xr:uid="{00000000-0004-0000-0E00-000036010000}"/>
    <hyperlink ref="C129" r:id="rId313" display="https://abdimas-ppm.telkomuniversity.ac.id/unduh-pks/2024%2CGocYU8ySOatmUNEn" xr:uid="{00000000-0004-0000-0E00-000037010000}"/>
    <hyperlink ref="C130" r:id="rId314" display="https://abdimas-ppm.telkomuniversity.ac.id/unduh-pks/2024%2CFKtT4f2rlDTAmGSL" xr:uid="{00000000-0004-0000-0E00-000038010000}"/>
    <hyperlink ref="C133" r:id="rId315" display="https://abdimas-ppm.telkomuniversity.ac.id/unduh-pks/2024%2Cqy7PMrD88nNngfkn" xr:uid="{00000000-0004-0000-0E00-000039010000}"/>
    <hyperlink ref="C134" r:id="rId316" display="https://abdimas-ppm.telkomuniversity.ac.id/unduh-pks/2024%2CN30yLCj7mCNqUWeS" xr:uid="{00000000-0004-0000-0E00-00003A010000}"/>
    <hyperlink ref="C135" r:id="rId317" display="https://abdimas-ppm.telkomuniversity.ac.id/unduh-pks/2024%2CyWQQIrQ8HRVkMMgx" xr:uid="{00000000-0004-0000-0E00-00003B010000}"/>
    <hyperlink ref="C136" r:id="rId318" display="https://abdimas-ppm.telkomuniversity.ac.id/unduh-pks/2024%2Cv5Xehq9p96rrhSMU" xr:uid="{00000000-0004-0000-0E00-00003C010000}"/>
    <hyperlink ref="C138" r:id="rId319" display="https://abdimas-ppm.telkomuniversity.ac.id/unduh-pks/2024%2C0TGGHwynb164iKp1" xr:uid="{00000000-0004-0000-0E00-00003D010000}"/>
    <hyperlink ref="C141" r:id="rId320" display="https://abdimas-ppm.telkomuniversity.ac.id/unduh-pks/2024%2CYU7INyMEsgBUasF6" xr:uid="{00000000-0004-0000-0E00-00003E010000}"/>
    <hyperlink ref="C144" r:id="rId321" display="https://abdimas-ppm.telkomuniversity.ac.id/unduh-pks/2024%2CPrNRXdw53DNtgA1U" xr:uid="{00000000-0004-0000-0E00-00003F010000}"/>
    <hyperlink ref="C145" r:id="rId322" display="https://abdimas-ppm.telkomuniversity.ac.id/unduh-pks/2024%2CuCiDQ8A7odUVCEt2" xr:uid="{00000000-0004-0000-0E00-000040010000}"/>
    <hyperlink ref="C146" r:id="rId323" display="https://abdimas-ppm.telkomuniversity.ac.id/unduh-pks/2024%2CBroX2jRGw79es87U" xr:uid="{00000000-0004-0000-0E00-000041010000}"/>
    <hyperlink ref="C148" r:id="rId324" display="https://abdimas-ppm.telkomuniversity.ac.id/unduh-pks/2024%2CWe7PpqJrOqoxByqL" xr:uid="{00000000-0004-0000-0E00-000042010000}"/>
    <hyperlink ref="BR112" r:id="rId325" display="https://cdn.ittelkom-sby.ac.id/research/z17017450518f56077e5ecfeaab5edde3ea70f8d6a3.pdf" xr:uid="{00000000-0004-0000-0E00-000043010000}"/>
    <hyperlink ref="B112" r:id="rId326" display="../../../../../:b:/r/personal/lppm_ittelkom-sby_ac_id/Documents/2023/SK/SK LPPM Telah disahkan/REK. 165_PNLT1_REK_IX_2023 Surat Keputusan Rektor Tentang Penetapan Penerima Dan Pelaksana Pengabdian.pdf?csf=1&amp;web=1&amp;e=HPBTLu" xr:uid="{00000000-0004-0000-0E00-000044010000}"/>
    <hyperlink ref="BS111" r:id="rId327" display="https://cdn.ittelkom-sby.ac.id/research/z1697192429c9d5aab41acfd59379d2eab4105e7d24.pdf" xr:uid="{00000000-0004-0000-0E00-000045010000}"/>
    <hyperlink ref="BR111" r:id="rId328" display="https://cdn.ittelkom-sby.ac.id/research/z16878517114140d9c4c8f06b27cd5156bda338b9ef.pdf" xr:uid="{00000000-0004-0000-0E00-000046010000}"/>
    <hyperlink ref="BR110" r:id="rId329" display="https://cdn.ittelkom-sby.ac.id/research/z1689588002829e061614d2f6c2cc6f3108da392d53.pdf" xr:uid="{00000000-0004-0000-0E00-000047010000}"/>
    <hyperlink ref="BS110" r:id="rId330" display="https://cdn.ittelkom-sby.ac.id/research/z1697450114908c0bd5097db3aa9e84a319a1506812.pdf" xr:uid="{00000000-0004-0000-0E00-000048010000}"/>
    <hyperlink ref="C110" r:id="rId331" display="https://cdn.ittelkom-sby.ac.id/research/z169630355322018c49d5a2418cad131eae749cd619.pdf" xr:uid="{00000000-0004-0000-0E00-000049010000}"/>
    <hyperlink ref="B111" r:id="rId332" display="../../../../../:b:/r/personal/lppm_ittelkom-sby_ac_id/Documents/2023/SK/SK LPPM Telah disahkan/REK. 165_PNLT1_REK_IX_2023 Surat Keputusan Rektor Tentang Penetapan Penerima Dan Pelaksana Pengabdian.pdf?csf=1&amp;web=1&amp;e=HPBTLu" xr:uid="{00000000-0004-0000-0E00-00004A010000}"/>
    <hyperlink ref="B110" r:id="rId333" display="../../../../../:b:/r/personal/lppm_ittelkom-sby_ac_id/Documents/2023/SK/SK LPPM Telah disahkan/REK. 092_ABDI1_REK_VII_2023 Penetapan Penerima dan Pelaksana Pengabdian Masyarakat Penugasan Institut Teknologi Telkom Surabaya Tahun 2023.pdf?csf=1&amp;web=1&amp;e=cRhvIG" xr:uid="{00000000-0004-0000-0E00-00004B010000}"/>
    <hyperlink ref="B114" r:id="rId334" display="../../../../../:b:/g/personal/lppm_ittelkom-sby_ac_id/EQBzmKGIvANFu9TIPElr1goBtKFZzQBz6u8pTvEDCnAtxw?e=8yBNec" xr:uid="{00000000-0004-0000-0E00-00004C010000}"/>
    <hyperlink ref="B115:B120" r:id="rId335" display="REK.259_ABDI1_REK_XII_2023" xr:uid="{00000000-0004-0000-0E00-00004D010000}"/>
    <hyperlink ref="BR150" r:id="rId336" display="https://abdimas-ppm.telkomuniversity.ac.id/unduh-dokumen-fn/2024%2C8rBXflU3B9ZQSGGP%2Cinternal%2Cproposal" xr:uid="{00000000-0004-0000-0E00-00004E010000}"/>
    <hyperlink ref="BR151" r:id="rId337" display="https://abdimas-ppm.telkomuniversity.ac.id/unduh-dokumen-fn/2024%2CJlmzABk2E5buT4V7%2Cinternal%2Cproposal" xr:uid="{00000000-0004-0000-0E00-00004F010000}"/>
    <hyperlink ref="BR152" r:id="rId338" display="https://abdimas-ppm.telkomuniversity.ac.id/unduh-dokumen-fn/2024%2CX015WEKCMS1yYy3K%2Cinternal%2Cproposal" xr:uid="{00000000-0004-0000-0E00-000050010000}"/>
    <hyperlink ref="BR153" r:id="rId339" display="https://abdimas-ppm.telkomuniversity.ac.id/unduh-dokumen-fn/2024%2CpMuHjCD4DOTjSAqx%2Cinternal%2Cproposal" xr:uid="{00000000-0004-0000-0E00-000051010000}"/>
    <hyperlink ref="BR154" r:id="rId340" display="https://abdimas-ppm.telkomuniversity.ac.id/unduh-dokumen-fn/2024%2CjV8bhHofkHS7GeXB%2Cinternal%2Cproposal" xr:uid="{00000000-0004-0000-0E00-000052010000}"/>
    <hyperlink ref="B129" r:id="rId341" display="../../../../../../:b:/g/personal/lppmsby_telkomuniversity_ac_id/ERi0q1bEbe1Ngq9t1KSmQ4UBOqcayh_qD6sclKawED1QAw?e=mJCLf8" xr:uid="{00000000-0004-0000-0E00-000053010000}"/>
    <hyperlink ref="B130:B132" r:id="rId342" display="KWR4.063/ABD04/PPM-JPM/2024" xr:uid="{00000000-0004-0000-0E00-000054010000}"/>
    <hyperlink ref="B134" r:id="rId343" display="../../../../../../:b:/g/personal/lppmsby_telkomuniversity_ac_id/ERi0q1bEbe1Ngq9t1KSmQ4UBOqcayh_qD6sclKawED1QAw?e=mJCLf8" xr:uid="{00000000-0004-0000-0E00-000055010000}"/>
    <hyperlink ref="B137:B144" r:id="rId344" display="KWR4.063/ABD04/PPM-JPM/2024" xr:uid="{00000000-0004-0000-0E00-000056010000}"/>
    <hyperlink ref="B146" r:id="rId345" display="../../../../../../:b:/g/personal/lppmsby_telkomuniversity_ac_id/ERi0q1bEbe1Ngq9t1KSmQ4UBOqcayh_qD6sclKawED1QAw?e=mJCLf8" xr:uid="{00000000-0004-0000-0E00-000057010000}"/>
    <hyperlink ref="B147" r:id="rId346" display="../../../../../../:b:/g/personal/lppmsby_telkomuniversity_ac_id/ERi0q1bEbe1Ngq9t1KSmQ4UBOqcayh_qD6sclKawED1QAw?e=mJCLf8" xr:uid="{00000000-0004-0000-0E00-000058010000}"/>
    <hyperlink ref="B148" r:id="rId347" display="../../../../../../:b:/g/personal/lppmsby_telkomuniversity_ac_id/ERi0q1bEbe1Ngq9t1KSmQ4UBOqcayh_qD6sclKawED1QAw?e=mJCLf8" xr:uid="{00000000-0004-0000-0E00-000059010000}"/>
    <hyperlink ref="C150" r:id="rId348" display="https://abdimas-ppm.telkomuniversity.ac.id/unduh-pks/2024%2C8rBXflU3B9ZQSGGP" xr:uid="{00000000-0004-0000-0E00-00005A010000}"/>
    <hyperlink ref="C151" r:id="rId349" display="https://abdimas-ppm.telkomuniversity.ac.id/unduh-pks/2024%2CJlmzABk2E5buT4V7" xr:uid="{00000000-0004-0000-0E00-00005B010000}"/>
    <hyperlink ref="C152" r:id="rId350" display="https://abdimas-ppm.telkomuniversity.ac.id/unduh-pks/2024%2CX015WEKCMS1yYy3K" xr:uid="{00000000-0004-0000-0E00-00005C010000}"/>
    <hyperlink ref="C153" r:id="rId351" display="https://abdimas-ppm.telkomuniversity.ac.id/unduh-pks/2024%2CpMuHjCD4DOTjSAqx" xr:uid="{00000000-0004-0000-0E00-00005D010000}"/>
    <hyperlink ref="C154" r:id="rId352" display="https://abdimas-ppm.telkomuniversity.ac.id/unduh-pks/2024%2CjV8bhHofkHS7GeXB" xr:uid="{00000000-0004-0000-0E00-00005E010000}"/>
    <hyperlink ref="BR158" r:id="rId353" display="https://abdimas-ppm.telkomuniversity.ac.id/unduh-dokumen-fn/2024%2CUVJbpIHypdnVtoc6%2Cinternal%2Cproposal" xr:uid="{00000000-0004-0000-0E00-00005F010000}"/>
    <hyperlink ref="BR159" r:id="rId354" display="https://abdimas-ppm.telkomuniversity.ac.id/unduh-dokumen-fn/2024%2CAE6Kz9zLw7Tfv8WP%2Cinternal%2Cproposal" xr:uid="{00000000-0004-0000-0E00-000060010000}"/>
    <hyperlink ref="BR160" r:id="rId355" display="https://abdimas-ppm.telkomuniversity.ac.id/unduh-dokumen-fn/2024%2CYtABbejfAMLWboE0%2Cinternal%2Cproposal" xr:uid="{00000000-0004-0000-0E00-000061010000}"/>
    <hyperlink ref="BR161" r:id="rId356" display="https://abdimas-ppm.telkomuniversity.ac.id/unduh-dokumen-fn/2024%2C2XSaszJ6ukSFGw2k%2Cinternal%2Cproposal" xr:uid="{00000000-0004-0000-0E00-000062010000}"/>
    <hyperlink ref="BR162" r:id="rId357" display="https://abdimas-ppm.telkomuniversity.ac.id/unduh-dokumen-fn/2024%2CX7atZcAHbNeCRNgU%2Cinternal%2Cproposal" xr:uid="{00000000-0004-0000-0E00-000063010000}"/>
    <hyperlink ref="BR163" r:id="rId358" display="https://abdimas-ppm.telkomuniversity.ac.id/unduh-dokumen-fn/2024%2C01R6qDcPWb3EXVHS%2Cinternal%2Cproposal" xr:uid="{00000000-0004-0000-0E00-000064010000}"/>
    <hyperlink ref="BS158" r:id="rId359" display="https://abdimas-ppm.telkomuniversity.ac.id/unduh-dokumen-fn/2024%2CUVJbpIHypdnVtoc6%2Cinternal%2ClapAkhir" xr:uid="{00000000-0004-0000-0E00-000065010000}"/>
    <hyperlink ref="BS159" r:id="rId360" display="https://abdimas-ppm.telkomuniversity.ac.id/unduh-dokumen-fn/2024%2CAE6Kz9zLw7Tfv8WP%2Cinternal%2ClapAkhir" xr:uid="{00000000-0004-0000-0E00-000066010000}"/>
    <hyperlink ref="C159" r:id="rId361" display="https://abdimas-ppm.telkomuniversity.ac.id/unduh-pks/2024%2CAE6Kz9zLw7Tfv8WP" xr:uid="{00000000-0004-0000-0E00-000067010000}"/>
    <hyperlink ref="BS160" r:id="rId362" display="https://abdimas-ppm.telkomuniversity.ac.id/unduh-dokumen-fn/2024%2CYtABbejfAMLWboE0%2Cinternal%2ClapAkhir" xr:uid="{00000000-0004-0000-0E00-000068010000}"/>
    <hyperlink ref="BS161" r:id="rId363" display="https://abdimas-ppm.telkomuniversity.ac.id/unduh-dokumen-fn/2024%2C2XSaszJ6ukSFGw2k%2Cinternal%2ClapAkhir" xr:uid="{00000000-0004-0000-0E00-000069010000}"/>
    <hyperlink ref="C161" r:id="rId364" display="https://abdimas-ppm.telkomuniversity.ac.id/unduh-pks/2024%2C2XSaszJ6ukSFGw2k" xr:uid="{00000000-0004-0000-0E00-00006A010000}"/>
    <hyperlink ref="BS162" r:id="rId365" display="https://abdimas-ppm.telkomuniversity.ac.id/unduh-dokumen-fn/2024%2CX7atZcAHbNeCRNgU%2Cinternal%2ClapAkhir" xr:uid="{00000000-0004-0000-0E00-00006B010000}"/>
    <hyperlink ref="C160" r:id="rId366" display="https://abdimas-ppm.telkomuniversity.ac.id/unduh-pks/2024%2CYtABbejfAMLWboE0" xr:uid="{00000000-0004-0000-0E00-00006C010000}"/>
    <hyperlink ref="C162" r:id="rId367" display="https://abdimas-ppm.telkomuniversity.ac.id/unduh-pks/2024%2CX7atZcAHbNeCRNgU" xr:uid="{00000000-0004-0000-0E00-00006D010000}"/>
    <hyperlink ref="C158" r:id="rId368" display=" 0387/ABD07/PPM-JPM/2024" xr:uid="{00000000-0004-0000-0E00-00006E010000}"/>
    <hyperlink ref="BS163" r:id="rId369" display="https://abdimas-ppm.telkomuniversity.ac.id/unduh-dokumen-fn/2024%2C01R6qDcPWb3EXVHS%2Cinternal%2ClapAkhir" xr:uid="{00000000-0004-0000-0E00-00006F010000}"/>
    <hyperlink ref="C163" r:id="rId370" display="0392/ABD07/PPM-JPM/2024" xr:uid="{00000000-0004-0000-0E00-000070010000}"/>
    <hyperlink ref="BR171" r:id="rId371" display="https://abdimas-ppm.telkomuniversity.ac.id/unduh-dokumen-fn/2025%2CWjTqVhVmDo3XZEK1%2Cinternal%2Cproposal" xr:uid="{00000000-0004-0000-0E00-000071010000}"/>
    <hyperlink ref="BR172" r:id="rId372" display="https://abdimas-ppm.telkomuniversity.ac.id/unduh-dokumen-fn/2025%2CbxBU4dSBCwDCJjvl%2Cinternal%2Cproposal" xr:uid="{00000000-0004-0000-0E00-000072010000}"/>
    <hyperlink ref="BR173" r:id="rId373" display="https://abdimas-ppm.telkomuniversity.ac.id/unduh-dokumen-fn/2025%2CLoEmAhc537mEjA3H%2Cinternal%2Cproposal" xr:uid="{00000000-0004-0000-0E00-000073010000}"/>
    <hyperlink ref="BR174" r:id="rId374" display="https://abdimas-ppm.telkomuniversity.ac.id/unduh-dokumen-fn/2025%2CI1bwCbVjapLEtQoI%2Cinternal%2Cproposal" xr:uid="{00000000-0004-0000-0E00-000074010000}"/>
    <hyperlink ref="BR176" r:id="rId375" display="https://abdimas-ppm.telkomuniversity.ac.id/unduh-dokumen-fn/2025%2CvC6aOmEioFR6MtHM%2Cinternal%2Cproposal" xr:uid="{00000000-0004-0000-0E00-000075010000}"/>
    <hyperlink ref="BR175" r:id="rId376" display="https://abdimas-ppm.telkomuniversity.ac.id/unduh-dokumen-fn/2025%2CHwKQiB8wzoG453kC%2Cinternal%2Cproposal" xr:uid="{00000000-0004-0000-0E00-000076010000}"/>
    <hyperlink ref="BR177" r:id="rId377" display="https://abdimas-ppm.telkomuniversity.ac.id/unduh-dokumen-fn/2025%2CopVSBFMZW8BZfXQD%2Cinternal%2Cproposal" xr:uid="{00000000-0004-0000-0E00-000077010000}"/>
    <hyperlink ref="BR178" r:id="rId378" display="https://abdimas-ppm.telkomuniversity.ac.id/unduh-dokumen-fn/2025%2CCCYYjkiHJlRMOKVr%2Cinternal%2Cproposal" xr:uid="{00000000-0004-0000-0E00-000078010000}"/>
    <hyperlink ref="BR180" r:id="rId379" display="https://abdimas-ppm.telkomuniversity.ac.id/unduh-dokumen-fn/2025%2Ca35mlARCXUPjDBgj%2Cinternal%2Cproposal" xr:uid="{00000000-0004-0000-0E00-000079010000}"/>
    <hyperlink ref="BR179" r:id="rId380" display="https://abdimas-ppm.telkomuniversity.ac.id/unduh-dokumen-fn/2025%2C0Uz0ENaiK6O3cExG%2Cinternal%2Cproposal" xr:uid="{00000000-0004-0000-0E00-00007A010000}"/>
    <hyperlink ref="BR181" r:id="rId381" display="https://abdimas-ppm.telkomuniversity.ac.id/unduh-dokumen-fn/2025%2Cl702XrTi1MODlsap%2Cinternal%2Cproposal" xr:uid="{00000000-0004-0000-0E00-00007B010000}"/>
    <hyperlink ref="BR182" r:id="rId382" display="https://abdimas-ppm.telkomuniversity.ac.id/unduh-dokumen-fn/2025%2C9bHzssLTM6EMX3MR%2Cinternal%2Cproposal" xr:uid="{00000000-0004-0000-0E00-00007C010000}"/>
    <hyperlink ref="BR184" r:id="rId383" display="https://abdimas-ppm.telkomuniversity.ac.id/unduh-dokumen-fn/2025%2CNBUzXf7TM4QAzfC6%2Cinternal%2Cproposal" xr:uid="{00000000-0004-0000-0E00-00007D010000}"/>
    <hyperlink ref="BR183" r:id="rId384" display="https://abdimas-ppm.telkomuniversity.ac.id/unduh-dokumen-fn/2025%2C3ygysoqwZHo3uJnk%2Cinternal%2Cproposal" xr:uid="{00000000-0004-0000-0E00-00007E010000}"/>
    <hyperlink ref="BR185" r:id="rId385" display="https://abdimas-ppm.telkomuniversity.ac.id/unduh-dokumen-fn/2025%2CNU9SfxDbO6TtQ3AR%2Cinternal%2Cproposal" xr:uid="{00000000-0004-0000-0E00-00007F010000}"/>
    <hyperlink ref="BR186" r:id="rId386" display="https://abdimas-ppm.telkomuniversity.ac.id/unduh-dokumen-fn/2025%2CSnhl4IW2yqL7DHUJ%2Cinternal%2Cproposal" xr:uid="{00000000-0004-0000-0E00-000080010000}"/>
    <hyperlink ref="BR187" r:id="rId387" display="https://abdimas-ppm.telkomuniversity.ac.id/unduh-dokumen-fn/2025%2CE5IJ2FQ0lFtYAPeX%2Cinternal%2Cproposal" xr:uid="{00000000-0004-0000-0E00-000081010000}"/>
    <hyperlink ref="BR188" r:id="rId388" display="https://abdimas-ppm.telkomuniversity.ac.id/unduh-dokumen-fn/2025%2CDM0kyEKYGQLOhCrs%2Cinternal%2Cproposal" xr:uid="{00000000-0004-0000-0E00-000082010000}"/>
    <hyperlink ref="BR189" r:id="rId389" display="https://abdimas-ppm.telkomuniversity.ac.id/unduh-dokumen-fn/2025%2Ce3Z3H78s4QLTmQDW%2Cinternal%2Cproposal" xr:uid="{00000000-0004-0000-0E00-000083010000}"/>
    <hyperlink ref="BR190" r:id="rId390" display="https://abdimas-ppm.telkomuniversity.ac.id/unduh-dokumen-fn/2025%2Ce3Z3H78s4QLTmQDW%2Cinternal%2Cproposal" xr:uid="{00000000-0004-0000-0E00-000084010000}"/>
    <hyperlink ref="BR191" r:id="rId391" display="https://abdimas-ppm.telkomuniversity.ac.id/unduh-dokumen-fn/2025%2CTomZTRZKiyMpCQje%2Cinternal%2Cproposal" xr:uid="{00000000-0004-0000-0E00-000085010000}"/>
    <hyperlink ref="BR165" r:id="rId392" display="https://abdimas-ppm.telkomuniversity.ac.id/unduh-dokumen-fn/2025%2Ce0nK2zozH6UYVkN9%2Cinternal%2Cproposal" xr:uid="{00000000-0004-0000-0E00-000086010000}"/>
    <hyperlink ref="BR166" r:id="rId393" display="https://abdimas-ppm.telkomuniversity.ac.id/unduh-dokumen-fn/2025%2C1dkhN3HJJovxv8gU%2Cinternal%2Cproposal" xr:uid="{00000000-0004-0000-0E00-000087010000}"/>
    <hyperlink ref="BR167" r:id="rId394" display="https://abdimas-ppm.telkomuniversity.ac.id/data-kegiatan-admin/2025%2Cl4lGQ7qaYNBznVqG" xr:uid="{00000000-0004-0000-0E00-000088010000}"/>
    <hyperlink ref="BR168" r:id="rId395" display="https://abdimas-ppm.telkomuniversity.ac.id/unduh-dokumen-fn/2025%2CZokKgPAvEgKNQpo6%2Cinternal%2Cproposal" xr:uid="{00000000-0004-0000-0E00-000089010000}"/>
    <hyperlink ref="BR169" r:id="rId396" display="https://abdimas-ppm.telkomuniversity.ac.id/unduh-dokumen-fn/2025%2CXwDH2HOusc1andct%2Cinternal%2Cproposal" xr:uid="{00000000-0004-0000-0E00-00008A010000}"/>
    <hyperlink ref="BR170" r:id="rId397" display="https://abdimas-ppm.telkomuniversity.ac.id/unduh-dokumen-fn/2025%2Cn7Bl9Ptd7Ue74Hkn%2Cinternal%2Cproposal" xr:uid="{00000000-0004-0000-0E00-00008B010000}"/>
  </hyperlinks>
  <pageMargins left="0.7" right="0.7" top="0.75" bottom="0.75" header="0.3" footer="0.3"/>
  <pageSetup orientation="portrait" r:id="rId398"/>
  <legacyDrawing r:id="rId399"/>
  <tableParts count="1">
    <tablePart r:id="rId40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DA206"/>
  <sheetViews>
    <sheetView topLeftCell="H21" zoomScale="114" zoomScaleNormal="115" workbookViewId="0">
      <selection activeCell="J25" sqref="J25"/>
    </sheetView>
  </sheetViews>
  <sheetFormatPr defaultColWidth="9.109375" defaultRowHeight="14.4"/>
  <cols>
    <col min="1" max="1" width="9.33203125" customWidth="1"/>
    <col min="2" max="2" width="10.88671875" style="34" customWidth="1"/>
    <col min="3" max="3" width="14.6640625" style="320" customWidth="1"/>
    <col min="4" max="4" width="45.6640625" customWidth="1"/>
    <col min="5" max="5" width="21.44140625" customWidth="1"/>
    <col min="6" max="6" width="12.44140625" customWidth="1"/>
    <col min="7" max="7" width="14.88671875" customWidth="1"/>
    <col min="8" max="8" width="13.88671875" customWidth="1"/>
    <col min="9" max="9" width="26.109375" customWidth="1"/>
    <col min="10" max="10" width="17.33203125" style="469" customWidth="1"/>
    <col min="11" max="11" width="21" style="469" customWidth="1"/>
    <col min="12" max="12" width="19.33203125" customWidth="1"/>
    <col min="13" max="13" width="14.88671875" style="5" customWidth="1"/>
    <col min="14" max="14" width="13.109375" customWidth="1"/>
    <col min="15" max="15" width="12.109375" customWidth="1"/>
    <col min="16" max="17" width="11.6640625" customWidth="1"/>
    <col min="18" max="18" width="8.6640625" customWidth="1"/>
    <col min="19" max="19" width="17.5546875" style="34" customWidth="1"/>
    <col min="20" max="20" width="12.109375" customWidth="1"/>
    <col min="21" max="21" width="14.44140625" customWidth="1"/>
    <col min="22" max="24" width="20" customWidth="1"/>
    <col min="25" max="25" width="13" customWidth="1"/>
    <col min="26" max="26" width="14.5546875" customWidth="1"/>
    <col min="27" max="27" width="11" customWidth="1"/>
    <col min="28" max="28" width="16" customWidth="1"/>
    <col min="29" max="29" width="16.88671875" customWidth="1"/>
    <col min="30" max="30" width="14.44140625" customWidth="1"/>
    <col min="31" max="31" width="25" customWidth="1"/>
    <col min="32" max="32" width="17" customWidth="1"/>
    <col min="33" max="33" width="20" customWidth="1"/>
    <col min="34" max="34" width="12.44140625" customWidth="1"/>
    <col min="35" max="35" width="14.5546875" customWidth="1"/>
    <col min="36" max="36" width="16.88671875" customWidth="1"/>
    <col min="37" max="37" width="14.44140625" customWidth="1"/>
    <col min="38" max="38" width="23.88671875" customWidth="1"/>
    <col min="39" max="39" width="17" customWidth="1"/>
    <col min="40" max="41" width="20" customWidth="1"/>
    <col min="42" max="42" width="15.109375" customWidth="1"/>
    <col min="43" max="44" width="14.5546875" customWidth="1"/>
    <col min="45" max="45" width="19.44140625" customWidth="1"/>
    <col min="46" max="46" width="14.88671875" customWidth="1"/>
    <col min="47" max="47" width="24.6640625" customWidth="1"/>
    <col min="48" max="48" width="23" customWidth="1"/>
    <col min="49" max="49" width="25.109375" customWidth="1"/>
    <col min="50" max="50" width="21.6640625" customWidth="1"/>
    <col min="51" max="51" width="15.33203125" customWidth="1"/>
    <col min="52" max="52" width="12.5546875" customWidth="1"/>
    <col min="53" max="53" width="18" customWidth="1"/>
    <col min="54" max="54" width="22.44140625" customWidth="1"/>
    <col min="55" max="55" width="13.44140625" customWidth="1"/>
    <col min="56" max="56" width="19.44140625" customWidth="1"/>
    <col min="57" max="57" width="12.109375" customWidth="1"/>
    <col min="58" max="58" width="7" customWidth="1"/>
    <col min="59" max="59" width="13.33203125" bestFit="1" customWidth="1"/>
    <col min="60" max="60" width="20" customWidth="1"/>
    <col min="61" max="61" width="18.109375" customWidth="1"/>
    <col min="62" max="62" width="18.109375" style="326" customWidth="1"/>
    <col min="63" max="63" width="20.88671875" customWidth="1"/>
    <col min="64" max="64" width="14.44140625" customWidth="1"/>
    <col min="65" max="65" width="15.88671875" customWidth="1"/>
    <col min="66" max="66" width="8.6640625" customWidth="1"/>
    <col min="67" max="67" width="20" customWidth="1"/>
    <col min="68" max="68" width="18.5546875" customWidth="1"/>
    <col min="69" max="69" width="16.6640625" customWidth="1"/>
    <col min="70" max="70" width="20.88671875" customWidth="1"/>
    <col min="71" max="71" width="14.44140625" customWidth="1"/>
    <col min="72" max="72" width="15.88671875" customWidth="1"/>
    <col min="73" max="73" width="5.5546875" bestFit="1" customWidth="1"/>
    <col min="74" max="75" width="12.44140625" customWidth="1"/>
    <col min="76" max="76" width="17.6640625" customWidth="1"/>
    <col min="77" max="77" width="13.33203125" customWidth="1"/>
    <col min="78" max="78" width="17.109375" customWidth="1"/>
    <col min="79" max="79" width="13.109375" customWidth="1"/>
    <col min="80" max="80" width="20.33203125" customWidth="1"/>
    <col min="81" max="81" width="12" customWidth="1"/>
    <col min="82" max="82" width="12.5546875" customWidth="1"/>
    <col min="83" max="83" width="15.109375" customWidth="1"/>
    <col min="84" max="84" width="14.44140625" customWidth="1"/>
    <col min="85" max="85" width="19.88671875" customWidth="1"/>
    <col min="86" max="86" width="33.44140625" customWidth="1"/>
    <col min="87" max="87" width="17.109375" customWidth="1"/>
    <col min="88" max="88" width="11.44140625" customWidth="1"/>
    <col min="89" max="89" width="10.44140625" customWidth="1"/>
    <col min="90" max="91" width="11.109375" customWidth="1"/>
    <col min="92" max="92" width="26.6640625" bestFit="1" customWidth="1"/>
    <col min="93" max="93" width="14.5546875" customWidth="1"/>
    <col min="94" max="94" width="15.109375" customWidth="1"/>
    <col min="95" max="95" width="12.88671875" customWidth="1"/>
    <col min="96" max="96" width="19" customWidth="1"/>
    <col min="97" max="97" width="23.44140625" bestFit="1" customWidth="1"/>
  </cols>
  <sheetData>
    <row r="1" spans="1:105" ht="36">
      <c r="A1" s="498" t="s">
        <v>149</v>
      </c>
      <c r="B1" s="499" t="s">
        <v>3129</v>
      </c>
      <c r="C1" s="499" t="s">
        <v>3130</v>
      </c>
      <c r="D1" s="500" t="s">
        <v>3131</v>
      </c>
      <c r="E1" s="500" t="s">
        <v>210</v>
      </c>
      <c r="F1" s="500" t="s">
        <v>1</v>
      </c>
      <c r="G1" s="500" t="s">
        <v>218</v>
      </c>
      <c r="H1" s="500" t="s">
        <v>3132</v>
      </c>
      <c r="I1" s="500" t="s">
        <v>3133</v>
      </c>
      <c r="J1" s="500" t="s">
        <v>5669</v>
      </c>
      <c r="K1" s="501" t="s">
        <v>4913</v>
      </c>
      <c r="L1" s="502" t="s">
        <v>3134</v>
      </c>
      <c r="M1" s="500" t="s">
        <v>3135</v>
      </c>
      <c r="N1" s="500" t="s">
        <v>3136</v>
      </c>
      <c r="O1" s="500" t="s">
        <v>3137</v>
      </c>
      <c r="P1" s="500" t="s">
        <v>0</v>
      </c>
      <c r="Q1" s="500" t="s">
        <v>3138</v>
      </c>
      <c r="R1" s="500" t="s">
        <v>4</v>
      </c>
      <c r="S1" s="503" t="s">
        <v>3139</v>
      </c>
      <c r="T1" s="503" t="s">
        <v>3140</v>
      </c>
      <c r="U1" s="503" t="s">
        <v>3141</v>
      </c>
      <c r="V1" s="504" t="s">
        <v>3142</v>
      </c>
      <c r="W1" s="505" t="s">
        <v>239</v>
      </c>
      <c r="X1" s="505" t="s">
        <v>3085</v>
      </c>
      <c r="Y1" s="505" t="s">
        <v>3084</v>
      </c>
      <c r="Z1" s="505" t="s">
        <v>3157</v>
      </c>
      <c r="AA1" s="505" t="s">
        <v>3158</v>
      </c>
      <c r="AB1" s="505" t="s">
        <v>4914</v>
      </c>
      <c r="AC1" s="505" t="s">
        <v>4915</v>
      </c>
      <c r="AD1" s="503" t="s">
        <v>3150</v>
      </c>
      <c r="AE1" s="503" t="s">
        <v>3151</v>
      </c>
      <c r="AF1" s="503" t="s">
        <v>4916</v>
      </c>
      <c r="AG1" s="504" t="s">
        <v>4917</v>
      </c>
      <c r="AH1" s="505" t="s">
        <v>241</v>
      </c>
      <c r="AI1" s="505" t="s">
        <v>266</v>
      </c>
      <c r="AJ1" s="505" t="s">
        <v>5670</v>
      </c>
      <c r="AK1" s="505" t="s">
        <v>3166</v>
      </c>
      <c r="AL1" s="505" t="s">
        <v>3167</v>
      </c>
      <c r="AM1" s="503" t="s">
        <v>3159</v>
      </c>
      <c r="AN1" s="503" t="s">
        <v>3160</v>
      </c>
      <c r="AO1" s="503" t="s">
        <v>4918</v>
      </c>
      <c r="AP1" s="504" t="s">
        <v>4919</v>
      </c>
      <c r="AQ1" s="505" t="s">
        <v>3086</v>
      </c>
      <c r="AR1" s="505" t="s">
        <v>246</v>
      </c>
      <c r="AS1" s="505" t="s">
        <v>3087</v>
      </c>
      <c r="AT1" s="505" t="s">
        <v>4920</v>
      </c>
      <c r="AU1" s="505" t="s">
        <v>4921</v>
      </c>
      <c r="AV1" s="503" t="s">
        <v>3168</v>
      </c>
      <c r="AW1" s="503" t="s">
        <v>3169</v>
      </c>
      <c r="AX1" s="503" t="s">
        <v>4922</v>
      </c>
      <c r="AY1" s="504" t="s">
        <v>4923</v>
      </c>
      <c r="AZ1" s="505" t="s">
        <v>3088</v>
      </c>
      <c r="BA1" s="505" t="s">
        <v>3089</v>
      </c>
      <c r="BB1" s="505" t="s">
        <v>4924</v>
      </c>
      <c r="BC1" s="505" t="s">
        <v>4925</v>
      </c>
      <c r="BD1" s="503" t="s">
        <v>3176</v>
      </c>
      <c r="BE1" s="503" t="s">
        <v>3177</v>
      </c>
      <c r="BF1" s="503" t="s">
        <v>3178</v>
      </c>
      <c r="BG1" s="504" t="s">
        <v>4926</v>
      </c>
      <c r="BH1" s="505" t="s">
        <v>3083</v>
      </c>
      <c r="BI1" s="505" t="s">
        <v>5671</v>
      </c>
      <c r="BJ1" s="505" t="s">
        <v>4927</v>
      </c>
      <c r="BK1" s="505" t="s">
        <v>4928</v>
      </c>
      <c r="BL1" s="503" t="s">
        <v>3184</v>
      </c>
      <c r="BM1" s="503" t="s">
        <v>3185</v>
      </c>
      <c r="BN1" s="503" t="s">
        <v>3186</v>
      </c>
      <c r="BO1" s="504" t="s">
        <v>4929</v>
      </c>
      <c r="BP1" s="505" t="s">
        <v>256</v>
      </c>
      <c r="BQ1" s="505" t="s">
        <v>4930</v>
      </c>
      <c r="BR1" s="505" t="s">
        <v>4931</v>
      </c>
      <c r="BS1" s="503" t="s">
        <v>4932</v>
      </c>
      <c r="BT1" s="503" t="s">
        <v>4933</v>
      </c>
      <c r="BU1" s="503" t="s">
        <v>4934</v>
      </c>
      <c r="BV1" s="504" t="s">
        <v>4935</v>
      </c>
      <c r="BW1" s="505" t="s">
        <v>4936</v>
      </c>
      <c r="BX1" s="505" t="s">
        <v>4937</v>
      </c>
      <c r="BY1" s="505" t="s">
        <v>4938</v>
      </c>
      <c r="BZ1" s="541" t="s">
        <v>211</v>
      </c>
      <c r="CA1" s="506" t="s">
        <v>3190</v>
      </c>
      <c r="CB1" s="506" t="s">
        <v>3191</v>
      </c>
      <c r="CC1" s="507" t="s">
        <v>4939</v>
      </c>
      <c r="CD1" s="507" t="s">
        <v>3193</v>
      </c>
      <c r="CE1" s="507" t="s">
        <v>3194</v>
      </c>
      <c r="CF1" s="507" t="s">
        <v>3195</v>
      </c>
      <c r="CG1" s="507" t="s">
        <v>3196</v>
      </c>
      <c r="CH1" s="507" t="s">
        <v>3197</v>
      </c>
      <c r="CI1" s="507" t="s">
        <v>3198</v>
      </c>
      <c r="CJ1" s="507" t="s">
        <v>3199</v>
      </c>
      <c r="CK1" s="507" t="s">
        <v>3200</v>
      </c>
      <c r="CL1" s="507" t="s">
        <v>3201</v>
      </c>
      <c r="CM1" s="507" t="s">
        <v>3202</v>
      </c>
      <c r="CN1" s="507" t="s">
        <v>3203</v>
      </c>
      <c r="CO1" s="507" t="s">
        <v>3204</v>
      </c>
      <c r="CP1" s="507" t="s">
        <v>3205</v>
      </c>
      <c r="CQ1" s="507" t="s">
        <v>4940</v>
      </c>
      <c r="CR1" s="507" t="s">
        <v>4941</v>
      </c>
      <c r="CS1" s="508" t="s">
        <v>4942</v>
      </c>
      <c r="CT1" s="509" t="s">
        <v>4943</v>
      </c>
      <c r="CU1" s="510" t="s">
        <v>4944</v>
      </c>
      <c r="CV1" s="511" t="s">
        <v>4945</v>
      </c>
      <c r="CW1" s="512" t="s">
        <v>3207</v>
      </c>
      <c r="CX1" s="511" t="s">
        <v>3208</v>
      </c>
      <c r="CY1" s="1"/>
      <c r="CZ1" s="1"/>
      <c r="DA1" s="1"/>
    </row>
    <row r="2" spans="1:105" ht="36">
      <c r="A2" s="129">
        <v>1</v>
      </c>
      <c r="B2" s="15" t="s">
        <v>4948</v>
      </c>
      <c r="C2" s="17" t="s">
        <v>942</v>
      </c>
      <c r="D2" s="14" t="s">
        <v>4949</v>
      </c>
      <c r="E2" s="13" t="s">
        <v>4950</v>
      </c>
      <c r="F2" s="13">
        <v>2020</v>
      </c>
      <c r="G2" s="13"/>
      <c r="H2" s="13"/>
      <c r="I2" s="15"/>
      <c r="J2" s="15" t="s">
        <v>5672</v>
      </c>
      <c r="K2" s="362"/>
      <c r="L2" s="453">
        <v>6500000</v>
      </c>
      <c r="M2" s="15"/>
      <c r="N2" s="13"/>
      <c r="O2" s="23"/>
      <c r="P2" s="14" t="s">
        <v>3223</v>
      </c>
      <c r="Q2" s="13"/>
      <c r="R2" s="13"/>
      <c r="S2" s="13">
        <v>6680685</v>
      </c>
      <c r="T2" s="23" t="s">
        <v>21</v>
      </c>
      <c r="U2" s="16" t="s">
        <v>944</v>
      </c>
      <c r="V2" s="453">
        <v>6500000</v>
      </c>
      <c r="W2" s="15" t="s">
        <v>155</v>
      </c>
      <c r="X2" s="15"/>
      <c r="Y2" s="15"/>
      <c r="Z2" s="15" t="s">
        <v>3224</v>
      </c>
      <c r="AA2" s="15" t="s">
        <v>3216</v>
      </c>
      <c r="AB2" s="8">
        <v>8140</v>
      </c>
      <c r="AC2" s="187" t="s">
        <v>3291</v>
      </c>
      <c r="AD2" s="8">
        <v>6680708</v>
      </c>
      <c r="AE2" s="10" t="s">
        <v>2436</v>
      </c>
      <c r="AF2" s="6" t="s">
        <v>4952</v>
      </c>
      <c r="AG2" s="453">
        <v>6500000</v>
      </c>
      <c r="AH2" s="15" t="s">
        <v>155</v>
      </c>
      <c r="AI2" s="15"/>
      <c r="AJ2" s="15"/>
      <c r="AK2" s="15" t="s">
        <v>3224</v>
      </c>
      <c r="AL2" s="15" t="s">
        <v>3216</v>
      </c>
      <c r="AM2" s="13">
        <v>6680612</v>
      </c>
      <c r="AN2" s="16" t="s">
        <v>960</v>
      </c>
      <c r="AO2" s="6" t="s">
        <v>19</v>
      </c>
      <c r="AP2" s="453">
        <v>6500000</v>
      </c>
      <c r="AQ2" s="15" t="s">
        <v>155</v>
      </c>
      <c r="AR2" s="15"/>
      <c r="AS2" s="15"/>
      <c r="AT2" s="15" t="s">
        <v>3224</v>
      </c>
      <c r="AU2" s="15" t="s">
        <v>3216</v>
      </c>
      <c r="AV2" s="19"/>
      <c r="AW2" s="19"/>
      <c r="AX2" s="15"/>
      <c r="AY2" s="189"/>
      <c r="AZ2" s="19"/>
      <c r="BA2" s="19"/>
      <c r="BB2" s="19"/>
      <c r="BC2" s="19"/>
      <c r="BD2" s="19"/>
      <c r="BE2" s="19"/>
      <c r="BF2" s="19"/>
      <c r="BG2" s="189"/>
      <c r="BH2" s="19"/>
      <c r="BI2" s="19"/>
      <c r="BJ2" s="19"/>
      <c r="BK2" s="19"/>
      <c r="BL2" s="19"/>
      <c r="BM2" s="19"/>
      <c r="BN2" s="19"/>
      <c r="BO2" s="189"/>
      <c r="BP2" s="19"/>
      <c r="BQ2" s="19"/>
      <c r="BR2" s="19"/>
      <c r="BS2" s="19"/>
      <c r="BT2" s="19"/>
      <c r="BU2" s="19"/>
      <c r="BV2" s="189"/>
      <c r="BW2" s="19"/>
      <c r="BX2" s="19"/>
      <c r="BY2" s="19"/>
      <c r="BZ2" s="19"/>
      <c r="CA2" s="141" t="s">
        <v>3190</v>
      </c>
      <c r="CB2" s="141" t="s">
        <v>3191</v>
      </c>
      <c r="CC2" s="15"/>
      <c r="CD2" s="14"/>
      <c r="CE2" s="15"/>
      <c r="CF2" s="14"/>
      <c r="CG2" s="15"/>
      <c r="CH2" s="14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295"/>
      <c r="CV2" s="296"/>
      <c r="CW2" s="19"/>
      <c r="CX2" s="19"/>
    </row>
    <row r="3" spans="1:105" ht="24">
      <c r="A3" s="129">
        <v>2</v>
      </c>
      <c r="B3" s="15" t="s">
        <v>4948</v>
      </c>
      <c r="C3" s="17" t="s">
        <v>942</v>
      </c>
      <c r="D3" s="14" t="s">
        <v>4954</v>
      </c>
      <c r="E3" s="13" t="s">
        <v>4950</v>
      </c>
      <c r="F3" s="13">
        <v>2020</v>
      </c>
      <c r="G3" s="13"/>
      <c r="H3" s="13"/>
      <c r="I3" s="15"/>
      <c r="J3" s="15" t="s">
        <v>5673</v>
      </c>
      <c r="K3" s="362"/>
      <c r="L3" s="453">
        <v>6500000</v>
      </c>
      <c r="M3" s="15"/>
      <c r="N3" s="13" t="s">
        <v>942</v>
      </c>
      <c r="O3" s="23"/>
      <c r="P3" s="14" t="s">
        <v>3223</v>
      </c>
      <c r="Q3" s="13"/>
      <c r="R3" s="13"/>
      <c r="S3" s="13">
        <v>6680683</v>
      </c>
      <c r="T3" s="23" t="s">
        <v>10</v>
      </c>
      <c r="U3" s="16" t="s">
        <v>2454</v>
      </c>
      <c r="V3" s="453">
        <v>6500000</v>
      </c>
      <c r="W3" s="15" t="s">
        <v>166</v>
      </c>
      <c r="X3" s="15"/>
      <c r="Y3" s="15"/>
      <c r="Z3" s="15" t="s">
        <v>3217</v>
      </c>
      <c r="AA3" s="15" t="s">
        <v>3216</v>
      </c>
      <c r="AB3" s="8">
        <v>8140</v>
      </c>
      <c r="AC3" s="187" t="s">
        <v>3291</v>
      </c>
      <c r="AD3" s="8">
        <v>6680678</v>
      </c>
      <c r="AE3" s="10" t="s">
        <v>1725</v>
      </c>
      <c r="AF3" s="6" t="s">
        <v>14</v>
      </c>
      <c r="AG3" s="453">
        <v>6500000</v>
      </c>
      <c r="AH3" s="15" t="s">
        <v>151</v>
      </c>
      <c r="AI3" s="15"/>
      <c r="AJ3" s="15"/>
      <c r="AK3" s="15" t="s">
        <v>3224</v>
      </c>
      <c r="AL3" s="15" t="s">
        <v>3216</v>
      </c>
      <c r="AM3" s="8">
        <v>6680633</v>
      </c>
      <c r="AN3" s="190" t="s">
        <v>3322</v>
      </c>
      <c r="AO3" s="6" t="s">
        <v>18</v>
      </c>
      <c r="AP3" s="453">
        <v>6500000</v>
      </c>
      <c r="AQ3" s="15" t="s">
        <v>156</v>
      </c>
      <c r="AR3" s="15" t="s">
        <v>166</v>
      </c>
      <c r="AS3" s="15"/>
      <c r="AT3" s="15" t="s">
        <v>3217</v>
      </c>
      <c r="AU3" s="15" t="s">
        <v>3216</v>
      </c>
      <c r="AV3" s="19"/>
      <c r="AW3" s="19"/>
      <c r="AX3" s="15"/>
      <c r="AY3" s="189"/>
      <c r="AZ3" s="19"/>
      <c r="BA3" s="19"/>
      <c r="BB3" s="19"/>
      <c r="BC3" s="19"/>
      <c r="BD3" s="19"/>
      <c r="BE3" s="19"/>
      <c r="BF3" s="19"/>
      <c r="BG3" s="189"/>
      <c r="BH3" s="19"/>
      <c r="BI3" s="19"/>
      <c r="BJ3" s="19"/>
      <c r="BK3" s="19"/>
      <c r="BL3" s="19"/>
      <c r="BM3" s="19"/>
      <c r="BN3" s="19"/>
      <c r="BO3" s="189"/>
      <c r="BP3" s="19"/>
      <c r="BQ3" s="19"/>
      <c r="BR3" s="19"/>
      <c r="BS3" s="19"/>
      <c r="BT3" s="19"/>
      <c r="BU3" s="19"/>
      <c r="BV3" s="189"/>
      <c r="BW3" s="19"/>
      <c r="BX3" s="19"/>
      <c r="BY3" s="19"/>
      <c r="BZ3" s="19"/>
      <c r="CA3" s="141" t="s">
        <v>3190</v>
      </c>
      <c r="CB3" s="141" t="s">
        <v>3191</v>
      </c>
      <c r="CC3" s="15"/>
      <c r="CD3" s="14"/>
      <c r="CE3" s="15"/>
      <c r="CF3" s="14"/>
      <c r="CG3" s="15"/>
      <c r="CH3" s="14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295"/>
      <c r="CV3" s="296"/>
      <c r="CW3" s="19"/>
      <c r="CX3" s="19"/>
    </row>
    <row r="4" spans="1:105" ht="24">
      <c r="A4" s="129">
        <v>3</v>
      </c>
      <c r="B4" s="17"/>
      <c r="C4" s="17" t="s">
        <v>942</v>
      </c>
      <c r="D4" s="184" t="s">
        <v>4957</v>
      </c>
      <c r="E4" s="13" t="s">
        <v>4958</v>
      </c>
      <c r="F4" s="13">
        <v>2020</v>
      </c>
      <c r="G4" s="13">
        <v>2020</v>
      </c>
      <c r="H4" s="13">
        <v>4</v>
      </c>
      <c r="I4" s="15" t="s">
        <v>4959</v>
      </c>
      <c r="J4" s="15" t="s">
        <v>5674</v>
      </c>
      <c r="K4" s="362"/>
      <c r="L4" s="453">
        <v>4475000</v>
      </c>
      <c r="M4" s="15"/>
      <c r="N4" s="13" t="s">
        <v>942</v>
      </c>
      <c r="O4" s="23"/>
      <c r="P4" s="14" t="s">
        <v>3223</v>
      </c>
      <c r="Q4" s="13"/>
      <c r="R4" s="13" t="s">
        <v>3923</v>
      </c>
      <c r="S4" s="13">
        <v>6681032</v>
      </c>
      <c r="T4" s="23" t="s">
        <v>76</v>
      </c>
      <c r="U4" s="13">
        <v>715039004</v>
      </c>
      <c r="V4" s="453">
        <v>4475000</v>
      </c>
      <c r="W4" s="15" t="s">
        <v>166</v>
      </c>
      <c r="X4" s="15"/>
      <c r="Y4" s="15"/>
      <c r="Z4" s="15" t="s">
        <v>3217</v>
      </c>
      <c r="AA4" s="15" t="s">
        <v>3216</v>
      </c>
      <c r="AB4" s="8">
        <v>8140</v>
      </c>
      <c r="AC4" s="187" t="s">
        <v>3291</v>
      </c>
      <c r="AD4" s="8">
        <v>6680625</v>
      </c>
      <c r="AE4" s="10" t="s">
        <v>1782</v>
      </c>
      <c r="AF4" s="6" t="s">
        <v>23</v>
      </c>
      <c r="AG4" s="453">
        <v>4475000</v>
      </c>
      <c r="AH4" s="15" t="s">
        <v>154</v>
      </c>
      <c r="AI4" s="15"/>
      <c r="AJ4" s="15"/>
      <c r="AK4" s="15" t="s">
        <v>3224</v>
      </c>
      <c r="AL4" s="15" t="s">
        <v>3216</v>
      </c>
      <c r="AM4" s="8"/>
      <c r="AN4" s="191"/>
      <c r="AO4" s="6"/>
      <c r="AP4" s="188"/>
      <c r="AQ4" s="15"/>
      <c r="AR4" s="15"/>
      <c r="AS4" s="15"/>
      <c r="AT4" s="15"/>
      <c r="AU4" s="19"/>
      <c r="AV4" s="19"/>
      <c r="AW4" s="19"/>
      <c r="AX4" s="15"/>
      <c r="AY4" s="189"/>
      <c r="AZ4" s="19"/>
      <c r="BA4" s="19"/>
      <c r="BB4" s="19"/>
      <c r="BC4" s="19"/>
      <c r="BD4" s="19"/>
      <c r="BE4" s="19"/>
      <c r="BF4" s="19"/>
      <c r="BG4" s="189"/>
      <c r="BH4" s="19"/>
      <c r="BI4" s="19"/>
      <c r="BJ4" s="19"/>
      <c r="BK4" s="19"/>
      <c r="BL4" s="19"/>
      <c r="BM4" s="19"/>
      <c r="BN4" s="19"/>
      <c r="BO4" s="189"/>
      <c r="BP4" s="19"/>
      <c r="BQ4" s="19"/>
      <c r="BR4" s="19"/>
      <c r="BS4" s="19"/>
      <c r="BT4" s="19"/>
      <c r="BU4" s="19"/>
      <c r="BV4" s="189"/>
      <c r="BW4" s="19"/>
      <c r="BX4" s="19"/>
      <c r="BY4" s="19"/>
      <c r="BZ4" s="19"/>
      <c r="CA4" s="141" t="s">
        <v>3190</v>
      </c>
      <c r="CB4" s="141" t="s">
        <v>3191</v>
      </c>
      <c r="CC4" s="15"/>
      <c r="CD4" s="14"/>
      <c r="CE4" s="15"/>
      <c r="CF4" s="14"/>
      <c r="CG4" s="15"/>
      <c r="CH4" s="14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295"/>
      <c r="CV4" s="296"/>
      <c r="CW4" s="19"/>
      <c r="CX4" s="19"/>
    </row>
    <row r="5" spans="1:105" ht="36">
      <c r="A5" s="129">
        <v>5</v>
      </c>
      <c r="B5" s="17"/>
      <c r="C5" s="17" t="s">
        <v>942</v>
      </c>
      <c r="D5" s="184" t="s">
        <v>4962</v>
      </c>
      <c r="E5" s="13" t="s">
        <v>4958</v>
      </c>
      <c r="F5" s="13">
        <v>2020</v>
      </c>
      <c r="G5" s="13">
        <v>2020</v>
      </c>
      <c r="H5" s="13"/>
      <c r="I5" s="15"/>
      <c r="J5" s="15" t="s">
        <v>5675</v>
      </c>
      <c r="K5" s="362"/>
      <c r="L5" s="453">
        <v>4000000</v>
      </c>
      <c r="M5" s="15"/>
      <c r="N5" s="13" t="s">
        <v>942</v>
      </c>
      <c r="O5" s="23"/>
      <c r="P5" s="14" t="s">
        <v>3223</v>
      </c>
      <c r="Q5" s="13"/>
      <c r="R5" s="13" t="s">
        <v>3923</v>
      </c>
      <c r="S5" s="13">
        <v>6681032</v>
      </c>
      <c r="T5" s="23" t="s">
        <v>76</v>
      </c>
      <c r="U5" s="13">
        <v>715039004</v>
      </c>
      <c r="V5" s="453">
        <v>4000000</v>
      </c>
      <c r="W5" s="15" t="s">
        <v>166</v>
      </c>
      <c r="X5" s="15"/>
      <c r="Y5" s="15"/>
      <c r="Z5" s="15" t="s">
        <v>3217</v>
      </c>
      <c r="AA5" s="15" t="s">
        <v>3216</v>
      </c>
      <c r="AB5" s="8">
        <v>8140</v>
      </c>
      <c r="AC5" s="187" t="s">
        <v>3291</v>
      </c>
      <c r="AD5" s="8">
        <v>259781</v>
      </c>
      <c r="AE5" s="10" t="s">
        <v>982</v>
      </c>
      <c r="AF5" s="6" t="s">
        <v>26</v>
      </c>
      <c r="AG5" s="453">
        <v>4000000</v>
      </c>
      <c r="AH5" s="15" t="s">
        <v>3093</v>
      </c>
      <c r="AI5" s="15" t="s">
        <v>166</v>
      </c>
      <c r="AJ5" s="15"/>
      <c r="AK5" s="15" t="s">
        <v>3217</v>
      </c>
      <c r="AL5" s="15" t="s">
        <v>3216</v>
      </c>
      <c r="AM5" s="8">
        <v>6680634</v>
      </c>
      <c r="AN5" s="10" t="s">
        <v>989</v>
      </c>
      <c r="AO5" s="6" t="s">
        <v>47</v>
      </c>
      <c r="AP5" s="453">
        <v>4000000</v>
      </c>
      <c r="AQ5" s="15" t="s">
        <v>166</v>
      </c>
      <c r="AR5" s="15"/>
      <c r="AS5" s="15"/>
      <c r="AT5" s="15" t="s">
        <v>3217</v>
      </c>
      <c r="AU5" s="15" t="s">
        <v>3216</v>
      </c>
      <c r="AV5" s="8">
        <v>6680643</v>
      </c>
      <c r="AW5" s="10" t="s">
        <v>1017</v>
      </c>
      <c r="AX5" s="15" t="s">
        <v>8</v>
      </c>
      <c r="AY5" s="453">
        <v>4000000</v>
      </c>
      <c r="AZ5" s="19" t="s">
        <v>172</v>
      </c>
      <c r="BA5" s="19" t="s">
        <v>160</v>
      </c>
      <c r="BB5" s="19" t="s">
        <v>3224</v>
      </c>
      <c r="BC5" s="15" t="s">
        <v>3216</v>
      </c>
      <c r="BD5" s="19">
        <v>6724784</v>
      </c>
      <c r="BE5" s="19">
        <v>722119101</v>
      </c>
      <c r="BF5" s="19" t="s">
        <v>4516</v>
      </c>
      <c r="BG5" s="453">
        <v>4000000</v>
      </c>
      <c r="BH5" s="19" t="s">
        <v>154</v>
      </c>
      <c r="BI5" s="19"/>
      <c r="BJ5" s="19" t="s">
        <v>3224</v>
      </c>
      <c r="BK5" s="15" t="s">
        <v>3216</v>
      </c>
      <c r="BL5" s="19"/>
      <c r="BM5" s="19"/>
      <c r="BN5" s="19"/>
      <c r="BO5" s="189"/>
      <c r="BP5" s="19"/>
      <c r="BQ5" s="19"/>
      <c r="BR5" s="19"/>
      <c r="BS5" s="19"/>
      <c r="BT5" s="19"/>
      <c r="BU5" s="19"/>
      <c r="BV5" s="58"/>
      <c r="BW5" s="19"/>
      <c r="BX5" s="19"/>
      <c r="BY5" s="19"/>
      <c r="BZ5" s="19"/>
      <c r="CA5" s="141" t="s">
        <v>3190</v>
      </c>
      <c r="CB5" s="141" t="s">
        <v>3191</v>
      </c>
      <c r="CC5" s="15"/>
      <c r="CD5" s="14"/>
      <c r="CE5" s="15"/>
      <c r="CF5" s="14"/>
      <c r="CG5" s="15"/>
      <c r="CH5" s="14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295"/>
      <c r="CV5" s="296"/>
      <c r="CW5" s="19"/>
      <c r="CX5" s="19"/>
    </row>
    <row r="6" spans="1:105" ht="24">
      <c r="A6" s="129">
        <v>6</v>
      </c>
      <c r="B6" s="17"/>
      <c r="C6" s="17" t="s">
        <v>942</v>
      </c>
      <c r="D6" s="184" t="s">
        <v>4964</v>
      </c>
      <c r="E6" s="13" t="s">
        <v>4958</v>
      </c>
      <c r="F6" s="13">
        <v>2020</v>
      </c>
      <c r="G6" s="13">
        <v>2020</v>
      </c>
      <c r="H6" s="13">
        <v>1</v>
      </c>
      <c r="I6" s="15"/>
      <c r="J6" s="15" t="s">
        <v>5676</v>
      </c>
      <c r="K6" s="362"/>
      <c r="L6" s="453">
        <v>6400000</v>
      </c>
      <c r="M6" s="15"/>
      <c r="N6" s="13" t="s">
        <v>942</v>
      </c>
      <c r="O6" s="23"/>
      <c r="P6" s="14" t="s">
        <v>3223</v>
      </c>
      <c r="Q6" s="13"/>
      <c r="R6" s="13" t="s">
        <v>3923</v>
      </c>
      <c r="S6" s="13">
        <v>6680648</v>
      </c>
      <c r="T6" s="23" t="s">
        <v>17</v>
      </c>
      <c r="U6" s="16" t="s">
        <v>1036</v>
      </c>
      <c r="V6" s="453">
        <v>6400000</v>
      </c>
      <c r="W6" s="15" t="s">
        <v>166</v>
      </c>
      <c r="X6" s="15"/>
      <c r="Y6" s="15"/>
      <c r="Z6" s="15" t="s">
        <v>3217</v>
      </c>
      <c r="AA6" s="15" t="s">
        <v>3216</v>
      </c>
      <c r="AB6" s="8">
        <v>8140</v>
      </c>
      <c r="AC6" s="187" t="s">
        <v>3291</v>
      </c>
      <c r="AD6" s="8">
        <v>6665306</v>
      </c>
      <c r="AE6" s="10" t="s">
        <v>1727</v>
      </c>
      <c r="AF6" s="6" t="s">
        <v>28</v>
      </c>
      <c r="AG6" s="453">
        <v>6400000</v>
      </c>
      <c r="AH6" s="15" t="s">
        <v>166</v>
      </c>
      <c r="AI6" s="15"/>
      <c r="AJ6" s="15"/>
      <c r="AK6" s="15" t="s">
        <v>3217</v>
      </c>
      <c r="AL6" s="15" t="s">
        <v>3216</v>
      </c>
      <c r="AM6" s="13">
        <v>6764236</v>
      </c>
      <c r="AN6" s="16" t="s">
        <v>1684</v>
      </c>
      <c r="AO6" s="6" t="s">
        <v>25</v>
      </c>
      <c r="AP6" s="453">
        <v>6400000</v>
      </c>
      <c r="AQ6" s="15" t="s">
        <v>166</v>
      </c>
      <c r="AR6" s="15"/>
      <c r="AS6" s="15"/>
      <c r="AT6" s="15" t="s">
        <v>3217</v>
      </c>
      <c r="AU6" s="15" t="s">
        <v>3216</v>
      </c>
      <c r="AV6" s="19">
        <v>6680627</v>
      </c>
      <c r="AW6" s="192" t="s">
        <v>1912</v>
      </c>
      <c r="AX6" s="15" t="s">
        <v>88</v>
      </c>
      <c r="AY6" s="453">
        <v>6400000</v>
      </c>
      <c r="AZ6" s="19" t="s">
        <v>160</v>
      </c>
      <c r="BA6" s="19" t="s">
        <v>160</v>
      </c>
      <c r="BB6" s="19" t="s">
        <v>3224</v>
      </c>
      <c r="BC6" s="15" t="s">
        <v>3216</v>
      </c>
      <c r="BD6" s="8">
        <v>6658545</v>
      </c>
      <c r="BE6" s="10" t="s">
        <v>984</v>
      </c>
      <c r="BF6" s="19" t="s">
        <v>40</v>
      </c>
      <c r="BG6" s="453">
        <v>6400000</v>
      </c>
      <c r="BH6" s="19" t="s">
        <v>160</v>
      </c>
      <c r="BI6" s="19"/>
      <c r="BJ6" s="19" t="s">
        <v>3224</v>
      </c>
      <c r="BK6" s="15" t="s">
        <v>3216</v>
      </c>
      <c r="BL6" s="19"/>
      <c r="BM6" s="19"/>
      <c r="BN6" s="19"/>
      <c r="BO6" s="189"/>
      <c r="BP6" s="19"/>
      <c r="BQ6" s="19"/>
      <c r="BR6" s="19"/>
      <c r="BS6" s="19"/>
      <c r="BT6" s="19"/>
      <c r="BU6" s="19"/>
      <c r="BV6" s="58"/>
      <c r="BW6" s="19"/>
      <c r="BX6" s="19"/>
      <c r="BY6" s="19"/>
      <c r="BZ6" s="19"/>
      <c r="CA6" s="141" t="s">
        <v>3190</v>
      </c>
      <c r="CB6" s="141" t="s">
        <v>3191</v>
      </c>
      <c r="CC6" s="15" t="s">
        <v>3094</v>
      </c>
      <c r="CD6" s="14"/>
      <c r="CE6" s="15" t="s">
        <v>4965</v>
      </c>
      <c r="CF6" s="14"/>
      <c r="CG6" s="15" t="s">
        <v>1377</v>
      </c>
      <c r="CH6" s="14"/>
      <c r="CI6" s="19" t="s">
        <v>4966</v>
      </c>
      <c r="CJ6" s="19"/>
      <c r="CK6" s="19"/>
      <c r="CL6" s="19"/>
      <c r="CM6" s="19"/>
      <c r="CN6" s="19"/>
      <c r="CO6" s="19"/>
      <c r="CP6" s="19"/>
      <c r="CQ6" s="19"/>
      <c r="CR6" s="19"/>
      <c r="CS6" s="19" t="s">
        <v>3251</v>
      </c>
      <c r="CT6" s="19" t="s">
        <v>4967</v>
      </c>
      <c r="CU6" s="295"/>
      <c r="CV6" s="296" t="s">
        <v>4968</v>
      </c>
      <c r="CW6" s="19"/>
      <c r="CX6" s="19"/>
      <c r="CY6" s="41"/>
      <c r="CZ6" s="41"/>
      <c r="DA6" s="41"/>
    </row>
    <row r="7" spans="1:105">
      <c r="A7" s="43"/>
      <c r="B7" s="39"/>
      <c r="C7" s="50"/>
      <c r="D7" s="38"/>
      <c r="E7" s="37"/>
      <c r="F7" s="37"/>
      <c r="G7" s="37"/>
      <c r="H7" s="37"/>
      <c r="I7" s="39"/>
      <c r="J7" s="39"/>
      <c r="K7" s="478"/>
      <c r="L7" s="454"/>
      <c r="M7" s="39"/>
      <c r="N7" s="37"/>
      <c r="O7" s="50"/>
      <c r="P7" s="38"/>
      <c r="Q7" s="37"/>
      <c r="R7" s="37"/>
      <c r="S7" s="37"/>
      <c r="T7" s="50"/>
      <c r="U7" s="37"/>
      <c r="V7" s="195"/>
      <c r="W7" s="39"/>
      <c r="X7" s="39"/>
      <c r="Y7" s="39"/>
      <c r="Z7" s="39"/>
      <c r="AA7" s="39"/>
      <c r="AB7" s="196"/>
      <c r="AC7" s="197"/>
      <c r="AD7" s="196"/>
      <c r="AE7" s="198"/>
      <c r="AF7" s="199"/>
      <c r="AG7" s="194"/>
      <c r="AH7" s="39"/>
      <c r="AI7" s="39"/>
      <c r="AJ7" s="39"/>
      <c r="AK7" s="39"/>
      <c r="AL7" s="39"/>
      <c r="AM7" s="196"/>
      <c r="AN7" s="198"/>
      <c r="AO7" s="199"/>
      <c r="AP7" s="194"/>
      <c r="AQ7" s="39"/>
      <c r="AR7" s="39"/>
      <c r="AS7" s="39"/>
      <c r="AT7" s="39"/>
      <c r="AU7" s="193"/>
      <c r="AV7" s="193"/>
      <c r="AW7" s="193"/>
      <c r="AX7" s="39"/>
      <c r="AY7" s="193"/>
      <c r="AZ7" s="193"/>
      <c r="BA7" s="193"/>
      <c r="BB7" s="193"/>
      <c r="BC7" s="193"/>
      <c r="BD7" s="193"/>
      <c r="BE7" s="193"/>
      <c r="BF7" s="193"/>
      <c r="BG7" s="193"/>
      <c r="BH7" s="193"/>
      <c r="BI7" s="193"/>
      <c r="BJ7" s="193"/>
      <c r="BK7" s="193"/>
      <c r="BL7" s="193"/>
      <c r="BM7" s="193"/>
      <c r="BN7" s="193"/>
      <c r="BO7" s="189"/>
      <c r="BP7" s="193"/>
      <c r="BQ7" s="193"/>
      <c r="BR7" s="193"/>
      <c r="BS7" s="193"/>
      <c r="BT7" s="193"/>
      <c r="BU7" s="193"/>
      <c r="BV7" s="193"/>
      <c r="BW7" s="193"/>
      <c r="BX7" s="193"/>
      <c r="BY7" s="193"/>
      <c r="BZ7" s="193"/>
      <c r="CA7" s="37"/>
      <c r="CB7" s="37"/>
      <c r="CC7" s="39"/>
      <c r="CD7" s="38"/>
      <c r="CE7" s="39"/>
      <c r="CF7" s="38"/>
      <c r="CG7" s="39"/>
      <c r="CH7" s="38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200"/>
      <c r="CV7" s="201"/>
      <c r="CW7" s="40"/>
      <c r="CX7" s="40"/>
    </row>
    <row r="8" spans="1:105" ht="48.6">
      <c r="A8" s="129">
        <v>1</v>
      </c>
      <c r="B8" s="322" t="s">
        <v>4973</v>
      </c>
      <c r="C8" s="328" t="s">
        <v>4974</v>
      </c>
      <c r="D8" s="14" t="s">
        <v>4975</v>
      </c>
      <c r="E8" s="13" t="s">
        <v>4976</v>
      </c>
      <c r="F8" s="13">
        <v>2021</v>
      </c>
      <c r="G8" s="13">
        <v>2021</v>
      </c>
      <c r="H8" s="13">
        <v>6</v>
      </c>
      <c r="I8" s="15" t="s">
        <v>4977</v>
      </c>
      <c r="J8" s="15" t="s">
        <v>5677</v>
      </c>
      <c r="K8" s="362">
        <f t="shared" ref="K8:K27" si="0">L8</f>
        <v>7000000</v>
      </c>
      <c r="L8" s="453">
        <v>7000000</v>
      </c>
      <c r="M8" s="15" t="s">
        <v>3216</v>
      </c>
      <c r="N8" s="13">
        <v>7</v>
      </c>
      <c r="O8" s="15" t="s">
        <v>4978</v>
      </c>
      <c r="P8" s="14" t="s">
        <v>3223</v>
      </c>
      <c r="Q8" s="13" t="s">
        <v>3215</v>
      </c>
      <c r="R8" s="13" t="s">
        <v>3923</v>
      </c>
      <c r="S8" s="13">
        <v>6680698</v>
      </c>
      <c r="T8" s="23" t="s">
        <v>165</v>
      </c>
      <c r="U8" s="16" t="s">
        <v>1002</v>
      </c>
      <c r="V8" s="453">
        <v>7000000</v>
      </c>
      <c r="W8" s="15" t="s">
        <v>164</v>
      </c>
      <c r="X8" s="15"/>
      <c r="Y8" s="15"/>
      <c r="Z8" s="15" t="s">
        <v>3217</v>
      </c>
      <c r="AA8" s="15" t="s">
        <v>3216</v>
      </c>
      <c r="AB8" s="8">
        <v>8140</v>
      </c>
      <c r="AC8" s="187" t="s">
        <v>3291</v>
      </c>
      <c r="AD8" s="8">
        <v>6680628</v>
      </c>
      <c r="AE8" s="10" t="s">
        <v>1007</v>
      </c>
      <c r="AF8" s="6" t="s">
        <v>89</v>
      </c>
      <c r="AG8" s="453">
        <v>7000000</v>
      </c>
      <c r="AH8" s="15" t="s">
        <v>164</v>
      </c>
      <c r="AI8" s="15"/>
      <c r="AJ8" s="15"/>
      <c r="AK8" s="15" t="s">
        <v>3224</v>
      </c>
      <c r="AL8" s="15" t="s">
        <v>3216</v>
      </c>
      <c r="AM8" s="8">
        <v>6680626</v>
      </c>
      <c r="AN8" s="10" t="s">
        <v>1008</v>
      </c>
      <c r="AO8" s="6" t="s">
        <v>38</v>
      </c>
      <c r="AP8" s="453">
        <v>7000000</v>
      </c>
      <c r="AQ8" s="15" t="s">
        <v>171</v>
      </c>
      <c r="AR8" s="15"/>
      <c r="AS8" s="15"/>
      <c r="AT8" s="15" t="s">
        <v>3217</v>
      </c>
      <c r="AU8" s="15" t="s">
        <v>3216</v>
      </c>
      <c r="AV8" s="19"/>
      <c r="AW8" s="19"/>
      <c r="AX8" s="15"/>
      <c r="AY8" s="189"/>
      <c r="AZ8" s="19"/>
      <c r="BA8" s="19"/>
      <c r="BB8" s="19"/>
      <c r="BC8" s="19"/>
      <c r="BD8" s="19"/>
      <c r="BE8" s="19"/>
      <c r="BF8" s="19"/>
      <c r="BG8" s="189"/>
      <c r="BH8" s="19"/>
      <c r="BI8" s="19"/>
      <c r="BJ8" s="19"/>
      <c r="BK8" s="19"/>
      <c r="BL8" s="19"/>
      <c r="BM8" s="19"/>
      <c r="BN8" s="19"/>
      <c r="BO8" s="189"/>
      <c r="BP8" s="19"/>
      <c r="BQ8" s="19"/>
      <c r="BR8" s="19"/>
      <c r="BS8" s="19"/>
      <c r="BT8" s="19"/>
      <c r="BU8" s="19"/>
      <c r="BV8" s="189"/>
      <c r="BW8" s="19"/>
      <c r="BX8" s="19"/>
      <c r="BY8" s="19"/>
      <c r="BZ8" s="19"/>
      <c r="CA8" s="141" t="s">
        <v>3190</v>
      </c>
      <c r="CB8" s="141" t="s">
        <v>3191</v>
      </c>
      <c r="CC8" s="15" t="s">
        <v>4979</v>
      </c>
      <c r="CD8" s="14"/>
      <c r="CE8" s="15" t="s">
        <v>2216</v>
      </c>
      <c r="CF8" s="14"/>
      <c r="CG8" s="15" t="s">
        <v>4980</v>
      </c>
      <c r="CH8" s="14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61" t="s">
        <v>3061</v>
      </c>
      <c r="CT8" s="262" t="s">
        <v>4981</v>
      </c>
      <c r="CU8" s="262" t="s">
        <v>4982</v>
      </c>
      <c r="CV8" s="262" t="s">
        <v>3739</v>
      </c>
      <c r="CW8" s="262" t="s">
        <v>3739</v>
      </c>
      <c r="CX8" s="262" t="s">
        <v>3739</v>
      </c>
    </row>
    <row r="9" spans="1:105" ht="48.6">
      <c r="A9" s="129">
        <v>2</v>
      </c>
      <c r="B9" s="322" t="s">
        <v>4973</v>
      </c>
      <c r="C9" s="322" t="s">
        <v>4984</v>
      </c>
      <c r="D9" s="14" t="s">
        <v>4985</v>
      </c>
      <c r="E9" s="13" t="s">
        <v>4976</v>
      </c>
      <c r="F9" s="13">
        <v>2021</v>
      </c>
      <c r="G9" s="13">
        <v>2021</v>
      </c>
      <c r="H9" s="13">
        <v>6</v>
      </c>
      <c r="I9" s="15" t="s">
        <v>4986</v>
      </c>
      <c r="J9" s="15" t="s">
        <v>5678</v>
      </c>
      <c r="K9" s="362">
        <f t="shared" si="0"/>
        <v>6750000</v>
      </c>
      <c r="L9" s="453">
        <v>6750000</v>
      </c>
      <c r="M9" s="15" t="s">
        <v>3216</v>
      </c>
      <c r="N9" s="13">
        <v>7</v>
      </c>
      <c r="O9" s="15" t="s">
        <v>4978</v>
      </c>
      <c r="P9" s="14" t="s">
        <v>3223</v>
      </c>
      <c r="Q9" s="13" t="s">
        <v>3215</v>
      </c>
      <c r="R9" s="13" t="s">
        <v>3923</v>
      </c>
      <c r="S9" s="13">
        <v>6682237</v>
      </c>
      <c r="T9" s="23" t="s">
        <v>13</v>
      </c>
      <c r="U9" s="16" t="s">
        <v>1736</v>
      </c>
      <c r="V9" s="453">
        <v>6750000</v>
      </c>
      <c r="W9" s="15" t="s">
        <v>160</v>
      </c>
      <c r="X9" s="15"/>
      <c r="Y9" s="15"/>
      <c r="Z9" s="15" t="s">
        <v>3217</v>
      </c>
      <c r="AA9" s="15" t="s">
        <v>3216</v>
      </c>
      <c r="AB9" s="8">
        <v>8140</v>
      </c>
      <c r="AC9" s="187" t="s">
        <v>3291</v>
      </c>
      <c r="AD9" s="13">
        <v>6680618</v>
      </c>
      <c r="AE9" s="16" t="s">
        <v>1737</v>
      </c>
      <c r="AF9" s="15" t="s">
        <v>24</v>
      </c>
      <c r="AG9" s="453">
        <v>6750000</v>
      </c>
      <c r="AH9" s="15" t="s">
        <v>160</v>
      </c>
      <c r="AI9" s="15"/>
      <c r="AJ9" s="15"/>
      <c r="AK9" s="15" t="s">
        <v>3224</v>
      </c>
      <c r="AL9" s="15" t="s">
        <v>3216</v>
      </c>
      <c r="AM9" s="8">
        <v>6681051</v>
      </c>
      <c r="AN9" s="10" t="s">
        <v>1657</v>
      </c>
      <c r="AO9" s="6" t="s">
        <v>6</v>
      </c>
      <c r="AP9" s="453">
        <v>6750000</v>
      </c>
      <c r="AQ9" s="15" t="s">
        <v>160</v>
      </c>
      <c r="AR9" s="15"/>
      <c r="AS9" s="15"/>
      <c r="AT9" s="15" t="s">
        <v>3224</v>
      </c>
      <c r="AU9" s="15" t="s">
        <v>3216</v>
      </c>
      <c r="AV9" s="19"/>
      <c r="AW9" s="19"/>
      <c r="AX9" s="15"/>
      <c r="AY9" s="189"/>
      <c r="AZ9" s="19"/>
      <c r="BA9" s="19"/>
      <c r="BB9" s="19"/>
      <c r="BC9" s="19"/>
      <c r="BD9" s="19"/>
      <c r="BE9" s="19"/>
      <c r="BF9" s="19"/>
      <c r="BG9" s="189"/>
      <c r="BH9" s="19"/>
      <c r="BI9" s="19"/>
      <c r="BJ9" s="19"/>
      <c r="BK9" s="19"/>
      <c r="BL9" s="19"/>
      <c r="BM9" s="19"/>
      <c r="BN9" s="19"/>
      <c r="BO9" s="189"/>
      <c r="BP9" s="19"/>
      <c r="BQ9" s="19"/>
      <c r="BR9" s="19"/>
      <c r="BS9" s="19"/>
      <c r="BT9" s="19"/>
      <c r="BU9" s="19"/>
      <c r="BV9" s="189"/>
      <c r="BW9" s="19"/>
      <c r="BX9" s="19"/>
      <c r="BY9" s="19"/>
      <c r="BZ9" s="19"/>
      <c r="CA9" s="141" t="s">
        <v>3190</v>
      </c>
      <c r="CB9" s="141" t="s">
        <v>3191</v>
      </c>
      <c r="CC9" s="15" t="s">
        <v>4987</v>
      </c>
      <c r="CD9" s="14"/>
      <c r="CE9" s="15" t="s">
        <v>4988</v>
      </c>
      <c r="CF9" s="14"/>
      <c r="CG9" s="15" t="s">
        <v>4989</v>
      </c>
      <c r="CH9" s="14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63" t="s">
        <v>4990</v>
      </c>
      <c r="CT9" s="264" t="s">
        <v>4981</v>
      </c>
      <c r="CU9" s="264" t="s">
        <v>4991</v>
      </c>
      <c r="CV9" s="264" t="s">
        <v>4992</v>
      </c>
      <c r="CW9" s="264" t="s">
        <v>3739</v>
      </c>
      <c r="CX9" s="264" t="s">
        <v>3739</v>
      </c>
    </row>
    <row r="10" spans="1:105" ht="48.6">
      <c r="A10" s="129">
        <v>3</v>
      </c>
      <c r="B10" s="322" t="s">
        <v>4973</v>
      </c>
      <c r="C10" s="322" t="s">
        <v>4994</v>
      </c>
      <c r="D10" s="14" t="s">
        <v>4995</v>
      </c>
      <c r="E10" s="13" t="s">
        <v>4976</v>
      </c>
      <c r="F10" s="13">
        <v>2021</v>
      </c>
      <c r="G10" s="13">
        <v>2021</v>
      </c>
      <c r="H10" s="13">
        <v>6</v>
      </c>
      <c r="I10" s="15" t="s">
        <v>4986</v>
      </c>
      <c r="J10" s="15" t="s">
        <v>5679</v>
      </c>
      <c r="K10" s="362">
        <f t="shared" si="0"/>
        <v>6750000</v>
      </c>
      <c r="L10" s="453">
        <v>6750000</v>
      </c>
      <c r="M10" s="15" t="s">
        <v>3216</v>
      </c>
      <c r="N10" s="13">
        <v>7</v>
      </c>
      <c r="O10" s="15" t="s">
        <v>4978</v>
      </c>
      <c r="P10" s="14" t="s">
        <v>3223</v>
      </c>
      <c r="Q10" s="13" t="s">
        <v>3215</v>
      </c>
      <c r="R10" s="13" t="s">
        <v>3923</v>
      </c>
      <c r="S10" s="13">
        <v>6680618</v>
      </c>
      <c r="T10" s="23" t="s">
        <v>24</v>
      </c>
      <c r="U10" s="16" t="s">
        <v>1737</v>
      </c>
      <c r="V10" s="453">
        <v>6750000</v>
      </c>
      <c r="W10" s="15" t="s">
        <v>160</v>
      </c>
      <c r="X10" s="15"/>
      <c r="Y10" s="15"/>
      <c r="Z10" s="15" t="s">
        <v>3217</v>
      </c>
      <c r="AA10" s="15" t="s">
        <v>3216</v>
      </c>
      <c r="AB10" s="8">
        <v>8140</v>
      </c>
      <c r="AC10" s="187" t="s">
        <v>3291</v>
      </c>
      <c r="AD10" s="8">
        <v>6680643</v>
      </c>
      <c r="AE10" s="10" t="s">
        <v>1017</v>
      </c>
      <c r="AF10" s="15" t="s">
        <v>8</v>
      </c>
      <c r="AG10" s="453">
        <v>6750000</v>
      </c>
      <c r="AH10" s="15" t="s">
        <v>172</v>
      </c>
      <c r="AI10" s="15" t="s">
        <v>160</v>
      </c>
      <c r="AJ10" s="15"/>
      <c r="AK10" s="15" t="s">
        <v>3217</v>
      </c>
      <c r="AL10" s="15" t="s">
        <v>3216</v>
      </c>
      <c r="AM10" s="8">
        <v>6658545</v>
      </c>
      <c r="AN10" s="10" t="s">
        <v>984</v>
      </c>
      <c r="AO10" s="6" t="s">
        <v>40</v>
      </c>
      <c r="AP10" s="453">
        <v>6750000</v>
      </c>
      <c r="AQ10" s="15" t="s">
        <v>160</v>
      </c>
      <c r="AR10" s="15"/>
      <c r="AS10" s="15"/>
      <c r="AT10" s="15" t="s">
        <v>3224</v>
      </c>
      <c r="AU10" s="15" t="s">
        <v>3216</v>
      </c>
      <c r="AV10" s="19"/>
      <c r="AW10" s="19"/>
      <c r="AX10" s="15"/>
      <c r="AY10" s="189"/>
      <c r="AZ10" s="19"/>
      <c r="BA10" s="19"/>
      <c r="BB10" s="19"/>
      <c r="BC10" s="19"/>
      <c r="BD10" s="19"/>
      <c r="BE10" s="19"/>
      <c r="BF10" s="15"/>
      <c r="BG10" s="189"/>
      <c r="BH10" s="19"/>
      <c r="BI10" s="19"/>
      <c r="BJ10" s="19"/>
      <c r="BK10" s="19"/>
      <c r="BL10" s="19"/>
      <c r="BM10" s="19"/>
      <c r="BN10" s="19"/>
      <c r="BO10" s="189"/>
      <c r="BP10" s="19"/>
      <c r="BQ10" s="19"/>
      <c r="BR10" s="19"/>
      <c r="BS10" s="19"/>
      <c r="BT10" s="19"/>
      <c r="BU10" s="19"/>
      <c r="BV10" s="189"/>
      <c r="BW10" s="19"/>
      <c r="BX10" s="19"/>
      <c r="BY10" s="19"/>
      <c r="BZ10" s="19"/>
      <c r="CA10" s="141" t="s">
        <v>3190</v>
      </c>
      <c r="CB10" s="141" t="s">
        <v>3191</v>
      </c>
      <c r="CC10" s="15" t="s">
        <v>4996</v>
      </c>
      <c r="CD10" s="14"/>
      <c r="CE10" s="15" t="s">
        <v>4997</v>
      </c>
      <c r="CF10" s="14"/>
      <c r="CG10" s="15"/>
      <c r="CH10" s="14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63" t="s">
        <v>3061</v>
      </c>
      <c r="CT10" s="264" t="s">
        <v>4998</v>
      </c>
      <c r="CU10" s="264" t="s">
        <v>4991</v>
      </c>
      <c r="CV10" s="264" t="s">
        <v>3739</v>
      </c>
      <c r="CW10" s="264" t="s">
        <v>3739</v>
      </c>
      <c r="CX10" s="264" t="s">
        <v>3739</v>
      </c>
    </row>
    <row r="11" spans="1:105" ht="72.599999999999994">
      <c r="A11" s="129">
        <v>4</v>
      </c>
      <c r="B11" s="322" t="s">
        <v>4973</v>
      </c>
      <c r="C11" s="322" t="s">
        <v>4999</v>
      </c>
      <c r="D11" s="14" t="s">
        <v>5000</v>
      </c>
      <c r="E11" s="13" t="s">
        <v>4976</v>
      </c>
      <c r="F11" s="13">
        <v>2021</v>
      </c>
      <c r="G11" s="13">
        <v>2021</v>
      </c>
      <c r="H11" s="13">
        <v>6</v>
      </c>
      <c r="I11" s="15" t="s">
        <v>4977</v>
      </c>
      <c r="J11" s="15" t="s">
        <v>5680</v>
      </c>
      <c r="K11" s="362">
        <f t="shared" si="0"/>
        <v>6750000</v>
      </c>
      <c r="L11" s="453">
        <v>6750000</v>
      </c>
      <c r="M11" s="15" t="s">
        <v>3216</v>
      </c>
      <c r="N11" s="13">
        <v>7</v>
      </c>
      <c r="O11" s="15" t="s">
        <v>4978</v>
      </c>
      <c r="P11" s="14" t="s">
        <v>3223</v>
      </c>
      <c r="Q11" s="13" t="s">
        <v>3215</v>
      </c>
      <c r="R11" s="13" t="s">
        <v>3923</v>
      </c>
      <c r="S11" s="13">
        <v>6680687</v>
      </c>
      <c r="T11" s="23" t="s">
        <v>29</v>
      </c>
      <c r="U11" s="16">
        <v>702048705</v>
      </c>
      <c r="V11" s="453">
        <v>6750000</v>
      </c>
      <c r="W11" s="15" t="s">
        <v>160</v>
      </c>
      <c r="X11" s="15"/>
      <c r="Y11" s="15"/>
      <c r="Z11" s="15" t="s">
        <v>3217</v>
      </c>
      <c r="AA11" s="15" t="s">
        <v>3216</v>
      </c>
      <c r="AB11" s="8">
        <v>8140</v>
      </c>
      <c r="AC11" s="187" t="s">
        <v>3291</v>
      </c>
      <c r="AD11" s="202">
        <v>6680726</v>
      </c>
      <c r="AE11" s="15">
        <v>719069101</v>
      </c>
      <c r="AF11" s="15" t="s">
        <v>93</v>
      </c>
      <c r="AG11" s="453">
        <v>6750000</v>
      </c>
      <c r="AH11" s="15" t="s">
        <v>156</v>
      </c>
      <c r="AI11" s="15"/>
      <c r="AJ11" s="15"/>
      <c r="AK11" s="15" t="s">
        <v>3217</v>
      </c>
      <c r="AL11" s="15" t="s">
        <v>3216</v>
      </c>
      <c r="AM11" s="15">
        <v>6778837</v>
      </c>
      <c r="AN11" s="15">
        <v>711039403</v>
      </c>
      <c r="AO11" s="15" t="s">
        <v>71</v>
      </c>
      <c r="AP11" s="453">
        <v>6750000</v>
      </c>
      <c r="AQ11" s="15" t="s">
        <v>171</v>
      </c>
      <c r="AR11" s="15"/>
      <c r="AS11" s="15"/>
      <c r="AT11" s="15" t="s">
        <v>3217</v>
      </c>
      <c r="AU11" s="15" t="s">
        <v>3216</v>
      </c>
      <c r="AV11" s="19"/>
      <c r="AW11" s="19"/>
      <c r="AX11" s="15"/>
      <c r="AY11" s="189"/>
      <c r="AZ11" s="19"/>
      <c r="BA11" s="19"/>
      <c r="BB11" s="19"/>
      <c r="BC11" s="19"/>
      <c r="BD11" s="19"/>
      <c r="BE11" s="19"/>
      <c r="BF11" s="15"/>
      <c r="BG11" s="189"/>
      <c r="BH11" s="19"/>
      <c r="BI11" s="19"/>
      <c r="BJ11" s="19"/>
      <c r="BK11" s="19"/>
      <c r="BL11" s="19"/>
      <c r="BM11" s="19"/>
      <c r="BN11" s="19"/>
      <c r="BO11" s="189"/>
      <c r="BP11" s="19"/>
      <c r="BQ11" s="19"/>
      <c r="BR11" s="19"/>
      <c r="BS11" s="19"/>
      <c r="BT11" s="19"/>
      <c r="BU11" s="19"/>
      <c r="BV11" s="189"/>
      <c r="BW11" s="19"/>
      <c r="BX11" s="19"/>
      <c r="BY11" s="19"/>
      <c r="BZ11" s="19"/>
      <c r="CA11" s="141" t="s">
        <v>3190</v>
      </c>
      <c r="CB11" s="141" t="s">
        <v>3191</v>
      </c>
      <c r="CC11" s="15" t="s">
        <v>2892</v>
      </c>
      <c r="CD11" s="14" t="s">
        <v>3589</v>
      </c>
      <c r="CE11" s="15" t="s">
        <v>5001</v>
      </c>
      <c r="CF11" s="14"/>
      <c r="CG11" s="15" t="s">
        <v>619</v>
      </c>
      <c r="CH11" s="14" t="s">
        <v>3737</v>
      </c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63" t="s">
        <v>5002</v>
      </c>
      <c r="CT11" s="264" t="s">
        <v>4981</v>
      </c>
      <c r="CU11" s="264" t="s">
        <v>5003</v>
      </c>
      <c r="CV11" s="264" t="s">
        <v>5004</v>
      </c>
      <c r="CW11" s="264" t="s">
        <v>3739</v>
      </c>
      <c r="CX11" s="264" t="s">
        <v>3739</v>
      </c>
    </row>
    <row r="12" spans="1:105" ht="72.599999999999994">
      <c r="A12" s="129">
        <v>5</v>
      </c>
      <c r="B12" s="322" t="s">
        <v>4973</v>
      </c>
      <c r="C12" s="322" t="s">
        <v>5005</v>
      </c>
      <c r="D12" s="14" t="s">
        <v>5006</v>
      </c>
      <c r="E12" s="13" t="s">
        <v>4976</v>
      </c>
      <c r="F12" s="13">
        <v>2021</v>
      </c>
      <c r="G12" s="13">
        <v>2021</v>
      </c>
      <c r="H12" s="13">
        <v>6</v>
      </c>
      <c r="I12" s="15" t="s">
        <v>4977</v>
      </c>
      <c r="J12" s="15" t="s">
        <v>5681</v>
      </c>
      <c r="K12" s="362">
        <f t="shared" si="0"/>
        <v>6900000</v>
      </c>
      <c r="L12" s="453">
        <v>6900000</v>
      </c>
      <c r="M12" s="15" t="s">
        <v>3216</v>
      </c>
      <c r="N12" s="13">
        <v>7</v>
      </c>
      <c r="O12" s="15" t="s">
        <v>4978</v>
      </c>
      <c r="P12" s="14" t="s">
        <v>3223</v>
      </c>
      <c r="Q12" s="13" t="s">
        <v>3215</v>
      </c>
      <c r="R12" s="13" t="s">
        <v>3923</v>
      </c>
      <c r="S12" s="13">
        <v>258471</v>
      </c>
      <c r="T12" s="23" t="s">
        <v>60</v>
      </c>
      <c r="U12" s="16" t="s">
        <v>3504</v>
      </c>
      <c r="V12" s="453">
        <v>6900000</v>
      </c>
      <c r="W12" s="15" t="s">
        <v>155</v>
      </c>
      <c r="X12" s="15"/>
      <c r="Y12" s="15"/>
      <c r="Z12" s="15" t="s">
        <v>3224</v>
      </c>
      <c r="AA12" s="15" t="s">
        <v>3216</v>
      </c>
      <c r="AB12" s="8">
        <v>8140</v>
      </c>
      <c r="AC12" s="187" t="s">
        <v>3291</v>
      </c>
      <c r="AD12" s="8">
        <v>6680685</v>
      </c>
      <c r="AE12" s="203" t="s">
        <v>944</v>
      </c>
      <c r="AF12" s="6" t="s">
        <v>21</v>
      </c>
      <c r="AG12" s="453">
        <v>6900000</v>
      </c>
      <c r="AH12" s="15" t="s">
        <v>155</v>
      </c>
      <c r="AI12" s="15"/>
      <c r="AJ12" s="15"/>
      <c r="AK12" s="15" t="s">
        <v>3224</v>
      </c>
      <c r="AL12" s="15" t="s">
        <v>3216</v>
      </c>
      <c r="AM12" s="202">
        <v>6853203</v>
      </c>
      <c r="AN12" s="204" t="s">
        <v>3905</v>
      </c>
      <c r="AO12" s="15" t="s">
        <v>191</v>
      </c>
      <c r="AP12" s="453">
        <v>6900000</v>
      </c>
      <c r="AQ12" s="15" t="s">
        <v>155</v>
      </c>
      <c r="AR12" s="15"/>
      <c r="AS12" s="15"/>
      <c r="AT12" s="15" t="s">
        <v>3224</v>
      </c>
      <c r="AU12" s="15" t="s">
        <v>3216</v>
      </c>
      <c r="AV12" s="19"/>
      <c r="AW12" s="19"/>
      <c r="AX12" s="15"/>
      <c r="AY12" s="189"/>
      <c r="AZ12" s="19"/>
      <c r="BA12" s="19"/>
      <c r="BB12" s="19"/>
      <c r="BC12" s="19"/>
      <c r="BD12" s="19"/>
      <c r="BE12" s="19"/>
      <c r="BF12" s="15"/>
      <c r="BG12" s="189"/>
      <c r="BH12" s="19"/>
      <c r="BI12" s="19"/>
      <c r="BJ12" s="19"/>
      <c r="BK12" s="19"/>
      <c r="BL12" s="19"/>
      <c r="BM12" s="19"/>
      <c r="BN12" s="19"/>
      <c r="BO12" s="189"/>
      <c r="BP12" s="19"/>
      <c r="BQ12" s="19"/>
      <c r="BR12" s="19"/>
      <c r="BS12" s="19"/>
      <c r="BT12" s="19"/>
      <c r="BU12" s="19"/>
      <c r="BV12" s="189"/>
      <c r="BW12" s="19"/>
      <c r="BX12" s="19"/>
      <c r="BY12" s="19"/>
      <c r="BZ12" s="19"/>
      <c r="CA12" s="141" t="s">
        <v>3190</v>
      </c>
      <c r="CB12" s="141" t="s">
        <v>3191</v>
      </c>
      <c r="CC12" s="15" t="s">
        <v>3121</v>
      </c>
      <c r="CD12" s="14"/>
      <c r="CE12" s="15" t="s">
        <v>5007</v>
      </c>
      <c r="CF12" s="14"/>
      <c r="CG12" s="15" t="s">
        <v>5008</v>
      </c>
      <c r="CH12" s="14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63" t="s">
        <v>3251</v>
      </c>
      <c r="CT12" s="264" t="s">
        <v>4981</v>
      </c>
      <c r="CU12" s="264" t="s">
        <v>5009</v>
      </c>
      <c r="CV12" s="264" t="s">
        <v>5010</v>
      </c>
      <c r="CW12" s="264" t="s">
        <v>3739</v>
      </c>
      <c r="CX12" s="264" t="s">
        <v>3739</v>
      </c>
    </row>
    <row r="13" spans="1:105" ht="48.6">
      <c r="A13" s="129">
        <v>6</v>
      </c>
      <c r="B13" s="322" t="s">
        <v>4973</v>
      </c>
      <c r="C13" s="322" t="s">
        <v>5011</v>
      </c>
      <c r="D13" s="14" t="s">
        <v>5012</v>
      </c>
      <c r="E13" s="13" t="s">
        <v>4976</v>
      </c>
      <c r="F13" s="13">
        <v>2021</v>
      </c>
      <c r="G13" s="13">
        <v>2021</v>
      </c>
      <c r="H13" s="13">
        <v>6</v>
      </c>
      <c r="I13" s="15" t="s">
        <v>4977</v>
      </c>
      <c r="J13" s="15" t="s">
        <v>5682</v>
      </c>
      <c r="K13" s="362">
        <f t="shared" si="0"/>
        <v>6900000</v>
      </c>
      <c r="L13" s="453">
        <v>6900000</v>
      </c>
      <c r="M13" s="15" t="s">
        <v>3216</v>
      </c>
      <c r="N13" s="13">
        <v>7</v>
      </c>
      <c r="O13" s="15" t="s">
        <v>4978</v>
      </c>
      <c r="P13" s="14" t="s">
        <v>3223</v>
      </c>
      <c r="Q13" s="13" t="s">
        <v>3215</v>
      </c>
      <c r="R13" s="13" t="s">
        <v>3923</v>
      </c>
      <c r="S13" s="13">
        <v>6680625</v>
      </c>
      <c r="T13" s="23" t="s">
        <v>23</v>
      </c>
      <c r="U13" s="16" t="s">
        <v>1782</v>
      </c>
      <c r="V13" s="453">
        <v>6900000</v>
      </c>
      <c r="W13" s="15" t="s">
        <v>154</v>
      </c>
      <c r="X13" s="15"/>
      <c r="Y13" s="15"/>
      <c r="Z13" s="15" t="s">
        <v>3224</v>
      </c>
      <c r="AA13" s="15" t="s">
        <v>3216</v>
      </c>
      <c r="AB13" s="8">
        <v>8140</v>
      </c>
      <c r="AC13" s="187" t="s">
        <v>3291</v>
      </c>
      <c r="AD13" s="6">
        <v>6680645</v>
      </c>
      <c r="AE13" s="6" t="s">
        <v>2849</v>
      </c>
      <c r="AF13" s="6" t="s">
        <v>83</v>
      </c>
      <c r="AG13" s="453">
        <v>6900000</v>
      </c>
      <c r="AH13" s="15" t="s">
        <v>154</v>
      </c>
      <c r="AI13" s="15"/>
      <c r="AJ13" s="15"/>
      <c r="AK13" s="15" t="s">
        <v>3224</v>
      </c>
      <c r="AL13" s="15" t="s">
        <v>3216</v>
      </c>
      <c r="AM13" s="205">
        <v>6680741</v>
      </c>
      <c r="AN13" s="190" t="s">
        <v>1838</v>
      </c>
      <c r="AO13" s="6" t="s">
        <v>16</v>
      </c>
      <c r="AP13" s="453">
        <v>6900000</v>
      </c>
      <c r="AQ13" s="15" t="s">
        <v>154</v>
      </c>
      <c r="AR13" s="15"/>
      <c r="AS13" s="15"/>
      <c r="AT13" s="15" t="s">
        <v>3224</v>
      </c>
      <c r="AU13" s="15" t="s">
        <v>3216</v>
      </c>
      <c r="AV13" s="19"/>
      <c r="AW13" s="19"/>
      <c r="AX13" s="15"/>
      <c r="AY13" s="189"/>
      <c r="AZ13" s="19"/>
      <c r="BA13" s="19"/>
      <c r="BB13" s="19"/>
      <c r="BC13" s="19"/>
      <c r="BD13" s="19"/>
      <c r="BE13" s="19"/>
      <c r="BF13" s="15"/>
      <c r="BG13" s="189"/>
      <c r="BH13" s="19"/>
      <c r="BI13" s="19"/>
      <c r="BJ13" s="19"/>
      <c r="BK13" s="19"/>
      <c r="BL13" s="19"/>
      <c r="BM13" s="19"/>
      <c r="BN13" s="19"/>
      <c r="BO13" s="189"/>
      <c r="BP13" s="19"/>
      <c r="BQ13" s="19"/>
      <c r="BR13" s="19"/>
      <c r="BS13" s="19"/>
      <c r="BT13" s="19"/>
      <c r="BU13" s="19"/>
      <c r="BV13" s="189"/>
      <c r="BW13" s="19"/>
      <c r="BX13" s="19"/>
      <c r="BY13" s="19"/>
      <c r="BZ13" s="19"/>
      <c r="CA13" s="141" t="s">
        <v>3190</v>
      </c>
      <c r="CB13" s="141" t="s">
        <v>3191</v>
      </c>
      <c r="CC13" s="15" t="s">
        <v>5013</v>
      </c>
      <c r="CD13" s="14"/>
      <c r="CE13" s="15" t="s">
        <v>3065</v>
      </c>
      <c r="CF13" s="14"/>
      <c r="CG13" s="15" t="s">
        <v>5014</v>
      </c>
      <c r="CH13" s="14"/>
      <c r="CI13" s="20" t="s">
        <v>5015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263" t="s">
        <v>3061</v>
      </c>
      <c r="CT13" s="264" t="s">
        <v>4981</v>
      </c>
      <c r="CU13" s="264" t="s">
        <v>4991</v>
      </c>
      <c r="CV13" s="264" t="s">
        <v>3739</v>
      </c>
      <c r="CW13" s="264" t="s">
        <v>3739</v>
      </c>
      <c r="CX13" s="264" t="s">
        <v>3739</v>
      </c>
    </row>
    <row r="14" spans="1:105" ht="48.6">
      <c r="A14" s="129">
        <v>7</v>
      </c>
      <c r="B14" s="322" t="s">
        <v>4973</v>
      </c>
      <c r="C14" s="322" t="s">
        <v>5016</v>
      </c>
      <c r="D14" s="14" t="s">
        <v>5017</v>
      </c>
      <c r="E14" s="13" t="s">
        <v>4976</v>
      </c>
      <c r="F14" s="13">
        <v>2021</v>
      </c>
      <c r="G14" s="13">
        <v>2021</v>
      </c>
      <c r="H14" s="13">
        <v>6</v>
      </c>
      <c r="I14" s="15" t="s">
        <v>4977</v>
      </c>
      <c r="J14" s="15" t="s">
        <v>5683</v>
      </c>
      <c r="K14" s="362">
        <f t="shared" si="0"/>
        <v>6749500</v>
      </c>
      <c r="L14" s="453">
        <v>6749500</v>
      </c>
      <c r="M14" s="15" t="s">
        <v>3216</v>
      </c>
      <c r="N14" s="13">
        <v>7</v>
      </c>
      <c r="O14" s="15" t="s">
        <v>4978</v>
      </c>
      <c r="P14" s="14" t="s">
        <v>3223</v>
      </c>
      <c r="Q14" s="13" t="s">
        <v>3215</v>
      </c>
      <c r="R14" s="13" t="s">
        <v>3923</v>
      </c>
      <c r="S14" s="13">
        <v>6680623</v>
      </c>
      <c r="T14" s="23" t="s">
        <v>30</v>
      </c>
      <c r="U14" s="16" t="s">
        <v>1841</v>
      </c>
      <c r="V14" s="453">
        <v>6749500</v>
      </c>
      <c r="W14" s="15" t="s">
        <v>166</v>
      </c>
      <c r="X14" s="15"/>
      <c r="Y14" s="15"/>
      <c r="Z14" s="15" t="s">
        <v>3217</v>
      </c>
      <c r="AA14" s="15" t="s">
        <v>3216</v>
      </c>
      <c r="AB14" s="8">
        <v>8140</v>
      </c>
      <c r="AC14" s="187" t="s">
        <v>3291</v>
      </c>
      <c r="AD14" s="8">
        <v>6680648</v>
      </c>
      <c r="AE14" s="6" t="s">
        <v>1036</v>
      </c>
      <c r="AF14" s="6" t="s">
        <v>17</v>
      </c>
      <c r="AG14" s="453">
        <v>6749500</v>
      </c>
      <c r="AH14" s="15" t="s">
        <v>166</v>
      </c>
      <c r="AI14" s="15"/>
      <c r="AJ14" s="15"/>
      <c r="AK14" s="15" t="s">
        <v>3217</v>
      </c>
      <c r="AL14" s="15" t="s">
        <v>3216</v>
      </c>
      <c r="AM14" s="13">
        <v>6665306</v>
      </c>
      <c r="AN14" s="16" t="s">
        <v>1727</v>
      </c>
      <c r="AO14" s="15" t="s">
        <v>28</v>
      </c>
      <c r="AP14" s="453">
        <v>6749500</v>
      </c>
      <c r="AQ14" s="15" t="s">
        <v>166</v>
      </c>
      <c r="AR14" s="15"/>
      <c r="AS14" s="15"/>
      <c r="AT14" s="15" t="s">
        <v>3217</v>
      </c>
      <c r="AU14" s="15" t="s">
        <v>3216</v>
      </c>
      <c r="AV14" s="19"/>
      <c r="AW14" s="19"/>
      <c r="AX14" s="15"/>
      <c r="AY14" s="189"/>
      <c r="AZ14" s="19"/>
      <c r="BA14" s="19"/>
      <c r="BB14" s="19"/>
      <c r="BC14" s="19"/>
      <c r="BD14" s="19"/>
      <c r="BE14" s="19"/>
      <c r="BF14" s="15"/>
      <c r="BG14" s="189"/>
      <c r="BH14" s="19"/>
      <c r="BI14" s="19"/>
      <c r="BJ14" s="19"/>
      <c r="BK14" s="19"/>
      <c r="BL14" s="19"/>
      <c r="BM14" s="19"/>
      <c r="BN14" s="19"/>
      <c r="BO14" s="189"/>
      <c r="BP14" s="19"/>
      <c r="BQ14" s="19"/>
      <c r="BR14" s="19"/>
      <c r="BS14" s="19"/>
      <c r="BT14" s="19"/>
      <c r="BU14" s="19"/>
      <c r="BV14" s="189"/>
      <c r="BW14" s="19"/>
      <c r="BX14" s="19"/>
      <c r="BY14" s="19"/>
      <c r="BZ14" s="19"/>
      <c r="CA14" s="141" t="s">
        <v>3190</v>
      </c>
      <c r="CB14" s="141" t="s">
        <v>3191</v>
      </c>
      <c r="CC14" s="15" t="s">
        <v>5018</v>
      </c>
      <c r="CD14" s="14"/>
      <c r="CE14" s="15" t="s">
        <v>441</v>
      </c>
      <c r="CF14" s="14"/>
      <c r="CG14" s="15" t="s">
        <v>3237</v>
      </c>
      <c r="CH14" s="14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63" t="s">
        <v>4990</v>
      </c>
      <c r="CT14" s="264" t="s">
        <v>4981</v>
      </c>
      <c r="CU14" s="264" t="s">
        <v>5009</v>
      </c>
      <c r="CV14" s="264" t="s">
        <v>3739</v>
      </c>
      <c r="CW14" s="264" t="s">
        <v>3739</v>
      </c>
      <c r="CX14" s="264" t="s">
        <v>3739</v>
      </c>
    </row>
    <row r="15" spans="1:105" ht="48.6">
      <c r="A15" s="129">
        <v>8</v>
      </c>
      <c r="B15" s="322" t="s">
        <v>4973</v>
      </c>
      <c r="C15" s="322" t="s">
        <v>5019</v>
      </c>
      <c r="D15" s="14" t="s">
        <v>5020</v>
      </c>
      <c r="E15" s="13" t="s">
        <v>4976</v>
      </c>
      <c r="F15" s="13">
        <v>2021</v>
      </c>
      <c r="G15" s="13">
        <v>2021</v>
      </c>
      <c r="H15" s="13">
        <v>6</v>
      </c>
      <c r="I15" s="15" t="s">
        <v>4986</v>
      </c>
      <c r="J15" s="15" t="s">
        <v>5684</v>
      </c>
      <c r="K15" s="362">
        <f t="shared" si="0"/>
        <v>3400000</v>
      </c>
      <c r="L15" s="453">
        <v>3400000</v>
      </c>
      <c r="M15" s="15" t="s">
        <v>3216</v>
      </c>
      <c r="N15" s="13">
        <v>7</v>
      </c>
      <c r="O15" s="15" t="s">
        <v>4978</v>
      </c>
      <c r="P15" s="14" t="s">
        <v>3223</v>
      </c>
      <c r="Q15" s="13" t="s">
        <v>3215</v>
      </c>
      <c r="R15" s="13" t="s">
        <v>3923</v>
      </c>
      <c r="S15" s="13">
        <v>6681032</v>
      </c>
      <c r="T15" s="23" t="s">
        <v>76</v>
      </c>
      <c r="U15" s="16" t="s">
        <v>3423</v>
      </c>
      <c r="V15" s="453">
        <v>3400000</v>
      </c>
      <c r="W15" s="15" t="s">
        <v>166</v>
      </c>
      <c r="X15" s="15"/>
      <c r="Y15" s="15"/>
      <c r="Z15" s="15" t="s">
        <v>3217</v>
      </c>
      <c r="AA15" s="15" t="s">
        <v>3216</v>
      </c>
      <c r="AB15" s="8">
        <v>8140</v>
      </c>
      <c r="AC15" s="187" t="s">
        <v>3291</v>
      </c>
      <c r="AD15" s="13">
        <v>6764236</v>
      </c>
      <c r="AE15" s="16" t="s">
        <v>1684</v>
      </c>
      <c r="AF15" s="15" t="s">
        <v>25</v>
      </c>
      <c r="AG15" s="453">
        <v>3400000</v>
      </c>
      <c r="AH15" s="15" t="s">
        <v>166</v>
      </c>
      <c r="AI15" s="15"/>
      <c r="AJ15" s="15"/>
      <c r="AK15" s="15" t="s">
        <v>3217</v>
      </c>
      <c r="AL15" s="15" t="s">
        <v>3216</v>
      </c>
      <c r="AM15" s="202"/>
      <c r="AN15" s="204"/>
      <c r="AO15" s="15"/>
      <c r="AP15" s="453"/>
      <c r="AQ15" s="15"/>
      <c r="AR15" s="15"/>
      <c r="AS15" s="15"/>
      <c r="AT15" s="15"/>
      <c r="AU15" s="19"/>
      <c r="AV15" s="19"/>
      <c r="AW15" s="19"/>
      <c r="AX15" s="15"/>
      <c r="AY15" s="189"/>
      <c r="AZ15" s="19"/>
      <c r="BA15" s="19"/>
      <c r="BB15" s="19"/>
      <c r="BC15" s="19"/>
      <c r="BD15" s="19"/>
      <c r="BE15" s="19"/>
      <c r="BF15" s="15"/>
      <c r="BG15" s="189"/>
      <c r="BH15" s="19"/>
      <c r="BI15" s="19"/>
      <c r="BJ15" s="19"/>
      <c r="BK15" s="19"/>
      <c r="BL15" s="19"/>
      <c r="BM15" s="19"/>
      <c r="BN15" s="19"/>
      <c r="BO15" s="189"/>
      <c r="BP15" s="19"/>
      <c r="BQ15" s="19"/>
      <c r="BR15" s="19"/>
      <c r="BS15" s="19"/>
      <c r="BT15" s="19"/>
      <c r="BU15" s="19"/>
      <c r="BV15" s="189"/>
      <c r="BW15" s="19"/>
      <c r="BX15" s="19"/>
      <c r="BY15" s="19"/>
      <c r="BZ15" s="19"/>
      <c r="CA15" s="141" t="s">
        <v>3190</v>
      </c>
      <c r="CB15" s="141" t="s">
        <v>3191</v>
      </c>
      <c r="CC15" s="15" t="s">
        <v>442</v>
      </c>
      <c r="CD15" s="14"/>
      <c r="CE15" s="15" t="s">
        <v>740</v>
      </c>
      <c r="CF15" s="14"/>
      <c r="CG15" s="15" t="s">
        <v>3042</v>
      </c>
      <c r="CH15" s="14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63" t="s">
        <v>4990</v>
      </c>
      <c r="CT15" s="264" t="s">
        <v>4981</v>
      </c>
      <c r="CU15" s="264" t="s">
        <v>4991</v>
      </c>
      <c r="CV15" s="264" t="s">
        <v>5021</v>
      </c>
      <c r="CW15" s="264" t="s">
        <v>5022</v>
      </c>
      <c r="CX15" s="264" t="s">
        <v>3739</v>
      </c>
    </row>
    <row r="16" spans="1:105" ht="48.6">
      <c r="A16" s="129">
        <v>9</v>
      </c>
      <c r="B16" s="322" t="s">
        <v>4973</v>
      </c>
      <c r="C16" s="322" t="s">
        <v>5023</v>
      </c>
      <c r="D16" s="14" t="s">
        <v>5024</v>
      </c>
      <c r="E16" s="13" t="s">
        <v>4976</v>
      </c>
      <c r="F16" s="13">
        <v>2021</v>
      </c>
      <c r="G16" s="13">
        <v>2021</v>
      </c>
      <c r="H16" s="13">
        <v>6</v>
      </c>
      <c r="I16" s="15" t="s">
        <v>4977</v>
      </c>
      <c r="J16" s="15" t="s">
        <v>5685</v>
      </c>
      <c r="K16" s="362">
        <f t="shared" si="0"/>
        <v>6950000</v>
      </c>
      <c r="L16" s="453">
        <v>6950000</v>
      </c>
      <c r="M16" s="15" t="s">
        <v>3216</v>
      </c>
      <c r="N16" s="13">
        <v>7</v>
      </c>
      <c r="O16" s="15" t="s">
        <v>4978</v>
      </c>
      <c r="P16" s="14" t="s">
        <v>3223</v>
      </c>
      <c r="Q16" s="13" t="s">
        <v>3215</v>
      </c>
      <c r="R16" s="13" t="s">
        <v>3923</v>
      </c>
      <c r="S16" s="13">
        <v>6764236</v>
      </c>
      <c r="T16" s="23" t="s">
        <v>25</v>
      </c>
      <c r="U16" s="16" t="s">
        <v>1684</v>
      </c>
      <c r="V16" s="453">
        <v>6950000</v>
      </c>
      <c r="W16" s="15" t="s">
        <v>166</v>
      </c>
      <c r="X16" s="15"/>
      <c r="Y16" s="15"/>
      <c r="Z16" s="15" t="s">
        <v>3217</v>
      </c>
      <c r="AA16" s="15" t="s">
        <v>3216</v>
      </c>
      <c r="AB16" s="8">
        <v>8140</v>
      </c>
      <c r="AC16" s="187" t="s">
        <v>3291</v>
      </c>
      <c r="AD16" s="13">
        <v>6681032</v>
      </c>
      <c r="AE16" s="16" t="s">
        <v>3423</v>
      </c>
      <c r="AF16" s="15" t="s">
        <v>76</v>
      </c>
      <c r="AG16" s="453">
        <v>6950000</v>
      </c>
      <c r="AH16" s="15" t="s">
        <v>166</v>
      </c>
      <c r="AI16" s="15"/>
      <c r="AJ16" s="15"/>
      <c r="AK16" s="15" t="s">
        <v>3217</v>
      </c>
      <c r="AL16" s="15" t="s">
        <v>3216</v>
      </c>
      <c r="AM16" s="202"/>
      <c r="AN16" s="204"/>
      <c r="AO16" s="15"/>
      <c r="AP16" s="453"/>
      <c r="AQ16" s="15"/>
      <c r="AR16" s="15"/>
      <c r="AS16" s="15"/>
      <c r="AT16" s="15"/>
      <c r="AU16" s="19"/>
      <c r="AV16" s="19"/>
      <c r="AW16" s="19"/>
      <c r="AX16" s="15"/>
      <c r="AY16" s="189"/>
      <c r="AZ16" s="19"/>
      <c r="BA16" s="19"/>
      <c r="BB16" s="19"/>
      <c r="BC16" s="19"/>
      <c r="BD16" s="19"/>
      <c r="BE16" s="19"/>
      <c r="BF16" s="15"/>
      <c r="BG16" s="189"/>
      <c r="BH16" s="19"/>
      <c r="BI16" s="19"/>
      <c r="BJ16" s="19"/>
      <c r="BK16" s="19"/>
      <c r="BL16" s="19"/>
      <c r="BM16" s="19"/>
      <c r="BN16" s="19"/>
      <c r="BO16" s="189"/>
      <c r="BP16" s="19"/>
      <c r="BQ16" s="19"/>
      <c r="BR16" s="19"/>
      <c r="BS16" s="19"/>
      <c r="BT16" s="19"/>
      <c r="BU16" s="19"/>
      <c r="BV16" s="189"/>
      <c r="BW16" s="19"/>
      <c r="BX16" s="19"/>
      <c r="BY16" s="19"/>
      <c r="BZ16" s="19"/>
      <c r="CA16" s="141" t="s">
        <v>3190</v>
      </c>
      <c r="CB16" s="141" t="s">
        <v>3191</v>
      </c>
      <c r="CC16" s="15" t="s">
        <v>5025</v>
      </c>
      <c r="CD16" s="14"/>
      <c r="CE16" s="15" t="s">
        <v>5026</v>
      </c>
      <c r="CF16" s="14"/>
      <c r="CG16" s="15" t="s">
        <v>5027</v>
      </c>
      <c r="CH16" s="14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63" t="s">
        <v>3251</v>
      </c>
      <c r="CT16" s="264" t="s">
        <v>4998</v>
      </c>
      <c r="CU16" s="264" t="s">
        <v>4991</v>
      </c>
      <c r="CV16" s="264" t="s">
        <v>5028</v>
      </c>
      <c r="CW16" s="264" t="s">
        <v>3739</v>
      </c>
      <c r="CX16" s="264" t="s">
        <v>3739</v>
      </c>
    </row>
    <row r="17" spans="1:105" ht="108.6">
      <c r="A17" s="129">
        <v>10</v>
      </c>
      <c r="B17" s="322" t="s">
        <v>4973</v>
      </c>
      <c r="C17" s="322" t="s">
        <v>5029</v>
      </c>
      <c r="D17" s="14" t="s">
        <v>5030</v>
      </c>
      <c r="E17" s="15" t="s">
        <v>5031</v>
      </c>
      <c r="F17" s="13">
        <v>2021</v>
      </c>
      <c r="G17" s="13">
        <v>2021</v>
      </c>
      <c r="H17" s="13">
        <v>6</v>
      </c>
      <c r="I17" s="15" t="s">
        <v>4977</v>
      </c>
      <c r="J17" s="15" t="s">
        <v>5686</v>
      </c>
      <c r="K17" s="362">
        <f t="shared" si="0"/>
        <v>15670000</v>
      </c>
      <c r="L17" s="453">
        <v>15670000</v>
      </c>
      <c r="M17" s="15" t="s">
        <v>3216</v>
      </c>
      <c r="N17" s="13">
        <v>7</v>
      </c>
      <c r="O17" s="15" t="s">
        <v>4978</v>
      </c>
      <c r="P17" s="14" t="s">
        <v>3223</v>
      </c>
      <c r="Q17" s="13" t="s">
        <v>3215</v>
      </c>
      <c r="R17" s="13" t="s">
        <v>3923</v>
      </c>
      <c r="S17" s="13">
        <v>6680664</v>
      </c>
      <c r="T17" s="23" t="s">
        <v>15</v>
      </c>
      <c r="U17" s="16" t="s">
        <v>2288</v>
      </c>
      <c r="V17" s="453">
        <v>15670000</v>
      </c>
      <c r="W17" s="15" t="s">
        <v>156</v>
      </c>
      <c r="X17" s="15"/>
      <c r="Y17" s="15"/>
      <c r="Z17" s="15" t="s">
        <v>3217</v>
      </c>
      <c r="AA17" s="15" t="s">
        <v>3216</v>
      </c>
      <c r="AB17" s="8">
        <v>8140</v>
      </c>
      <c r="AC17" s="187" t="s">
        <v>3291</v>
      </c>
      <c r="AD17" s="8">
        <v>6680680</v>
      </c>
      <c r="AE17" s="10" t="s">
        <v>959</v>
      </c>
      <c r="AF17" s="6" t="s">
        <v>9</v>
      </c>
      <c r="AG17" s="453">
        <v>15670000</v>
      </c>
      <c r="AH17" s="15" t="s">
        <v>156</v>
      </c>
      <c r="AI17" s="15"/>
      <c r="AJ17" s="15"/>
      <c r="AK17" s="15" t="s">
        <v>3217</v>
      </c>
      <c r="AL17" s="15" t="s">
        <v>3216</v>
      </c>
      <c r="AM17" s="202">
        <v>6680726</v>
      </c>
      <c r="AN17" s="15">
        <v>719069101</v>
      </c>
      <c r="AO17" s="15" t="s">
        <v>93</v>
      </c>
      <c r="AP17" s="453">
        <v>15670000</v>
      </c>
      <c r="AQ17" s="15" t="s">
        <v>156</v>
      </c>
      <c r="AR17" s="15"/>
      <c r="AS17" s="15"/>
      <c r="AT17" s="15" t="s">
        <v>3217</v>
      </c>
      <c r="AU17" s="15" t="s">
        <v>3216</v>
      </c>
      <c r="AV17" s="19"/>
      <c r="AW17" s="19"/>
      <c r="AX17" s="15"/>
      <c r="AY17" s="189"/>
      <c r="AZ17" s="19"/>
      <c r="BA17" s="19"/>
      <c r="BB17" s="19"/>
      <c r="BC17" s="19"/>
      <c r="BD17" s="19"/>
      <c r="BE17" s="19"/>
      <c r="BF17" s="15"/>
      <c r="BG17" s="189"/>
      <c r="BH17" s="19"/>
      <c r="BI17" s="19"/>
      <c r="BJ17" s="19"/>
      <c r="BK17" s="19"/>
      <c r="BL17" s="19"/>
      <c r="BM17" s="19"/>
      <c r="BN17" s="19"/>
      <c r="BO17" s="189"/>
      <c r="BP17" s="19"/>
      <c r="BQ17" s="19"/>
      <c r="BR17" s="19"/>
      <c r="BS17" s="19"/>
      <c r="BT17" s="19"/>
      <c r="BU17" s="19"/>
      <c r="BV17" s="189"/>
      <c r="BW17" s="19"/>
      <c r="BX17" s="19"/>
      <c r="BY17" s="19"/>
      <c r="BZ17" s="19"/>
      <c r="CA17" s="141" t="s">
        <v>3190</v>
      </c>
      <c r="CB17" s="141" t="s">
        <v>3191</v>
      </c>
      <c r="CC17" s="15" t="s">
        <v>612</v>
      </c>
      <c r="CD17" s="14" t="s">
        <v>3589</v>
      </c>
      <c r="CE17" s="15" t="s">
        <v>2668</v>
      </c>
      <c r="CF17" s="14" t="s">
        <v>3589</v>
      </c>
      <c r="CG17" s="15" t="s">
        <v>2669</v>
      </c>
      <c r="CH17" s="14" t="s">
        <v>3589</v>
      </c>
      <c r="CI17" s="20" t="s">
        <v>610</v>
      </c>
      <c r="CJ17" s="20" t="s">
        <v>3589</v>
      </c>
      <c r="CK17" s="20" t="s">
        <v>611</v>
      </c>
      <c r="CL17" s="20" t="s">
        <v>3589</v>
      </c>
      <c r="CM17" s="20"/>
      <c r="CN17" s="20"/>
      <c r="CO17" s="20"/>
      <c r="CP17" s="20"/>
      <c r="CQ17" s="20"/>
      <c r="CR17" s="20"/>
      <c r="CS17" s="263" t="s">
        <v>3251</v>
      </c>
      <c r="CT17" s="264" t="s">
        <v>4998</v>
      </c>
      <c r="CU17" s="264" t="s">
        <v>4991</v>
      </c>
      <c r="CV17" s="264" t="s">
        <v>5032</v>
      </c>
      <c r="CW17" s="264" t="s">
        <v>5033</v>
      </c>
      <c r="CX17" s="264" t="s">
        <v>3419</v>
      </c>
    </row>
    <row r="18" spans="1:105" ht="60.6">
      <c r="A18" s="129">
        <v>11</v>
      </c>
      <c r="B18" s="322" t="s">
        <v>4973</v>
      </c>
      <c r="C18" s="322" t="s">
        <v>5034</v>
      </c>
      <c r="D18" s="14" t="s">
        <v>5035</v>
      </c>
      <c r="E18" s="15" t="s">
        <v>5031</v>
      </c>
      <c r="F18" s="13">
        <v>2021</v>
      </c>
      <c r="G18" s="13">
        <v>2021</v>
      </c>
      <c r="H18" s="13">
        <v>6</v>
      </c>
      <c r="I18" s="15" t="s">
        <v>4986</v>
      </c>
      <c r="J18" s="15" t="s">
        <v>5687</v>
      </c>
      <c r="K18" s="362">
        <f t="shared" si="0"/>
        <v>15300000</v>
      </c>
      <c r="L18" s="453">
        <v>15300000</v>
      </c>
      <c r="M18" s="15" t="s">
        <v>3216</v>
      </c>
      <c r="N18" s="13">
        <v>7</v>
      </c>
      <c r="O18" s="15" t="s">
        <v>4978</v>
      </c>
      <c r="P18" s="14" t="s">
        <v>3223</v>
      </c>
      <c r="Q18" s="13" t="s">
        <v>3215</v>
      </c>
      <c r="R18" s="13" t="s">
        <v>3923</v>
      </c>
      <c r="S18" s="13">
        <v>259781</v>
      </c>
      <c r="T18" s="23" t="s">
        <v>26</v>
      </c>
      <c r="U18" s="16" t="s">
        <v>982</v>
      </c>
      <c r="V18" s="453">
        <v>15300000</v>
      </c>
      <c r="W18" s="15" t="s">
        <v>164</v>
      </c>
      <c r="X18" s="15" t="s">
        <v>166</v>
      </c>
      <c r="Y18" s="15"/>
      <c r="Z18" s="15" t="s">
        <v>3217</v>
      </c>
      <c r="AA18" s="15" t="s">
        <v>3216</v>
      </c>
      <c r="AB18" s="8">
        <v>8140</v>
      </c>
      <c r="AC18" s="187" t="s">
        <v>3291</v>
      </c>
      <c r="AD18" s="8">
        <v>6658545</v>
      </c>
      <c r="AE18" s="10" t="s">
        <v>984</v>
      </c>
      <c r="AF18" s="6" t="s">
        <v>40</v>
      </c>
      <c r="AG18" s="453">
        <v>15300000</v>
      </c>
      <c r="AH18" s="15" t="s">
        <v>160</v>
      </c>
      <c r="AI18" s="15" t="s">
        <v>166</v>
      </c>
      <c r="AJ18" s="15"/>
      <c r="AK18" s="15" t="s">
        <v>3224</v>
      </c>
      <c r="AL18" s="15" t="s">
        <v>3216</v>
      </c>
      <c r="AM18" s="6">
        <v>6680622</v>
      </c>
      <c r="AN18" s="6" t="s">
        <v>983</v>
      </c>
      <c r="AO18" s="6" t="s">
        <v>11</v>
      </c>
      <c r="AP18" s="453">
        <v>15300000</v>
      </c>
      <c r="AQ18" s="15" t="s">
        <v>164</v>
      </c>
      <c r="AR18" s="15"/>
      <c r="AS18" s="15"/>
      <c r="AT18" s="15" t="s">
        <v>3224</v>
      </c>
      <c r="AU18" s="15" t="s">
        <v>3216</v>
      </c>
      <c r="AV18" s="19"/>
      <c r="AW18" s="19"/>
      <c r="AX18" s="15"/>
      <c r="AY18" s="189"/>
      <c r="AZ18" s="19"/>
      <c r="BA18" s="19"/>
      <c r="BB18" s="19"/>
      <c r="BC18" s="19"/>
      <c r="BD18" s="19"/>
      <c r="BE18" s="19"/>
      <c r="BF18" s="15"/>
      <c r="BG18" s="189"/>
      <c r="BH18" s="19"/>
      <c r="BI18" s="19"/>
      <c r="BJ18" s="19"/>
      <c r="BK18" s="19"/>
      <c r="BL18" s="19"/>
      <c r="BM18" s="19"/>
      <c r="BN18" s="19"/>
      <c r="BO18" s="189"/>
      <c r="BP18" s="19"/>
      <c r="BQ18" s="19"/>
      <c r="BR18" s="19"/>
      <c r="BS18" s="19"/>
      <c r="BT18" s="19"/>
      <c r="BU18" s="19"/>
      <c r="BV18" s="189"/>
      <c r="BW18" s="19"/>
      <c r="BX18" s="19"/>
      <c r="BY18" s="19"/>
      <c r="BZ18" s="19"/>
      <c r="CA18" s="141" t="s">
        <v>3190</v>
      </c>
      <c r="CB18" s="141" t="s">
        <v>3191</v>
      </c>
      <c r="CC18" s="15" t="s">
        <v>354</v>
      </c>
      <c r="CD18" s="14"/>
      <c r="CE18" s="15" t="s">
        <v>355</v>
      </c>
      <c r="CF18" s="14"/>
      <c r="CG18" s="15"/>
      <c r="CH18" s="14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63" t="s">
        <v>3251</v>
      </c>
      <c r="CT18" s="264" t="s">
        <v>4981</v>
      </c>
      <c r="CU18" s="264" t="s">
        <v>4991</v>
      </c>
      <c r="CV18" s="264" t="s">
        <v>5036</v>
      </c>
      <c r="CW18" s="264" t="s">
        <v>3684</v>
      </c>
      <c r="CX18" s="264" t="s">
        <v>3092</v>
      </c>
    </row>
    <row r="19" spans="1:105" ht="60.6">
      <c r="A19" s="129">
        <v>12</v>
      </c>
      <c r="B19" s="322" t="s">
        <v>5037</v>
      </c>
      <c r="C19" s="322" t="s">
        <v>5038</v>
      </c>
      <c r="D19" s="14" t="s">
        <v>5039</v>
      </c>
      <c r="E19" s="13" t="s">
        <v>5040</v>
      </c>
      <c r="F19" s="13">
        <v>2021</v>
      </c>
      <c r="G19" s="13">
        <v>2021</v>
      </c>
      <c r="H19" s="13">
        <v>6</v>
      </c>
      <c r="I19" s="15" t="s">
        <v>4986</v>
      </c>
      <c r="J19" s="15" t="s">
        <v>5688</v>
      </c>
      <c r="K19" s="362">
        <f t="shared" si="0"/>
        <v>20000000</v>
      </c>
      <c r="L19" s="453">
        <v>20000000</v>
      </c>
      <c r="M19" s="15" t="s">
        <v>3216</v>
      </c>
      <c r="N19" s="13">
        <v>7</v>
      </c>
      <c r="O19" s="15" t="s">
        <v>4978</v>
      </c>
      <c r="P19" s="14" t="s">
        <v>3223</v>
      </c>
      <c r="Q19" s="13" t="s">
        <v>3215</v>
      </c>
      <c r="R19" s="13" t="s">
        <v>3923</v>
      </c>
      <c r="S19" s="13">
        <v>6680651</v>
      </c>
      <c r="T19" s="23" t="s">
        <v>12</v>
      </c>
      <c r="U19" s="16" t="s">
        <v>1016</v>
      </c>
      <c r="V19" s="453">
        <v>20000000</v>
      </c>
      <c r="W19" s="15" t="s">
        <v>155</v>
      </c>
      <c r="X19" s="15"/>
      <c r="Y19" s="15"/>
      <c r="Z19" s="15" t="s">
        <v>3224</v>
      </c>
      <c r="AA19" s="15" t="s">
        <v>3216</v>
      </c>
      <c r="AB19" s="8">
        <v>8140</v>
      </c>
      <c r="AC19" s="187" t="s">
        <v>3291</v>
      </c>
      <c r="AD19" s="13">
        <v>6680612</v>
      </c>
      <c r="AE19" s="16" t="s">
        <v>960</v>
      </c>
      <c r="AF19" s="15" t="s">
        <v>19</v>
      </c>
      <c r="AG19" s="453">
        <v>20000000</v>
      </c>
      <c r="AH19" s="15" t="s">
        <v>155</v>
      </c>
      <c r="AI19" s="15"/>
      <c r="AJ19" s="15"/>
      <c r="AK19" s="15" t="s">
        <v>3224</v>
      </c>
      <c r="AL19" s="15" t="s">
        <v>3216</v>
      </c>
      <c r="AM19" s="8">
        <v>6680708</v>
      </c>
      <c r="AN19" s="10" t="s">
        <v>2436</v>
      </c>
      <c r="AO19" s="15" t="s">
        <v>85</v>
      </c>
      <c r="AP19" s="453">
        <v>20000000</v>
      </c>
      <c r="AQ19" s="15" t="s">
        <v>155</v>
      </c>
      <c r="AR19" s="15"/>
      <c r="AS19" s="15"/>
      <c r="AT19" s="15" t="s">
        <v>3224</v>
      </c>
      <c r="AU19" s="15" t="s">
        <v>3216</v>
      </c>
      <c r="AV19" s="8">
        <v>6680641</v>
      </c>
      <c r="AW19" s="203" t="s">
        <v>1794</v>
      </c>
      <c r="AX19" s="6" t="s">
        <v>3231</v>
      </c>
      <c r="AY19" s="453">
        <v>20000000</v>
      </c>
      <c r="AZ19" s="19" t="s">
        <v>151</v>
      </c>
      <c r="BA19" s="19"/>
      <c r="BB19" s="15" t="s">
        <v>3217</v>
      </c>
      <c r="BC19" s="15" t="s">
        <v>3216</v>
      </c>
      <c r="BD19" s="13">
        <v>6682174</v>
      </c>
      <c r="BE19" s="16" t="s">
        <v>2285</v>
      </c>
      <c r="BF19" s="15" t="s">
        <v>20</v>
      </c>
      <c r="BG19" s="453">
        <v>20000000</v>
      </c>
      <c r="BH19" s="15" t="s">
        <v>156</v>
      </c>
      <c r="BI19" s="15"/>
      <c r="BJ19" s="15" t="s">
        <v>3217</v>
      </c>
      <c r="BK19" s="15" t="s">
        <v>3216</v>
      </c>
      <c r="BL19" s="19"/>
      <c r="BM19" s="19"/>
      <c r="BN19" s="19"/>
      <c r="BO19" s="189"/>
      <c r="BP19" s="19"/>
      <c r="BQ19" s="19"/>
      <c r="BR19" s="19"/>
      <c r="BS19" s="19"/>
      <c r="BT19" s="19"/>
      <c r="BU19" s="19"/>
      <c r="BV19" s="58"/>
      <c r="BW19" s="19"/>
      <c r="BX19" s="19"/>
      <c r="BY19" s="19"/>
      <c r="BZ19" s="19"/>
      <c r="CA19" s="141" t="s">
        <v>3190</v>
      </c>
      <c r="CB19" s="141" t="s">
        <v>3191</v>
      </c>
      <c r="CC19" s="15" t="s">
        <v>1082</v>
      </c>
      <c r="CD19" s="14"/>
      <c r="CE19" s="15" t="s">
        <v>1118</v>
      </c>
      <c r="CF19" s="14"/>
      <c r="CG19" s="15" t="s">
        <v>5041</v>
      </c>
      <c r="CH19" s="14"/>
      <c r="CI19" s="20" t="s">
        <v>5042</v>
      </c>
      <c r="CJ19" s="20"/>
      <c r="CK19" s="20" t="s">
        <v>550</v>
      </c>
      <c r="CL19" s="20"/>
      <c r="CM19" s="20" t="s">
        <v>3068</v>
      </c>
      <c r="CN19" s="20"/>
      <c r="CO19" s="20" t="s">
        <v>5043</v>
      </c>
      <c r="CP19" s="20"/>
      <c r="CQ19" s="20" t="s">
        <v>3588</v>
      </c>
      <c r="CR19" s="20"/>
      <c r="CS19" s="263" t="s">
        <v>3061</v>
      </c>
      <c r="CT19" s="264" t="s">
        <v>4981</v>
      </c>
      <c r="CU19" s="264" t="s">
        <v>5009</v>
      </c>
      <c r="CV19" s="264" t="s">
        <v>5044</v>
      </c>
      <c r="CW19" s="265" t="s">
        <v>942</v>
      </c>
      <c r="CX19" s="264" t="s">
        <v>3739</v>
      </c>
    </row>
    <row r="20" spans="1:105" ht="48.6">
      <c r="A20" s="297">
        <v>13</v>
      </c>
      <c r="B20" s="322" t="s">
        <v>5045</v>
      </c>
      <c r="C20" s="322" t="s">
        <v>5046</v>
      </c>
      <c r="D20" s="14" t="s">
        <v>5047</v>
      </c>
      <c r="E20" s="13" t="s">
        <v>5040</v>
      </c>
      <c r="F20" s="13">
        <v>2021</v>
      </c>
      <c r="G20" s="13">
        <v>2021</v>
      </c>
      <c r="H20" s="13">
        <v>3</v>
      </c>
      <c r="I20" s="15" t="s">
        <v>4986</v>
      </c>
      <c r="J20" s="15" t="s">
        <v>5689</v>
      </c>
      <c r="K20" s="362">
        <f t="shared" si="0"/>
        <v>40000000</v>
      </c>
      <c r="L20" s="453">
        <v>40000000</v>
      </c>
      <c r="M20" s="15" t="s">
        <v>3216</v>
      </c>
      <c r="N20" s="13">
        <v>7</v>
      </c>
      <c r="O20" s="15" t="s">
        <v>4978</v>
      </c>
      <c r="P20" s="14" t="s">
        <v>3223</v>
      </c>
      <c r="Q20" s="13" t="s">
        <v>3215</v>
      </c>
      <c r="R20" s="13" t="s">
        <v>3923</v>
      </c>
      <c r="S20" s="13">
        <v>6665306</v>
      </c>
      <c r="T20" s="23" t="s">
        <v>28</v>
      </c>
      <c r="U20" s="16" t="s">
        <v>1727</v>
      </c>
      <c r="V20" s="453">
        <v>40000000</v>
      </c>
      <c r="W20" s="15" t="s">
        <v>166</v>
      </c>
      <c r="X20" s="15"/>
      <c r="Y20" s="15"/>
      <c r="Z20" s="15" t="s">
        <v>3217</v>
      </c>
      <c r="AA20" s="15" t="s">
        <v>3216</v>
      </c>
      <c r="AB20" s="8">
        <v>8140</v>
      </c>
      <c r="AC20" s="187" t="s">
        <v>3291</v>
      </c>
      <c r="AD20" s="8">
        <v>6680633</v>
      </c>
      <c r="AE20" s="190" t="s">
        <v>3322</v>
      </c>
      <c r="AF20" s="6" t="s">
        <v>18</v>
      </c>
      <c r="AG20" s="453">
        <v>40000000</v>
      </c>
      <c r="AH20" s="15" t="s">
        <v>156</v>
      </c>
      <c r="AI20" s="15" t="s">
        <v>166</v>
      </c>
      <c r="AJ20" s="15"/>
      <c r="AK20" s="15" t="s">
        <v>3217</v>
      </c>
      <c r="AL20" s="15" t="s">
        <v>3216</v>
      </c>
      <c r="AM20" s="8">
        <v>6680648</v>
      </c>
      <c r="AN20" s="6" t="s">
        <v>1036</v>
      </c>
      <c r="AO20" s="6" t="s">
        <v>17</v>
      </c>
      <c r="AP20" s="453">
        <v>40000000</v>
      </c>
      <c r="AQ20" s="15" t="s">
        <v>166</v>
      </c>
      <c r="AR20" s="15"/>
      <c r="AS20" s="15"/>
      <c r="AT20" s="15" t="s">
        <v>3217</v>
      </c>
      <c r="AU20" s="15" t="s">
        <v>3216</v>
      </c>
      <c r="AV20" s="205">
        <v>6744406</v>
      </c>
      <c r="AW20" s="207" t="s">
        <v>985</v>
      </c>
      <c r="AX20" s="6" t="s">
        <v>352</v>
      </c>
      <c r="AY20" s="453">
        <v>40000000</v>
      </c>
      <c r="AZ20" s="15" t="s">
        <v>166</v>
      </c>
      <c r="BA20" s="15"/>
      <c r="BB20" s="15" t="s">
        <v>3217</v>
      </c>
      <c r="BC20" s="15" t="s">
        <v>3216</v>
      </c>
      <c r="BD20" s="19"/>
      <c r="BE20" s="19"/>
      <c r="BF20" s="15"/>
      <c r="BG20" s="453"/>
      <c r="BH20" s="19"/>
      <c r="BI20" s="19"/>
      <c r="BJ20" s="19"/>
      <c r="BK20" s="19"/>
      <c r="BL20" s="19"/>
      <c r="BM20" s="19"/>
      <c r="BN20" s="19"/>
      <c r="BO20" s="189"/>
      <c r="BP20" s="19"/>
      <c r="BQ20" s="19"/>
      <c r="BR20" s="19"/>
      <c r="BS20" s="19"/>
      <c r="BT20" s="19"/>
      <c r="BU20" s="19"/>
      <c r="BV20" s="189"/>
      <c r="BW20" s="19"/>
      <c r="BX20" s="19"/>
      <c r="BY20" s="19"/>
      <c r="BZ20" s="19"/>
      <c r="CA20" s="141" t="s">
        <v>3190</v>
      </c>
      <c r="CB20" s="141" t="s">
        <v>3191</v>
      </c>
      <c r="CC20" s="15" t="s">
        <v>5048</v>
      </c>
      <c r="CD20" s="14" t="s">
        <v>3713</v>
      </c>
      <c r="CE20" s="15" t="s">
        <v>3067</v>
      </c>
      <c r="CF20" s="14" t="s">
        <v>3713</v>
      </c>
      <c r="CG20" s="15" t="s">
        <v>5049</v>
      </c>
      <c r="CH20" s="14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66" t="s">
        <v>942</v>
      </c>
      <c r="CT20" s="264" t="s">
        <v>4981</v>
      </c>
      <c r="CU20" s="265" t="s">
        <v>942</v>
      </c>
      <c r="CV20" s="264" t="s">
        <v>5021</v>
      </c>
      <c r="CW20" s="264" t="s">
        <v>3739</v>
      </c>
      <c r="CX20" s="264" t="s">
        <v>3739</v>
      </c>
    </row>
    <row r="21" spans="1:105" ht="36">
      <c r="A21" s="297">
        <v>14</v>
      </c>
      <c r="B21" s="322" t="s">
        <v>5045</v>
      </c>
      <c r="C21" s="322" t="s">
        <v>5050</v>
      </c>
      <c r="D21" s="14" t="s">
        <v>5051</v>
      </c>
      <c r="E21" s="13" t="s">
        <v>5040</v>
      </c>
      <c r="F21" s="13">
        <v>2021</v>
      </c>
      <c r="G21" s="13">
        <v>2021</v>
      </c>
      <c r="H21" s="13">
        <v>3</v>
      </c>
      <c r="I21" s="15" t="s">
        <v>4986</v>
      </c>
      <c r="J21" s="15" t="s">
        <v>5690</v>
      </c>
      <c r="K21" s="362">
        <f t="shared" si="0"/>
        <v>40000000</v>
      </c>
      <c r="L21" s="453">
        <v>40000000</v>
      </c>
      <c r="M21" s="15" t="s">
        <v>3216</v>
      </c>
      <c r="N21" s="13">
        <v>7</v>
      </c>
      <c r="O21" s="15" t="s">
        <v>4978</v>
      </c>
      <c r="P21" s="14" t="s">
        <v>3223</v>
      </c>
      <c r="Q21" s="13" t="s">
        <v>3215</v>
      </c>
      <c r="R21" s="13" t="s">
        <v>3923</v>
      </c>
      <c r="S21" s="13">
        <v>6680623</v>
      </c>
      <c r="T21" s="23" t="s">
        <v>30</v>
      </c>
      <c r="U21" s="16" t="s">
        <v>1841</v>
      </c>
      <c r="V21" s="453">
        <v>40000000</v>
      </c>
      <c r="W21" s="15" t="s">
        <v>166</v>
      </c>
      <c r="X21" s="15"/>
      <c r="Y21" s="15"/>
      <c r="Z21" s="15" t="s">
        <v>3217</v>
      </c>
      <c r="AA21" s="15" t="s">
        <v>3216</v>
      </c>
      <c r="AB21" s="8">
        <v>8140</v>
      </c>
      <c r="AC21" s="187" t="s">
        <v>3291</v>
      </c>
      <c r="AD21" s="8">
        <v>6680633</v>
      </c>
      <c r="AE21" s="190" t="s">
        <v>3322</v>
      </c>
      <c r="AF21" s="6" t="s">
        <v>18</v>
      </c>
      <c r="AG21" s="453">
        <v>40000000</v>
      </c>
      <c r="AH21" s="15" t="s">
        <v>156</v>
      </c>
      <c r="AI21" s="15" t="s">
        <v>166</v>
      </c>
      <c r="AJ21" s="15"/>
      <c r="AK21" s="15" t="s">
        <v>3217</v>
      </c>
      <c r="AL21" s="15" t="s">
        <v>3216</v>
      </c>
      <c r="AM21" s="8">
        <v>6681051</v>
      </c>
      <c r="AN21" s="10" t="s">
        <v>1657</v>
      </c>
      <c r="AO21" s="6" t="s">
        <v>6</v>
      </c>
      <c r="AP21" s="453">
        <v>40000000</v>
      </c>
      <c r="AQ21" s="15" t="s">
        <v>155</v>
      </c>
      <c r="AR21" s="15"/>
      <c r="AS21" s="15"/>
      <c r="AT21" s="15" t="s">
        <v>3224</v>
      </c>
      <c r="AU21" s="15" t="s">
        <v>3216</v>
      </c>
      <c r="AV21" s="13">
        <v>6764236</v>
      </c>
      <c r="AW21" s="16" t="s">
        <v>1684</v>
      </c>
      <c r="AX21" s="15" t="s">
        <v>5052</v>
      </c>
      <c r="AY21" s="453">
        <v>40000000</v>
      </c>
      <c r="AZ21" s="15" t="s">
        <v>166</v>
      </c>
      <c r="BA21" s="15"/>
      <c r="BB21" s="15" t="s">
        <v>3217</v>
      </c>
      <c r="BC21" s="15" t="s">
        <v>3216</v>
      </c>
      <c r="BD21" s="19"/>
      <c r="BE21" s="19"/>
      <c r="BF21" s="15"/>
      <c r="BG21" s="453"/>
      <c r="BH21" s="19"/>
      <c r="BI21" s="19"/>
      <c r="BJ21" s="19"/>
      <c r="BK21" s="19"/>
      <c r="BL21" s="19"/>
      <c r="BM21" s="19"/>
      <c r="BN21" s="19"/>
      <c r="BO21" s="189"/>
      <c r="BP21" s="19"/>
      <c r="BQ21" s="19"/>
      <c r="BR21" s="19"/>
      <c r="BS21" s="19"/>
      <c r="BT21" s="19"/>
      <c r="BU21" s="19"/>
      <c r="BV21" s="189"/>
      <c r="BW21" s="19"/>
      <c r="BX21" s="19"/>
      <c r="BY21" s="19"/>
      <c r="BZ21" s="19"/>
      <c r="CA21" s="141" t="s">
        <v>3190</v>
      </c>
      <c r="CB21" s="141" t="s">
        <v>3191</v>
      </c>
      <c r="CC21" s="15" t="s">
        <v>1659</v>
      </c>
      <c r="CD21" s="14" t="s">
        <v>3737</v>
      </c>
      <c r="CE21" s="15" t="s">
        <v>5053</v>
      </c>
      <c r="CF21" s="14" t="s">
        <v>3737</v>
      </c>
      <c r="CG21" s="15" t="s">
        <v>5054</v>
      </c>
      <c r="CH21" s="14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66" t="s">
        <v>942</v>
      </c>
      <c r="CT21" s="264" t="s">
        <v>4998</v>
      </c>
      <c r="CU21" s="265" t="s">
        <v>942</v>
      </c>
      <c r="CV21" s="264" t="s">
        <v>3739</v>
      </c>
      <c r="CW21" s="264" t="s">
        <v>3739</v>
      </c>
      <c r="CX21" s="264" t="s">
        <v>3739</v>
      </c>
    </row>
    <row r="22" spans="1:105" ht="36">
      <c r="A22" s="297">
        <v>15</v>
      </c>
      <c r="B22" s="322" t="s">
        <v>5045</v>
      </c>
      <c r="C22" s="322" t="s">
        <v>5055</v>
      </c>
      <c r="D22" s="14" t="s">
        <v>5056</v>
      </c>
      <c r="E22" s="13" t="s">
        <v>5040</v>
      </c>
      <c r="F22" s="13">
        <v>2021</v>
      </c>
      <c r="G22" s="13">
        <v>2021</v>
      </c>
      <c r="H22" s="13">
        <v>3</v>
      </c>
      <c r="I22" s="15" t="s">
        <v>4986</v>
      </c>
      <c r="J22" s="15" t="s">
        <v>5691</v>
      </c>
      <c r="K22" s="362">
        <f t="shared" si="0"/>
        <v>40000000</v>
      </c>
      <c r="L22" s="453">
        <v>40000000</v>
      </c>
      <c r="M22" s="15" t="s">
        <v>3216</v>
      </c>
      <c r="N22" s="13">
        <v>7</v>
      </c>
      <c r="O22" s="15" t="s">
        <v>4978</v>
      </c>
      <c r="P22" s="14" t="s">
        <v>3223</v>
      </c>
      <c r="Q22" s="13" t="s">
        <v>3215</v>
      </c>
      <c r="R22" s="13" t="s">
        <v>3923</v>
      </c>
      <c r="S22" s="13">
        <v>6680612</v>
      </c>
      <c r="T22" s="23" t="s">
        <v>19</v>
      </c>
      <c r="U22" s="16" t="s">
        <v>960</v>
      </c>
      <c r="V22" s="453">
        <v>40000000</v>
      </c>
      <c r="W22" s="15" t="s">
        <v>155</v>
      </c>
      <c r="X22" s="15"/>
      <c r="Y22" s="15"/>
      <c r="Z22" s="15" t="s">
        <v>3224</v>
      </c>
      <c r="AA22" s="15" t="s">
        <v>3216</v>
      </c>
      <c r="AB22" s="8">
        <v>8140</v>
      </c>
      <c r="AC22" s="187" t="s">
        <v>3291</v>
      </c>
      <c r="AD22" s="8">
        <v>6680633</v>
      </c>
      <c r="AE22" s="190" t="s">
        <v>3322</v>
      </c>
      <c r="AF22" s="6" t="s">
        <v>18</v>
      </c>
      <c r="AG22" s="453">
        <v>40000000</v>
      </c>
      <c r="AH22" s="15" t="s">
        <v>156</v>
      </c>
      <c r="AI22" s="15" t="s">
        <v>166</v>
      </c>
      <c r="AJ22" s="15"/>
      <c r="AK22" s="15" t="s">
        <v>3217</v>
      </c>
      <c r="AL22" s="15" t="s">
        <v>3216</v>
      </c>
      <c r="AM22" s="13">
        <v>6680627</v>
      </c>
      <c r="AN22" s="16" t="s">
        <v>1912</v>
      </c>
      <c r="AO22" s="15" t="s">
        <v>5057</v>
      </c>
      <c r="AP22" s="453">
        <v>40000000</v>
      </c>
      <c r="AQ22" s="15" t="s">
        <v>155</v>
      </c>
      <c r="AR22" s="15"/>
      <c r="AS22" s="15"/>
      <c r="AT22" s="15" t="s">
        <v>3224</v>
      </c>
      <c r="AU22" s="15" t="s">
        <v>3216</v>
      </c>
      <c r="AV22" s="8">
        <v>6680628</v>
      </c>
      <c r="AW22" s="10" t="s">
        <v>1007</v>
      </c>
      <c r="AX22" s="6" t="s">
        <v>89</v>
      </c>
      <c r="AY22" s="453">
        <v>40000000</v>
      </c>
      <c r="AZ22" s="15" t="s">
        <v>164</v>
      </c>
      <c r="BA22" s="15"/>
      <c r="BB22" s="15" t="s">
        <v>3224</v>
      </c>
      <c r="BC22" s="15" t="s">
        <v>3216</v>
      </c>
      <c r="BD22" s="13">
        <v>6680698</v>
      </c>
      <c r="BE22" s="16" t="s">
        <v>1002</v>
      </c>
      <c r="BF22" s="15" t="s">
        <v>165</v>
      </c>
      <c r="BG22" s="453">
        <v>40000000</v>
      </c>
      <c r="BH22" s="15" t="s">
        <v>164</v>
      </c>
      <c r="BI22" s="15"/>
      <c r="BJ22" s="15" t="s">
        <v>3224</v>
      </c>
      <c r="BK22" s="15" t="s">
        <v>3216</v>
      </c>
      <c r="BL22" s="19"/>
      <c r="BM22" s="19"/>
      <c r="BN22" s="19"/>
      <c r="BO22" s="189"/>
      <c r="BP22" s="19"/>
      <c r="BQ22" s="19"/>
      <c r="BR22" s="19"/>
      <c r="BS22" s="19"/>
      <c r="BT22" s="19"/>
      <c r="BU22" s="19"/>
      <c r="BV22" s="58"/>
      <c r="BW22" s="19"/>
      <c r="BX22" s="19"/>
      <c r="BY22" s="19"/>
      <c r="BZ22" s="19"/>
      <c r="CA22" s="141" t="s">
        <v>3190</v>
      </c>
      <c r="CB22" s="141" t="s">
        <v>3191</v>
      </c>
      <c r="CC22" s="15" t="s">
        <v>5058</v>
      </c>
      <c r="CD22" s="14"/>
      <c r="CE22" s="15" t="s">
        <v>3122</v>
      </c>
      <c r="CF22" s="14" t="s">
        <v>3589</v>
      </c>
      <c r="CG22" s="15" t="s">
        <v>5059</v>
      </c>
      <c r="CH22" s="14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66" t="s">
        <v>942</v>
      </c>
      <c r="CT22" s="264" t="s">
        <v>4998</v>
      </c>
      <c r="CU22" s="265" t="s">
        <v>942</v>
      </c>
      <c r="CV22" s="264" t="s">
        <v>3739</v>
      </c>
      <c r="CW22" s="264" t="s">
        <v>3739</v>
      </c>
      <c r="CX22" s="264" t="s">
        <v>3739</v>
      </c>
      <c r="CY22" s="107"/>
      <c r="CZ22" s="107"/>
      <c r="DA22" s="107"/>
    </row>
    <row r="23" spans="1:105" ht="34.5" customHeight="1">
      <c r="A23" s="129">
        <v>16</v>
      </c>
      <c r="B23" s="322" t="s">
        <v>5045</v>
      </c>
      <c r="C23" s="329" t="s">
        <v>5055</v>
      </c>
      <c r="D23" s="103" t="s">
        <v>5060</v>
      </c>
      <c r="E23" s="102" t="s">
        <v>5040</v>
      </c>
      <c r="F23" s="102">
        <v>2021</v>
      </c>
      <c r="G23" s="102">
        <v>2021</v>
      </c>
      <c r="H23" s="102">
        <v>3</v>
      </c>
      <c r="I23" s="15" t="s">
        <v>4986</v>
      </c>
      <c r="J23" s="15" t="s">
        <v>5692</v>
      </c>
      <c r="K23" s="479">
        <f t="shared" si="0"/>
        <v>450000000</v>
      </c>
      <c r="L23" s="455">
        <v>450000000</v>
      </c>
      <c r="M23" s="104" t="s">
        <v>3216</v>
      </c>
      <c r="N23" s="13">
        <v>7</v>
      </c>
      <c r="O23" s="15" t="s">
        <v>4978</v>
      </c>
      <c r="P23" s="14" t="s">
        <v>3223</v>
      </c>
      <c r="Q23" s="102" t="s">
        <v>3215</v>
      </c>
      <c r="R23" s="102" t="s">
        <v>3923</v>
      </c>
      <c r="S23" s="102">
        <v>6680651</v>
      </c>
      <c r="T23" s="105" t="s">
        <v>12</v>
      </c>
      <c r="U23" s="106" t="s">
        <v>1016</v>
      </c>
      <c r="V23" s="455">
        <v>450000000</v>
      </c>
      <c r="W23" s="104" t="s">
        <v>155</v>
      </c>
      <c r="X23" s="104"/>
      <c r="Y23" s="104"/>
      <c r="Z23" s="104" t="s">
        <v>3224</v>
      </c>
      <c r="AA23" s="104" t="s">
        <v>3216</v>
      </c>
      <c r="AB23" s="210">
        <v>8140</v>
      </c>
      <c r="AC23" s="211" t="s">
        <v>3291</v>
      </c>
      <c r="AD23" s="102">
        <v>6680687</v>
      </c>
      <c r="AE23" s="106">
        <v>702048705</v>
      </c>
      <c r="AF23" s="104" t="s">
        <v>29</v>
      </c>
      <c r="AG23" s="455">
        <v>450000000</v>
      </c>
      <c r="AH23" s="104"/>
      <c r="AI23" s="104"/>
      <c r="AJ23" s="104"/>
      <c r="AK23" s="104"/>
      <c r="AL23" s="104"/>
      <c r="AM23" s="102">
        <v>6680623</v>
      </c>
      <c r="AN23" s="106" t="s">
        <v>1841</v>
      </c>
      <c r="AO23" s="104" t="s">
        <v>30</v>
      </c>
      <c r="AP23" s="455">
        <v>450000000</v>
      </c>
      <c r="AQ23" s="104"/>
      <c r="AR23" s="104"/>
      <c r="AS23" s="104"/>
      <c r="AT23" s="104"/>
      <c r="AU23" s="212"/>
      <c r="AV23" s="212"/>
      <c r="AW23" s="212"/>
      <c r="AX23" s="104"/>
      <c r="AY23" s="213"/>
      <c r="AZ23" s="212"/>
      <c r="BA23" s="212"/>
      <c r="BB23" s="212"/>
      <c r="BC23" s="212"/>
      <c r="BD23" s="212"/>
      <c r="BE23" s="212"/>
      <c r="BF23" s="104"/>
      <c r="BG23" s="212"/>
      <c r="BH23" s="212"/>
      <c r="BI23" s="212"/>
      <c r="BJ23" s="212"/>
      <c r="BK23" s="212"/>
      <c r="BL23" s="212"/>
      <c r="BM23" s="212"/>
      <c r="BN23" s="212"/>
      <c r="BO23" s="189"/>
      <c r="BP23" s="212"/>
      <c r="BQ23" s="212"/>
      <c r="BR23" s="212"/>
      <c r="BS23" s="212"/>
      <c r="BT23" s="212"/>
      <c r="BU23" s="212"/>
      <c r="BV23" s="212"/>
      <c r="BW23" s="212"/>
      <c r="BX23" s="212"/>
      <c r="BY23" s="212"/>
      <c r="BZ23" s="212"/>
      <c r="CA23" s="141" t="s">
        <v>3190</v>
      </c>
      <c r="CB23" s="141" t="s">
        <v>3191</v>
      </c>
      <c r="CC23" s="104" t="s">
        <v>3261</v>
      </c>
      <c r="CD23" s="103"/>
      <c r="CE23" s="104" t="s">
        <v>1835</v>
      </c>
      <c r="CF23" s="103" t="s">
        <v>3737</v>
      </c>
      <c r="CG23" s="104" t="s">
        <v>2303</v>
      </c>
      <c r="CH23" s="103"/>
      <c r="CI23" s="214"/>
      <c r="CJ23" s="214"/>
      <c r="CK23" s="214"/>
      <c r="CL23" s="214"/>
      <c r="CM23" s="214"/>
      <c r="CN23" s="214"/>
      <c r="CO23" s="214"/>
      <c r="CP23" s="214"/>
      <c r="CQ23" s="214"/>
      <c r="CR23" s="214"/>
      <c r="CS23" s="267" t="s">
        <v>3739</v>
      </c>
      <c r="CT23" s="268" t="s">
        <v>4981</v>
      </c>
      <c r="CU23" s="268" t="s">
        <v>5009</v>
      </c>
      <c r="CV23" s="268" t="s">
        <v>5061</v>
      </c>
      <c r="CW23" s="268" t="s">
        <v>3739</v>
      </c>
      <c r="CX23" s="268" t="s">
        <v>3739</v>
      </c>
    </row>
    <row r="24" spans="1:105" ht="36">
      <c r="A24" s="297">
        <v>17</v>
      </c>
      <c r="B24" s="322" t="s">
        <v>5045</v>
      </c>
      <c r="C24" s="322" t="s">
        <v>5062</v>
      </c>
      <c r="D24" s="14" t="s">
        <v>5063</v>
      </c>
      <c r="E24" s="13" t="s">
        <v>5040</v>
      </c>
      <c r="F24" s="13">
        <v>2021</v>
      </c>
      <c r="G24" s="13">
        <v>2021</v>
      </c>
      <c r="H24" s="13">
        <v>3</v>
      </c>
      <c r="I24" s="15" t="s">
        <v>4986</v>
      </c>
      <c r="J24" s="15" t="s">
        <v>5693</v>
      </c>
      <c r="K24" s="362">
        <f t="shared" si="0"/>
        <v>40000000</v>
      </c>
      <c r="L24" s="453">
        <v>40000000</v>
      </c>
      <c r="M24" s="15" t="s">
        <v>3216</v>
      </c>
      <c r="N24" s="13">
        <v>7</v>
      </c>
      <c r="O24" s="15" t="s">
        <v>4978</v>
      </c>
      <c r="P24" s="14" t="s">
        <v>3223</v>
      </c>
      <c r="Q24" s="13" t="s">
        <v>3215</v>
      </c>
      <c r="R24" s="13" t="s">
        <v>3923</v>
      </c>
      <c r="S24" s="13">
        <v>6805206</v>
      </c>
      <c r="T24" s="23" t="s">
        <v>73</v>
      </c>
      <c r="U24" s="16">
        <v>8920230021</v>
      </c>
      <c r="V24" s="453">
        <v>40000000</v>
      </c>
      <c r="W24" s="15" t="s">
        <v>164</v>
      </c>
      <c r="X24" s="15"/>
      <c r="Y24" s="15"/>
      <c r="Z24" s="15" t="s">
        <v>3217</v>
      </c>
      <c r="AA24" s="15" t="s">
        <v>3216</v>
      </c>
      <c r="AB24" s="8">
        <v>8140</v>
      </c>
      <c r="AC24" s="187" t="s">
        <v>3291</v>
      </c>
      <c r="AD24" s="13">
        <v>6682174</v>
      </c>
      <c r="AE24" s="16" t="s">
        <v>2285</v>
      </c>
      <c r="AF24" s="15" t="s">
        <v>20</v>
      </c>
      <c r="AG24" s="453">
        <v>40000000</v>
      </c>
      <c r="AH24" s="15" t="s">
        <v>156</v>
      </c>
      <c r="AI24" s="15"/>
      <c r="AJ24" s="15"/>
      <c r="AK24" s="15" t="s">
        <v>3217</v>
      </c>
      <c r="AL24" s="15" t="s">
        <v>3216</v>
      </c>
      <c r="AM24" s="8">
        <v>6680628</v>
      </c>
      <c r="AN24" s="10" t="s">
        <v>1007</v>
      </c>
      <c r="AO24" s="6" t="s">
        <v>89</v>
      </c>
      <c r="AP24" s="453">
        <v>40000000</v>
      </c>
      <c r="AQ24" s="15"/>
      <c r="AR24" s="15"/>
      <c r="AS24" s="15"/>
      <c r="AT24" s="15"/>
      <c r="AU24" s="19"/>
      <c r="AV24" s="13">
        <v>6680618</v>
      </c>
      <c r="AW24" s="16" t="s">
        <v>1737</v>
      </c>
      <c r="AX24" s="15" t="s">
        <v>24</v>
      </c>
      <c r="AY24" s="453">
        <v>40000000</v>
      </c>
      <c r="AZ24" s="15" t="s">
        <v>160</v>
      </c>
      <c r="BA24" s="15"/>
      <c r="BB24" s="15" t="s">
        <v>3224</v>
      </c>
      <c r="BC24" s="15" t="s">
        <v>3216</v>
      </c>
      <c r="BD24" s="19"/>
      <c r="BE24" s="19"/>
      <c r="BF24" s="15"/>
      <c r="BG24" s="189"/>
      <c r="BH24" s="19"/>
      <c r="BI24" s="19"/>
      <c r="BJ24" s="19"/>
      <c r="BK24" s="19"/>
      <c r="BL24" s="19"/>
      <c r="BM24" s="19"/>
      <c r="BN24" s="19"/>
      <c r="BO24" s="189"/>
      <c r="BP24" s="19"/>
      <c r="BQ24" s="19"/>
      <c r="BR24" s="19"/>
      <c r="BS24" s="19"/>
      <c r="BT24" s="19"/>
      <c r="BU24" s="19"/>
      <c r="BV24" s="189"/>
      <c r="BW24" s="19"/>
      <c r="BX24" s="19"/>
      <c r="BY24" s="19"/>
      <c r="BZ24" s="19"/>
      <c r="CA24" s="141" t="s">
        <v>3190</v>
      </c>
      <c r="CB24" s="141" t="s">
        <v>3191</v>
      </c>
      <c r="CC24" s="15" t="s">
        <v>355</v>
      </c>
      <c r="CD24" s="14"/>
      <c r="CE24" s="15" t="s">
        <v>5064</v>
      </c>
      <c r="CF24" s="14"/>
      <c r="CG24" s="15"/>
      <c r="CH24" s="14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63" t="s">
        <v>3739</v>
      </c>
      <c r="CT24" s="264" t="s">
        <v>3739</v>
      </c>
      <c r="CU24" s="264" t="s">
        <v>3739</v>
      </c>
      <c r="CV24" s="264" t="s">
        <v>3739</v>
      </c>
      <c r="CW24" s="264" t="s">
        <v>3739</v>
      </c>
      <c r="CX24" s="264" t="s">
        <v>3739</v>
      </c>
    </row>
    <row r="25" spans="1:105" ht="36">
      <c r="A25" s="129">
        <v>18</v>
      </c>
      <c r="B25" s="322" t="s">
        <v>5065</v>
      </c>
      <c r="C25" s="15" t="s">
        <v>942</v>
      </c>
      <c r="D25" s="336" t="s">
        <v>5066</v>
      </c>
      <c r="E25" s="15" t="s">
        <v>5067</v>
      </c>
      <c r="F25" s="13">
        <v>2021</v>
      </c>
      <c r="G25" s="13">
        <v>2021</v>
      </c>
      <c r="H25" s="13">
        <v>5</v>
      </c>
      <c r="I25" s="15" t="s">
        <v>4977</v>
      </c>
      <c r="J25" s="15"/>
      <c r="K25" s="362">
        <f t="shared" si="0"/>
        <v>48800000</v>
      </c>
      <c r="L25" s="453">
        <v>48800000</v>
      </c>
      <c r="M25" s="15" t="s">
        <v>3216</v>
      </c>
      <c r="N25" s="13">
        <v>7</v>
      </c>
      <c r="O25" s="15" t="s">
        <v>4978</v>
      </c>
      <c r="P25" s="14" t="s">
        <v>3077</v>
      </c>
      <c r="Q25" s="13"/>
      <c r="R25" s="13"/>
      <c r="S25" s="13">
        <v>6680627</v>
      </c>
      <c r="T25" s="23" t="s">
        <v>95</v>
      </c>
      <c r="U25" s="16" t="s">
        <v>1912</v>
      </c>
      <c r="V25" s="453">
        <v>48800000</v>
      </c>
      <c r="W25" s="15" t="s">
        <v>160</v>
      </c>
      <c r="X25" s="15"/>
      <c r="Y25" s="15"/>
      <c r="Z25" s="15" t="s">
        <v>3217</v>
      </c>
      <c r="AA25" s="15" t="s">
        <v>3216</v>
      </c>
      <c r="AB25" s="8">
        <v>8140</v>
      </c>
      <c r="AC25" s="187" t="s">
        <v>3291</v>
      </c>
      <c r="AD25" s="17"/>
      <c r="AE25" s="56"/>
      <c r="AF25" s="17" t="s">
        <v>1157</v>
      </c>
      <c r="AG25" s="453">
        <v>48800000</v>
      </c>
      <c r="AH25" s="15"/>
      <c r="AI25" s="15"/>
      <c r="AJ25" s="15"/>
      <c r="AK25" s="15"/>
      <c r="AL25" s="15"/>
      <c r="AM25" s="8">
        <v>6680708</v>
      </c>
      <c r="AN25" s="10" t="s">
        <v>2436</v>
      </c>
      <c r="AO25" s="15" t="s">
        <v>85</v>
      </c>
      <c r="AP25" s="453">
        <v>48800000</v>
      </c>
      <c r="AQ25" s="15" t="s">
        <v>155</v>
      </c>
      <c r="AR25" s="15"/>
      <c r="AS25" s="15"/>
      <c r="AT25" s="15" t="s">
        <v>3224</v>
      </c>
      <c r="AU25" s="15" t="s">
        <v>3216</v>
      </c>
      <c r="AV25" s="19"/>
      <c r="AW25" s="19"/>
      <c r="AX25" s="15"/>
      <c r="AY25" s="189"/>
      <c r="AZ25" s="19"/>
      <c r="BA25" s="19"/>
      <c r="BB25" s="19"/>
      <c r="BC25" s="19"/>
      <c r="BD25" s="19"/>
      <c r="BE25" s="19"/>
      <c r="BF25" s="15"/>
      <c r="BG25" s="189"/>
      <c r="BH25" s="19"/>
      <c r="BI25" s="19"/>
      <c r="BJ25" s="19"/>
      <c r="BK25" s="19"/>
      <c r="BL25" s="19"/>
      <c r="BM25" s="19"/>
      <c r="BN25" s="19"/>
      <c r="BO25" s="189"/>
      <c r="BP25" s="19"/>
      <c r="BQ25" s="19"/>
      <c r="BR25" s="19"/>
      <c r="BS25" s="19"/>
      <c r="BT25" s="19"/>
      <c r="BU25" s="19"/>
      <c r="BV25" s="189"/>
      <c r="BW25" s="19"/>
      <c r="BX25" s="19"/>
      <c r="BY25" s="19"/>
      <c r="BZ25" s="19"/>
      <c r="CA25" s="142" t="s">
        <v>3190</v>
      </c>
      <c r="CB25" s="142" t="s">
        <v>3191</v>
      </c>
      <c r="CC25" s="15"/>
      <c r="CD25" s="14"/>
      <c r="CE25" s="15"/>
      <c r="CF25" s="14"/>
      <c r="CG25" s="15"/>
      <c r="CH25" s="14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63" t="s">
        <v>3739</v>
      </c>
      <c r="CT25" s="264" t="s">
        <v>3739</v>
      </c>
      <c r="CU25" s="264" t="s">
        <v>3739</v>
      </c>
      <c r="CV25" s="264" t="s">
        <v>3739</v>
      </c>
      <c r="CW25" s="264" t="s">
        <v>3739</v>
      </c>
      <c r="CX25" s="264" t="s">
        <v>3739</v>
      </c>
    </row>
    <row r="26" spans="1:105" ht="48.6">
      <c r="A26" s="129">
        <v>19</v>
      </c>
      <c r="B26" s="322" t="s">
        <v>5068</v>
      </c>
      <c r="C26" s="322" t="s">
        <v>5069</v>
      </c>
      <c r="D26" s="14" t="s">
        <v>5070</v>
      </c>
      <c r="E26" s="13" t="s">
        <v>4976</v>
      </c>
      <c r="F26" s="13">
        <v>2021</v>
      </c>
      <c r="G26" s="13">
        <v>2021</v>
      </c>
      <c r="H26" s="13">
        <v>5</v>
      </c>
      <c r="I26" s="15" t="s">
        <v>4977</v>
      </c>
      <c r="J26" s="15" t="s">
        <v>5694</v>
      </c>
      <c r="K26" s="362">
        <f t="shared" si="0"/>
        <v>3456000</v>
      </c>
      <c r="L26" s="453">
        <v>3456000</v>
      </c>
      <c r="M26" s="15" t="s">
        <v>3216</v>
      </c>
      <c r="N26" s="13">
        <v>7</v>
      </c>
      <c r="O26" s="15" t="s">
        <v>4978</v>
      </c>
      <c r="P26" s="14" t="s">
        <v>3223</v>
      </c>
      <c r="Q26" s="13"/>
      <c r="R26" s="13"/>
      <c r="S26" s="13">
        <v>6680683</v>
      </c>
      <c r="T26" s="23" t="s">
        <v>10</v>
      </c>
      <c r="U26" s="16" t="s">
        <v>2454</v>
      </c>
      <c r="V26" s="453">
        <v>3456000</v>
      </c>
      <c r="W26" s="15" t="s">
        <v>164</v>
      </c>
      <c r="X26" s="15"/>
      <c r="Y26" s="15"/>
      <c r="Z26" s="15" t="s">
        <v>3217</v>
      </c>
      <c r="AA26" s="15" t="s">
        <v>3216</v>
      </c>
      <c r="AB26" s="8"/>
      <c r="AC26" s="215"/>
      <c r="AD26" s="202">
        <v>6680629</v>
      </c>
      <c r="AE26" s="216" t="s">
        <v>5071</v>
      </c>
      <c r="AF26" s="202" t="s">
        <v>27</v>
      </c>
      <c r="AG26" s="453">
        <v>3456000</v>
      </c>
      <c r="AH26" s="15" t="s">
        <v>151</v>
      </c>
      <c r="AI26" s="15"/>
      <c r="AJ26" s="15"/>
      <c r="AK26" s="15" t="s">
        <v>3224</v>
      </c>
      <c r="AL26" s="15" t="s">
        <v>3216</v>
      </c>
      <c r="AM26" s="8"/>
      <c r="AN26" s="60"/>
      <c r="AO26" s="15"/>
      <c r="AP26" s="453"/>
      <c r="AQ26" s="15"/>
      <c r="AR26" s="15"/>
      <c r="AS26" s="15"/>
      <c r="AT26" s="15"/>
      <c r="AU26" s="19"/>
      <c r="AV26" s="19"/>
      <c r="AW26" s="19"/>
      <c r="AX26" s="15"/>
      <c r="AY26" s="189"/>
      <c r="AZ26" s="19"/>
      <c r="BA26" s="19"/>
      <c r="BB26" s="19"/>
      <c r="BC26" s="19"/>
      <c r="BD26" s="19"/>
      <c r="BE26" s="19"/>
      <c r="BF26" s="15"/>
      <c r="BG26" s="189"/>
      <c r="BH26" s="19"/>
      <c r="BI26" s="19"/>
      <c r="BJ26" s="19"/>
      <c r="BK26" s="19"/>
      <c r="BL26" s="19"/>
      <c r="BM26" s="19"/>
      <c r="BN26" s="19"/>
      <c r="BO26" s="189"/>
      <c r="BP26" s="19"/>
      <c r="BQ26" s="19"/>
      <c r="BR26" s="19"/>
      <c r="BS26" s="19"/>
      <c r="BT26" s="19"/>
      <c r="BU26" s="19"/>
      <c r="BV26" s="189"/>
      <c r="BW26" s="19"/>
      <c r="BX26" s="19"/>
      <c r="BY26" s="19"/>
      <c r="BZ26" s="19"/>
      <c r="CA26" s="141" t="s">
        <v>3190</v>
      </c>
      <c r="CB26" s="141" t="s">
        <v>3191</v>
      </c>
      <c r="CC26" s="15" t="s">
        <v>550</v>
      </c>
      <c r="CD26" s="14"/>
      <c r="CE26" s="15" t="s">
        <v>5072</v>
      </c>
      <c r="CF26" s="14"/>
      <c r="CG26" s="15"/>
      <c r="CH26" s="14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63" t="s">
        <v>3739</v>
      </c>
      <c r="CT26" s="264" t="s">
        <v>4981</v>
      </c>
      <c r="CU26" s="264" t="s">
        <v>5009</v>
      </c>
      <c r="CV26" s="264" t="s">
        <v>5073</v>
      </c>
      <c r="CW26" s="264" t="s">
        <v>3739</v>
      </c>
      <c r="CX26" s="264" t="s">
        <v>3739</v>
      </c>
    </row>
    <row r="27" spans="1:105" ht="36.6">
      <c r="A27" s="129">
        <v>20</v>
      </c>
      <c r="B27" s="322" t="s">
        <v>5068</v>
      </c>
      <c r="C27" s="322" t="s">
        <v>5074</v>
      </c>
      <c r="D27" s="14" t="s">
        <v>5075</v>
      </c>
      <c r="E27" s="13" t="s">
        <v>4976</v>
      </c>
      <c r="F27" s="13">
        <v>2021</v>
      </c>
      <c r="G27" s="13">
        <v>2021</v>
      </c>
      <c r="H27" s="13">
        <v>5</v>
      </c>
      <c r="I27" s="15" t="s">
        <v>4977</v>
      </c>
      <c r="J27" s="15" t="s">
        <v>5695</v>
      </c>
      <c r="K27" s="362">
        <f t="shared" si="0"/>
        <v>1000000</v>
      </c>
      <c r="L27" s="453">
        <v>1000000</v>
      </c>
      <c r="M27" s="15" t="s">
        <v>3216</v>
      </c>
      <c r="N27" s="13">
        <v>7</v>
      </c>
      <c r="O27" s="15" t="s">
        <v>4978</v>
      </c>
      <c r="P27" s="14" t="s">
        <v>3223</v>
      </c>
      <c r="Q27" s="13"/>
      <c r="R27" s="13"/>
      <c r="S27" s="13">
        <v>6680678</v>
      </c>
      <c r="T27" s="23" t="s">
        <v>14</v>
      </c>
      <c r="U27" s="16" t="s">
        <v>1725</v>
      </c>
      <c r="V27" s="453">
        <v>1000000</v>
      </c>
      <c r="W27" s="15" t="s">
        <v>151</v>
      </c>
      <c r="X27" s="15"/>
      <c r="Y27" s="15"/>
      <c r="Z27" s="15" t="s">
        <v>3224</v>
      </c>
      <c r="AA27" s="15" t="s">
        <v>3216</v>
      </c>
      <c r="AB27" s="8"/>
      <c r="AC27" s="215"/>
      <c r="AD27" s="202">
        <v>6680683</v>
      </c>
      <c r="AE27" s="216" t="s">
        <v>2454</v>
      </c>
      <c r="AF27" s="202" t="s">
        <v>10</v>
      </c>
      <c r="AG27" s="453">
        <v>1000000</v>
      </c>
      <c r="AH27" s="15" t="s">
        <v>164</v>
      </c>
      <c r="AI27" s="15"/>
      <c r="AJ27" s="15"/>
      <c r="AK27" s="15" t="s">
        <v>3217</v>
      </c>
      <c r="AL27" s="15" t="s">
        <v>3216</v>
      </c>
      <c r="AM27" s="8"/>
      <c r="AN27" s="60"/>
      <c r="AO27" s="15"/>
      <c r="AP27" s="453"/>
      <c r="AQ27" s="15"/>
      <c r="AR27" s="15"/>
      <c r="AS27" s="15"/>
      <c r="AT27" s="15"/>
      <c r="AU27" s="19"/>
      <c r="AV27" s="19"/>
      <c r="AW27" s="19"/>
      <c r="AX27" s="15"/>
      <c r="AY27" s="189"/>
      <c r="AZ27" s="19"/>
      <c r="BA27" s="19"/>
      <c r="BB27" s="19"/>
      <c r="BC27" s="19"/>
      <c r="BD27" s="19"/>
      <c r="BE27" s="19"/>
      <c r="BF27" s="15"/>
      <c r="BG27" s="189"/>
      <c r="BH27" s="19"/>
      <c r="BI27" s="19"/>
      <c r="BJ27" s="19"/>
      <c r="BK27" s="19"/>
      <c r="BL27" s="19"/>
      <c r="BM27" s="19"/>
      <c r="BN27" s="19"/>
      <c r="BO27" s="189"/>
      <c r="BP27" s="19"/>
      <c r="BQ27" s="19"/>
      <c r="BR27" s="19"/>
      <c r="BS27" s="19"/>
      <c r="BT27" s="19"/>
      <c r="BU27" s="19"/>
      <c r="BV27" s="189"/>
      <c r="BW27" s="19"/>
      <c r="BX27" s="19"/>
      <c r="BY27" s="19"/>
      <c r="BZ27" s="19"/>
      <c r="CA27" s="141" t="s">
        <v>3190</v>
      </c>
      <c r="CB27" s="142" t="s">
        <v>3191</v>
      </c>
      <c r="CC27" s="15" t="s">
        <v>3078</v>
      </c>
      <c r="CD27" s="14"/>
      <c r="CE27" s="15"/>
      <c r="CF27" s="14"/>
      <c r="CG27" s="15"/>
      <c r="CH27" s="14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66" t="s">
        <v>942</v>
      </c>
      <c r="CT27" s="264" t="s">
        <v>4998</v>
      </c>
      <c r="CU27" s="265" t="s">
        <v>942</v>
      </c>
      <c r="CV27" s="264" t="s">
        <v>5076</v>
      </c>
      <c r="CW27" s="264" t="s">
        <v>3739</v>
      </c>
      <c r="CX27" s="264" t="s">
        <v>3739</v>
      </c>
    </row>
    <row r="28" spans="1:105" ht="84.6">
      <c r="A28" s="129">
        <v>21</v>
      </c>
      <c r="B28" s="322" t="s">
        <v>5068</v>
      </c>
      <c r="C28" s="15" t="s">
        <v>942</v>
      </c>
      <c r="D28" s="336" t="s">
        <v>5077</v>
      </c>
      <c r="E28" s="15" t="s">
        <v>5078</v>
      </c>
      <c r="F28" s="13">
        <v>2021</v>
      </c>
      <c r="G28" s="13">
        <v>2021</v>
      </c>
      <c r="H28" s="13">
        <v>5</v>
      </c>
      <c r="I28" s="15" t="s">
        <v>4977</v>
      </c>
      <c r="J28" s="15" t="s">
        <v>5696</v>
      </c>
      <c r="K28" s="362">
        <v>0</v>
      </c>
      <c r="L28" s="453">
        <v>5000000</v>
      </c>
      <c r="M28" s="15" t="s">
        <v>3216</v>
      </c>
      <c r="N28" s="13">
        <v>7</v>
      </c>
      <c r="O28" s="15" t="s">
        <v>4978</v>
      </c>
      <c r="P28" s="14" t="s">
        <v>3223</v>
      </c>
      <c r="Q28" s="13"/>
      <c r="R28" s="13"/>
      <c r="S28" s="18"/>
      <c r="T28" s="7" t="s">
        <v>1573</v>
      </c>
      <c r="U28" s="73"/>
      <c r="V28" s="453">
        <v>5000000</v>
      </c>
      <c r="W28" s="15"/>
      <c r="X28" s="15"/>
      <c r="Y28" s="15"/>
      <c r="Z28" s="15"/>
      <c r="AA28" s="15"/>
      <c r="AB28" s="8"/>
      <c r="AC28" s="215"/>
      <c r="AD28" s="6">
        <v>6801989</v>
      </c>
      <c r="AE28" s="6" t="s">
        <v>1890</v>
      </c>
      <c r="AF28" s="6" t="s">
        <v>174</v>
      </c>
      <c r="AG28" s="453">
        <v>5000000</v>
      </c>
      <c r="AH28" s="15" t="s">
        <v>3093</v>
      </c>
      <c r="AI28" s="15"/>
      <c r="AJ28" s="15"/>
      <c r="AK28" s="15" t="s">
        <v>3217</v>
      </c>
      <c r="AL28" s="15" t="s">
        <v>3216</v>
      </c>
      <c r="AM28" s="8"/>
      <c r="AN28" s="60"/>
      <c r="AO28" s="15"/>
      <c r="AP28" s="453"/>
      <c r="AQ28" s="15"/>
      <c r="AR28" s="15"/>
      <c r="AS28" s="15"/>
      <c r="AT28" s="15"/>
      <c r="AU28" s="19"/>
      <c r="AV28" s="19"/>
      <c r="AW28" s="19"/>
      <c r="AX28" s="15"/>
      <c r="AY28" s="189"/>
      <c r="AZ28" s="19"/>
      <c r="BA28" s="19"/>
      <c r="BB28" s="19"/>
      <c r="BC28" s="19"/>
      <c r="BD28" s="19"/>
      <c r="BE28" s="19"/>
      <c r="BF28" s="15"/>
      <c r="BG28" s="189"/>
      <c r="BH28" s="19"/>
      <c r="BI28" s="19"/>
      <c r="BJ28" s="19"/>
      <c r="BK28" s="19"/>
      <c r="BL28" s="19"/>
      <c r="BM28" s="19"/>
      <c r="BN28" s="19"/>
      <c r="BO28" s="189"/>
      <c r="BP28" s="19"/>
      <c r="BQ28" s="19"/>
      <c r="BR28" s="19"/>
      <c r="BS28" s="19"/>
      <c r="BT28" s="19"/>
      <c r="BU28" s="19"/>
      <c r="BV28" s="189"/>
      <c r="BW28" s="19"/>
      <c r="BX28" s="19"/>
      <c r="BY28" s="19"/>
      <c r="BZ28" s="19"/>
      <c r="CA28" s="141" t="s">
        <v>3190</v>
      </c>
      <c r="CB28" s="141" t="s">
        <v>3191</v>
      </c>
      <c r="CC28" s="15" t="s">
        <v>5079</v>
      </c>
      <c r="CD28" s="14" t="s">
        <v>3737</v>
      </c>
      <c r="CE28" s="15" t="s">
        <v>1720</v>
      </c>
      <c r="CF28" s="14"/>
      <c r="CG28" s="15" t="s">
        <v>5080</v>
      </c>
      <c r="CH28" s="14" t="s">
        <v>3737</v>
      </c>
      <c r="CI28" s="15" t="s">
        <v>5081</v>
      </c>
      <c r="CJ28" s="20"/>
      <c r="CK28" s="15" t="s">
        <v>5082</v>
      </c>
      <c r="CL28" s="20"/>
      <c r="CM28" s="15" t="s">
        <v>5083</v>
      </c>
      <c r="CN28" s="20"/>
      <c r="CO28" s="20"/>
      <c r="CP28" s="20"/>
      <c r="CQ28" s="20"/>
      <c r="CR28" s="20"/>
      <c r="CS28" s="266" t="s">
        <v>942</v>
      </c>
      <c r="CT28" s="264" t="s">
        <v>4981</v>
      </c>
      <c r="CU28" s="264" t="s">
        <v>4991</v>
      </c>
      <c r="CV28" s="264" t="s">
        <v>5084</v>
      </c>
      <c r="CW28" s="264" t="s">
        <v>3739</v>
      </c>
      <c r="CX28" s="264" t="s">
        <v>3739</v>
      </c>
    </row>
    <row r="29" spans="1:105" ht="60.6">
      <c r="A29" s="297">
        <v>22</v>
      </c>
      <c r="B29" s="322" t="s">
        <v>5068</v>
      </c>
      <c r="C29" s="322" t="s">
        <v>5085</v>
      </c>
      <c r="D29" s="14" t="s">
        <v>5086</v>
      </c>
      <c r="E29" s="15" t="s">
        <v>5078</v>
      </c>
      <c r="F29" s="13">
        <v>2021</v>
      </c>
      <c r="G29" s="13">
        <v>2021</v>
      </c>
      <c r="H29" s="13">
        <v>5</v>
      </c>
      <c r="I29" s="15" t="s">
        <v>4977</v>
      </c>
      <c r="J29" s="15" t="s">
        <v>5697</v>
      </c>
      <c r="K29" s="362">
        <v>0</v>
      </c>
      <c r="L29" s="453">
        <v>5000000</v>
      </c>
      <c r="M29" s="15" t="s">
        <v>3216</v>
      </c>
      <c r="N29" s="13">
        <v>7</v>
      </c>
      <c r="O29" s="15" t="s">
        <v>4978</v>
      </c>
      <c r="P29" s="14" t="s">
        <v>3223</v>
      </c>
      <c r="Q29" s="13"/>
      <c r="R29" s="13"/>
      <c r="S29" s="8">
        <v>6756318</v>
      </c>
      <c r="T29" s="7" t="s">
        <v>62</v>
      </c>
      <c r="U29" s="60" t="s">
        <v>950</v>
      </c>
      <c r="V29" s="453">
        <v>5000000</v>
      </c>
      <c r="W29" s="15" t="s">
        <v>175</v>
      </c>
      <c r="X29" s="15"/>
      <c r="Y29" s="15"/>
      <c r="Z29" s="15" t="s">
        <v>3217</v>
      </c>
      <c r="AA29" s="15" t="s">
        <v>3216</v>
      </c>
      <c r="AB29" s="8"/>
      <c r="AC29" s="215"/>
      <c r="AD29" s="202">
        <v>6778519</v>
      </c>
      <c r="AE29" s="216" t="s">
        <v>1876</v>
      </c>
      <c r="AF29" s="202" t="s">
        <v>177</v>
      </c>
      <c r="AG29" s="453">
        <v>5000000</v>
      </c>
      <c r="AH29" s="15" t="s">
        <v>172</v>
      </c>
      <c r="AI29" s="15"/>
      <c r="AJ29" s="15"/>
      <c r="AK29" s="15" t="s">
        <v>3224</v>
      </c>
      <c r="AL29" s="15" t="s">
        <v>3216</v>
      </c>
      <c r="AM29" s="8">
        <v>6793410</v>
      </c>
      <c r="AN29" s="60" t="s">
        <v>947</v>
      </c>
      <c r="AO29" s="15" t="s">
        <v>79</v>
      </c>
      <c r="AP29" s="453">
        <v>5000000</v>
      </c>
      <c r="AQ29" s="15" t="s">
        <v>175</v>
      </c>
      <c r="AR29" s="15"/>
      <c r="AS29" s="15"/>
      <c r="AT29" s="15" t="s">
        <v>3217</v>
      </c>
      <c r="AU29" s="15" t="s">
        <v>3216</v>
      </c>
      <c r="AV29" s="19"/>
      <c r="AW29" s="19"/>
      <c r="AX29" s="15"/>
      <c r="AY29" s="189"/>
      <c r="AZ29" s="19"/>
      <c r="BA29" s="19"/>
      <c r="BB29" s="19"/>
      <c r="BC29" s="19"/>
      <c r="BD29" s="19"/>
      <c r="BE29" s="19"/>
      <c r="BF29" s="15"/>
      <c r="BG29" s="189"/>
      <c r="BH29" s="19"/>
      <c r="BI29" s="19"/>
      <c r="BJ29" s="19"/>
      <c r="BK29" s="19"/>
      <c r="BL29" s="19"/>
      <c r="BM29" s="19"/>
      <c r="BN29" s="19"/>
      <c r="BO29" s="189"/>
      <c r="BP29" s="19"/>
      <c r="BQ29" s="19"/>
      <c r="BR29" s="19"/>
      <c r="BS29" s="19"/>
      <c r="BT29" s="19"/>
      <c r="BU29" s="19"/>
      <c r="BV29" s="189"/>
      <c r="BW29" s="19"/>
      <c r="BX29" s="19"/>
      <c r="BY29" s="19"/>
      <c r="BZ29" s="19"/>
      <c r="CA29" s="141" t="s">
        <v>3190</v>
      </c>
      <c r="CB29" s="141" t="s">
        <v>3191</v>
      </c>
      <c r="CC29" s="15" t="s">
        <v>5087</v>
      </c>
      <c r="CD29" s="14" t="s">
        <v>3589</v>
      </c>
      <c r="CE29" s="15" t="s">
        <v>5088</v>
      </c>
      <c r="CF29" s="14" t="s">
        <v>3589</v>
      </c>
      <c r="CG29" s="15" t="s">
        <v>5089</v>
      </c>
      <c r="CH29" s="14" t="s">
        <v>3589</v>
      </c>
      <c r="CI29" s="15" t="s">
        <v>5090</v>
      </c>
      <c r="CJ29" s="20" t="s">
        <v>3589</v>
      </c>
      <c r="CK29" s="15" t="s">
        <v>5091</v>
      </c>
      <c r="CL29" s="20" t="s">
        <v>3589</v>
      </c>
      <c r="CM29" s="15"/>
      <c r="CN29" s="20"/>
      <c r="CO29" s="20"/>
      <c r="CP29" s="20"/>
      <c r="CQ29" s="20"/>
      <c r="CR29" s="20"/>
      <c r="CS29" s="263" t="s">
        <v>3739</v>
      </c>
      <c r="CT29" s="264" t="s">
        <v>5092</v>
      </c>
      <c r="CU29" s="264" t="s">
        <v>4991</v>
      </c>
      <c r="CV29" s="264" t="s">
        <v>5093</v>
      </c>
      <c r="CW29" s="264" t="s">
        <v>5094</v>
      </c>
      <c r="CX29" s="264" t="s">
        <v>5095</v>
      </c>
    </row>
    <row r="30" spans="1:105" ht="60.6">
      <c r="A30" s="297">
        <v>23</v>
      </c>
      <c r="B30" s="322" t="s">
        <v>5068</v>
      </c>
      <c r="C30" s="322" t="s">
        <v>5096</v>
      </c>
      <c r="D30" s="14" t="s">
        <v>5097</v>
      </c>
      <c r="E30" s="15" t="s">
        <v>5078</v>
      </c>
      <c r="F30" s="13">
        <v>2021</v>
      </c>
      <c r="G30" s="13">
        <v>2021</v>
      </c>
      <c r="H30" s="13">
        <v>5</v>
      </c>
      <c r="I30" s="15" t="s">
        <v>4986</v>
      </c>
      <c r="J30" s="15" t="s">
        <v>5698</v>
      </c>
      <c r="K30" s="362">
        <v>0</v>
      </c>
      <c r="L30" s="453">
        <v>5000000</v>
      </c>
      <c r="M30" s="15" t="s">
        <v>3216</v>
      </c>
      <c r="N30" s="13">
        <v>7</v>
      </c>
      <c r="O30" s="15" t="s">
        <v>4978</v>
      </c>
      <c r="P30" s="14" t="s">
        <v>3223</v>
      </c>
      <c r="Q30" s="13"/>
      <c r="R30" s="13"/>
      <c r="S30" s="8">
        <v>6756318</v>
      </c>
      <c r="T30" s="7" t="s">
        <v>62</v>
      </c>
      <c r="U30" s="60" t="s">
        <v>950</v>
      </c>
      <c r="V30" s="453">
        <v>5000000</v>
      </c>
      <c r="W30" s="15" t="s">
        <v>175</v>
      </c>
      <c r="X30" s="15"/>
      <c r="Y30" s="15"/>
      <c r="Z30" s="15" t="s">
        <v>3217</v>
      </c>
      <c r="AA30" s="15" t="s">
        <v>3216</v>
      </c>
      <c r="AB30" s="8"/>
      <c r="AC30" s="215"/>
      <c r="AD30" s="202">
        <v>6778519</v>
      </c>
      <c r="AE30" s="216" t="s">
        <v>1876</v>
      </c>
      <c r="AF30" s="202" t="s">
        <v>177</v>
      </c>
      <c r="AG30" s="453">
        <v>5000000</v>
      </c>
      <c r="AH30" s="15" t="s">
        <v>172</v>
      </c>
      <c r="AI30" s="15"/>
      <c r="AJ30" s="15"/>
      <c r="AK30" s="15" t="s">
        <v>3224</v>
      </c>
      <c r="AL30" s="15" t="s">
        <v>3216</v>
      </c>
      <c r="AM30" s="8">
        <v>6793410</v>
      </c>
      <c r="AN30" s="60" t="s">
        <v>947</v>
      </c>
      <c r="AO30" s="15" t="s">
        <v>79</v>
      </c>
      <c r="AP30" s="453">
        <v>5000000</v>
      </c>
      <c r="AQ30" s="15" t="s">
        <v>175</v>
      </c>
      <c r="AR30" s="15"/>
      <c r="AS30" s="15"/>
      <c r="AT30" s="15" t="s">
        <v>3217</v>
      </c>
      <c r="AU30" s="15" t="s">
        <v>3216</v>
      </c>
      <c r="AV30" s="19"/>
      <c r="AW30" s="19"/>
      <c r="AX30" s="15"/>
      <c r="AY30" s="189"/>
      <c r="AZ30" s="19"/>
      <c r="BA30" s="19"/>
      <c r="BB30" s="19"/>
      <c r="BC30" s="19"/>
      <c r="BD30" s="19"/>
      <c r="BE30" s="19"/>
      <c r="BF30" s="15"/>
      <c r="BG30" s="189"/>
      <c r="BH30" s="19"/>
      <c r="BI30" s="19"/>
      <c r="BJ30" s="19"/>
      <c r="BK30" s="19"/>
      <c r="BL30" s="19"/>
      <c r="BM30" s="19"/>
      <c r="BN30" s="19"/>
      <c r="BO30" s="189"/>
      <c r="BP30" s="19"/>
      <c r="BQ30" s="19"/>
      <c r="BR30" s="19"/>
      <c r="BS30" s="19"/>
      <c r="BT30" s="19"/>
      <c r="BU30" s="19"/>
      <c r="BV30" s="189"/>
      <c r="BW30" s="19"/>
      <c r="BX30" s="19"/>
      <c r="BY30" s="19"/>
      <c r="BZ30" s="19"/>
      <c r="CA30" s="762" t="s">
        <v>3190</v>
      </c>
      <c r="CB30" s="141" t="s">
        <v>3191</v>
      </c>
      <c r="CC30" s="15" t="s">
        <v>5087</v>
      </c>
      <c r="CD30" s="14" t="s">
        <v>3589</v>
      </c>
      <c r="CE30" s="15" t="s">
        <v>5088</v>
      </c>
      <c r="CF30" s="14" t="s">
        <v>3589</v>
      </c>
      <c r="CG30" s="15" t="s">
        <v>5089</v>
      </c>
      <c r="CH30" s="14" t="s">
        <v>3589</v>
      </c>
      <c r="CI30" s="15" t="s">
        <v>5090</v>
      </c>
      <c r="CJ30" s="20" t="s">
        <v>3589</v>
      </c>
      <c r="CK30" s="15" t="s">
        <v>5091</v>
      </c>
      <c r="CL30" s="20" t="s">
        <v>3589</v>
      </c>
      <c r="CM30" s="15"/>
      <c r="CN30" s="20"/>
      <c r="CO30" s="20"/>
      <c r="CP30" s="20"/>
      <c r="CQ30" s="20"/>
      <c r="CR30" s="20"/>
      <c r="CS30" s="263" t="s">
        <v>3739</v>
      </c>
      <c r="CT30" s="264" t="s">
        <v>5092</v>
      </c>
      <c r="CU30" s="264" t="s">
        <v>4991</v>
      </c>
      <c r="CV30" s="264" t="s">
        <v>3739</v>
      </c>
      <c r="CW30" s="264" t="s">
        <v>5098</v>
      </c>
      <c r="CX30" s="264" t="s">
        <v>3739</v>
      </c>
    </row>
    <row r="31" spans="1:105" ht="72.599999999999994">
      <c r="A31" s="129">
        <v>24</v>
      </c>
      <c r="B31" s="322" t="s">
        <v>5068</v>
      </c>
      <c r="C31" s="15" t="s">
        <v>942</v>
      </c>
      <c r="D31" s="14" t="s">
        <v>5099</v>
      </c>
      <c r="E31" s="15" t="s">
        <v>5078</v>
      </c>
      <c r="F31" s="13">
        <v>2021</v>
      </c>
      <c r="G31" s="13">
        <v>2021</v>
      </c>
      <c r="H31" s="13">
        <v>5</v>
      </c>
      <c r="I31" s="15" t="s">
        <v>4977</v>
      </c>
      <c r="J31" s="15" t="s">
        <v>5699</v>
      </c>
      <c r="K31" s="362">
        <v>0</v>
      </c>
      <c r="L31" s="453">
        <v>4850000</v>
      </c>
      <c r="M31" s="15" t="s">
        <v>3216</v>
      </c>
      <c r="N31" s="13">
        <v>7</v>
      </c>
      <c r="O31" s="15" t="s">
        <v>4978</v>
      </c>
      <c r="P31" s="14" t="s">
        <v>3223</v>
      </c>
      <c r="Q31" s="13"/>
      <c r="R31" s="13"/>
      <c r="S31" s="6">
        <v>6784457</v>
      </c>
      <c r="T31" s="7" t="s">
        <v>44</v>
      </c>
      <c r="U31" s="6" t="s">
        <v>1754</v>
      </c>
      <c r="V31" s="453">
        <v>4850000</v>
      </c>
      <c r="W31" s="15" t="s">
        <v>172</v>
      </c>
      <c r="X31" s="15"/>
      <c r="Y31" s="15"/>
      <c r="Z31" s="15" t="s">
        <v>3224</v>
      </c>
      <c r="AA31" s="15" t="s">
        <v>3216</v>
      </c>
      <c r="AB31" s="8"/>
      <c r="AC31" s="215"/>
      <c r="AD31" s="17"/>
      <c r="AE31" s="56"/>
      <c r="AF31" s="202" t="s">
        <v>80</v>
      </c>
      <c r="AG31" s="453">
        <v>4850000</v>
      </c>
      <c r="AH31" s="15"/>
      <c r="AI31" s="15"/>
      <c r="AJ31" s="15"/>
      <c r="AK31" s="15"/>
      <c r="AL31" s="15"/>
      <c r="AM31" s="8"/>
      <c r="AN31" s="60"/>
      <c r="AO31" s="15"/>
      <c r="AP31" s="453"/>
      <c r="AQ31" s="15"/>
      <c r="AR31" s="15"/>
      <c r="AS31" s="15"/>
      <c r="AT31" s="15"/>
      <c r="AU31" s="19"/>
      <c r="AV31" s="19"/>
      <c r="AW31" s="19"/>
      <c r="AX31" s="15"/>
      <c r="AY31" s="189"/>
      <c r="AZ31" s="19"/>
      <c r="BA31" s="19"/>
      <c r="BB31" s="19"/>
      <c r="BC31" s="19"/>
      <c r="BD31" s="19"/>
      <c r="BE31" s="19"/>
      <c r="BF31" s="15"/>
      <c r="BG31" s="189"/>
      <c r="BH31" s="19"/>
      <c r="BI31" s="19"/>
      <c r="BJ31" s="19"/>
      <c r="BK31" s="19"/>
      <c r="BL31" s="19"/>
      <c r="BM31" s="19"/>
      <c r="BN31" s="19"/>
      <c r="BO31" s="189"/>
      <c r="BP31" s="19"/>
      <c r="BQ31" s="19"/>
      <c r="BR31" s="19"/>
      <c r="BS31" s="19"/>
      <c r="BT31" s="19"/>
      <c r="BU31" s="19"/>
      <c r="BV31" s="189"/>
      <c r="BW31" s="19"/>
      <c r="BX31" s="19"/>
      <c r="BY31" s="19"/>
      <c r="BZ31" s="19"/>
      <c r="CA31" s="141" t="s">
        <v>3190</v>
      </c>
      <c r="CB31" s="141" t="s">
        <v>3191</v>
      </c>
      <c r="CC31" s="15" t="s">
        <v>5100</v>
      </c>
      <c r="CD31" s="14" t="s">
        <v>3589</v>
      </c>
      <c r="CE31" s="15" t="s">
        <v>1224</v>
      </c>
      <c r="CF31" s="14" t="s">
        <v>3589</v>
      </c>
      <c r="CG31" s="15" t="s">
        <v>5101</v>
      </c>
      <c r="CH31" s="14" t="s">
        <v>3589</v>
      </c>
      <c r="CI31" s="15" t="s">
        <v>5102</v>
      </c>
      <c r="CJ31" s="20" t="s">
        <v>3589</v>
      </c>
      <c r="CK31" s="15" t="s">
        <v>5103</v>
      </c>
      <c r="CL31" s="20" t="s">
        <v>3589</v>
      </c>
      <c r="CM31" s="15"/>
      <c r="CN31" s="20"/>
      <c r="CO31" s="20"/>
      <c r="CP31" s="20"/>
      <c r="CQ31" s="20"/>
      <c r="CR31" s="20"/>
      <c r="CS31" s="263" t="s">
        <v>4990</v>
      </c>
      <c r="CT31" s="264" t="s">
        <v>4998</v>
      </c>
      <c r="CU31" s="264" t="s">
        <v>4991</v>
      </c>
      <c r="CV31" s="264" t="s">
        <v>5104</v>
      </c>
      <c r="CW31" s="264" t="s">
        <v>3739</v>
      </c>
      <c r="CX31" s="264" t="s">
        <v>3739</v>
      </c>
    </row>
    <row r="32" spans="1:105" ht="96.6">
      <c r="A32" s="129">
        <v>25</v>
      </c>
      <c r="B32" s="322" t="s">
        <v>5068</v>
      </c>
      <c r="C32" s="15" t="s">
        <v>942</v>
      </c>
      <c r="D32" s="14" t="s">
        <v>5105</v>
      </c>
      <c r="E32" s="15" t="s">
        <v>5078</v>
      </c>
      <c r="F32" s="13">
        <v>2021</v>
      </c>
      <c r="G32" s="13">
        <v>2021</v>
      </c>
      <c r="H32" s="13">
        <v>5</v>
      </c>
      <c r="I32" s="15" t="s">
        <v>4977</v>
      </c>
      <c r="J32" s="15" t="s">
        <v>5696</v>
      </c>
      <c r="K32" s="362">
        <v>0</v>
      </c>
      <c r="L32" s="453">
        <v>5000000</v>
      </c>
      <c r="M32" s="15" t="s">
        <v>3216</v>
      </c>
      <c r="N32" s="13">
        <v>7</v>
      </c>
      <c r="O32" s="15" t="s">
        <v>4978</v>
      </c>
      <c r="P32" s="14" t="s">
        <v>3223</v>
      </c>
      <c r="Q32" s="13"/>
      <c r="R32" s="13"/>
      <c r="S32" s="18"/>
      <c r="T32" s="183" t="s">
        <v>3097</v>
      </c>
      <c r="U32" s="73"/>
      <c r="V32" s="453">
        <v>5000000</v>
      </c>
      <c r="W32" s="15"/>
      <c r="X32" s="15"/>
      <c r="Y32" s="15"/>
      <c r="Z32" s="15"/>
      <c r="AA32" s="15"/>
      <c r="AB32" s="8"/>
      <c r="AC32" s="215"/>
      <c r="AD32" s="32"/>
      <c r="AE32" s="217"/>
      <c r="AF32" s="6" t="s">
        <v>3098</v>
      </c>
      <c r="AG32" s="453">
        <v>5000000</v>
      </c>
      <c r="AH32" s="15"/>
      <c r="AI32" s="15"/>
      <c r="AJ32" s="15"/>
      <c r="AK32" s="15"/>
      <c r="AL32" s="15"/>
      <c r="AM32" s="8"/>
      <c r="AN32" s="60"/>
      <c r="AO32" s="15"/>
      <c r="AP32" s="453"/>
      <c r="AQ32" s="15"/>
      <c r="AR32" s="15"/>
      <c r="AS32" s="15"/>
      <c r="AT32" s="15"/>
      <c r="AU32" s="19"/>
      <c r="AV32" s="19"/>
      <c r="AW32" s="19"/>
      <c r="AX32" s="15"/>
      <c r="AY32" s="189"/>
      <c r="AZ32" s="19"/>
      <c r="BA32" s="19"/>
      <c r="BB32" s="19"/>
      <c r="BC32" s="19"/>
      <c r="BD32" s="19"/>
      <c r="BE32" s="19"/>
      <c r="BF32" s="15"/>
      <c r="BG32" s="189"/>
      <c r="BH32" s="19"/>
      <c r="BI32" s="19"/>
      <c r="BJ32" s="19"/>
      <c r="BK32" s="19"/>
      <c r="BL32" s="19"/>
      <c r="BM32" s="19"/>
      <c r="BN32" s="19"/>
      <c r="BO32" s="189"/>
      <c r="BP32" s="19"/>
      <c r="BQ32" s="19"/>
      <c r="BR32" s="19"/>
      <c r="BS32" s="19"/>
      <c r="BT32" s="19"/>
      <c r="BU32" s="19"/>
      <c r="BV32" s="189"/>
      <c r="BW32" s="19"/>
      <c r="BX32" s="19"/>
      <c r="BY32" s="19"/>
      <c r="BZ32" s="19"/>
      <c r="CA32" s="141" t="s">
        <v>3190</v>
      </c>
      <c r="CB32" s="141" t="s">
        <v>3191</v>
      </c>
      <c r="CC32" s="15" t="s">
        <v>5106</v>
      </c>
      <c r="CD32" s="14"/>
      <c r="CE32" s="15" t="s">
        <v>5107</v>
      </c>
      <c r="CF32" s="14"/>
      <c r="CG32" s="15" t="s">
        <v>5108</v>
      </c>
      <c r="CH32" s="14"/>
      <c r="CI32" s="15" t="s">
        <v>5109</v>
      </c>
      <c r="CJ32" s="20"/>
      <c r="CK32" s="15" t="s">
        <v>5110</v>
      </c>
      <c r="CL32" s="20"/>
      <c r="CM32" s="15" t="s">
        <v>5111</v>
      </c>
      <c r="CN32" s="20"/>
      <c r="CO32" s="20"/>
      <c r="CP32" s="20"/>
      <c r="CQ32" s="20"/>
      <c r="CR32" s="20"/>
      <c r="CS32" s="266" t="s">
        <v>942</v>
      </c>
      <c r="CT32" s="264" t="s">
        <v>4981</v>
      </c>
      <c r="CU32" s="264" t="s">
        <v>4991</v>
      </c>
      <c r="CV32" s="264" t="s">
        <v>5112</v>
      </c>
      <c r="CW32" s="264" t="s">
        <v>3739</v>
      </c>
      <c r="CX32" s="264" t="s">
        <v>3739</v>
      </c>
    </row>
    <row r="33" spans="1:105" ht="96.6">
      <c r="A33" s="129">
        <v>26</v>
      </c>
      <c r="B33" s="322" t="s">
        <v>5068</v>
      </c>
      <c r="C33" s="15" t="s">
        <v>942</v>
      </c>
      <c r="D33" s="14" t="s">
        <v>5113</v>
      </c>
      <c r="E33" s="15" t="s">
        <v>5078</v>
      </c>
      <c r="F33" s="13">
        <v>2021</v>
      </c>
      <c r="G33" s="13">
        <v>2021</v>
      </c>
      <c r="H33" s="13">
        <v>5</v>
      </c>
      <c r="I33" s="15" t="s">
        <v>4977</v>
      </c>
      <c r="J33" s="15" t="s">
        <v>5700</v>
      </c>
      <c r="K33" s="362">
        <v>0</v>
      </c>
      <c r="L33" s="453">
        <v>5000000</v>
      </c>
      <c r="M33" s="15" t="s">
        <v>3216</v>
      </c>
      <c r="N33" s="13">
        <v>7</v>
      </c>
      <c r="O33" s="15" t="s">
        <v>4978</v>
      </c>
      <c r="P33" s="14" t="s">
        <v>3223</v>
      </c>
      <c r="Q33" s="13"/>
      <c r="R33" s="13"/>
      <c r="S33" s="18"/>
      <c r="T33" s="183" t="s">
        <v>1405</v>
      </c>
      <c r="U33" s="73"/>
      <c r="V33" s="453">
        <v>5000000</v>
      </c>
      <c r="W33" s="15"/>
      <c r="X33" s="15"/>
      <c r="Y33" s="15"/>
      <c r="Z33" s="15"/>
      <c r="AA33" s="15"/>
      <c r="AB33" s="8"/>
      <c r="AC33" s="215"/>
      <c r="AD33" s="8">
        <v>6787821</v>
      </c>
      <c r="AE33" s="10" t="s">
        <v>1756</v>
      </c>
      <c r="AF33" s="15" t="s">
        <v>43</v>
      </c>
      <c r="AG33" s="453">
        <v>5000000</v>
      </c>
      <c r="AH33" s="15" t="s">
        <v>172</v>
      </c>
      <c r="AI33" s="15"/>
      <c r="AJ33" s="15"/>
      <c r="AK33" s="15" t="s">
        <v>3224</v>
      </c>
      <c r="AL33" s="15" t="s">
        <v>3216</v>
      </c>
      <c r="AM33" s="8"/>
      <c r="AN33" s="60"/>
      <c r="AO33" s="15"/>
      <c r="AP33" s="453"/>
      <c r="AQ33" s="15"/>
      <c r="AR33" s="15"/>
      <c r="AS33" s="15"/>
      <c r="AT33" s="15"/>
      <c r="AU33" s="19"/>
      <c r="AV33" s="19"/>
      <c r="AW33" s="19"/>
      <c r="AX33" s="15"/>
      <c r="AY33" s="189"/>
      <c r="AZ33" s="19"/>
      <c r="BA33" s="19"/>
      <c r="BB33" s="19"/>
      <c r="BC33" s="19"/>
      <c r="BD33" s="19"/>
      <c r="BE33" s="19"/>
      <c r="BF33" s="15"/>
      <c r="BG33" s="189"/>
      <c r="BH33" s="19"/>
      <c r="BI33" s="19"/>
      <c r="BJ33" s="19"/>
      <c r="BK33" s="19"/>
      <c r="BL33" s="19"/>
      <c r="BM33" s="19"/>
      <c r="BN33" s="19"/>
      <c r="BO33" s="189"/>
      <c r="BP33" s="19"/>
      <c r="BQ33" s="19"/>
      <c r="BR33" s="19"/>
      <c r="BS33" s="19"/>
      <c r="BT33" s="19"/>
      <c r="BU33" s="19"/>
      <c r="BV33" s="189"/>
      <c r="BW33" s="19"/>
      <c r="BX33" s="19"/>
      <c r="BY33" s="19"/>
      <c r="BZ33" s="19"/>
      <c r="CA33" s="141" t="s">
        <v>3190</v>
      </c>
      <c r="CB33" s="141" t="s">
        <v>3191</v>
      </c>
      <c r="CC33" s="15" t="s">
        <v>1517</v>
      </c>
      <c r="CD33" s="14" t="s">
        <v>3713</v>
      </c>
      <c r="CE33" s="15" t="s">
        <v>3067</v>
      </c>
      <c r="CF33" s="14" t="s">
        <v>3713</v>
      </c>
      <c r="CG33" s="15" t="s">
        <v>1383</v>
      </c>
      <c r="CH33" s="14" t="s">
        <v>3713</v>
      </c>
      <c r="CI33" s="15" t="s">
        <v>1688</v>
      </c>
      <c r="CJ33" s="20" t="s">
        <v>3713</v>
      </c>
      <c r="CK33" s="15" t="s">
        <v>412</v>
      </c>
      <c r="CL33" s="20" t="s">
        <v>3713</v>
      </c>
      <c r="CM33" s="15" t="s">
        <v>5114</v>
      </c>
      <c r="CN33" s="20" t="s">
        <v>3713</v>
      </c>
      <c r="CO33" s="20"/>
      <c r="CP33" s="20"/>
      <c r="CQ33" s="20"/>
      <c r="CR33" s="20"/>
      <c r="CS33" s="263" t="s">
        <v>4990</v>
      </c>
      <c r="CT33" s="264" t="s">
        <v>4998</v>
      </c>
      <c r="CU33" s="264" t="s">
        <v>4991</v>
      </c>
      <c r="CV33" s="264" t="s">
        <v>5115</v>
      </c>
      <c r="CW33" s="264" t="s">
        <v>3739</v>
      </c>
      <c r="CX33" s="264" t="s">
        <v>3739</v>
      </c>
    </row>
    <row r="34" spans="1:105" ht="48.6">
      <c r="A34" s="297">
        <v>27</v>
      </c>
      <c r="B34" s="322" t="s">
        <v>5068</v>
      </c>
      <c r="C34" s="322" t="s">
        <v>5116</v>
      </c>
      <c r="D34" s="14" t="s">
        <v>5117</v>
      </c>
      <c r="E34" s="15" t="s">
        <v>5078</v>
      </c>
      <c r="F34" s="13">
        <v>2021</v>
      </c>
      <c r="G34" s="13">
        <v>2021</v>
      </c>
      <c r="H34" s="13">
        <v>5</v>
      </c>
      <c r="I34" s="15" t="s">
        <v>4986</v>
      </c>
      <c r="J34" s="15" t="s">
        <v>5701</v>
      </c>
      <c r="K34" s="362">
        <v>0</v>
      </c>
      <c r="L34" s="453">
        <v>5575000</v>
      </c>
      <c r="M34" s="15" t="s">
        <v>3216</v>
      </c>
      <c r="N34" s="13">
        <v>7</v>
      </c>
      <c r="O34" s="15" t="s">
        <v>4978</v>
      </c>
      <c r="P34" s="14" t="s">
        <v>3223</v>
      </c>
      <c r="Q34" s="13"/>
      <c r="R34" s="13"/>
      <c r="S34" s="8">
        <v>6760392</v>
      </c>
      <c r="T34" s="7" t="s">
        <v>75</v>
      </c>
      <c r="U34" s="10" t="s">
        <v>948</v>
      </c>
      <c r="V34" s="453">
        <v>5575000</v>
      </c>
      <c r="W34" s="15" t="s">
        <v>175</v>
      </c>
      <c r="X34" s="15"/>
      <c r="Y34" s="15"/>
      <c r="Z34" s="15" t="s">
        <v>3217</v>
      </c>
      <c r="AA34" s="15" t="s">
        <v>3216</v>
      </c>
      <c r="AB34" s="8"/>
      <c r="AC34" s="215"/>
      <c r="AD34" s="218">
        <v>6756289</v>
      </c>
      <c r="AE34" s="219" t="s">
        <v>1755</v>
      </c>
      <c r="AF34" s="220" t="s">
        <v>81</v>
      </c>
      <c r="AG34" s="453">
        <v>5575000</v>
      </c>
      <c r="AH34" s="221" t="s">
        <v>172</v>
      </c>
      <c r="AI34" s="221"/>
      <c r="AJ34" s="221"/>
      <c r="AK34" s="221" t="s">
        <v>3281</v>
      </c>
      <c r="AL34" s="221" t="s">
        <v>3216</v>
      </c>
      <c r="AM34" s="8"/>
      <c r="AN34" s="60"/>
      <c r="AO34" s="15"/>
      <c r="AP34" s="453"/>
      <c r="AQ34" s="15"/>
      <c r="AR34" s="15"/>
      <c r="AS34" s="15"/>
      <c r="AT34" s="15"/>
      <c r="AU34" s="19"/>
      <c r="AV34" s="19"/>
      <c r="AW34" s="19"/>
      <c r="AX34" s="15"/>
      <c r="AY34" s="189"/>
      <c r="AZ34" s="19"/>
      <c r="BA34" s="19"/>
      <c r="BB34" s="19"/>
      <c r="BC34" s="19"/>
      <c r="BD34" s="19"/>
      <c r="BE34" s="19"/>
      <c r="BF34" s="15"/>
      <c r="BG34" s="189"/>
      <c r="BH34" s="19"/>
      <c r="BI34" s="19"/>
      <c r="BJ34" s="19"/>
      <c r="BK34" s="19"/>
      <c r="BL34" s="19"/>
      <c r="BM34" s="19"/>
      <c r="BN34" s="19"/>
      <c r="BO34" s="189"/>
      <c r="BP34" s="19"/>
      <c r="BQ34" s="19"/>
      <c r="BR34" s="19"/>
      <c r="BS34" s="19"/>
      <c r="BT34" s="19"/>
      <c r="BU34" s="19"/>
      <c r="BV34" s="189"/>
      <c r="BW34" s="19"/>
      <c r="BX34" s="19"/>
      <c r="BY34" s="19"/>
      <c r="BZ34" s="19"/>
      <c r="CA34" s="141" t="s">
        <v>3190</v>
      </c>
      <c r="CB34" s="141" t="s">
        <v>3191</v>
      </c>
      <c r="CC34" s="15" t="s">
        <v>5118</v>
      </c>
      <c r="CD34" s="14"/>
      <c r="CE34" s="15" t="s">
        <v>5119</v>
      </c>
      <c r="CF34" s="14"/>
      <c r="CG34" s="15" t="s">
        <v>2711</v>
      </c>
      <c r="CH34" s="14"/>
      <c r="CI34" s="15" t="s">
        <v>5120</v>
      </c>
      <c r="CJ34" s="20"/>
      <c r="CK34" s="15" t="s">
        <v>1428</v>
      </c>
      <c r="CL34" s="20"/>
      <c r="CM34" s="15" t="s">
        <v>3101</v>
      </c>
      <c r="CN34" s="20"/>
      <c r="CO34" s="20"/>
      <c r="CP34" s="20"/>
      <c r="CQ34" s="20"/>
      <c r="CR34" s="20"/>
      <c r="CS34" s="263" t="s">
        <v>4990</v>
      </c>
      <c r="CT34" s="264" t="s">
        <v>4998</v>
      </c>
      <c r="CU34" s="264" t="s">
        <v>4991</v>
      </c>
      <c r="CV34" s="264" t="s">
        <v>5121</v>
      </c>
      <c r="CW34" s="264" t="s">
        <v>3739</v>
      </c>
      <c r="CX34" s="264" t="s">
        <v>3739</v>
      </c>
    </row>
    <row r="35" spans="1:105" ht="72.599999999999994">
      <c r="A35" s="129">
        <v>28</v>
      </c>
      <c r="B35" s="322" t="s">
        <v>5068</v>
      </c>
      <c r="C35" s="15" t="s">
        <v>942</v>
      </c>
      <c r="D35" s="14" t="s">
        <v>5122</v>
      </c>
      <c r="E35" s="15" t="s">
        <v>5078</v>
      </c>
      <c r="F35" s="13">
        <v>2021</v>
      </c>
      <c r="G35" s="13">
        <v>2021</v>
      </c>
      <c r="H35" s="13">
        <v>5</v>
      </c>
      <c r="I35" s="15" t="s">
        <v>4986</v>
      </c>
      <c r="J35" s="15" t="s">
        <v>5702</v>
      </c>
      <c r="K35" s="362">
        <v>0</v>
      </c>
      <c r="L35" s="453">
        <v>5000000</v>
      </c>
      <c r="M35" s="15" t="s">
        <v>3216</v>
      </c>
      <c r="N35" s="13">
        <v>7</v>
      </c>
      <c r="O35" s="15" t="s">
        <v>4978</v>
      </c>
      <c r="P35" s="14" t="s">
        <v>3223</v>
      </c>
      <c r="Q35" s="13"/>
      <c r="R35" s="13"/>
      <c r="S35" s="8">
        <v>6767777</v>
      </c>
      <c r="T35" s="7" t="s">
        <v>34</v>
      </c>
      <c r="U35" s="10" t="s">
        <v>2673</v>
      </c>
      <c r="V35" s="453">
        <v>5000000</v>
      </c>
      <c r="W35" s="15" t="s">
        <v>171</v>
      </c>
      <c r="X35" s="15"/>
      <c r="Y35" s="15"/>
      <c r="Z35" s="15" t="s">
        <v>3217</v>
      </c>
      <c r="AA35" s="15" t="s">
        <v>3216</v>
      </c>
      <c r="AB35" s="8"/>
      <c r="AC35" s="215"/>
      <c r="AD35" s="8">
        <v>6768348</v>
      </c>
      <c r="AE35" s="203" t="s">
        <v>2044</v>
      </c>
      <c r="AF35" s="6" t="s">
        <v>53</v>
      </c>
      <c r="AG35" s="453">
        <v>5000000</v>
      </c>
      <c r="AH35" s="15" t="s">
        <v>171</v>
      </c>
      <c r="AI35" s="15"/>
      <c r="AJ35" s="15"/>
      <c r="AK35" s="15" t="s">
        <v>3217</v>
      </c>
      <c r="AL35" s="15" t="s">
        <v>3216</v>
      </c>
      <c r="AM35" s="6">
        <v>6773159</v>
      </c>
      <c r="AN35" s="6" t="s">
        <v>3683</v>
      </c>
      <c r="AO35" s="6" t="s">
        <v>46</v>
      </c>
      <c r="AP35" s="453">
        <v>5000000</v>
      </c>
      <c r="AQ35" s="15" t="s">
        <v>171</v>
      </c>
      <c r="AR35" s="15"/>
      <c r="AS35" s="15"/>
      <c r="AT35" s="15" t="s">
        <v>3217</v>
      </c>
      <c r="AU35" s="15" t="s">
        <v>3216</v>
      </c>
      <c r="AV35" s="19"/>
      <c r="AW35" s="19"/>
      <c r="AX35" s="15"/>
      <c r="AY35" s="189"/>
      <c r="AZ35" s="19"/>
      <c r="BA35" s="19"/>
      <c r="BB35" s="19"/>
      <c r="BC35" s="19"/>
      <c r="BD35" s="19"/>
      <c r="BE35" s="19"/>
      <c r="BF35" s="15"/>
      <c r="BG35" s="189"/>
      <c r="BH35" s="19"/>
      <c r="BI35" s="19"/>
      <c r="BJ35" s="19"/>
      <c r="BK35" s="19"/>
      <c r="BL35" s="19"/>
      <c r="BM35" s="19"/>
      <c r="BN35" s="19"/>
      <c r="BO35" s="189"/>
      <c r="BP35" s="19"/>
      <c r="BQ35" s="19"/>
      <c r="BR35" s="19"/>
      <c r="BS35" s="19"/>
      <c r="BT35" s="19"/>
      <c r="BU35" s="19"/>
      <c r="BV35" s="189"/>
      <c r="BW35" s="19"/>
      <c r="BX35" s="19"/>
      <c r="BY35" s="19"/>
      <c r="BZ35" s="19"/>
      <c r="CA35" s="141" t="s">
        <v>3190</v>
      </c>
      <c r="CB35" s="141" t="s">
        <v>3191</v>
      </c>
      <c r="CC35" s="15" t="s">
        <v>5123</v>
      </c>
      <c r="CD35" s="14"/>
      <c r="CE35" s="15" t="s">
        <v>5124</v>
      </c>
      <c r="CF35" s="14"/>
      <c r="CG35" s="15" t="s">
        <v>5125</v>
      </c>
      <c r="CH35" s="14"/>
      <c r="CI35" s="15" t="s">
        <v>5126</v>
      </c>
      <c r="CJ35" s="20"/>
      <c r="CK35" s="15" t="s">
        <v>5127</v>
      </c>
      <c r="CL35" s="20"/>
      <c r="CM35" s="15" t="s">
        <v>5128</v>
      </c>
      <c r="CN35" s="20"/>
      <c r="CO35" s="20"/>
      <c r="CP35" s="20"/>
      <c r="CQ35" s="20"/>
      <c r="CR35" s="20"/>
      <c r="CS35" s="263" t="s">
        <v>4990</v>
      </c>
      <c r="CT35" s="264" t="s">
        <v>4981</v>
      </c>
      <c r="CU35" s="264" t="s">
        <v>5009</v>
      </c>
      <c r="CV35" s="264" t="s">
        <v>5129</v>
      </c>
      <c r="CW35" s="264" t="s">
        <v>5130</v>
      </c>
      <c r="CX35" s="264" t="s">
        <v>3528</v>
      </c>
    </row>
    <row r="36" spans="1:105" ht="24">
      <c r="A36" s="129">
        <v>29</v>
      </c>
      <c r="B36" s="322" t="s">
        <v>5131</v>
      </c>
      <c r="C36" s="15"/>
      <c r="D36" s="14"/>
      <c r="E36" s="15" t="s">
        <v>5133</v>
      </c>
      <c r="F36" s="13">
        <v>2021</v>
      </c>
      <c r="G36" s="13">
        <v>2021</v>
      </c>
      <c r="H36" s="13">
        <v>8</v>
      </c>
      <c r="I36" s="15" t="s">
        <v>4986</v>
      </c>
      <c r="J36" s="15"/>
      <c r="K36" s="362">
        <v>45000000</v>
      </c>
      <c r="L36" s="453">
        <v>45000000</v>
      </c>
      <c r="M36" s="15" t="s">
        <v>3216</v>
      </c>
      <c r="N36" s="13">
        <v>7</v>
      </c>
      <c r="O36" s="23"/>
      <c r="P36" s="14" t="s">
        <v>3077</v>
      </c>
      <c r="Q36" s="13"/>
      <c r="R36" s="13"/>
      <c r="S36" s="13">
        <v>6682174</v>
      </c>
      <c r="T36" s="23" t="s">
        <v>20</v>
      </c>
      <c r="U36" s="16" t="s">
        <v>2285</v>
      </c>
      <c r="V36" s="453">
        <v>45000000</v>
      </c>
      <c r="W36" s="15" t="s">
        <v>156</v>
      </c>
      <c r="X36" s="15"/>
      <c r="Y36" s="15"/>
      <c r="Z36" s="15" t="s">
        <v>3217</v>
      </c>
      <c r="AA36" s="15" t="s">
        <v>3216</v>
      </c>
      <c r="AB36" s="8">
        <v>8140</v>
      </c>
      <c r="AC36" s="187" t="s">
        <v>3291</v>
      </c>
      <c r="AD36" s="51">
        <v>6680633</v>
      </c>
      <c r="AE36" s="222" t="s">
        <v>3322</v>
      </c>
      <c r="AF36" s="72" t="s">
        <v>18</v>
      </c>
      <c r="AG36" s="453">
        <v>45000000</v>
      </c>
      <c r="AH36" s="15" t="s">
        <v>156</v>
      </c>
      <c r="AI36" s="15" t="s">
        <v>166</v>
      </c>
      <c r="AJ36" s="15"/>
      <c r="AK36" s="15" t="s">
        <v>3217</v>
      </c>
      <c r="AL36" s="15" t="s">
        <v>3216</v>
      </c>
      <c r="AM36" s="8">
        <v>6681205</v>
      </c>
      <c r="AN36" s="10" t="s">
        <v>1705</v>
      </c>
      <c r="AO36" s="72" t="s">
        <v>48</v>
      </c>
      <c r="AP36" s="453">
        <v>45000000</v>
      </c>
      <c r="AQ36" s="15" t="s">
        <v>156</v>
      </c>
      <c r="AR36" s="15"/>
      <c r="AS36" s="15"/>
      <c r="AT36" s="15" t="s">
        <v>3217</v>
      </c>
      <c r="AU36" s="15" t="s">
        <v>3216</v>
      </c>
      <c r="AV36" s="19"/>
      <c r="AW36" s="19"/>
      <c r="AX36" s="15"/>
      <c r="AY36" s="189"/>
      <c r="AZ36" s="19"/>
      <c r="BA36" s="19"/>
      <c r="BB36" s="19"/>
      <c r="BC36" s="19"/>
      <c r="BD36" s="19"/>
      <c r="BE36" s="19"/>
      <c r="BF36" s="15"/>
      <c r="BG36" s="189"/>
      <c r="BH36" s="19"/>
      <c r="BI36" s="19"/>
      <c r="BJ36" s="19"/>
      <c r="BK36" s="19"/>
      <c r="BL36" s="19"/>
      <c r="BM36" s="19"/>
      <c r="BN36" s="19"/>
      <c r="BO36" s="189"/>
      <c r="BP36" s="19"/>
      <c r="BQ36" s="19"/>
      <c r="BR36" s="19"/>
      <c r="BS36" s="19"/>
      <c r="BT36" s="19"/>
      <c r="BU36" s="19"/>
      <c r="BV36" s="189"/>
      <c r="BW36" s="19"/>
      <c r="BX36" s="19"/>
      <c r="BY36" s="19"/>
      <c r="BZ36" s="19"/>
      <c r="CA36" s="142" t="s">
        <v>3190</v>
      </c>
      <c r="CB36" s="142" t="s">
        <v>3191</v>
      </c>
      <c r="CC36" s="15"/>
      <c r="CD36" s="14"/>
      <c r="CE36" s="15"/>
      <c r="CF36" s="14"/>
      <c r="CG36" s="15"/>
      <c r="CH36" s="14"/>
      <c r="CI36" s="15"/>
      <c r="CJ36" s="20"/>
      <c r="CK36" s="15"/>
      <c r="CL36" s="20"/>
      <c r="CM36" s="15"/>
      <c r="CN36" s="20"/>
      <c r="CO36" s="20"/>
      <c r="CP36" s="20"/>
      <c r="CQ36" s="20"/>
      <c r="CR36" s="20"/>
      <c r="CS36" s="263" t="s">
        <v>3739</v>
      </c>
      <c r="CT36" s="264" t="s">
        <v>3739</v>
      </c>
      <c r="CU36" s="264" t="s">
        <v>3739</v>
      </c>
      <c r="CV36" s="264" t="s">
        <v>3739</v>
      </c>
      <c r="CW36" s="264" t="s">
        <v>3739</v>
      </c>
      <c r="CX36" s="264" t="s">
        <v>3739</v>
      </c>
    </row>
    <row r="37" spans="1:105" ht="48">
      <c r="A37" s="129">
        <v>30</v>
      </c>
      <c r="B37" s="323" t="s">
        <v>5134</v>
      </c>
      <c r="C37" s="25"/>
      <c r="D37" s="519" t="s">
        <v>5135</v>
      </c>
      <c r="E37" s="25" t="s">
        <v>5136</v>
      </c>
      <c r="F37" s="13">
        <v>2021</v>
      </c>
      <c r="G37" s="13">
        <v>2021</v>
      </c>
      <c r="H37" s="26">
        <v>2</v>
      </c>
      <c r="I37" s="15" t="s">
        <v>4986</v>
      </c>
      <c r="J37" s="25"/>
      <c r="K37" s="480" t="s">
        <v>942</v>
      </c>
      <c r="L37" s="456">
        <v>17500000</v>
      </c>
      <c r="M37" s="15" t="s">
        <v>3216</v>
      </c>
      <c r="N37" s="13">
        <v>7</v>
      </c>
      <c r="O37" s="24"/>
      <c r="P37" s="14" t="s">
        <v>3077</v>
      </c>
      <c r="Q37" s="26"/>
      <c r="R37" s="26"/>
      <c r="S37" s="202">
        <v>6680726</v>
      </c>
      <c r="T37" s="24" t="s">
        <v>93</v>
      </c>
      <c r="U37" s="15">
        <v>719069101</v>
      </c>
      <c r="V37" s="456">
        <v>17500000</v>
      </c>
      <c r="W37" s="25"/>
      <c r="X37" s="25"/>
      <c r="Y37" s="25"/>
      <c r="Z37" s="25"/>
      <c r="AA37" s="25"/>
      <c r="AB37" s="129"/>
      <c r="AC37" s="224"/>
      <c r="AD37" s="129"/>
      <c r="AE37" s="225"/>
      <c r="AF37" s="145"/>
      <c r="AG37" s="456"/>
      <c r="AH37" s="25"/>
      <c r="AI37" s="25"/>
      <c r="AJ37" s="25"/>
      <c r="AK37" s="25"/>
      <c r="AL37" s="25"/>
      <c r="AM37" s="129"/>
      <c r="AN37" s="227"/>
      <c r="AO37" s="145"/>
      <c r="AP37" s="456"/>
      <c r="AQ37" s="25"/>
      <c r="AR37" s="25"/>
      <c r="AS37" s="25"/>
      <c r="AT37" s="25"/>
      <c r="AU37" s="25"/>
      <c r="AV37" s="28"/>
      <c r="AW37" s="28"/>
      <c r="AX37" s="25"/>
      <c r="AY37" s="228"/>
      <c r="AZ37" s="28"/>
      <c r="BA37" s="28"/>
      <c r="BB37" s="28"/>
      <c r="BC37" s="28"/>
      <c r="BD37" s="28"/>
      <c r="BE37" s="28"/>
      <c r="BF37" s="25"/>
      <c r="BG37" s="228"/>
      <c r="BH37" s="28"/>
      <c r="BI37" s="28"/>
      <c r="BJ37" s="28"/>
      <c r="BK37" s="28"/>
      <c r="BL37" s="28"/>
      <c r="BM37" s="28"/>
      <c r="BN37" s="28"/>
      <c r="BO37" s="228"/>
      <c r="BP37" s="28"/>
      <c r="BQ37" s="28"/>
      <c r="BR37" s="28"/>
      <c r="BS37" s="28"/>
      <c r="BT37" s="28"/>
      <c r="BU37" s="28"/>
      <c r="BV37" s="228"/>
      <c r="BW37" s="28"/>
      <c r="BX37" s="28"/>
      <c r="BY37" s="28"/>
      <c r="BZ37" s="28"/>
      <c r="CA37" s="142" t="s">
        <v>3190</v>
      </c>
      <c r="CB37" s="142" t="s">
        <v>3191</v>
      </c>
      <c r="CC37" s="25" t="s">
        <v>5103</v>
      </c>
      <c r="CD37" s="14" t="s">
        <v>3589</v>
      </c>
      <c r="CE37" s="25" t="s">
        <v>5088</v>
      </c>
      <c r="CF37" s="14" t="s">
        <v>3589</v>
      </c>
      <c r="CG37" s="25" t="s">
        <v>651</v>
      </c>
      <c r="CH37" s="14" t="s">
        <v>3589</v>
      </c>
      <c r="CI37" s="25"/>
      <c r="CJ37" s="96"/>
      <c r="CK37" s="25"/>
      <c r="CL37" s="96"/>
      <c r="CM37" s="25"/>
      <c r="CN37" s="96"/>
      <c r="CO37" s="96"/>
      <c r="CP37" s="96"/>
      <c r="CQ37" s="96"/>
      <c r="CR37" s="96"/>
      <c r="CS37" s="269"/>
      <c r="CT37" s="270"/>
      <c r="CU37" s="271"/>
      <c r="CV37" s="270"/>
      <c r="CW37" s="270"/>
      <c r="CX37" s="270"/>
      <c r="CY37" s="41"/>
      <c r="CZ37" s="41"/>
      <c r="DA37" s="41"/>
    </row>
    <row r="38" spans="1:105">
      <c r="A38" s="43"/>
      <c r="B38" s="174"/>
      <c r="C38" s="174"/>
      <c r="D38" s="173"/>
      <c r="E38" s="174"/>
      <c r="F38" s="172"/>
      <c r="G38" s="172"/>
      <c r="H38" s="172"/>
      <c r="I38" s="174"/>
      <c r="J38" s="174"/>
      <c r="K38" s="481"/>
      <c r="L38" s="457"/>
      <c r="M38" s="174"/>
      <c r="N38" s="37"/>
      <c r="O38" s="175"/>
      <c r="P38" s="173"/>
      <c r="Q38" s="172"/>
      <c r="R38" s="172"/>
      <c r="S38" s="172"/>
      <c r="T38" s="175"/>
      <c r="U38" s="176"/>
      <c r="V38" s="176"/>
      <c r="W38" s="176"/>
      <c r="X38" s="176"/>
      <c r="Y38" s="176"/>
      <c r="Z38" s="176"/>
      <c r="AA38" s="176"/>
      <c r="AB38" s="176"/>
      <c r="AC38" s="176"/>
      <c r="AD38" s="174"/>
      <c r="AE38" s="174"/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4"/>
      <c r="AS38" s="174"/>
      <c r="AT38" s="174"/>
      <c r="AU38" s="174"/>
      <c r="AV38" s="174"/>
      <c r="AW38" s="174"/>
      <c r="AX38" s="174"/>
      <c r="AY38" s="174"/>
      <c r="AZ38" s="174"/>
      <c r="BA38" s="174"/>
      <c r="BB38" s="174"/>
      <c r="BC38" s="174"/>
      <c r="BD38" s="174"/>
      <c r="BE38" s="174"/>
      <c r="BF38" s="174"/>
      <c r="BG38" s="174"/>
      <c r="BH38" s="174"/>
      <c r="BI38" s="174"/>
      <c r="BJ38" s="174"/>
      <c r="BK38" s="174"/>
      <c r="BL38" s="174"/>
      <c r="BM38" s="174"/>
      <c r="BN38" s="174"/>
      <c r="BO38" s="325"/>
      <c r="BP38" s="229"/>
      <c r="BQ38" s="229"/>
      <c r="BR38" s="229"/>
      <c r="BS38" s="174"/>
      <c r="BT38" s="174"/>
      <c r="BU38" s="174"/>
      <c r="BV38" s="174"/>
      <c r="BW38" s="229"/>
      <c r="BX38" s="229"/>
      <c r="BY38" s="229"/>
      <c r="BZ38" s="229"/>
      <c r="CA38" s="172"/>
      <c r="CB38" s="172"/>
      <c r="CC38" s="174"/>
      <c r="CD38" s="173"/>
      <c r="CE38" s="174"/>
      <c r="CF38" s="173"/>
      <c r="CG38" s="174"/>
      <c r="CH38" s="173"/>
      <c r="CI38" s="230"/>
      <c r="CJ38" s="230"/>
      <c r="CK38" s="230"/>
      <c r="CL38" s="230"/>
      <c r="CM38" s="230"/>
      <c r="CN38" s="230"/>
      <c r="CO38" s="230"/>
      <c r="CP38" s="230"/>
      <c r="CQ38" s="230"/>
      <c r="CR38" s="230"/>
      <c r="CS38" s="230"/>
      <c r="CT38" s="230"/>
      <c r="CU38" s="231"/>
      <c r="CV38" s="232"/>
      <c r="CW38" s="230"/>
      <c r="CX38" s="230"/>
    </row>
    <row r="39" spans="1:105" ht="48">
      <c r="A39" s="298">
        <v>1</v>
      </c>
      <c r="B39" s="143" t="s">
        <v>5137</v>
      </c>
      <c r="C39" s="143" t="s">
        <v>5138</v>
      </c>
      <c r="D39" s="161" t="s">
        <v>5139</v>
      </c>
      <c r="E39" s="6" t="s">
        <v>5140</v>
      </c>
      <c r="F39" s="8">
        <v>2022</v>
      </c>
      <c r="G39" s="8">
        <v>2022</v>
      </c>
      <c r="H39" s="8"/>
      <c r="I39" s="6" t="s">
        <v>5141</v>
      </c>
      <c r="J39" s="6" t="s">
        <v>5703</v>
      </c>
      <c r="K39" s="482"/>
      <c r="L39" s="458">
        <v>16408500</v>
      </c>
      <c r="M39" s="6" t="s">
        <v>3216</v>
      </c>
      <c r="N39" s="8">
        <v>7</v>
      </c>
      <c r="O39" s="6" t="s">
        <v>4978</v>
      </c>
      <c r="P39" s="9" t="s">
        <v>3223</v>
      </c>
      <c r="Q39" s="8" t="s">
        <v>3215</v>
      </c>
      <c r="R39" s="8" t="s">
        <v>3923</v>
      </c>
      <c r="S39" s="8">
        <v>6099359</v>
      </c>
      <c r="T39" s="7" t="s">
        <v>67</v>
      </c>
      <c r="U39" s="162" t="s">
        <v>977</v>
      </c>
      <c r="V39" s="458">
        <v>16408500</v>
      </c>
      <c r="W39" s="6" t="s">
        <v>166</v>
      </c>
      <c r="X39" s="6"/>
      <c r="Y39" s="6"/>
      <c r="Z39" s="6" t="s">
        <v>3286</v>
      </c>
      <c r="AA39" s="6" t="s">
        <v>3216</v>
      </c>
      <c r="AB39" s="8"/>
      <c r="AC39" s="8"/>
      <c r="AD39" s="8">
        <v>6680623</v>
      </c>
      <c r="AE39" s="162" t="s">
        <v>1841</v>
      </c>
      <c r="AF39" s="6" t="s">
        <v>30</v>
      </c>
      <c r="AG39" s="458">
        <v>16408500</v>
      </c>
      <c r="AH39" s="6" t="s">
        <v>166</v>
      </c>
      <c r="AI39" s="6"/>
      <c r="AJ39" s="6"/>
      <c r="AK39" s="6" t="s">
        <v>3286</v>
      </c>
      <c r="AL39" s="6" t="s">
        <v>3216</v>
      </c>
      <c r="AM39" s="8">
        <v>6680633</v>
      </c>
      <c r="AN39" s="190" t="s">
        <v>3322</v>
      </c>
      <c r="AO39" s="6" t="s">
        <v>18</v>
      </c>
      <c r="AP39" s="458">
        <v>16408500</v>
      </c>
      <c r="AQ39" s="6" t="s">
        <v>156</v>
      </c>
      <c r="AR39" s="6" t="s">
        <v>166</v>
      </c>
      <c r="AS39" s="6"/>
      <c r="AT39" s="6" t="s">
        <v>3286</v>
      </c>
      <c r="AU39" s="6" t="s">
        <v>3216</v>
      </c>
      <c r="AV39" s="99">
        <v>6680629</v>
      </c>
      <c r="AW39" s="116" t="s">
        <v>5071</v>
      </c>
      <c r="AX39" s="6" t="s">
        <v>27</v>
      </c>
      <c r="AY39" s="458">
        <v>16408500</v>
      </c>
      <c r="AZ39" s="6" t="s">
        <v>151</v>
      </c>
      <c r="BA39" s="6"/>
      <c r="BB39" s="6" t="s">
        <v>3281</v>
      </c>
      <c r="BC39" s="33"/>
      <c r="BD39" s="33"/>
      <c r="BE39" s="33"/>
      <c r="BF39" s="33"/>
      <c r="BG39" s="233"/>
      <c r="BH39" s="33"/>
      <c r="BI39" s="33"/>
      <c r="BJ39" s="33"/>
      <c r="BK39" s="33"/>
      <c r="BL39" s="33"/>
      <c r="BM39" s="33"/>
      <c r="BN39" s="33"/>
      <c r="BO39" s="233"/>
      <c r="BP39" s="33"/>
      <c r="BQ39" s="33"/>
      <c r="BR39" s="33"/>
      <c r="BS39" s="33"/>
      <c r="BT39" s="33"/>
      <c r="BU39" s="33"/>
      <c r="BV39" s="233"/>
      <c r="BW39" s="33"/>
      <c r="BX39" s="33"/>
      <c r="BY39" s="33"/>
      <c r="BZ39" s="33"/>
      <c r="CA39" s="256" t="s">
        <v>3190</v>
      </c>
      <c r="CB39" s="256" t="s">
        <v>3191</v>
      </c>
      <c r="CC39" s="6" t="s">
        <v>1049</v>
      </c>
      <c r="CD39" s="9"/>
      <c r="CE39" s="6" t="s">
        <v>1050</v>
      </c>
      <c r="CF39" s="9"/>
      <c r="CG39" s="6"/>
      <c r="CH39" s="9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272" t="s">
        <v>5142</v>
      </c>
      <c r="CT39" s="273" t="s">
        <v>3739</v>
      </c>
      <c r="CU39" s="273" t="s">
        <v>3739</v>
      </c>
      <c r="CV39" s="272" t="s">
        <v>3419</v>
      </c>
      <c r="CW39" s="273" t="s">
        <v>3739</v>
      </c>
      <c r="CX39" s="273" t="s">
        <v>3739</v>
      </c>
    </row>
    <row r="40" spans="1:105" ht="48.6">
      <c r="A40" s="8">
        <v>2</v>
      </c>
      <c r="B40" s="143" t="s">
        <v>5137</v>
      </c>
      <c r="C40" s="143" t="s">
        <v>5143</v>
      </c>
      <c r="D40" s="161" t="s">
        <v>1445</v>
      </c>
      <c r="E40" s="8" t="s">
        <v>4976</v>
      </c>
      <c r="F40" s="8">
        <v>2022</v>
      </c>
      <c r="G40" s="8">
        <v>2022</v>
      </c>
      <c r="H40" s="8"/>
      <c r="I40" s="6" t="s">
        <v>5141</v>
      </c>
      <c r="J40" s="6" t="s">
        <v>5704</v>
      </c>
      <c r="K40" s="482"/>
      <c r="L40" s="458">
        <v>6000000</v>
      </c>
      <c r="M40" s="6" t="s">
        <v>3216</v>
      </c>
      <c r="N40" s="8">
        <v>7</v>
      </c>
      <c r="O40" s="6" t="s">
        <v>4978</v>
      </c>
      <c r="P40" s="9" t="s">
        <v>3223</v>
      </c>
      <c r="Q40" s="8" t="s">
        <v>3215</v>
      </c>
      <c r="R40" s="8" t="s">
        <v>3923</v>
      </c>
      <c r="S40" s="8">
        <v>6768348</v>
      </c>
      <c r="T40" s="7" t="s">
        <v>53</v>
      </c>
      <c r="U40" s="162" t="s">
        <v>2044</v>
      </c>
      <c r="V40" s="458">
        <v>6000000</v>
      </c>
      <c r="W40" s="6" t="s">
        <v>171</v>
      </c>
      <c r="X40" s="6"/>
      <c r="Y40" s="6"/>
      <c r="Z40" s="6" t="s">
        <v>3286</v>
      </c>
      <c r="AA40" s="6" t="s">
        <v>3216</v>
      </c>
      <c r="AB40" s="8"/>
      <c r="AC40" s="8"/>
      <c r="AD40" s="6">
        <v>6773159</v>
      </c>
      <c r="AE40" s="6" t="s">
        <v>3683</v>
      </c>
      <c r="AF40" s="6" t="s">
        <v>46</v>
      </c>
      <c r="AG40" s="458">
        <v>6000000</v>
      </c>
      <c r="AH40" s="6" t="s">
        <v>171</v>
      </c>
      <c r="AI40" s="6"/>
      <c r="AJ40" s="6"/>
      <c r="AK40" s="6" t="s">
        <v>3286</v>
      </c>
      <c r="AL40" s="6" t="s">
        <v>3216</v>
      </c>
      <c r="AM40" s="6">
        <v>6785861</v>
      </c>
      <c r="AN40" s="11" t="s">
        <v>1904</v>
      </c>
      <c r="AO40" s="6" t="s">
        <v>775</v>
      </c>
      <c r="AP40" s="458">
        <v>6000000</v>
      </c>
      <c r="AQ40" s="6" t="s">
        <v>166</v>
      </c>
      <c r="AR40" s="6"/>
      <c r="AS40" s="6"/>
      <c r="AT40" s="6" t="s">
        <v>3286</v>
      </c>
      <c r="AU40" s="6" t="s">
        <v>3216</v>
      </c>
      <c r="AV40" s="33"/>
      <c r="AW40" s="33"/>
      <c r="AX40" s="6"/>
      <c r="AY40" s="458"/>
      <c r="AZ40" s="33"/>
      <c r="BA40" s="33"/>
      <c r="BB40" s="33"/>
      <c r="BC40" s="33"/>
      <c r="BD40" s="33"/>
      <c r="BE40" s="33"/>
      <c r="BF40" s="33"/>
      <c r="BG40" s="233"/>
      <c r="BH40" s="33"/>
      <c r="BI40" s="33"/>
      <c r="BJ40" s="33"/>
      <c r="BK40" s="33"/>
      <c r="BL40" s="33"/>
      <c r="BM40" s="33"/>
      <c r="BN40" s="33"/>
      <c r="BO40" s="233"/>
      <c r="BP40" s="33"/>
      <c r="BQ40" s="33"/>
      <c r="BR40" s="33"/>
      <c r="BS40" s="33"/>
      <c r="BT40" s="33"/>
      <c r="BU40" s="33"/>
      <c r="BV40" s="233"/>
      <c r="BW40" s="33"/>
      <c r="BX40" s="33"/>
      <c r="BY40" s="33"/>
      <c r="BZ40" s="33"/>
      <c r="CA40" s="160" t="s">
        <v>3190</v>
      </c>
      <c r="CB40" s="160" t="s">
        <v>3191</v>
      </c>
      <c r="CC40" s="6" t="s">
        <v>5144</v>
      </c>
      <c r="CD40" s="9" t="s">
        <v>3748</v>
      </c>
      <c r="CE40" s="6" t="s">
        <v>5145</v>
      </c>
      <c r="CF40" s="9" t="s">
        <v>5146</v>
      </c>
      <c r="CG40" s="6" t="s">
        <v>5147</v>
      </c>
      <c r="CH40" s="9" t="s">
        <v>5146</v>
      </c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115" t="s">
        <v>3251</v>
      </c>
      <c r="CT40" s="115" t="s">
        <v>4981</v>
      </c>
      <c r="CU40" s="115" t="s">
        <v>4991</v>
      </c>
      <c r="CV40" s="115" t="s">
        <v>5148</v>
      </c>
      <c r="CW40" s="273" t="s">
        <v>3739</v>
      </c>
      <c r="CX40" s="273" t="s">
        <v>3739</v>
      </c>
    </row>
    <row r="41" spans="1:105" ht="96.6">
      <c r="A41" s="8">
        <v>3</v>
      </c>
      <c r="B41" s="143" t="s">
        <v>5137</v>
      </c>
      <c r="C41" s="143" t="s">
        <v>5149</v>
      </c>
      <c r="D41" s="161" t="s">
        <v>5150</v>
      </c>
      <c r="E41" s="8" t="s">
        <v>4976</v>
      </c>
      <c r="F41" s="8">
        <v>2022</v>
      </c>
      <c r="G41" s="8">
        <v>2022</v>
      </c>
      <c r="H41" s="8"/>
      <c r="I41" s="6" t="s">
        <v>5151</v>
      </c>
      <c r="J41" s="6" t="s">
        <v>5705</v>
      </c>
      <c r="K41" s="482"/>
      <c r="L41" s="458">
        <v>7000000</v>
      </c>
      <c r="M41" s="6" t="s">
        <v>3216</v>
      </c>
      <c r="N41" s="8">
        <v>7</v>
      </c>
      <c r="O41" s="6" t="s">
        <v>4978</v>
      </c>
      <c r="P41" s="9" t="s">
        <v>3223</v>
      </c>
      <c r="Q41" s="8" t="s">
        <v>3215</v>
      </c>
      <c r="R41" s="8" t="s">
        <v>3923</v>
      </c>
      <c r="S41" s="8">
        <v>6680708</v>
      </c>
      <c r="T41" s="7" t="s">
        <v>85</v>
      </c>
      <c r="U41" s="162" t="s">
        <v>2436</v>
      </c>
      <c r="V41" s="458">
        <v>7000000</v>
      </c>
      <c r="W41" s="6" t="s">
        <v>155</v>
      </c>
      <c r="X41" s="6"/>
      <c r="Y41" s="6"/>
      <c r="Z41" s="6" t="s">
        <v>3281</v>
      </c>
      <c r="AA41" s="6" t="s">
        <v>3216</v>
      </c>
      <c r="AB41" s="8"/>
      <c r="AC41" s="8"/>
      <c r="AD41" s="8">
        <v>258471</v>
      </c>
      <c r="AE41" s="162" t="s">
        <v>3504</v>
      </c>
      <c r="AF41" s="6" t="s">
        <v>60</v>
      </c>
      <c r="AG41" s="458">
        <v>7000000</v>
      </c>
      <c r="AH41" s="6" t="s">
        <v>155</v>
      </c>
      <c r="AI41" s="6"/>
      <c r="AJ41" s="6"/>
      <c r="AK41" s="6" t="s">
        <v>3281</v>
      </c>
      <c r="AL41" s="6" t="s">
        <v>3216</v>
      </c>
      <c r="AM41" s="8">
        <v>6680685</v>
      </c>
      <c r="AN41" s="203" t="s">
        <v>944</v>
      </c>
      <c r="AO41" s="6" t="s">
        <v>21</v>
      </c>
      <c r="AP41" s="458">
        <v>7000000</v>
      </c>
      <c r="AQ41" s="6" t="s">
        <v>155</v>
      </c>
      <c r="AR41" s="6"/>
      <c r="AS41" s="6"/>
      <c r="AT41" s="6" t="s">
        <v>3281</v>
      </c>
      <c r="AU41" s="6" t="s">
        <v>3216</v>
      </c>
      <c r="AV41" s="33"/>
      <c r="AW41" s="33"/>
      <c r="AX41" s="6"/>
      <c r="AY41" s="458"/>
      <c r="AZ41" s="33"/>
      <c r="BA41" s="33"/>
      <c r="BB41" s="33"/>
      <c r="BC41" s="33"/>
      <c r="BD41" s="33"/>
      <c r="BE41" s="33"/>
      <c r="BF41" s="33"/>
      <c r="BG41" s="233"/>
      <c r="BH41" s="33"/>
      <c r="BI41" s="33"/>
      <c r="BJ41" s="33"/>
      <c r="BK41" s="33"/>
      <c r="BL41" s="33"/>
      <c r="BM41" s="33"/>
      <c r="BN41" s="33"/>
      <c r="BO41" s="233"/>
      <c r="BP41" s="33"/>
      <c r="BQ41" s="33"/>
      <c r="BR41" s="33"/>
      <c r="BS41" s="33"/>
      <c r="BT41" s="33"/>
      <c r="BU41" s="33"/>
      <c r="BV41" s="233"/>
      <c r="BW41" s="33"/>
      <c r="BX41" s="33"/>
      <c r="BY41" s="33"/>
      <c r="BZ41" s="33"/>
      <c r="CA41" s="160" t="s">
        <v>3190</v>
      </c>
      <c r="CB41" s="160" t="s">
        <v>3191</v>
      </c>
      <c r="CC41" s="6" t="s">
        <v>5152</v>
      </c>
      <c r="CD41" s="9"/>
      <c r="CE41" s="6" t="s">
        <v>1087</v>
      </c>
      <c r="CF41" s="9"/>
      <c r="CG41" s="6" t="s">
        <v>1088</v>
      </c>
      <c r="CH41" s="9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115" t="s">
        <v>3061</v>
      </c>
      <c r="CT41" s="115" t="s">
        <v>4981</v>
      </c>
      <c r="CU41" s="115" t="s">
        <v>5009</v>
      </c>
      <c r="CV41" s="115" t="s">
        <v>5153</v>
      </c>
      <c r="CW41" s="273" t="s">
        <v>3309</v>
      </c>
      <c r="CX41" s="273" t="s">
        <v>3739</v>
      </c>
    </row>
    <row r="42" spans="1:105" ht="48.6">
      <c r="A42" s="8">
        <v>4</v>
      </c>
      <c r="B42" s="143" t="s">
        <v>5137</v>
      </c>
      <c r="C42" s="143" t="s">
        <v>5154</v>
      </c>
      <c r="D42" s="161" t="s">
        <v>5155</v>
      </c>
      <c r="E42" s="8" t="s">
        <v>4976</v>
      </c>
      <c r="F42" s="8">
        <v>2022</v>
      </c>
      <c r="G42" s="8">
        <v>2022</v>
      </c>
      <c r="H42" s="8"/>
      <c r="I42" s="6" t="s">
        <v>5151</v>
      </c>
      <c r="J42" s="6" t="s">
        <v>5706</v>
      </c>
      <c r="K42" s="482"/>
      <c r="L42" s="458">
        <v>6425000</v>
      </c>
      <c r="M42" s="6" t="s">
        <v>3216</v>
      </c>
      <c r="N42" s="8">
        <v>7</v>
      </c>
      <c r="O42" s="6" t="s">
        <v>4978</v>
      </c>
      <c r="P42" s="9" t="s">
        <v>3223</v>
      </c>
      <c r="Q42" s="8" t="s">
        <v>3215</v>
      </c>
      <c r="R42" s="8" t="s">
        <v>3923</v>
      </c>
      <c r="S42" s="8">
        <v>6681205</v>
      </c>
      <c r="T42" s="7" t="s">
        <v>48</v>
      </c>
      <c r="U42" s="162" t="s">
        <v>1705</v>
      </c>
      <c r="V42" s="458">
        <v>6425000</v>
      </c>
      <c r="W42" s="6" t="s">
        <v>156</v>
      </c>
      <c r="X42" s="6"/>
      <c r="Y42" s="6"/>
      <c r="Z42" s="6" t="s">
        <v>3286</v>
      </c>
      <c r="AA42" s="6" t="s">
        <v>3216</v>
      </c>
      <c r="AB42" s="8"/>
      <c r="AC42" s="8"/>
      <c r="AD42" s="8">
        <v>6680664</v>
      </c>
      <c r="AE42" s="162" t="s">
        <v>2288</v>
      </c>
      <c r="AF42" s="6" t="s">
        <v>15</v>
      </c>
      <c r="AG42" s="458">
        <v>6425000</v>
      </c>
      <c r="AH42" s="6" t="s">
        <v>156</v>
      </c>
      <c r="AI42" s="6"/>
      <c r="AJ42" s="6"/>
      <c r="AK42" s="6" t="s">
        <v>3286</v>
      </c>
      <c r="AL42" s="6" t="s">
        <v>3216</v>
      </c>
      <c r="AM42" s="8">
        <v>6680680</v>
      </c>
      <c r="AN42" s="10" t="s">
        <v>959</v>
      </c>
      <c r="AO42" s="6" t="s">
        <v>9</v>
      </c>
      <c r="AP42" s="458">
        <v>6425000</v>
      </c>
      <c r="AQ42" s="6" t="s">
        <v>156</v>
      </c>
      <c r="AR42" s="6"/>
      <c r="AS42" s="6"/>
      <c r="AT42" s="6" t="s">
        <v>3286</v>
      </c>
      <c r="AU42" s="6" t="s">
        <v>3216</v>
      </c>
      <c r="AV42" s="33"/>
      <c r="AW42" s="33"/>
      <c r="AX42" s="33"/>
      <c r="AY42" s="458"/>
      <c r="AZ42" s="33"/>
      <c r="BA42" s="33"/>
      <c r="BB42" s="33"/>
      <c r="BC42" s="33"/>
      <c r="BD42" s="33"/>
      <c r="BE42" s="33"/>
      <c r="BF42" s="33"/>
      <c r="BG42" s="233"/>
      <c r="BH42" s="33"/>
      <c r="BI42" s="33"/>
      <c r="BJ42" s="33"/>
      <c r="BK42" s="33"/>
      <c r="BL42" s="33"/>
      <c r="BM42" s="33"/>
      <c r="BN42" s="33"/>
      <c r="BO42" s="233"/>
      <c r="BP42" s="33"/>
      <c r="BQ42" s="33"/>
      <c r="BR42" s="33"/>
      <c r="BS42" s="33"/>
      <c r="BT42" s="33"/>
      <c r="BU42" s="33"/>
      <c r="BV42" s="233"/>
      <c r="BW42" s="33"/>
      <c r="BX42" s="33"/>
      <c r="BY42" s="33"/>
      <c r="BZ42" s="33"/>
      <c r="CA42" s="160" t="s">
        <v>3190</v>
      </c>
      <c r="CB42" s="160" t="s">
        <v>3191</v>
      </c>
      <c r="CC42" s="6" t="s">
        <v>5103</v>
      </c>
      <c r="CD42" s="9" t="s">
        <v>3589</v>
      </c>
      <c r="CE42" s="6" t="s">
        <v>3926</v>
      </c>
      <c r="CF42" s="9" t="s">
        <v>3589</v>
      </c>
      <c r="CG42" s="6" t="s">
        <v>651</v>
      </c>
      <c r="CH42" s="9" t="s">
        <v>3589</v>
      </c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115" t="s">
        <v>3251</v>
      </c>
      <c r="CT42" s="115" t="s">
        <v>4981</v>
      </c>
      <c r="CU42" s="115" t="s">
        <v>4991</v>
      </c>
      <c r="CV42" s="274" t="s">
        <v>3795</v>
      </c>
      <c r="CW42" s="273" t="s">
        <v>3739</v>
      </c>
      <c r="CX42" s="273" t="s">
        <v>3739</v>
      </c>
    </row>
    <row r="43" spans="1:105" ht="48.6">
      <c r="A43" s="8">
        <v>5</v>
      </c>
      <c r="B43" s="143" t="s">
        <v>5137</v>
      </c>
      <c r="C43" s="143" t="s">
        <v>5156</v>
      </c>
      <c r="D43" s="161" t="s">
        <v>5157</v>
      </c>
      <c r="E43" s="8" t="s">
        <v>4976</v>
      </c>
      <c r="F43" s="8">
        <v>2022</v>
      </c>
      <c r="G43" s="8">
        <v>2022</v>
      </c>
      <c r="H43" s="8"/>
      <c r="I43" s="6" t="s">
        <v>5141</v>
      </c>
      <c r="J43" s="6" t="s">
        <v>5707</v>
      </c>
      <c r="K43" s="482"/>
      <c r="L43" s="458">
        <v>7000000</v>
      </c>
      <c r="M43" s="6" t="s">
        <v>3216</v>
      </c>
      <c r="N43" s="8">
        <v>7</v>
      </c>
      <c r="O43" s="6" t="s">
        <v>4978</v>
      </c>
      <c r="P43" s="9" t="s">
        <v>3223</v>
      </c>
      <c r="Q43" s="8" t="s">
        <v>3215</v>
      </c>
      <c r="R43" s="8" t="s">
        <v>3923</v>
      </c>
      <c r="S43" s="8">
        <v>6681051</v>
      </c>
      <c r="T43" s="7" t="s">
        <v>6</v>
      </c>
      <c r="U43" s="162" t="s">
        <v>1657</v>
      </c>
      <c r="V43" s="458">
        <v>7000000</v>
      </c>
      <c r="W43" s="6" t="s">
        <v>160</v>
      </c>
      <c r="X43" s="6"/>
      <c r="Y43" s="6"/>
      <c r="Z43" s="6" t="s">
        <v>3281</v>
      </c>
      <c r="AA43" s="6" t="s">
        <v>3216</v>
      </c>
      <c r="AB43" s="8"/>
      <c r="AC43" s="8"/>
      <c r="AD43" s="8">
        <v>6658545</v>
      </c>
      <c r="AE43" s="10" t="s">
        <v>984</v>
      </c>
      <c r="AF43" s="6" t="s">
        <v>40</v>
      </c>
      <c r="AG43" s="458">
        <v>7000000</v>
      </c>
      <c r="AH43" s="6" t="s">
        <v>160</v>
      </c>
      <c r="AI43" s="6"/>
      <c r="AJ43" s="6"/>
      <c r="AK43" s="6" t="s">
        <v>3281</v>
      </c>
      <c r="AL43" s="6" t="s">
        <v>3216</v>
      </c>
      <c r="AM43" s="8">
        <v>6680618</v>
      </c>
      <c r="AN43" s="162" t="s">
        <v>1737</v>
      </c>
      <c r="AO43" s="6" t="s">
        <v>24</v>
      </c>
      <c r="AP43" s="458">
        <v>7000000</v>
      </c>
      <c r="AQ43" s="6" t="s">
        <v>160</v>
      </c>
      <c r="AR43" s="6"/>
      <c r="AS43" s="6"/>
      <c r="AT43" s="6" t="s">
        <v>3281</v>
      </c>
      <c r="AU43" s="6" t="s">
        <v>3216</v>
      </c>
      <c r="AV43" s="33"/>
      <c r="AW43" s="33"/>
      <c r="AX43" s="33"/>
      <c r="AY43" s="458"/>
      <c r="AZ43" s="33"/>
      <c r="BA43" s="33"/>
      <c r="BB43" s="33"/>
      <c r="BC43" s="33"/>
      <c r="BD43" s="33"/>
      <c r="BE43" s="33"/>
      <c r="BF43" s="33"/>
      <c r="BG43" s="233"/>
      <c r="BH43" s="33"/>
      <c r="BI43" s="33"/>
      <c r="BJ43" s="33"/>
      <c r="BK43" s="33"/>
      <c r="BL43" s="33"/>
      <c r="BM43" s="33"/>
      <c r="BN43" s="33"/>
      <c r="BO43" s="233"/>
      <c r="BP43" s="33"/>
      <c r="BQ43" s="33"/>
      <c r="BR43" s="33"/>
      <c r="BS43" s="33"/>
      <c r="BT43" s="33"/>
      <c r="BU43" s="33"/>
      <c r="BV43" s="233"/>
      <c r="BW43" s="33"/>
      <c r="BX43" s="33"/>
      <c r="BY43" s="33"/>
      <c r="BZ43" s="33"/>
      <c r="CA43" s="160" t="s">
        <v>3190</v>
      </c>
      <c r="CB43" s="160" t="s">
        <v>3191</v>
      </c>
      <c r="CC43" s="6" t="s">
        <v>1936</v>
      </c>
      <c r="CD43" s="9"/>
      <c r="CE43" s="6" t="s">
        <v>392</v>
      </c>
      <c r="CF43" s="9" t="s">
        <v>3737</v>
      </c>
      <c r="CG43" s="6" t="s">
        <v>1934</v>
      </c>
      <c r="CH43" s="9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115" t="s">
        <v>3061</v>
      </c>
      <c r="CT43" s="115" t="s">
        <v>4981</v>
      </c>
      <c r="CU43" s="115" t="s">
        <v>4991</v>
      </c>
      <c r="CV43" s="115" t="s">
        <v>5158</v>
      </c>
      <c r="CW43" s="273" t="s">
        <v>3739</v>
      </c>
      <c r="CX43" s="273" t="s">
        <v>3739</v>
      </c>
    </row>
    <row r="44" spans="1:105" ht="132.6">
      <c r="A44" s="8">
        <v>6</v>
      </c>
      <c r="B44" s="143" t="s">
        <v>5137</v>
      </c>
      <c r="C44" s="143" t="s">
        <v>5159</v>
      </c>
      <c r="D44" s="161" t="s">
        <v>5160</v>
      </c>
      <c r="E44" s="8" t="s">
        <v>4976</v>
      </c>
      <c r="F44" s="8">
        <v>2022</v>
      </c>
      <c r="G44" s="8">
        <v>2022</v>
      </c>
      <c r="H44" s="8"/>
      <c r="I44" s="6" t="s">
        <v>5151</v>
      </c>
      <c r="J44" s="6" t="s">
        <v>5708</v>
      </c>
      <c r="K44" s="482"/>
      <c r="L44" s="458">
        <v>7000000</v>
      </c>
      <c r="M44" s="6" t="s">
        <v>3216</v>
      </c>
      <c r="N44" s="8">
        <v>7</v>
      </c>
      <c r="O44" s="6" t="s">
        <v>4978</v>
      </c>
      <c r="P44" s="9" t="s">
        <v>3223</v>
      </c>
      <c r="Q44" s="8" t="s">
        <v>3215</v>
      </c>
      <c r="R44" s="8" t="s">
        <v>3923</v>
      </c>
      <c r="S44" s="8">
        <v>6680641</v>
      </c>
      <c r="T44" s="7" t="s">
        <v>92</v>
      </c>
      <c r="U44" s="162" t="s">
        <v>1794</v>
      </c>
      <c r="V44" s="458">
        <v>7000000</v>
      </c>
      <c r="W44" s="6" t="s">
        <v>151</v>
      </c>
      <c r="X44" s="6"/>
      <c r="Y44" s="6"/>
      <c r="Z44" s="6" t="s">
        <v>3281</v>
      </c>
      <c r="AA44" s="6" t="s">
        <v>3216</v>
      </c>
      <c r="AB44" s="8"/>
      <c r="AC44" s="8"/>
      <c r="AD44" s="8">
        <v>6680618</v>
      </c>
      <c r="AE44" s="162" t="s">
        <v>1737</v>
      </c>
      <c r="AF44" s="6" t="s">
        <v>24</v>
      </c>
      <c r="AG44" s="458">
        <v>7000000</v>
      </c>
      <c r="AH44" s="6" t="s">
        <v>160</v>
      </c>
      <c r="AI44" s="6"/>
      <c r="AJ44" s="6"/>
      <c r="AK44" s="6" t="s">
        <v>3281</v>
      </c>
      <c r="AL44" s="6" t="s">
        <v>3216</v>
      </c>
      <c r="AM44" s="8">
        <v>6680678</v>
      </c>
      <c r="AN44" s="162" t="s">
        <v>1725</v>
      </c>
      <c r="AO44" s="6" t="s">
        <v>14</v>
      </c>
      <c r="AP44" s="458">
        <v>7000000</v>
      </c>
      <c r="AQ44" s="6" t="s">
        <v>151</v>
      </c>
      <c r="AR44" s="6"/>
      <c r="AS44" s="6"/>
      <c r="AT44" s="6" t="s">
        <v>3281</v>
      </c>
      <c r="AU44" s="6" t="s">
        <v>3216</v>
      </c>
      <c r="AV44" s="33"/>
      <c r="AW44" s="33"/>
      <c r="AX44" s="33"/>
      <c r="AY44" s="458"/>
      <c r="AZ44" s="33"/>
      <c r="BA44" s="33"/>
      <c r="BB44" s="33"/>
      <c r="BC44" s="33"/>
      <c r="BD44" s="33"/>
      <c r="BE44" s="33"/>
      <c r="BF44" s="33"/>
      <c r="BG44" s="233"/>
      <c r="BH44" s="33"/>
      <c r="BI44" s="33"/>
      <c r="BJ44" s="33"/>
      <c r="BK44" s="33"/>
      <c r="BL44" s="33"/>
      <c r="BM44" s="33"/>
      <c r="BN44" s="33"/>
      <c r="BO44" s="233"/>
      <c r="BP44" s="33"/>
      <c r="BQ44" s="33"/>
      <c r="BR44" s="33"/>
      <c r="BS44" s="33"/>
      <c r="BT44" s="33"/>
      <c r="BU44" s="33"/>
      <c r="BV44" s="233"/>
      <c r="BW44" s="33"/>
      <c r="BX44" s="33"/>
      <c r="BY44" s="33"/>
      <c r="BZ44" s="33"/>
      <c r="CA44" s="160" t="s">
        <v>3190</v>
      </c>
      <c r="CB44" s="160" t="s">
        <v>3191</v>
      </c>
      <c r="CC44" s="6" t="s">
        <v>550</v>
      </c>
      <c r="CD44" s="9"/>
      <c r="CE44" s="6" t="s">
        <v>4142</v>
      </c>
      <c r="CF44" s="9"/>
      <c r="CG44" s="6" t="s">
        <v>5161</v>
      </c>
      <c r="CH44" s="9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115" t="s">
        <v>3061</v>
      </c>
      <c r="CT44" s="115" t="s">
        <v>4981</v>
      </c>
      <c r="CU44" s="115" t="s">
        <v>5009</v>
      </c>
      <c r="CV44" s="115" t="s">
        <v>5162</v>
      </c>
      <c r="CW44" s="273" t="s">
        <v>3739</v>
      </c>
      <c r="CX44" s="273" t="s">
        <v>3739</v>
      </c>
    </row>
    <row r="45" spans="1:105" ht="72.599999999999994">
      <c r="A45" s="8">
        <v>7</v>
      </c>
      <c r="B45" s="143" t="s">
        <v>5137</v>
      </c>
      <c r="C45" s="143" t="s">
        <v>5163</v>
      </c>
      <c r="D45" s="161" t="s">
        <v>5164</v>
      </c>
      <c r="E45" s="8" t="s">
        <v>4976</v>
      </c>
      <c r="F45" s="8">
        <v>2022</v>
      </c>
      <c r="G45" s="8">
        <v>2022</v>
      </c>
      <c r="H45" s="8"/>
      <c r="I45" s="6" t="s">
        <v>5141</v>
      </c>
      <c r="J45" s="6" t="s">
        <v>5709</v>
      </c>
      <c r="K45" s="482"/>
      <c r="L45" s="458">
        <v>6900000</v>
      </c>
      <c r="M45" s="6" t="s">
        <v>3216</v>
      </c>
      <c r="N45" s="8">
        <v>7</v>
      </c>
      <c r="O45" s="6" t="s">
        <v>4978</v>
      </c>
      <c r="P45" s="9" t="s">
        <v>3223</v>
      </c>
      <c r="Q45" s="8" t="s">
        <v>3215</v>
      </c>
      <c r="R45" s="8" t="s">
        <v>3923</v>
      </c>
      <c r="S45" s="8">
        <v>6764236</v>
      </c>
      <c r="T45" s="7" t="s">
        <v>25</v>
      </c>
      <c r="U45" s="162" t="s">
        <v>1684</v>
      </c>
      <c r="V45" s="458">
        <v>6900000</v>
      </c>
      <c r="W45" s="6" t="s">
        <v>166</v>
      </c>
      <c r="X45" s="6"/>
      <c r="Y45" s="6"/>
      <c r="Z45" s="6" t="s">
        <v>3286</v>
      </c>
      <c r="AA45" s="6" t="s">
        <v>3216</v>
      </c>
      <c r="AB45" s="8"/>
      <c r="AC45" s="8"/>
      <c r="AD45" s="205">
        <v>6744406</v>
      </c>
      <c r="AE45" s="207" t="s">
        <v>985</v>
      </c>
      <c r="AF45" s="6" t="s">
        <v>352</v>
      </c>
      <c r="AG45" s="458">
        <v>6900000</v>
      </c>
      <c r="AH45" s="6" t="s">
        <v>166</v>
      </c>
      <c r="AI45" s="6"/>
      <c r="AJ45" s="6"/>
      <c r="AK45" s="6" t="s">
        <v>3286</v>
      </c>
      <c r="AL45" s="6" t="s">
        <v>3216</v>
      </c>
      <c r="AM45" s="8">
        <v>6680634</v>
      </c>
      <c r="AN45" s="10" t="s">
        <v>989</v>
      </c>
      <c r="AO45" s="6" t="s">
        <v>47</v>
      </c>
      <c r="AP45" s="458">
        <v>6900000</v>
      </c>
      <c r="AQ45" s="6" t="s">
        <v>166</v>
      </c>
      <c r="AR45" s="6"/>
      <c r="AS45" s="6"/>
      <c r="AT45" s="6" t="s">
        <v>3286</v>
      </c>
      <c r="AU45" s="6" t="s">
        <v>3216</v>
      </c>
      <c r="AV45" s="33"/>
      <c r="AW45" s="33"/>
      <c r="AX45" s="33"/>
      <c r="AY45" s="458"/>
      <c r="AZ45" s="33"/>
      <c r="BA45" s="33"/>
      <c r="BB45" s="33"/>
      <c r="BC45" s="33"/>
      <c r="BD45" s="33"/>
      <c r="BE45" s="33"/>
      <c r="BF45" s="33"/>
      <c r="BG45" s="233"/>
      <c r="BH45" s="33"/>
      <c r="BI45" s="33"/>
      <c r="BJ45" s="33"/>
      <c r="BK45" s="33"/>
      <c r="BL45" s="33"/>
      <c r="BM45" s="33"/>
      <c r="BN45" s="33"/>
      <c r="BO45" s="233"/>
      <c r="BP45" s="33"/>
      <c r="BQ45" s="33"/>
      <c r="BR45" s="33"/>
      <c r="BS45" s="33"/>
      <c r="BT45" s="33"/>
      <c r="BU45" s="33"/>
      <c r="BV45" s="233"/>
      <c r="BW45" s="33"/>
      <c r="BX45" s="33"/>
      <c r="BY45" s="33"/>
      <c r="BZ45" s="33"/>
      <c r="CA45" s="160" t="s">
        <v>3190</v>
      </c>
      <c r="CB45" s="160" t="s">
        <v>3191</v>
      </c>
      <c r="CC45" s="6" t="s">
        <v>1688</v>
      </c>
      <c r="CD45" s="9" t="s">
        <v>3713</v>
      </c>
      <c r="CE45" s="6" t="s">
        <v>1689</v>
      </c>
      <c r="CF45" s="9"/>
      <c r="CG45" s="6"/>
      <c r="CH45" s="9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115" t="s">
        <v>3251</v>
      </c>
      <c r="CT45" s="115" t="s">
        <v>4981</v>
      </c>
      <c r="CU45" s="115" t="s">
        <v>5009</v>
      </c>
      <c r="CV45" s="115" t="s">
        <v>5165</v>
      </c>
      <c r="CW45" s="273" t="s">
        <v>3739</v>
      </c>
      <c r="CX45" s="273" t="s">
        <v>3739</v>
      </c>
    </row>
    <row r="46" spans="1:105" ht="72.599999999999994">
      <c r="A46" s="8">
        <v>8</v>
      </c>
      <c r="B46" s="143" t="s">
        <v>5137</v>
      </c>
      <c r="C46" s="143" t="s">
        <v>5166</v>
      </c>
      <c r="D46" s="161" t="s">
        <v>5167</v>
      </c>
      <c r="E46" s="8" t="s">
        <v>4976</v>
      </c>
      <c r="F46" s="8">
        <v>2022</v>
      </c>
      <c r="G46" s="8">
        <v>2022</v>
      </c>
      <c r="H46" s="8"/>
      <c r="I46" s="6" t="s">
        <v>5141</v>
      </c>
      <c r="J46" s="6" t="s">
        <v>5710</v>
      </c>
      <c r="K46" s="482"/>
      <c r="L46" s="458">
        <v>6000000</v>
      </c>
      <c r="M46" s="6" t="s">
        <v>3216</v>
      </c>
      <c r="N46" s="8">
        <v>7</v>
      </c>
      <c r="O46" s="6" t="s">
        <v>4978</v>
      </c>
      <c r="P46" s="9" t="s">
        <v>3223</v>
      </c>
      <c r="Q46" s="8" t="s">
        <v>3215</v>
      </c>
      <c r="R46" s="8" t="s">
        <v>3923</v>
      </c>
      <c r="S46" s="8">
        <v>6682794</v>
      </c>
      <c r="T46" s="7" t="s">
        <v>49</v>
      </c>
      <c r="U46" s="162" t="s">
        <v>1744</v>
      </c>
      <c r="V46" s="458">
        <v>6000000</v>
      </c>
      <c r="W46" s="6" t="s">
        <v>164</v>
      </c>
      <c r="X46" s="6"/>
      <c r="Y46" s="6"/>
      <c r="Z46" s="6" t="s">
        <v>3286</v>
      </c>
      <c r="AA46" s="6" t="s">
        <v>3216</v>
      </c>
      <c r="AB46" s="8"/>
      <c r="AC46" s="8"/>
      <c r="AD46" s="8">
        <v>6680626</v>
      </c>
      <c r="AE46" s="10" t="s">
        <v>1008</v>
      </c>
      <c r="AF46" s="6" t="s">
        <v>38</v>
      </c>
      <c r="AG46" s="458">
        <v>6000000</v>
      </c>
      <c r="AH46" s="6" t="s">
        <v>171</v>
      </c>
      <c r="AI46" s="6"/>
      <c r="AJ46" s="6"/>
      <c r="AK46" s="6" t="s">
        <v>3286</v>
      </c>
      <c r="AL46" s="6" t="s">
        <v>3216</v>
      </c>
      <c r="AM46" s="99"/>
      <c r="AN46" s="11"/>
      <c r="AO46" s="6"/>
      <c r="AP46" s="458"/>
      <c r="AQ46" s="6"/>
      <c r="AR46" s="6"/>
      <c r="AS46" s="6"/>
      <c r="AT46" s="6"/>
      <c r="AU46" s="33"/>
      <c r="AV46" s="33"/>
      <c r="AW46" s="33"/>
      <c r="AX46" s="33"/>
      <c r="AY46" s="458"/>
      <c r="AZ46" s="33"/>
      <c r="BA46" s="33"/>
      <c r="BB46" s="33"/>
      <c r="BC46" s="33"/>
      <c r="BD46" s="33"/>
      <c r="BE46" s="33"/>
      <c r="BF46" s="33"/>
      <c r="BG46" s="233"/>
      <c r="BH46" s="33"/>
      <c r="BI46" s="33"/>
      <c r="BJ46" s="33"/>
      <c r="BK46" s="33"/>
      <c r="BL46" s="33"/>
      <c r="BM46" s="33"/>
      <c r="BN46" s="33"/>
      <c r="BO46" s="233"/>
      <c r="BP46" s="33"/>
      <c r="BQ46" s="33"/>
      <c r="BR46" s="33"/>
      <c r="BS46" s="33"/>
      <c r="BT46" s="33"/>
      <c r="BU46" s="33"/>
      <c r="BV46" s="233"/>
      <c r="BW46" s="33"/>
      <c r="BX46" s="33"/>
      <c r="BY46" s="33"/>
      <c r="BZ46" s="33"/>
      <c r="CA46" s="160" t="s">
        <v>3190</v>
      </c>
      <c r="CB46" s="160" t="s">
        <v>3191</v>
      </c>
      <c r="CC46" s="6" t="s">
        <v>5168</v>
      </c>
      <c r="CD46" s="9" t="s">
        <v>3759</v>
      </c>
      <c r="CE46" s="6" t="s">
        <v>2371</v>
      </c>
      <c r="CF46" s="9" t="s">
        <v>3759</v>
      </c>
      <c r="CG46" s="6"/>
      <c r="CH46" s="9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115" t="s">
        <v>3061</v>
      </c>
      <c r="CT46" s="115" t="s">
        <v>4981</v>
      </c>
      <c r="CU46" s="115" t="s">
        <v>5009</v>
      </c>
      <c r="CV46" s="115" t="s">
        <v>5165</v>
      </c>
      <c r="CW46" s="115" t="s">
        <v>5169</v>
      </c>
      <c r="CX46" s="273" t="s">
        <v>3528</v>
      </c>
    </row>
    <row r="47" spans="1:105" ht="60.6">
      <c r="A47" s="8">
        <v>9</v>
      </c>
      <c r="B47" s="143" t="s">
        <v>5137</v>
      </c>
      <c r="C47" s="143" t="s">
        <v>5170</v>
      </c>
      <c r="D47" s="161" t="s">
        <v>5171</v>
      </c>
      <c r="E47" s="8" t="s">
        <v>4976</v>
      </c>
      <c r="F47" s="8">
        <v>2022</v>
      </c>
      <c r="G47" s="8">
        <v>2022</v>
      </c>
      <c r="H47" s="8"/>
      <c r="I47" s="6" t="s">
        <v>5151</v>
      </c>
      <c r="J47" s="6" t="s">
        <v>5711</v>
      </c>
      <c r="K47" s="482"/>
      <c r="L47" s="458">
        <v>7000000</v>
      </c>
      <c r="M47" s="6" t="s">
        <v>3216</v>
      </c>
      <c r="N47" s="8">
        <v>7</v>
      </c>
      <c r="O47" s="6" t="s">
        <v>4978</v>
      </c>
      <c r="P47" s="9" t="s">
        <v>3223</v>
      </c>
      <c r="Q47" s="8" t="s">
        <v>3215</v>
      </c>
      <c r="R47" s="8" t="s">
        <v>3923</v>
      </c>
      <c r="S47" s="8">
        <v>6680625</v>
      </c>
      <c r="T47" s="7" t="s">
        <v>23</v>
      </c>
      <c r="U47" s="162" t="s">
        <v>1782</v>
      </c>
      <c r="V47" s="458">
        <v>7000000</v>
      </c>
      <c r="W47" s="6" t="s">
        <v>154</v>
      </c>
      <c r="X47" s="6"/>
      <c r="Y47" s="6"/>
      <c r="Z47" s="6" t="s">
        <v>3281</v>
      </c>
      <c r="AA47" s="6" t="s">
        <v>3216</v>
      </c>
      <c r="AB47" s="8"/>
      <c r="AC47" s="8"/>
      <c r="AD47" s="33">
        <v>6724784</v>
      </c>
      <c r="AE47" s="33">
        <v>722119101</v>
      </c>
      <c r="AF47" s="6" t="s">
        <v>108</v>
      </c>
      <c r="AG47" s="458">
        <v>7000000</v>
      </c>
      <c r="AH47" s="6" t="s">
        <v>154</v>
      </c>
      <c r="AI47" s="6"/>
      <c r="AJ47" s="6"/>
      <c r="AK47" s="6" t="s">
        <v>3281</v>
      </c>
      <c r="AL47" s="6" t="s">
        <v>3216</v>
      </c>
      <c r="AM47" s="205">
        <v>6680741</v>
      </c>
      <c r="AN47" s="190" t="s">
        <v>1838</v>
      </c>
      <c r="AO47" s="6" t="s">
        <v>16</v>
      </c>
      <c r="AP47" s="458">
        <v>7000000</v>
      </c>
      <c r="AQ47" s="6" t="s">
        <v>154</v>
      </c>
      <c r="AR47" s="6"/>
      <c r="AS47" s="6"/>
      <c r="AT47" s="6" t="s">
        <v>3281</v>
      </c>
      <c r="AU47" s="6" t="s">
        <v>3216</v>
      </c>
      <c r="AV47" s="33"/>
      <c r="AW47" s="33"/>
      <c r="AX47" s="33"/>
      <c r="AY47" s="458"/>
      <c r="AZ47" s="33"/>
      <c r="BA47" s="33"/>
      <c r="BB47" s="33"/>
      <c r="BC47" s="33"/>
      <c r="BD47" s="33"/>
      <c r="BE47" s="33"/>
      <c r="BF47" s="33"/>
      <c r="BG47" s="233"/>
      <c r="BH47" s="33"/>
      <c r="BI47" s="33"/>
      <c r="BJ47" s="33"/>
      <c r="BK47" s="33"/>
      <c r="BL47" s="33"/>
      <c r="BM47" s="33"/>
      <c r="BN47" s="33"/>
      <c r="BO47" s="233"/>
      <c r="BP47" s="33"/>
      <c r="BQ47" s="33"/>
      <c r="BR47" s="33"/>
      <c r="BS47" s="33"/>
      <c r="BT47" s="33"/>
      <c r="BU47" s="33"/>
      <c r="BV47" s="233"/>
      <c r="BW47" s="33"/>
      <c r="BX47" s="33"/>
      <c r="BY47" s="33"/>
      <c r="BZ47" s="33"/>
      <c r="CA47" s="160" t="s">
        <v>3190</v>
      </c>
      <c r="CB47" s="160" t="s">
        <v>3191</v>
      </c>
      <c r="CC47" s="6" t="s">
        <v>5172</v>
      </c>
      <c r="CD47" s="9"/>
      <c r="CE47" s="6" t="s">
        <v>5173</v>
      </c>
      <c r="CF47" s="9"/>
      <c r="CG47" s="6"/>
      <c r="CH47" s="9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115" t="s">
        <v>3061</v>
      </c>
      <c r="CT47" s="115" t="s">
        <v>4981</v>
      </c>
      <c r="CU47" s="115" t="s">
        <v>4991</v>
      </c>
      <c r="CV47" s="115" t="s">
        <v>5174</v>
      </c>
      <c r="CW47" s="273" t="s">
        <v>3739</v>
      </c>
      <c r="CX47" s="273" t="s">
        <v>3739</v>
      </c>
    </row>
    <row r="48" spans="1:105" ht="84.6">
      <c r="A48" s="8">
        <v>10</v>
      </c>
      <c r="B48" s="143" t="s">
        <v>5137</v>
      </c>
      <c r="C48" s="143" t="s">
        <v>5175</v>
      </c>
      <c r="D48" s="161" t="s">
        <v>5176</v>
      </c>
      <c r="E48" s="8" t="s">
        <v>4976</v>
      </c>
      <c r="F48" s="8">
        <v>2022</v>
      </c>
      <c r="G48" s="8">
        <v>2022</v>
      </c>
      <c r="H48" s="8"/>
      <c r="I48" s="6" t="s">
        <v>5151</v>
      </c>
      <c r="J48" s="6" t="s">
        <v>5682</v>
      </c>
      <c r="K48" s="482"/>
      <c r="L48" s="458">
        <v>6500000</v>
      </c>
      <c r="M48" s="6" t="s">
        <v>3216</v>
      </c>
      <c r="N48" s="8">
        <v>7</v>
      </c>
      <c r="O48" s="6" t="s">
        <v>4978</v>
      </c>
      <c r="P48" s="9" t="s">
        <v>3223</v>
      </c>
      <c r="Q48" s="8" t="s">
        <v>3215</v>
      </c>
      <c r="R48" s="8" t="s">
        <v>3923</v>
      </c>
      <c r="S48" s="8">
        <v>6680645</v>
      </c>
      <c r="T48" s="7" t="s">
        <v>83</v>
      </c>
      <c r="U48" s="162" t="s">
        <v>2849</v>
      </c>
      <c r="V48" s="458">
        <v>6500000</v>
      </c>
      <c r="W48" s="6" t="s">
        <v>154</v>
      </c>
      <c r="X48" s="6"/>
      <c r="Y48" s="6"/>
      <c r="Z48" s="6" t="s">
        <v>3281</v>
      </c>
      <c r="AA48" s="6" t="s">
        <v>3216</v>
      </c>
      <c r="AB48" s="8"/>
      <c r="AC48" s="8"/>
      <c r="AD48" s="8">
        <v>6680625</v>
      </c>
      <c r="AE48" s="162" t="s">
        <v>1782</v>
      </c>
      <c r="AF48" s="6" t="s">
        <v>23</v>
      </c>
      <c r="AG48" s="458">
        <v>6500000</v>
      </c>
      <c r="AH48" s="6" t="s">
        <v>154</v>
      </c>
      <c r="AI48" s="6"/>
      <c r="AJ48" s="6"/>
      <c r="AK48" s="6" t="s">
        <v>3281</v>
      </c>
      <c r="AL48" s="6" t="s">
        <v>3216</v>
      </c>
      <c r="AM48" s="8">
        <v>6829130</v>
      </c>
      <c r="AN48" s="203" t="s">
        <v>3020</v>
      </c>
      <c r="AO48" s="6" t="s">
        <v>173</v>
      </c>
      <c r="AP48" s="458">
        <v>6500000</v>
      </c>
      <c r="AQ48" s="6" t="s">
        <v>154</v>
      </c>
      <c r="AR48" s="6" t="s">
        <v>155</v>
      </c>
      <c r="AS48" s="6"/>
      <c r="AT48" s="6" t="s">
        <v>3281</v>
      </c>
      <c r="AU48" s="6" t="s">
        <v>3216</v>
      </c>
      <c r="AV48" s="33"/>
      <c r="AW48" s="33"/>
      <c r="AX48" s="33"/>
      <c r="AY48" s="458"/>
      <c r="AZ48" s="33"/>
      <c r="BA48" s="33"/>
      <c r="BB48" s="33"/>
      <c r="BC48" s="33"/>
      <c r="BD48" s="33"/>
      <c r="BE48" s="33"/>
      <c r="BF48" s="33"/>
      <c r="BG48" s="233"/>
      <c r="BH48" s="33"/>
      <c r="BI48" s="33"/>
      <c r="BJ48" s="33"/>
      <c r="BK48" s="33"/>
      <c r="BL48" s="33"/>
      <c r="BM48" s="33"/>
      <c r="BN48" s="33"/>
      <c r="BO48" s="233"/>
      <c r="BP48" s="33"/>
      <c r="BQ48" s="33"/>
      <c r="BR48" s="33"/>
      <c r="BS48" s="33"/>
      <c r="BT48" s="33"/>
      <c r="BU48" s="33"/>
      <c r="BV48" s="233"/>
      <c r="BW48" s="33"/>
      <c r="BX48" s="33"/>
      <c r="BY48" s="33"/>
      <c r="BZ48" s="33"/>
      <c r="CA48" s="160" t="s">
        <v>3190</v>
      </c>
      <c r="CB48" s="160" t="s">
        <v>3191</v>
      </c>
      <c r="CC48" s="6" t="s">
        <v>3065</v>
      </c>
      <c r="CD48" s="9"/>
      <c r="CE48" s="6"/>
      <c r="CF48" s="9"/>
      <c r="CG48" s="6"/>
      <c r="CH48" s="9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115" t="s">
        <v>3061</v>
      </c>
      <c r="CT48" s="115" t="s">
        <v>4981</v>
      </c>
      <c r="CU48" s="115" t="s">
        <v>4991</v>
      </c>
      <c r="CV48" s="274" t="s">
        <v>5177</v>
      </c>
      <c r="CW48" s="273" t="s">
        <v>3739</v>
      </c>
      <c r="CX48" s="273" t="s">
        <v>3739</v>
      </c>
    </row>
    <row r="49" spans="1:102" ht="48">
      <c r="A49" s="8">
        <v>11</v>
      </c>
      <c r="B49" s="143" t="s">
        <v>5137</v>
      </c>
      <c r="C49" s="143" t="s">
        <v>5178</v>
      </c>
      <c r="D49" s="161" t="s">
        <v>5179</v>
      </c>
      <c r="E49" s="8" t="s">
        <v>4976</v>
      </c>
      <c r="F49" s="8">
        <v>2022</v>
      </c>
      <c r="G49" s="8">
        <v>2022</v>
      </c>
      <c r="H49" s="8"/>
      <c r="I49" s="6" t="s">
        <v>5141</v>
      </c>
      <c r="J49" s="6" t="s">
        <v>5686</v>
      </c>
      <c r="K49" s="482"/>
      <c r="L49" s="458">
        <v>6955000</v>
      </c>
      <c r="M49" s="6" t="s">
        <v>3216</v>
      </c>
      <c r="N49" s="8">
        <v>7</v>
      </c>
      <c r="O49" s="6" t="s">
        <v>4978</v>
      </c>
      <c r="P49" s="9" t="s">
        <v>3223</v>
      </c>
      <c r="Q49" s="8" t="s">
        <v>3215</v>
      </c>
      <c r="R49" s="8" t="s">
        <v>3923</v>
      </c>
      <c r="S49" s="8">
        <v>6680628</v>
      </c>
      <c r="T49" s="7" t="s">
        <v>89</v>
      </c>
      <c r="U49" s="162" t="s">
        <v>1007</v>
      </c>
      <c r="V49" s="458">
        <v>6955000</v>
      </c>
      <c r="W49" s="6" t="s">
        <v>164</v>
      </c>
      <c r="X49" s="6"/>
      <c r="Y49" s="6"/>
      <c r="Z49" s="6" t="s">
        <v>3286</v>
      </c>
      <c r="AA49" s="6" t="s">
        <v>3216</v>
      </c>
      <c r="AB49" s="8"/>
      <c r="AC49" s="8"/>
      <c r="AD49" s="99"/>
      <c r="AE49" s="11"/>
      <c r="AF49" s="6"/>
      <c r="AG49" s="458"/>
      <c r="AH49" s="6"/>
      <c r="AI49" s="6"/>
      <c r="AJ49" s="6"/>
      <c r="AK49" s="6"/>
      <c r="AL49" s="6"/>
      <c r="AM49" s="99"/>
      <c r="AN49" s="11"/>
      <c r="AO49" s="6"/>
      <c r="AP49" s="458"/>
      <c r="AQ49" s="6"/>
      <c r="AR49" s="6"/>
      <c r="AS49" s="6"/>
      <c r="AT49" s="6"/>
      <c r="AU49" s="33"/>
      <c r="AV49" s="33"/>
      <c r="AW49" s="33"/>
      <c r="AX49" s="33"/>
      <c r="AY49" s="458"/>
      <c r="AZ49" s="33"/>
      <c r="BA49" s="33"/>
      <c r="BB49" s="33"/>
      <c r="BC49" s="33"/>
      <c r="BD49" s="33"/>
      <c r="BE49" s="33"/>
      <c r="BF49" s="33"/>
      <c r="BG49" s="233"/>
      <c r="BH49" s="33"/>
      <c r="BI49" s="33"/>
      <c r="BJ49" s="33"/>
      <c r="BK49" s="33"/>
      <c r="BL49" s="33"/>
      <c r="BM49" s="33"/>
      <c r="BN49" s="33"/>
      <c r="BO49" s="233"/>
      <c r="BP49" s="33"/>
      <c r="BQ49" s="33"/>
      <c r="BR49" s="33"/>
      <c r="BS49" s="33"/>
      <c r="BT49" s="33"/>
      <c r="BU49" s="33"/>
      <c r="BV49" s="233"/>
      <c r="BW49" s="33"/>
      <c r="BX49" s="33"/>
      <c r="BY49" s="33"/>
      <c r="BZ49" s="33"/>
      <c r="CA49" s="160" t="s">
        <v>3190</v>
      </c>
      <c r="CB49" s="160" t="s">
        <v>3191</v>
      </c>
      <c r="CC49" s="6" t="s">
        <v>1777</v>
      </c>
      <c r="CD49" s="9" t="s">
        <v>3759</v>
      </c>
      <c r="CE49" s="6" t="s">
        <v>5180</v>
      </c>
      <c r="CF49" s="9" t="s">
        <v>3713</v>
      </c>
      <c r="CG49" s="6" t="s">
        <v>2903</v>
      </c>
      <c r="CH49" s="9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115" t="s">
        <v>3061</v>
      </c>
      <c r="CT49" s="273" t="s">
        <v>3739</v>
      </c>
      <c r="CU49" s="273" t="s">
        <v>3739</v>
      </c>
      <c r="CV49" s="274" t="s">
        <v>3814</v>
      </c>
      <c r="CW49" s="273" t="s">
        <v>3739</v>
      </c>
      <c r="CX49" s="273" t="s">
        <v>3739</v>
      </c>
    </row>
    <row r="50" spans="1:102" ht="48.6">
      <c r="A50" s="8">
        <v>12</v>
      </c>
      <c r="B50" s="143" t="s">
        <v>5137</v>
      </c>
      <c r="C50" s="143" t="s">
        <v>5181</v>
      </c>
      <c r="D50" s="161" t="s">
        <v>5182</v>
      </c>
      <c r="E50" s="8" t="s">
        <v>4976</v>
      </c>
      <c r="F50" s="8">
        <v>2022</v>
      </c>
      <c r="G50" s="8">
        <v>2022</v>
      </c>
      <c r="H50" s="8"/>
      <c r="I50" s="6" t="s">
        <v>5141</v>
      </c>
      <c r="J50" s="6" t="s">
        <v>5712</v>
      </c>
      <c r="K50" s="482"/>
      <c r="L50" s="458">
        <v>6671000</v>
      </c>
      <c r="M50" s="6" t="s">
        <v>3216</v>
      </c>
      <c r="N50" s="8">
        <v>7</v>
      </c>
      <c r="O50" s="6" t="s">
        <v>4978</v>
      </c>
      <c r="P50" s="9" t="s">
        <v>3223</v>
      </c>
      <c r="Q50" s="8" t="s">
        <v>3215</v>
      </c>
      <c r="R50" s="8" t="s">
        <v>3923</v>
      </c>
      <c r="S50" s="8">
        <v>6801989</v>
      </c>
      <c r="T50" s="7" t="s">
        <v>55</v>
      </c>
      <c r="U50" s="162" t="s">
        <v>1890</v>
      </c>
      <c r="V50" s="458">
        <v>6671000</v>
      </c>
      <c r="W50" s="6" t="s">
        <v>3093</v>
      </c>
      <c r="X50" s="6"/>
      <c r="Y50" s="6"/>
      <c r="Z50" s="6" t="s">
        <v>3286</v>
      </c>
      <c r="AA50" s="6" t="s">
        <v>3216</v>
      </c>
      <c r="AB50" s="8"/>
      <c r="AC50" s="8"/>
      <c r="AD50" s="55"/>
      <c r="AE50" s="117"/>
      <c r="AF50" s="6" t="s">
        <v>1573</v>
      </c>
      <c r="AG50" s="458">
        <v>6671000</v>
      </c>
      <c r="AH50" s="55"/>
      <c r="AI50" s="55"/>
      <c r="AJ50" s="55"/>
      <c r="AK50" s="55"/>
      <c r="AL50" s="6" t="s">
        <v>3216</v>
      </c>
      <c r="AM50" s="8">
        <v>6767777</v>
      </c>
      <c r="AN50" s="162" t="s">
        <v>2673</v>
      </c>
      <c r="AO50" s="6" t="s">
        <v>34</v>
      </c>
      <c r="AP50" s="458">
        <v>6671000</v>
      </c>
      <c r="AQ50" s="6" t="s">
        <v>171</v>
      </c>
      <c r="AR50" s="6"/>
      <c r="AS50" s="6"/>
      <c r="AT50" s="6" t="s">
        <v>3286</v>
      </c>
      <c r="AU50" s="6" t="s">
        <v>3216</v>
      </c>
      <c r="AV50" s="33"/>
      <c r="AW50" s="33"/>
      <c r="AX50" s="33"/>
      <c r="AY50" s="458"/>
      <c r="AZ50" s="33"/>
      <c r="BA50" s="33"/>
      <c r="BB50" s="33"/>
      <c r="BC50" s="33"/>
      <c r="BD50" s="33"/>
      <c r="BE50" s="33"/>
      <c r="BF50" s="33"/>
      <c r="BG50" s="233"/>
      <c r="BH50" s="33"/>
      <c r="BI50" s="33"/>
      <c r="BJ50" s="33"/>
      <c r="BK50" s="33"/>
      <c r="BL50" s="33"/>
      <c r="BM50" s="33"/>
      <c r="BN50" s="33"/>
      <c r="BO50" s="233"/>
      <c r="BP50" s="33"/>
      <c r="BQ50" s="33"/>
      <c r="BR50" s="33"/>
      <c r="BS50" s="33"/>
      <c r="BT50" s="33"/>
      <c r="BU50" s="33"/>
      <c r="BV50" s="233"/>
      <c r="BW50" s="33"/>
      <c r="BX50" s="33"/>
      <c r="BY50" s="33"/>
      <c r="BZ50" s="33"/>
      <c r="CA50" s="160" t="s">
        <v>3190</v>
      </c>
      <c r="CB50" s="160" t="s">
        <v>3191</v>
      </c>
      <c r="CC50" s="6" t="s">
        <v>5183</v>
      </c>
      <c r="CD50" s="9"/>
      <c r="CE50" s="6" t="s">
        <v>5184</v>
      </c>
      <c r="CF50" s="9" t="s">
        <v>3748</v>
      </c>
      <c r="CG50" s="6" t="s">
        <v>5185</v>
      </c>
      <c r="CH50" s="9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115" t="s">
        <v>3251</v>
      </c>
      <c r="CT50" s="115" t="s">
        <v>4981</v>
      </c>
      <c r="CU50" s="115" t="s">
        <v>4991</v>
      </c>
      <c r="CV50" s="115" t="s">
        <v>5186</v>
      </c>
      <c r="CW50" s="273" t="s">
        <v>3739</v>
      </c>
      <c r="CX50" s="273" t="s">
        <v>3739</v>
      </c>
    </row>
    <row r="51" spans="1:102" ht="84.6">
      <c r="A51" s="8">
        <v>13</v>
      </c>
      <c r="B51" s="143" t="s">
        <v>5137</v>
      </c>
      <c r="C51" s="143" t="s">
        <v>5187</v>
      </c>
      <c r="D51" s="161" t="s">
        <v>5188</v>
      </c>
      <c r="E51" s="8" t="s">
        <v>4976</v>
      </c>
      <c r="F51" s="8">
        <v>2022</v>
      </c>
      <c r="G51" s="8">
        <v>2022</v>
      </c>
      <c r="H51" s="8"/>
      <c r="I51" s="6" t="s">
        <v>5151</v>
      </c>
      <c r="J51" s="6" t="s">
        <v>5713</v>
      </c>
      <c r="K51" s="482"/>
      <c r="L51" s="458">
        <v>7000000</v>
      </c>
      <c r="M51" s="6" t="s">
        <v>3216</v>
      </c>
      <c r="N51" s="8">
        <v>7</v>
      </c>
      <c r="O51" s="6" t="s">
        <v>4978</v>
      </c>
      <c r="P51" s="9" t="s">
        <v>3223</v>
      </c>
      <c r="Q51" s="8" t="s">
        <v>3215</v>
      </c>
      <c r="R51" s="8" t="s">
        <v>3923</v>
      </c>
      <c r="S51" s="8">
        <v>6680634</v>
      </c>
      <c r="T51" s="7" t="s">
        <v>47</v>
      </c>
      <c r="U51" s="162" t="s">
        <v>989</v>
      </c>
      <c r="V51" s="458">
        <v>7000000</v>
      </c>
      <c r="W51" s="6" t="s">
        <v>166</v>
      </c>
      <c r="X51" s="6"/>
      <c r="Y51" s="6"/>
      <c r="Z51" s="6" t="s">
        <v>3286</v>
      </c>
      <c r="AA51" s="6" t="s">
        <v>3216</v>
      </c>
      <c r="AB51" s="8"/>
      <c r="AC51" s="8"/>
      <c r="AD51" s="205">
        <v>6744406</v>
      </c>
      <c r="AE51" s="207" t="s">
        <v>985</v>
      </c>
      <c r="AF51" s="6" t="s">
        <v>352</v>
      </c>
      <c r="AG51" s="458">
        <v>7000000</v>
      </c>
      <c r="AH51" s="6" t="s">
        <v>166</v>
      </c>
      <c r="AI51" s="6"/>
      <c r="AJ51" s="6"/>
      <c r="AK51" s="6" t="s">
        <v>3286</v>
      </c>
      <c r="AL51" s="6" t="s">
        <v>3216</v>
      </c>
      <c r="AM51" s="8">
        <v>6764236</v>
      </c>
      <c r="AN51" s="162" t="s">
        <v>1684</v>
      </c>
      <c r="AO51" s="6" t="s">
        <v>25</v>
      </c>
      <c r="AP51" s="458">
        <v>7000000</v>
      </c>
      <c r="AQ51" s="6" t="s">
        <v>166</v>
      </c>
      <c r="AR51" s="6"/>
      <c r="AS51" s="6"/>
      <c r="AT51" s="6" t="s">
        <v>3286</v>
      </c>
      <c r="AU51" s="6" t="s">
        <v>3216</v>
      </c>
      <c r="AV51" s="33"/>
      <c r="AW51" s="33"/>
      <c r="AX51" s="33"/>
      <c r="AY51" s="458"/>
      <c r="AZ51" s="33"/>
      <c r="BA51" s="33"/>
      <c r="BB51" s="33"/>
      <c r="BC51" s="33"/>
      <c r="BD51" s="33"/>
      <c r="BE51" s="33"/>
      <c r="BF51" s="33"/>
      <c r="BG51" s="233"/>
      <c r="BH51" s="33"/>
      <c r="BI51" s="33"/>
      <c r="BJ51" s="33"/>
      <c r="BK51" s="33"/>
      <c r="BL51" s="33"/>
      <c r="BM51" s="33"/>
      <c r="BN51" s="33"/>
      <c r="BO51" s="233"/>
      <c r="BP51" s="33"/>
      <c r="BQ51" s="33"/>
      <c r="BR51" s="33"/>
      <c r="BS51" s="33"/>
      <c r="BT51" s="33"/>
      <c r="BU51" s="33"/>
      <c r="BV51" s="233"/>
      <c r="BW51" s="33"/>
      <c r="BX51" s="33"/>
      <c r="BY51" s="33"/>
      <c r="BZ51" s="33"/>
      <c r="CA51" s="160" t="s">
        <v>3190</v>
      </c>
      <c r="CB51" s="160" t="s">
        <v>3191</v>
      </c>
      <c r="CC51" s="6" t="s">
        <v>1376</v>
      </c>
      <c r="CD51" s="9" t="s">
        <v>3713</v>
      </c>
      <c r="CE51" s="6" t="s">
        <v>5189</v>
      </c>
      <c r="CF51" s="9"/>
      <c r="CG51" s="6" t="s">
        <v>5190</v>
      </c>
      <c r="CH51" s="9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115" t="s">
        <v>3061</v>
      </c>
      <c r="CT51" s="115" t="s">
        <v>4981</v>
      </c>
      <c r="CU51" s="115" t="s">
        <v>4991</v>
      </c>
      <c r="CV51" s="115" t="s">
        <v>5191</v>
      </c>
      <c r="CW51" s="273" t="s">
        <v>3739</v>
      </c>
      <c r="CX51" s="273" t="s">
        <v>3739</v>
      </c>
    </row>
    <row r="52" spans="1:102" ht="72.599999999999994">
      <c r="A52" s="8">
        <v>14</v>
      </c>
      <c r="B52" s="143" t="s">
        <v>5137</v>
      </c>
      <c r="C52" s="143" t="s">
        <v>5192</v>
      </c>
      <c r="D52" s="161" t="s">
        <v>5193</v>
      </c>
      <c r="E52" s="8" t="s">
        <v>4976</v>
      </c>
      <c r="F52" s="8">
        <v>2022</v>
      </c>
      <c r="G52" s="8">
        <v>2022</v>
      </c>
      <c r="H52" s="8"/>
      <c r="I52" s="6" t="s">
        <v>5141</v>
      </c>
      <c r="J52" s="6" t="s">
        <v>5714</v>
      </c>
      <c r="K52" s="482"/>
      <c r="L52" s="458">
        <v>5570000</v>
      </c>
      <c r="M52" s="6" t="s">
        <v>3216</v>
      </c>
      <c r="N52" s="8">
        <v>7</v>
      </c>
      <c r="O52" s="6" t="s">
        <v>4978</v>
      </c>
      <c r="P52" s="9" t="s">
        <v>3223</v>
      </c>
      <c r="Q52" s="8" t="s">
        <v>3215</v>
      </c>
      <c r="R52" s="8" t="s">
        <v>3923</v>
      </c>
      <c r="S52" s="8">
        <v>6680648</v>
      </c>
      <c r="T52" s="7" t="s">
        <v>17</v>
      </c>
      <c r="U52" s="162" t="s">
        <v>1036</v>
      </c>
      <c r="V52" s="458">
        <v>5570000</v>
      </c>
      <c r="W52" s="6" t="s">
        <v>166</v>
      </c>
      <c r="X52" s="6"/>
      <c r="Y52" s="6"/>
      <c r="Z52" s="6" t="s">
        <v>3286</v>
      </c>
      <c r="AA52" s="6" t="s">
        <v>3216</v>
      </c>
      <c r="AB52" s="8"/>
      <c r="AC52" s="8"/>
      <c r="AD52" s="8">
        <v>6665306</v>
      </c>
      <c r="AE52" s="162" t="s">
        <v>1727</v>
      </c>
      <c r="AF52" s="6" t="s">
        <v>28</v>
      </c>
      <c r="AG52" s="458">
        <v>5570000</v>
      </c>
      <c r="AH52" s="6" t="s">
        <v>166</v>
      </c>
      <c r="AI52" s="6"/>
      <c r="AJ52" s="6"/>
      <c r="AK52" s="6" t="s">
        <v>3286</v>
      </c>
      <c r="AL52" s="6" t="s">
        <v>3216</v>
      </c>
      <c r="AM52" s="8">
        <v>6801883</v>
      </c>
      <c r="AN52" s="162" t="s">
        <v>1751</v>
      </c>
      <c r="AO52" s="6" t="s">
        <v>39</v>
      </c>
      <c r="AP52" s="458">
        <v>5570000</v>
      </c>
      <c r="AQ52" s="6" t="s">
        <v>166</v>
      </c>
      <c r="AR52" s="6"/>
      <c r="AS52" s="6"/>
      <c r="AT52" s="6" t="s">
        <v>3286</v>
      </c>
      <c r="AU52" s="6" t="s">
        <v>3216</v>
      </c>
      <c r="AV52" s="33"/>
      <c r="AW52" s="33"/>
      <c r="AX52" s="33"/>
      <c r="AY52" s="458"/>
      <c r="AZ52" s="33"/>
      <c r="BA52" s="33"/>
      <c r="BB52" s="33"/>
      <c r="BC52" s="33"/>
      <c r="BD52" s="33"/>
      <c r="BE52" s="33"/>
      <c r="BF52" s="33"/>
      <c r="BG52" s="233"/>
      <c r="BH52" s="33"/>
      <c r="BI52" s="33"/>
      <c r="BJ52" s="33"/>
      <c r="BK52" s="33"/>
      <c r="BL52" s="33"/>
      <c r="BM52" s="33"/>
      <c r="BN52" s="33"/>
      <c r="BO52" s="233"/>
      <c r="BP52" s="33"/>
      <c r="BQ52" s="33"/>
      <c r="BR52" s="33"/>
      <c r="BS52" s="33"/>
      <c r="BT52" s="33"/>
      <c r="BU52" s="33"/>
      <c r="BV52" s="233"/>
      <c r="BW52" s="33"/>
      <c r="BX52" s="33"/>
      <c r="BY52" s="33"/>
      <c r="BZ52" s="33"/>
      <c r="CA52" s="160" t="s">
        <v>3190</v>
      </c>
      <c r="CB52" s="160" t="s">
        <v>3191</v>
      </c>
      <c r="CC52" s="6" t="s">
        <v>1658</v>
      </c>
      <c r="CD52" s="9"/>
      <c r="CE52" s="6" t="s">
        <v>5194</v>
      </c>
      <c r="CF52" s="9"/>
      <c r="CG52" s="6"/>
      <c r="CH52" s="9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115" t="s">
        <v>3251</v>
      </c>
      <c r="CT52" s="115" t="s">
        <v>4998</v>
      </c>
      <c r="CU52" s="115" t="s">
        <v>4991</v>
      </c>
      <c r="CV52" s="274" t="s">
        <v>5195</v>
      </c>
      <c r="CW52" s="273" t="s">
        <v>3739</v>
      </c>
      <c r="CX52" s="273" t="s">
        <v>3739</v>
      </c>
    </row>
    <row r="53" spans="1:102" ht="60.6">
      <c r="A53" s="298">
        <v>15</v>
      </c>
      <c r="B53" s="143" t="s">
        <v>5137</v>
      </c>
      <c r="C53" s="143" t="s">
        <v>5196</v>
      </c>
      <c r="D53" s="161" t="s">
        <v>5197</v>
      </c>
      <c r="E53" s="8" t="s">
        <v>4976</v>
      </c>
      <c r="F53" s="8">
        <v>2022</v>
      </c>
      <c r="G53" s="8">
        <v>2022</v>
      </c>
      <c r="H53" s="8"/>
      <c r="I53" s="6" t="s">
        <v>5141</v>
      </c>
      <c r="J53" s="6" t="s">
        <v>5715</v>
      </c>
      <c r="K53" s="482"/>
      <c r="L53" s="458">
        <v>7000000</v>
      </c>
      <c r="M53" s="6" t="s">
        <v>3216</v>
      </c>
      <c r="N53" s="8">
        <v>7</v>
      </c>
      <c r="O53" s="6" t="s">
        <v>4978</v>
      </c>
      <c r="P53" s="9" t="s">
        <v>3223</v>
      </c>
      <c r="Q53" s="8" t="s">
        <v>3215</v>
      </c>
      <c r="R53" s="8" t="s">
        <v>3923</v>
      </c>
      <c r="S53" s="8">
        <v>6680629</v>
      </c>
      <c r="T53" s="7" t="s">
        <v>27</v>
      </c>
      <c r="U53" s="162" t="s">
        <v>2424</v>
      </c>
      <c r="V53" s="458">
        <v>7000000</v>
      </c>
      <c r="W53" s="6" t="s">
        <v>151</v>
      </c>
      <c r="X53" s="6"/>
      <c r="Y53" s="6"/>
      <c r="Z53" s="6" t="s">
        <v>3281</v>
      </c>
      <c r="AA53" s="6" t="s">
        <v>3216</v>
      </c>
      <c r="AB53" s="8"/>
      <c r="AC53" s="8"/>
      <c r="AD53" s="33">
        <v>6663582</v>
      </c>
      <c r="AE53" s="164" t="s">
        <v>1668</v>
      </c>
      <c r="AF53" s="6" t="s">
        <v>94</v>
      </c>
      <c r="AG53" s="458">
        <v>7000000</v>
      </c>
      <c r="AH53" s="6" t="s">
        <v>151</v>
      </c>
      <c r="AI53" s="6"/>
      <c r="AJ53" s="6"/>
      <c r="AK53" s="6" t="s">
        <v>3281</v>
      </c>
      <c r="AL53" s="6" t="s">
        <v>3216</v>
      </c>
      <c r="AM53" s="8">
        <v>6680633</v>
      </c>
      <c r="AN53" s="190" t="s">
        <v>3322</v>
      </c>
      <c r="AO53" s="6" t="s">
        <v>18</v>
      </c>
      <c r="AP53" s="458">
        <v>7000000</v>
      </c>
      <c r="AQ53" s="6" t="s">
        <v>156</v>
      </c>
      <c r="AR53" s="6" t="s">
        <v>166</v>
      </c>
      <c r="AS53" s="6"/>
      <c r="AT53" s="6" t="s">
        <v>3286</v>
      </c>
      <c r="AU53" s="6" t="s">
        <v>3216</v>
      </c>
      <c r="AV53" s="33"/>
      <c r="AW53" s="33"/>
      <c r="AX53" s="33"/>
      <c r="AY53" s="458"/>
      <c r="AZ53" s="33"/>
      <c r="BA53" s="33"/>
      <c r="BB53" s="33"/>
      <c r="BC53" s="33"/>
      <c r="BD53" s="33"/>
      <c r="BE53" s="33"/>
      <c r="BF53" s="33"/>
      <c r="BG53" s="233"/>
      <c r="BH53" s="33"/>
      <c r="BI53" s="33"/>
      <c r="BJ53" s="33"/>
      <c r="BK53" s="33"/>
      <c r="BL53" s="33"/>
      <c r="BM53" s="33"/>
      <c r="BN53" s="33"/>
      <c r="BO53" s="233"/>
      <c r="BP53" s="33"/>
      <c r="BQ53" s="33"/>
      <c r="BR53" s="33"/>
      <c r="BS53" s="33"/>
      <c r="BT53" s="33"/>
      <c r="BU53" s="33"/>
      <c r="BV53" s="233"/>
      <c r="BW53" s="33"/>
      <c r="BX53" s="33"/>
      <c r="BY53" s="33"/>
      <c r="BZ53" s="33"/>
      <c r="CA53" s="160" t="s">
        <v>3190</v>
      </c>
      <c r="CB53" s="160" t="s">
        <v>3191</v>
      </c>
      <c r="CC53" s="6" t="s">
        <v>2151</v>
      </c>
      <c r="CD53" s="9"/>
      <c r="CE53" s="6" t="s">
        <v>5198</v>
      </c>
      <c r="CF53" s="9"/>
      <c r="CG53" s="6" t="s">
        <v>5199</v>
      </c>
      <c r="CH53" s="9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275" t="s">
        <v>942</v>
      </c>
      <c r="CT53" s="115" t="s">
        <v>4981</v>
      </c>
      <c r="CU53" s="115" t="s">
        <v>4991</v>
      </c>
      <c r="CV53" s="274" t="s">
        <v>5200</v>
      </c>
      <c r="CW53" s="273" t="s">
        <v>3739</v>
      </c>
      <c r="CX53" s="273" t="s">
        <v>3739</v>
      </c>
    </row>
    <row r="54" spans="1:102" ht="36">
      <c r="A54" s="8">
        <v>16</v>
      </c>
      <c r="B54" s="143" t="s">
        <v>5137</v>
      </c>
      <c r="C54" s="6" t="s">
        <v>942</v>
      </c>
      <c r="D54" s="161" t="s">
        <v>5201</v>
      </c>
      <c r="E54" s="8" t="s">
        <v>5040</v>
      </c>
      <c r="F54" s="8">
        <v>2022</v>
      </c>
      <c r="G54" s="8">
        <v>2022</v>
      </c>
      <c r="H54" s="8"/>
      <c r="I54" s="6" t="s">
        <v>5141</v>
      </c>
      <c r="J54" s="6" t="s">
        <v>5716</v>
      </c>
      <c r="K54" s="482"/>
      <c r="L54" s="458">
        <v>10000000</v>
      </c>
      <c r="M54" s="6" t="s">
        <v>3216</v>
      </c>
      <c r="N54" s="8">
        <v>7</v>
      </c>
      <c r="O54" s="6" t="s">
        <v>4978</v>
      </c>
      <c r="P54" s="9" t="s">
        <v>3223</v>
      </c>
      <c r="Q54" s="8" t="s">
        <v>3215</v>
      </c>
      <c r="R54" s="8" t="s">
        <v>3923</v>
      </c>
      <c r="S54" s="8">
        <v>6680687</v>
      </c>
      <c r="T54" s="7" t="s">
        <v>29</v>
      </c>
      <c r="U54" s="162" t="s">
        <v>1693</v>
      </c>
      <c r="V54" s="458">
        <v>10000000</v>
      </c>
      <c r="W54" s="6" t="s">
        <v>160</v>
      </c>
      <c r="X54" s="6"/>
      <c r="Y54" s="6"/>
      <c r="Z54" s="6" t="s">
        <v>3281</v>
      </c>
      <c r="AA54" s="6" t="s">
        <v>3216</v>
      </c>
      <c r="AB54" s="8"/>
      <c r="AC54" s="8"/>
      <c r="AD54" s="8">
        <v>6680698</v>
      </c>
      <c r="AE54" s="162" t="s">
        <v>1002</v>
      </c>
      <c r="AF54" s="6" t="s">
        <v>165</v>
      </c>
      <c r="AG54" s="458">
        <v>10000000</v>
      </c>
      <c r="AH54" s="6" t="s">
        <v>164</v>
      </c>
      <c r="AI54" s="6"/>
      <c r="AJ54" s="6"/>
      <c r="AK54" s="6" t="s">
        <v>3286</v>
      </c>
      <c r="AL54" s="6" t="s">
        <v>3216</v>
      </c>
      <c r="AM54" s="6">
        <v>259781</v>
      </c>
      <c r="AN54" s="11" t="s">
        <v>982</v>
      </c>
      <c r="AO54" s="6" t="s">
        <v>26</v>
      </c>
      <c r="AP54" s="458">
        <v>10000000</v>
      </c>
      <c r="AQ54" s="6" t="s">
        <v>164</v>
      </c>
      <c r="AR54" s="6" t="s">
        <v>166</v>
      </c>
      <c r="AS54" s="6"/>
      <c r="AT54" s="6" t="s">
        <v>3286</v>
      </c>
      <c r="AU54" s="6" t="s">
        <v>3216</v>
      </c>
      <c r="AV54" s="33"/>
      <c r="AW54" s="33"/>
      <c r="AX54" s="33"/>
      <c r="AY54" s="458"/>
      <c r="AZ54" s="33"/>
      <c r="BA54" s="33"/>
      <c r="BB54" s="33"/>
      <c r="BC54" s="33"/>
      <c r="BD54" s="33"/>
      <c r="BE54" s="33"/>
      <c r="BF54" s="33"/>
      <c r="BG54" s="233"/>
      <c r="BH54" s="33"/>
      <c r="BI54" s="33"/>
      <c r="BJ54" s="33"/>
      <c r="BK54" s="33"/>
      <c r="BL54" s="33"/>
      <c r="BM54" s="33"/>
      <c r="BN54" s="33"/>
      <c r="BO54" s="233"/>
      <c r="BP54" s="33"/>
      <c r="BQ54" s="33"/>
      <c r="BR54" s="33"/>
      <c r="BS54" s="33"/>
      <c r="BT54" s="33"/>
      <c r="BU54" s="33"/>
      <c r="BV54" s="233"/>
      <c r="BW54" s="33"/>
      <c r="BX54" s="33"/>
      <c r="BY54" s="33"/>
      <c r="BZ54" s="33"/>
      <c r="CA54" s="160" t="s">
        <v>3190</v>
      </c>
      <c r="CB54" s="160" t="s">
        <v>3191</v>
      </c>
      <c r="CC54" s="6"/>
      <c r="CD54" s="9"/>
      <c r="CE54" s="6"/>
      <c r="CF54" s="9"/>
      <c r="CG54" s="6"/>
      <c r="CH54" s="9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115" t="s">
        <v>3061</v>
      </c>
      <c r="CT54" s="273" t="s">
        <v>3739</v>
      </c>
      <c r="CU54" s="273" t="s">
        <v>3739</v>
      </c>
      <c r="CV54" s="115" t="s">
        <v>5202</v>
      </c>
      <c r="CW54" s="273" t="s">
        <v>3739</v>
      </c>
      <c r="CX54" s="273" t="s">
        <v>3739</v>
      </c>
    </row>
    <row r="55" spans="1:102" ht="48.6">
      <c r="A55" s="8">
        <v>17</v>
      </c>
      <c r="B55" s="143" t="s">
        <v>5137</v>
      </c>
      <c r="C55" s="143" t="s">
        <v>5203</v>
      </c>
      <c r="D55" s="161" t="s">
        <v>5204</v>
      </c>
      <c r="E55" s="8" t="s">
        <v>4976</v>
      </c>
      <c r="F55" s="8">
        <v>2022</v>
      </c>
      <c r="G55" s="8">
        <v>2022</v>
      </c>
      <c r="H55" s="8"/>
      <c r="I55" s="6" t="s">
        <v>4986</v>
      </c>
      <c r="J55" s="6" t="s">
        <v>5717</v>
      </c>
      <c r="K55" s="482"/>
      <c r="L55" s="458">
        <v>6971250</v>
      </c>
      <c r="M55" s="6" t="s">
        <v>3216</v>
      </c>
      <c r="N55" s="8">
        <v>7</v>
      </c>
      <c r="O55" s="6" t="s">
        <v>4978</v>
      </c>
      <c r="P55" s="9" t="s">
        <v>3223</v>
      </c>
      <c r="Q55" s="8" t="s">
        <v>3215</v>
      </c>
      <c r="R55" s="8" t="s">
        <v>3923</v>
      </c>
      <c r="S55" s="8">
        <v>6787821</v>
      </c>
      <c r="T55" s="7" t="s">
        <v>43</v>
      </c>
      <c r="U55" s="10" t="s">
        <v>1756</v>
      </c>
      <c r="V55" s="458">
        <v>6971250</v>
      </c>
      <c r="W55" s="6" t="s">
        <v>172</v>
      </c>
      <c r="X55" s="6"/>
      <c r="Y55" s="6"/>
      <c r="Z55" s="6" t="s">
        <v>3281</v>
      </c>
      <c r="AA55" s="6" t="s">
        <v>3216</v>
      </c>
      <c r="AB55" s="8"/>
      <c r="AC55" s="8"/>
      <c r="AD55" s="99">
        <v>6778519</v>
      </c>
      <c r="AE55" s="116" t="s">
        <v>1876</v>
      </c>
      <c r="AF55" s="6" t="s">
        <v>177</v>
      </c>
      <c r="AG55" s="458">
        <v>6971250</v>
      </c>
      <c r="AH55" s="6" t="s">
        <v>172</v>
      </c>
      <c r="AI55" s="6"/>
      <c r="AJ55" s="6"/>
      <c r="AK55" s="6" t="s">
        <v>3281</v>
      </c>
      <c r="AL55" s="6" t="s">
        <v>3216</v>
      </c>
      <c r="AM55" s="99"/>
      <c r="AN55" s="11"/>
      <c r="AO55" s="6"/>
      <c r="AP55" s="458"/>
      <c r="AQ55" s="6"/>
      <c r="AR55" s="6"/>
      <c r="AS55" s="6"/>
      <c r="AT55" s="6"/>
      <c r="AU55" s="33"/>
      <c r="AV55" s="33"/>
      <c r="AW55" s="33"/>
      <c r="AX55" s="33"/>
      <c r="AY55" s="458"/>
      <c r="AZ55" s="33"/>
      <c r="BA55" s="33"/>
      <c r="BB55" s="33"/>
      <c r="BC55" s="33"/>
      <c r="BD55" s="33"/>
      <c r="BE55" s="33"/>
      <c r="BF55" s="33"/>
      <c r="BG55" s="233"/>
      <c r="BH55" s="33"/>
      <c r="BI55" s="33"/>
      <c r="BJ55" s="33"/>
      <c r="BK55" s="33"/>
      <c r="BL55" s="33"/>
      <c r="BM55" s="33"/>
      <c r="BN55" s="33"/>
      <c r="BO55" s="233"/>
      <c r="BP55" s="33"/>
      <c r="BQ55" s="33"/>
      <c r="BR55" s="33"/>
      <c r="BS55" s="33"/>
      <c r="BT55" s="33"/>
      <c r="BU55" s="33"/>
      <c r="BV55" s="233"/>
      <c r="BW55" s="33"/>
      <c r="BX55" s="33"/>
      <c r="BY55" s="33"/>
      <c r="BZ55" s="33"/>
      <c r="CA55" s="160" t="s">
        <v>3190</v>
      </c>
      <c r="CB55" s="160" t="s">
        <v>3191</v>
      </c>
      <c r="CC55" s="6" t="s">
        <v>2137</v>
      </c>
      <c r="CD55" s="9"/>
      <c r="CE55" s="6" t="s">
        <v>5205</v>
      </c>
      <c r="CF55" s="9"/>
      <c r="CG55" s="6" t="s">
        <v>5206</v>
      </c>
      <c r="CH55" s="9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273" t="s">
        <v>4990</v>
      </c>
      <c r="CT55" s="115" t="s">
        <v>4998</v>
      </c>
      <c r="CU55" s="115" t="s">
        <v>4991</v>
      </c>
      <c r="CV55" s="115" t="s">
        <v>5202</v>
      </c>
      <c r="CW55" s="273" t="s">
        <v>3739</v>
      </c>
      <c r="CX55" s="273" t="s">
        <v>3739</v>
      </c>
    </row>
    <row r="56" spans="1:102" ht="108.6">
      <c r="A56" s="8">
        <v>18</v>
      </c>
      <c r="B56" s="143" t="s">
        <v>5207</v>
      </c>
      <c r="C56" s="143" t="s">
        <v>5208</v>
      </c>
      <c r="D56" s="161" t="s">
        <v>5209</v>
      </c>
      <c r="E56" s="8" t="s">
        <v>4976</v>
      </c>
      <c r="F56" s="8">
        <v>2022</v>
      </c>
      <c r="G56" s="8">
        <v>2022</v>
      </c>
      <c r="H56" s="8"/>
      <c r="I56" s="6" t="s">
        <v>4977</v>
      </c>
      <c r="J56" s="6" t="s">
        <v>5718</v>
      </c>
      <c r="K56" s="482"/>
      <c r="L56" s="458">
        <v>6941000</v>
      </c>
      <c r="M56" s="6" t="s">
        <v>3216</v>
      </c>
      <c r="N56" s="8">
        <v>7</v>
      </c>
      <c r="O56" s="6" t="s">
        <v>4978</v>
      </c>
      <c r="P56" s="9" t="s">
        <v>3223</v>
      </c>
      <c r="Q56" s="8" t="s">
        <v>3215</v>
      </c>
      <c r="R56" s="8" t="s">
        <v>3923</v>
      </c>
      <c r="S56" s="8">
        <v>6727245</v>
      </c>
      <c r="T56" s="7" t="s">
        <v>96</v>
      </c>
      <c r="U56" s="162" t="s">
        <v>1889</v>
      </c>
      <c r="V56" s="458">
        <v>6941000</v>
      </c>
      <c r="W56" s="6" t="s">
        <v>3093</v>
      </c>
      <c r="X56" s="6"/>
      <c r="Y56" s="6"/>
      <c r="Z56" s="6" t="s">
        <v>3286</v>
      </c>
      <c r="AA56" s="6" t="s">
        <v>3216</v>
      </c>
      <c r="AB56" s="8"/>
      <c r="AC56" s="8"/>
      <c r="AD56" s="162" t="s">
        <v>3985</v>
      </c>
      <c r="AE56" s="162" t="s">
        <v>2730</v>
      </c>
      <c r="AF56" s="6" t="s">
        <v>42</v>
      </c>
      <c r="AG56" s="458">
        <v>6941000</v>
      </c>
      <c r="AH56" s="6" t="s">
        <v>175</v>
      </c>
      <c r="AI56" s="6" t="s">
        <v>166</v>
      </c>
      <c r="AJ56" s="6"/>
      <c r="AK56" s="6" t="s">
        <v>3286</v>
      </c>
      <c r="AL56" s="6" t="s">
        <v>3216</v>
      </c>
      <c r="AM56" s="55"/>
      <c r="AN56" s="117"/>
      <c r="AO56" s="55" t="s">
        <v>5210</v>
      </c>
      <c r="AP56" s="458">
        <v>6941000</v>
      </c>
      <c r="AQ56" s="55"/>
      <c r="AR56" s="55"/>
      <c r="AS56" s="55"/>
      <c r="AT56" s="55"/>
      <c r="AU56" s="32"/>
      <c r="AV56" s="33"/>
      <c r="AW56" s="33"/>
      <c r="AX56" s="33"/>
      <c r="AY56" s="458"/>
      <c r="AZ56" s="33"/>
      <c r="BA56" s="33"/>
      <c r="BB56" s="33"/>
      <c r="BC56" s="33"/>
      <c r="BD56" s="33"/>
      <c r="BE56" s="33"/>
      <c r="BF56" s="33"/>
      <c r="BG56" s="233"/>
      <c r="BH56" s="33"/>
      <c r="BI56" s="33"/>
      <c r="BJ56" s="33"/>
      <c r="BK56" s="33"/>
      <c r="BL56" s="33"/>
      <c r="BM56" s="33"/>
      <c r="BN56" s="33"/>
      <c r="BO56" s="233"/>
      <c r="BP56" s="33"/>
      <c r="BQ56" s="33"/>
      <c r="BR56" s="33"/>
      <c r="BS56" s="33"/>
      <c r="BT56" s="33"/>
      <c r="BU56" s="33"/>
      <c r="BV56" s="233"/>
      <c r="BW56" s="33"/>
      <c r="BX56" s="33"/>
      <c r="BY56" s="33"/>
      <c r="BZ56" s="33"/>
      <c r="CA56" s="160" t="s">
        <v>3190</v>
      </c>
      <c r="CB56" s="160" t="s">
        <v>3191</v>
      </c>
      <c r="CC56" s="6" t="s">
        <v>1329</v>
      </c>
      <c r="CD56" s="9"/>
      <c r="CE56" s="6" t="s">
        <v>5211</v>
      </c>
      <c r="CF56" s="9"/>
      <c r="CG56" s="6" t="s">
        <v>5212</v>
      </c>
      <c r="CH56" s="9"/>
      <c r="CI56" s="33" t="s">
        <v>5213</v>
      </c>
      <c r="CJ56" s="33"/>
      <c r="CK56" s="33"/>
      <c r="CL56" s="33"/>
      <c r="CM56" s="33"/>
      <c r="CN56" s="33"/>
      <c r="CO56" s="33"/>
      <c r="CP56" s="33"/>
      <c r="CQ56" s="33"/>
      <c r="CR56" s="33"/>
      <c r="CS56" s="115" t="s">
        <v>3061</v>
      </c>
      <c r="CT56" s="115" t="s">
        <v>4998</v>
      </c>
      <c r="CU56" s="115" t="s">
        <v>4991</v>
      </c>
      <c r="CV56" s="115" t="s">
        <v>5214</v>
      </c>
      <c r="CW56" s="273" t="s">
        <v>3739</v>
      </c>
      <c r="CX56" s="273" t="s">
        <v>3739</v>
      </c>
    </row>
    <row r="57" spans="1:102" ht="48.6">
      <c r="A57" s="8">
        <v>19</v>
      </c>
      <c r="B57" s="143" t="s">
        <v>5207</v>
      </c>
      <c r="C57" s="143" t="s">
        <v>5215</v>
      </c>
      <c r="D57" s="161" t="s">
        <v>5216</v>
      </c>
      <c r="E57" s="8" t="s">
        <v>4976</v>
      </c>
      <c r="F57" s="8">
        <v>2022</v>
      </c>
      <c r="G57" s="8">
        <v>2022</v>
      </c>
      <c r="H57" s="8"/>
      <c r="I57" s="6" t="s">
        <v>4977</v>
      </c>
      <c r="J57" s="6" t="s">
        <v>5719</v>
      </c>
      <c r="K57" s="482"/>
      <c r="L57" s="458">
        <v>7000000</v>
      </c>
      <c r="M57" s="6" t="s">
        <v>3216</v>
      </c>
      <c r="N57" s="8">
        <v>7</v>
      </c>
      <c r="O57" s="6" t="s">
        <v>4978</v>
      </c>
      <c r="P57" s="9" t="s">
        <v>3223</v>
      </c>
      <c r="Q57" s="8" t="s">
        <v>3215</v>
      </c>
      <c r="R57" s="8" t="s">
        <v>3923</v>
      </c>
      <c r="S57" s="8">
        <v>6680698</v>
      </c>
      <c r="T57" s="7" t="s">
        <v>165</v>
      </c>
      <c r="U57" s="162" t="s">
        <v>1002</v>
      </c>
      <c r="V57" s="458">
        <v>7000000</v>
      </c>
      <c r="W57" s="6" t="s">
        <v>164</v>
      </c>
      <c r="X57" s="6"/>
      <c r="Y57" s="6"/>
      <c r="Z57" s="6" t="s">
        <v>3286</v>
      </c>
      <c r="AA57" s="6" t="s">
        <v>3216</v>
      </c>
      <c r="AB57" s="8"/>
      <c r="AC57" s="8"/>
      <c r="AD57" s="8">
        <v>259781</v>
      </c>
      <c r="AE57" s="162" t="s">
        <v>982</v>
      </c>
      <c r="AF57" s="6" t="s">
        <v>26</v>
      </c>
      <c r="AG57" s="458">
        <v>7000000</v>
      </c>
      <c r="AH57" s="6" t="s">
        <v>164</v>
      </c>
      <c r="AI57" s="6" t="s">
        <v>166</v>
      </c>
      <c r="AJ57" s="6"/>
      <c r="AK57" s="6" t="s">
        <v>3286</v>
      </c>
      <c r="AL57" s="6" t="s">
        <v>3216</v>
      </c>
      <c r="AM57" s="6">
        <v>6680622</v>
      </c>
      <c r="AN57" s="6" t="s">
        <v>983</v>
      </c>
      <c r="AO57" s="6" t="s">
        <v>11</v>
      </c>
      <c r="AP57" s="458">
        <v>7000000</v>
      </c>
      <c r="AQ57" s="6" t="s">
        <v>164</v>
      </c>
      <c r="AR57" s="6"/>
      <c r="AS57" s="6"/>
      <c r="AT57" s="6" t="s">
        <v>3286</v>
      </c>
      <c r="AU57" s="6" t="s">
        <v>3216</v>
      </c>
      <c r="AV57" s="33"/>
      <c r="AW57" s="33"/>
      <c r="AX57" s="33"/>
      <c r="AY57" s="458"/>
      <c r="AZ57" s="33"/>
      <c r="BA57" s="33"/>
      <c r="BB57" s="33"/>
      <c r="BC57" s="33"/>
      <c r="BD57" s="33"/>
      <c r="BE57" s="33"/>
      <c r="BF57" s="33"/>
      <c r="BG57" s="233"/>
      <c r="BH57" s="33"/>
      <c r="BI57" s="33"/>
      <c r="BJ57" s="33"/>
      <c r="BK57" s="33"/>
      <c r="BL57" s="33"/>
      <c r="BM57" s="33"/>
      <c r="BN57" s="33"/>
      <c r="BO57" s="233"/>
      <c r="BP57" s="33"/>
      <c r="BQ57" s="33"/>
      <c r="BR57" s="33"/>
      <c r="BS57" s="33"/>
      <c r="BT57" s="33"/>
      <c r="BU57" s="33"/>
      <c r="BV57" s="233"/>
      <c r="BW57" s="33"/>
      <c r="BX57" s="33"/>
      <c r="BY57" s="33"/>
      <c r="BZ57" s="33"/>
      <c r="CA57" s="160" t="s">
        <v>3190</v>
      </c>
      <c r="CB57" s="160" t="s">
        <v>3191</v>
      </c>
      <c r="CC57" s="6" t="s">
        <v>1025</v>
      </c>
      <c r="CD57" s="9"/>
      <c r="CE57" s="6" t="s">
        <v>1026</v>
      </c>
      <c r="CF57" s="9"/>
      <c r="CG57" s="6" t="s">
        <v>2808</v>
      </c>
      <c r="CH57" s="9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115" t="s">
        <v>3061</v>
      </c>
      <c r="CT57" s="115" t="s">
        <v>4981</v>
      </c>
      <c r="CU57" s="115" t="s">
        <v>4991</v>
      </c>
      <c r="CV57" s="115" t="s">
        <v>3739</v>
      </c>
      <c r="CW57" s="273" t="s">
        <v>3739</v>
      </c>
      <c r="CX57" s="273" t="s">
        <v>3739</v>
      </c>
    </row>
    <row r="58" spans="1:102" ht="36">
      <c r="A58" s="8">
        <v>20</v>
      </c>
      <c r="B58" s="143" t="s">
        <v>5207</v>
      </c>
      <c r="C58" s="143" t="s">
        <v>5217</v>
      </c>
      <c r="D58" s="161" t="s">
        <v>5218</v>
      </c>
      <c r="E58" s="8" t="s">
        <v>4976</v>
      </c>
      <c r="F58" s="8">
        <v>2022</v>
      </c>
      <c r="G58" s="8">
        <v>2022</v>
      </c>
      <c r="H58" s="8"/>
      <c r="I58" s="6" t="s">
        <v>4977</v>
      </c>
      <c r="J58" s="6" t="s">
        <v>5720</v>
      </c>
      <c r="K58" s="482"/>
      <c r="L58" s="458">
        <v>6000000</v>
      </c>
      <c r="M58" s="6" t="s">
        <v>3216</v>
      </c>
      <c r="N58" s="8">
        <v>7</v>
      </c>
      <c r="O58" s="6" t="s">
        <v>4978</v>
      </c>
      <c r="P58" s="9" t="s">
        <v>3223</v>
      </c>
      <c r="Q58" s="8" t="s">
        <v>3215</v>
      </c>
      <c r="R58" s="8" t="s">
        <v>3923</v>
      </c>
      <c r="S58" s="8">
        <v>6785861</v>
      </c>
      <c r="T58" s="7" t="s">
        <v>775</v>
      </c>
      <c r="U58" s="162" t="s">
        <v>1904</v>
      </c>
      <c r="V58" s="458">
        <v>6000000</v>
      </c>
      <c r="W58" s="6" t="s">
        <v>3093</v>
      </c>
      <c r="X58" s="6"/>
      <c r="Y58" s="6"/>
      <c r="Z58" s="6" t="s">
        <v>3286</v>
      </c>
      <c r="AA58" s="6" t="s">
        <v>3216</v>
      </c>
      <c r="AB58" s="8"/>
      <c r="AC58" s="8"/>
      <c r="AD58" s="8">
        <v>6768348</v>
      </c>
      <c r="AE58" s="203" t="s">
        <v>2044</v>
      </c>
      <c r="AF58" s="6" t="s">
        <v>53</v>
      </c>
      <c r="AG58" s="458">
        <v>6000000</v>
      </c>
      <c r="AH58" s="6" t="s">
        <v>171</v>
      </c>
      <c r="AI58" s="6"/>
      <c r="AJ58" s="6"/>
      <c r="AK58" s="6" t="s">
        <v>3286</v>
      </c>
      <c r="AL58" s="6" t="s">
        <v>3216</v>
      </c>
      <c r="AM58" s="135">
        <v>6756289</v>
      </c>
      <c r="AN58" s="235" t="s">
        <v>1755</v>
      </c>
      <c r="AO58" s="6" t="s">
        <v>761</v>
      </c>
      <c r="AP58" s="458">
        <v>6000000</v>
      </c>
      <c r="AQ58" s="6" t="s">
        <v>172</v>
      </c>
      <c r="AR58" s="6"/>
      <c r="AS58" s="6"/>
      <c r="AT58" s="6" t="s">
        <v>3281</v>
      </c>
      <c r="AU58" s="6" t="s">
        <v>3216</v>
      </c>
      <c r="AV58" s="33"/>
      <c r="AW58" s="33"/>
      <c r="AX58" s="33"/>
      <c r="AY58" s="458"/>
      <c r="AZ58" s="33"/>
      <c r="BA58" s="33"/>
      <c r="BB58" s="33"/>
      <c r="BC58" s="33"/>
      <c r="BD58" s="33"/>
      <c r="BE58" s="33"/>
      <c r="BF58" s="33"/>
      <c r="BG58" s="233"/>
      <c r="BH58" s="33"/>
      <c r="BI58" s="33"/>
      <c r="BJ58" s="33"/>
      <c r="BK58" s="33"/>
      <c r="BL58" s="33"/>
      <c r="BM58" s="33"/>
      <c r="BN58" s="33"/>
      <c r="BO58" s="233"/>
      <c r="BP58" s="33"/>
      <c r="BQ58" s="33"/>
      <c r="BR58" s="33"/>
      <c r="BS58" s="33"/>
      <c r="BT58" s="33"/>
      <c r="BU58" s="33"/>
      <c r="BV58" s="233"/>
      <c r="BW58" s="33"/>
      <c r="BX58" s="33"/>
      <c r="BY58" s="33"/>
      <c r="BZ58" s="33"/>
      <c r="CA58" s="160" t="s">
        <v>3190</v>
      </c>
      <c r="CB58" s="160" t="s">
        <v>3191</v>
      </c>
      <c r="CC58" s="6" t="s">
        <v>2045</v>
      </c>
      <c r="CD58" s="9"/>
      <c r="CE58" s="6" t="s">
        <v>2047</v>
      </c>
      <c r="CF58" s="9"/>
      <c r="CG58" s="6" t="s">
        <v>2046</v>
      </c>
      <c r="CH58" s="9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115" t="s">
        <v>3251</v>
      </c>
      <c r="CT58" s="273" t="s">
        <v>3739</v>
      </c>
      <c r="CU58" s="273" t="s">
        <v>3739</v>
      </c>
      <c r="CV58" s="115" t="s">
        <v>5202</v>
      </c>
      <c r="CW58" s="273" t="s">
        <v>3739</v>
      </c>
      <c r="CX58" s="273" t="s">
        <v>3739</v>
      </c>
    </row>
    <row r="59" spans="1:102" ht="84.6">
      <c r="A59" s="8">
        <v>21</v>
      </c>
      <c r="B59" s="143" t="s">
        <v>5207</v>
      </c>
      <c r="C59" s="143" t="s">
        <v>5219</v>
      </c>
      <c r="D59" s="161" t="s">
        <v>5220</v>
      </c>
      <c r="E59" s="8" t="s">
        <v>4976</v>
      </c>
      <c r="F59" s="8">
        <v>2022</v>
      </c>
      <c r="G59" s="8">
        <v>2022</v>
      </c>
      <c r="H59" s="8"/>
      <c r="I59" s="6" t="s">
        <v>4986</v>
      </c>
      <c r="J59" s="6" t="s">
        <v>5721</v>
      </c>
      <c r="K59" s="482"/>
      <c r="L59" s="458">
        <v>5500000</v>
      </c>
      <c r="M59" s="6" t="s">
        <v>3216</v>
      </c>
      <c r="N59" s="8">
        <v>7</v>
      </c>
      <c r="O59" s="6" t="s">
        <v>4978</v>
      </c>
      <c r="P59" s="9" t="s">
        <v>3223</v>
      </c>
      <c r="Q59" s="8" t="s">
        <v>3215</v>
      </c>
      <c r="R59" s="8" t="s">
        <v>3923</v>
      </c>
      <c r="S59" s="8">
        <v>6801883</v>
      </c>
      <c r="T59" s="7" t="s">
        <v>39</v>
      </c>
      <c r="U59" s="162" t="s">
        <v>1751</v>
      </c>
      <c r="V59" s="458">
        <v>5500000</v>
      </c>
      <c r="W59" s="6" t="s">
        <v>166</v>
      </c>
      <c r="X59" s="6"/>
      <c r="Y59" s="6"/>
      <c r="Z59" s="6" t="s">
        <v>3286</v>
      </c>
      <c r="AA59" s="6" t="s">
        <v>3216</v>
      </c>
      <c r="AB59" s="8"/>
      <c r="AC59" s="8"/>
      <c r="AD59" s="8">
        <v>6787771</v>
      </c>
      <c r="AE59" s="162" t="s">
        <v>1676</v>
      </c>
      <c r="AF59" s="6" t="s">
        <v>180</v>
      </c>
      <c r="AG59" s="458">
        <v>5500000</v>
      </c>
      <c r="AH59" s="6" t="s">
        <v>166</v>
      </c>
      <c r="AI59" s="6"/>
      <c r="AJ59" s="6"/>
      <c r="AK59" s="6" t="s">
        <v>3286</v>
      </c>
      <c r="AL59" s="6" t="s">
        <v>3216</v>
      </c>
      <c r="AM59" s="8">
        <v>6789028</v>
      </c>
      <c r="AN59" s="162" t="s">
        <v>1917</v>
      </c>
      <c r="AO59" s="6" t="s">
        <v>179</v>
      </c>
      <c r="AP59" s="458">
        <v>5500000</v>
      </c>
      <c r="AQ59" s="6" t="s">
        <v>166</v>
      </c>
      <c r="AR59" s="6"/>
      <c r="AS59" s="6"/>
      <c r="AT59" s="6" t="s">
        <v>3286</v>
      </c>
      <c r="AU59" s="6" t="s">
        <v>3216</v>
      </c>
      <c r="AV59" s="33"/>
      <c r="AW59" s="33"/>
      <c r="AX59" s="33"/>
      <c r="AY59" s="458"/>
      <c r="AZ59" s="33"/>
      <c r="BA59" s="33"/>
      <c r="BB59" s="33"/>
      <c r="BC59" s="33"/>
      <c r="BD59" s="33"/>
      <c r="BE59" s="33"/>
      <c r="BF59" s="33"/>
      <c r="BG59" s="233"/>
      <c r="BH59" s="33"/>
      <c r="BI59" s="33"/>
      <c r="BJ59" s="33"/>
      <c r="BK59" s="33"/>
      <c r="BL59" s="33"/>
      <c r="BM59" s="33"/>
      <c r="BN59" s="33"/>
      <c r="BO59" s="233"/>
      <c r="BP59" s="33"/>
      <c r="BQ59" s="33"/>
      <c r="BR59" s="33"/>
      <c r="BS59" s="33"/>
      <c r="BT59" s="33"/>
      <c r="BU59" s="33"/>
      <c r="BV59" s="233"/>
      <c r="BW59" s="33"/>
      <c r="BX59" s="33"/>
      <c r="BY59" s="33"/>
      <c r="BZ59" s="33"/>
      <c r="CA59" s="586" t="s">
        <v>3190</v>
      </c>
      <c r="CB59" s="160" t="s">
        <v>3191</v>
      </c>
      <c r="CC59" s="6" t="s">
        <v>2140</v>
      </c>
      <c r="CD59" s="9"/>
      <c r="CE59" s="6" t="s">
        <v>5221</v>
      </c>
      <c r="CF59" s="9"/>
      <c r="CG59" s="6" t="s">
        <v>2142</v>
      </c>
      <c r="CH59" s="9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115" t="s">
        <v>3061</v>
      </c>
      <c r="CT59" s="115" t="s">
        <v>4981</v>
      </c>
      <c r="CU59" s="115" t="s">
        <v>4991</v>
      </c>
      <c r="CV59" s="115" t="s">
        <v>5222</v>
      </c>
      <c r="CW59" s="273" t="s">
        <v>3739</v>
      </c>
      <c r="CX59" s="273" t="s">
        <v>3739</v>
      </c>
    </row>
    <row r="60" spans="1:102" ht="48.6">
      <c r="A60" s="8">
        <v>22</v>
      </c>
      <c r="B60" s="143" t="s">
        <v>5207</v>
      </c>
      <c r="C60" s="143" t="s">
        <v>5223</v>
      </c>
      <c r="D60" s="161" t="s">
        <v>5224</v>
      </c>
      <c r="E60" s="8" t="s">
        <v>4976</v>
      </c>
      <c r="F60" s="8">
        <v>2022</v>
      </c>
      <c r="G60" s="8">
        <v>2022</v>
      </c>
      <c r="H60" s="8"/>
      <c r="I60" s="6" t="s">
        <v>4986</v>
      </c>
      <c r="J60" s="6" t="s">
        <v>5717</v>
      </c>
      <c r="K60" s="482"/>
      <c r="L60" s="458">
        <v>6960000</v>
      </c>
      <c r="M60" s="6" t="s">
        <v>3216</v>
      </c>
      <c r="N60" s="8">
        <v>7</v>
      </c>
      <c r="O60" s="6" t="s">
        <v>4978</v>
      </c>
      <c r="P60" s="9" t="s">
        <v>3223</v>
      </c>
      <c r="Q60" s="8" t="s">
        <v>3215</v>
      </c>
      <c r="R60" s="8" t="s">
        <v>3923</v>
      </c>
      <c r="S60" s="8">
        <v>6756289</v>
      </c>
      <c r="T60" s="7" t="s">
        <v>81</v>
      </c>
      <c r="U60" s="162" t="s">
        <v>1755</v>
      </c>
      <c r="V60" s="458">
        <v>6960000</v>
      </c>
      <c r="W60" s="6" t="s">
        <v>172</v>
      </c>
      <c r="X60" s="6"/>
      <c r="Y60" s="6"/>
      <c r="Z60" s="6" t="s">
        <v>3281</v>
      </c>
      <c r="AA60" s="6" t="s">
        <v>3216</v>
      </c>
      <c r="AB60" s="8"/>
      <c r="AC60" s="8"/>
      <c r="AD60" s="33">
        <v>6784457</v>
      </c>
      <c r="AE60" s="164" t="s">
        <v>1754</v>
      </c>
      <c r="AF60" s="6" t="s">
        <v>44</v>
      </c>
      <c r="AG60" s="458">
        <v>6960000</v>
      </c>
      <c r="AH60" s="6" t="s">
        <v>172</v>
      </c>
      <c r="AI60" s="6"/>
      <c r="AJ60" s="6"/>
      <c r="AK60" s="6" t="s">
        <v>3281</v>
      </c>
      <c r="AL60" s="6" t="s">
        <v>3216</v>
      </c>
      <c r="AM60" s="6">
        <v>6778837</v>
      </c>
      <c r="AN60" s="6">
        <v>711039403</v>
      </c>
      <c r="AO60" s="6" t="s">
        <v>71</v>
      </c>
      <c r="AP60" s="458">
        <v>6960000</v>
      </c>
      <c r="AQ60" s="6" t="s">
        <v>172</v>
      </c>
      <c r="AR60" s="6"/>
      <c r="AS60" s="6"/>
      <c r="AT60" s="6" t="s">
        <v>3281</v>
      </c>
      <c r="AU60" s="6" t="s">
        <v>3216</v>
      </c>
      <c r="AV60" s="33"/>
      <c r="AW60" s="33"/>
      <c r="AX60" s="33"/>
      <c r="AY60" s="458"/>
      <c r="AZ60" s="33"/>
      <c r="BA60" s="33"/>
      <c r="BB60" s="33"/>
      <c r="BC60" s="33"/>
      <c r="BD60" s="33"/>
      <c r="BE60" s="33"/>
      <c r="BF60" s="33"/>
      <c r="BG60" s="233"/>
      <c r="BH60" s="33"/>
      <c r="BI60" s="33"/>
      <c r="BJ60" s="33"/>
      <c r="BK60" s="33"/>
      <c r="BL60" s="33"/>
      <c r="BM60" s="33"/>
      <c r="BN60" s="33"/>
      <c r="BO60" s="233"/>
      <c r="BP60" s="33"/>
      <c r="BQ60" s="33"/>
      <c r="BR60" s="33"/>
      <c r="BS60" s="33"/>
      <c r="BT60" s="33"/>
      <c r="BU60" s="33"/>
      <c r="BV60" s="233"/>
      <c r="BW60" s="33"/>
      <c r="BX60" s="33"/>
      <c r="BY60" s="33"/>
      <c r="BZ60" s="33"/>
      <c r="CA60" s="160" t="s">
        <v>3190</v>
      </c>
      <c r="CB60" s="160" t="s">
        <v>3191</v>
      </c>
      <c r="CC60" s="6" t="s">
        <v>1757</v>
      </c>
      <c r="CD60" s="9" t="s">
        <v>3757</v>
      </c>
      <c r="CE60" s="6" t="s">
        <v>5225</v>
      </c>
      <c r="CF60" s="9" t="s">
        <v>3757</v>
      </c>
      <c r="CG60" s="6" t="s">
        <v>5226</v>
      </c>
      <c r="CH60" s="9" t="s">
        <v>3757</v>
      </c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115" t="s">
        <v>3061</v>
      </c>
      <c r="CT60" s="115" t="s">
        <v>4998</v>
      </c>
      <c r="CU60" s="115" t="s">
        <v>4991</v>
      </c>
      <c r="CV60" s="115" t="s">
        <v>5202</v>
      </c>
      <c r="CW60" s="115" t="s">
        <v>5227</v>
      </c>
      <c r="CX60" s="273" t="s">
        <v>3739</v>
      </c>
    </row>
    <row r="61" spans="1:102" ht="108.6">
      <c r="A61" s="8">
        <v>23</v>
      </c>
      <c r="B61" s="143" t="s">
        <v>5207</v>
      </c>
      <c r="C61" s="143" t="s">
        <v>5228</v>
      </c>
      <c r="D61" s="161" t="s">
        <v>5229</v>
      </c>
      <c r="E61" s="8" t="s">
        <v>4976</v>
      </c>
      <c r="F61" s="8">
        <v>2022</v>
      </c>
      <c r="G61" s="8">
        <v>2022</v>
      </c>
      <c r="H61" s="8">
        <v>7</v>
      </c>
      <c r="I61" s="6" t="s">
        <v>4986</v>
      </c>
      <c r="J61" s="6" t="s">
        <v>5707</v>
      </c>
      <c r="K61" s="482"/>
      <c r="L61" s="458">
        <v>6000000</v>
      </c>
      <c r="M61" s="6" t="s">
        <v>3216</v>
      </c>
      <c r="N61" s="8">
        <v>7</v>
      </c>
      <c r="O61" s="6" t="s">
        <v>4978</v>
      </c>
      <c r="P61" s="9" t="s">
        <v>3223</v>
      </c>
      <c r="Q61" s="8" t="s">
        <v>3215</v>
      </c>
      <c r="R61" s="8" t="s">
        <v>3923</v>
      </c>
      <c r="S61" s="8">
        <v>6682237</v>
      </c>
      <c r="T61" s="7" t="s">
        <v>13</v>
      </c>
      <c r="U61" s="162" t="s">
        <v>1736</v>
      </c>
      <c r="V61" s="458">
        <v>6000000</v>
      </c>
      <c r="W61" s="6" t="s">
        <v>160</v>
      </c>
      <c r="X61" s="6"/>
      <c r="Y61" s="6"/>
      <c r="Z61" s="6" t="s">
        <v>3281</v>
      </c>
      <c r="AA61" s="6" t="s">
        <v>3216</v>
      </c>
      <c r="AB61" s="8"/>
      <c r="AC61" s="8"/>
      <c r="AD61" s="33">
        <v>6680627</v>
      </c>
      <c r="AE61" s="164" t="s">
        <v>1912</v>
      </c>
      <c r="AF61" s="6" t="s">
        <v>88</v>
      </c>
      <c r="AG61" s="458">
        <v>6000000</v>
      </c>
      <c r="AH61" s="6" t="s">
        <v>160</v>
      </c>
      <c r="AI61" s="6"/>
      <c r="AJ61" s="6"/>
      <c r="AK61" s="6" t="s">
        <v>3281</v>
      </c>
      <c r="AL61" s="6" t="s">
        <v>3216</v>
      </c>
      <c r="AM61" s="8">
        <v>6795859</v>
      </c>
      <c r="AN61" s="162" t="s">
        <v>1672</v>
      </c>
      <c r="AO61" s="6" t="s">
        <v>56</v>
      </c>
      <c r="AP61" s="458">
        <v>6000000</v>
      </c>
      <c r="AQ61" s="6" t="s">
        <v>160</v>
      </c>
      <c r="AR61" s="6"/>
      <c r="AS61" s="6"/>
      <c r="AT61" s="6" t="s">
        <v>3281</v>
      </c>
      <c r="AU61" s="6" t="s">
        <v>3216</v>
      </c>
      <c r="AV61" s="33"/>
      <c r="AW61" s="33"/>
      <c r="AX61" s="33"/>
      <c r="AY61" s="458"/>
      <c r="AZ61" s="33"/>
      <c r="BA61" s="33"/>
      <c r="BB61" s="33"/>
      <c r="BC61" s="33"/>
      <c r="BD61" s="33"/>
      <c r="BE61" s="33"/>
      <c r="BF61" s="33"/>
      <c r="BG61" s="233"/>
      <c r="BH61" s="33"/>
      <c r="BI61" s="33"/>
      <c r="BJ61" s="33"/>
      <c r="BK61" s="33"/>
      <c r="BL61" s="33"/>
      <c r="BM61" s="33"/>
      <c r="BN61" s="33"/>
      <c r="BO61" s="233"/>
      <c r="BP61" s="33"/>
      <c r="BQ61" s="33"/>
      <c r="BR61" s="33"/>
      <c r="BS61" s="33"/>
      <c r="BT61" s="33"/>
      <c r="BU61" s="33"/>
      <c r="BV61" s="233"/>
      <c r="BW61" s="33"/>
      <c r="BX61" s="33"/>
      <c r="BY61" s="33"/>
      <c r="BZ61" s="33"/>
      <c r="CA61" s="160" t="s">
        <v>3190</v>
      </c>
      <c r="CB61" s="160" t="s">
        <v>3191</v>
      </c>
      <c r="CC61" s="6" t="s">
        <v>5230</v>
      </c>
      <c r="CD61" s="9"/>
      <c r="CE61" s="6" t="s">
        <v>1914</v>
      </c>
      <c r="CF61" s="9"/>
      <c r="CG61" s="6"/>
      <c r="CH61" s="9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115" t="s">
        <v>3251</v>
      </c>
      <c r="CT61" s="115" t="s">
        <v>4981</v>
      </c>
      <c r="CU61" s="115" t="s">
        <v>5009</v>
      </c>
      <c r="CV61" s="115" t="s">
        <v>5231</v>
      </c>
      <c r="CW61" s="115" t="s">
        <v>4998</v>
      </c>
      <c r="CX61" s="273" t="s">
        <v>3528</v>
      </c>
    </row>
    <row r="62" spans="1:102" ht="60.6">
      <c r="A62" s="298">
        <v>24</v>
      </c>
      <c r="B62" s="143" t="s">
        <v>5207</v>
      </c>
      <c r="C62" s="143" t="s">
        <v>5232</v>
      </c>
      <c r="D62" s="161" t="s">
        <v>5233</v>
      </c>
      <c r="E62" s="8" t="s">
        <v>4976</v>
      </c>
      <c r="F62" s="8">
        <v>2022</v>
      </c>
      <c r="G62" s="8">
        <v>2022</v>
      </c>
      <c r="H62" s="8"/>
      <c r="I62" s="6" t="s">
        <v>4986</v>
      </c>
      <c r="J62" s="6" t="s">
        <v>5722</v>
      </c>
      <c r="K62" s="482"/>
      <c r="L62" s="458">
        <v>5250000</v>
      </c>
      <c r="M62" s="6" t="s">
        <v>3216</v>
      </c>
      <c r="N62" s="8">
        <v>7</v>
      </c>
      <c r="O62" s="6" t="s">
        <v>4978</v>
      </c>
      <c r="P62" s="9" t="s">
        <v>3223</v>
      </c>
      <c r="Q62" s="8" t="s">
        <v>3215</v>
      </c>
      <c r="R62" s="8" t="s">
        <v>3923</v>
      </c>
      <c r="S62" s="162" t="s">
        <v>5234</v>
      </c>
      <c r="T62" s="7" t="s">
        <v>178</v>
      </c>
      <c r="U62" s="162" t="s">
        <v>978</v>
      </c>
      <c r="V62" s="458">
        <v>5250000</v>
      </c>
      <c r="W62" s="6" t="s">
        <v>166</v>
      </c>
      <c r="X62" s="6"/>
      <c r="Y62" s="6"/>
      <c r="Z62" s="6" t="s">
        <v>3286</v>
      </c>
      <c r="AA62" s="6" t="s">
        <v>3216</v>
      </c>
      <c r="AB62" s="8"/>
      <c r="AC62" s="8"/>
      <c r="AD62" s="8">
        <v>6680633</v>
      </c>
      <c r="AE62" s="190" t="s">
        <v>3322</v>
      </c>
      <c r="AF62" s="6" t="s">
        <v>18</v>
      </c>
      <c r="AG62" s="458">
        <v>5250000</v>
      </c>
      <c r="AH62" s="6" t="s">
        <v>156</v>
      </c>
      <c r="AI62" s="6" t="s">
        <v>166</v>
      </c>
      <c r="AJ62" s="6"/>
      <c r="AK62" s="6" t="s">
        <v>3286</v>
      </c>
      <c r="AL62" s="6" t="s">
        <v>3216</v>
      </c>
      <c r="AM62" s="8">
        <v>6680623</v>
      </c>
      <c r="AN62" s="162" t="s">
        <v>1841</v>
      </c>
      <c r="AO62" s="6" t="s">
        <v>30</v>
      </c>
      <c r="AP62" s="458">
        <v>5250000</v>
      </c>
      <c r="AQ62" s="6" t="s">
        <v>166</v>
      </c>
      <c r="AR62" s="6"/>
      <c r="AS62" s="6"/>
      <c r="AT62" s="6" t="s">
        <v>3286</v>
      </c>
      <c r="AU62" s="6" t="s">
        <v>3216</v>
      </c>
      <c r="AV62" s="33"/>
      <c r="AW62" s="33"/>
      <c r="AX62" s="33"/>
      <c r="AY62" s="458"/>
      <c r="AZ62" s="33"/>
      <c r="BA62" s="33"/>
      <c r="BB62" s="33"/>
      <c r="BC62" s="33"/>
      <c r="BD62" s="33"/>
      <c r="BE62" s="33"/>
      <c r="BF62" s="33"/>
      <c r="BG62" s="233"/>
      <c r="BH62" s="33"/>
      <c r="BI62" s="33"/>
      <c r="BJ62" s="33"/>
      <c r="BK62" s="33"/>
      <c r="BL62" s="33"/>
      <c r="BM62" s="33"/>
      <c r="BN62" s="33"/>
      <c r="BO62" s="233"/>
      <c r="BP62" s="33"/>
      <c r="BQ62" s="33"/>
      <c r="BR62" s="33"/>
      <c r="BS62" s="33"/>
      <c r="BT62" s="33"/>
      <c r="BU62" s="33"/>
      <c r="BV62" s="233"/>
      <c r="BW62" s="33"/>
      <c r="BX62" s="33"/>
      <c r="BY62" s="33"/>
      <c r="BZ62" s="33"/>
      <c r="CA62" s="160" t="s">
        <v>3190</v>
      </c>
      <c r="CB62" s="160" t="s">
        <v>3191</v>
      </c>
      <c r="CC62" s="6" t="s">
        <v>5235</v>
      </c>
      <c r="CD62" s="9" t="s">
        <v>3713</v>
      </c>
      <c r="CE62" s="6" t="s">
        <v>5236</v>
      </c>
      <c r="CF62" s="9" t="s">
        <v>3713</v>
      </c>
      <c r="CG62" s="6" t="s">
        <v>5237</v>
      </c>
      <c r="CH62" s="9" t="s">
        <v>3713</v>
      </c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273" t="s">
        <v>4990</v>
      </c>
      <c r="CT62" s="273" t="s">
        <v>4998</v>
      </c>
      <c r="CU62" s="273" t="s">
        <v>3739</v>
      </c>
      <c r="CV62" s="115" t="s">
        <v>5238</v>
      </c>
      <c r="CW62" s="273" t="s">
        <v>3739</v>
      </c>
      <c r="CX62" s="273" t="s">
        <v>3739</v>
      </c>
    </row>
    <row r="63" spans="1:102" ht="48">
      <c r="A63" s="8">
        <v>25</v>
      </c>
      <c r="B63" s="143" t="s">
        <v>5207</v>
      </c>
      <c r="C63" s="6" t="s">
        <v>942</v>
      </c>
      <c r="D63" s="161" t="s">
        <v>5239</v>
      </c>
      <c r="E63" s="8" t="s">
        <v>4976</v>
      </c>
      <c r="F63" s="8">
        <v>2022</v>
      </c>
      <c r="G63" s="8">
        <v>2022</v>
      </c>
      <c r="H63" s="8"/>
      <c r="I63" s="6" t="s">
        <v>4986</v>
      </c>
      <c r="J63" s="6"/>
      <c r="K63" s="482"/>
      <c r="L63" s="458">
        <v>6000000</v>
      </c>
      <c r="M63" s="6" t="s">
        <v>3216</v>
      </c>
      <c r="N63" s="8">
        <v>7</v>
      </c>
      <c r="O63" s="6" t="s">
        <v>4978</v>
      </c>
      <c r="P63" s="9" t="s">
        <v>3223</v>
      </c>
      <c r="Q63" s="8" t="s">
        <v>3215</v>
      </c>
      <c r="R63" s="8" t="s">
        <v>3923</v>
      </c>
      <c r="S63" s="8">
        <v>6680623</v>
      </c>
      <c r="T63" s="7" t="s">
        <v>30</v>
      </c>
      <c r="U63" s="162" t="s">
        <v>1841</v>
      </c>
      <c r="V63" s="458">
        <v>6000000</v>
      </c>
      <c r="W63" s="6" t="s">
        <v>166</v>
      </c>
      <c r="X63" s="6"/>
      <c r="Y63" s="6"/>
      <c r="Z63" s="6" t="s">
        <v>3286</v>
      </c>
      <c r="AA63" s="6" t="s">
        <v>3216</v>
      </c>
      <c r="AB63" s="8"/>
      <c r="AC63" s="8"/>
      <c r="AD63" s="162" t="s">
        <v>5234</v>
      </c>
      <c r="AE63" s="162" t="s">
        <v>978</v>
      </c>
      <c r="AF63" s="6" t="s">
        <v>178</v>
      </c>
      <c r="AG63" s="458">
        <v>6000000</v>
      </c>
      <c r="AH63" s="6" t="s">
        <v>166</v>
      </c>
      <c r="AI63" s="6"/>
      <c r="AJ63" s="6"/>
      <c r="AK63" s="6" t="s">
        <v>3286</v>
      </c>
      <c r="AL63" s="6" t="s">
        <v>3216</v>
      </c>
      <c r="AM63" s="8">
        <v>6801883</v>
      </c>
      <c r="AN63" s="162" t="s">
        <v>1751</v>
      </c>
      <c r="AO63" s="6" t="s">
        <v>39</v>
      </c>
      <c r="AP63" s="458">
        <v>6000000</v>
      </c>
      <c r="AQ63" s="6" t="s">
        <v>166</v>
      </c>
      <c r="AR63" s="6"/>
      <c r="AS63" s="6"/>
      <c r="AT63" s="6" t="s">
        <v>3286</v>
      </c>
      <c r="AU63" s="6" t="s">
        <v>3216</v>
      </c>
      <c r="AV63" s="33"/>
      <c r="AW63" s="33"/>
      <c r="AX63" s="241"/>
      <c r="AY63" s="458"/>
      <c r="AZ63" s="33"/>
      <c r="BA63" s="33"/>
      <c r="BB63" s="33"/>
      <c r="BC63" s="33"/>
      <c r="BD63" s="33"/>
      <c r="BE63" s="33"/>
      <c r="BF63" s="33"/>
      <c r="BG63" s="233"/>
      <c r="BH63" s="33"/>
      <c r="BI63" s="33"/>
      <c r="BJ63" s="33"/>
      <c r="BK63" s="33"/>
      <c r="BL63" s="33"/>
      <c r="BM63" s="33"/>
      <c r="BN63" s="33"/>
      <c r="BO63" s="233"/>
      <c r="BP63" s="33"/>
      <c r="BQ63" s="33"/>
      <c r="BR63" s="33"/>
      <c r="BS63" s="33"/>
      <c r="BT63" s="33"/>
      <c r="BU63" s="33"/>
      <c r="BV63" s="233"/>
      <c r="BW63" s="33"/>
      <c r="BX63" s="33"/>
      <c r="BY63" s="33"/>
      <c r="BZ63" s="33"/>
      <c r="CA63" s="163" t="s">
        <v>3190</v>
      </c>
      <c r="CB63" s="163" t="s">
        <v>3191</v>
      </c>
      <c r="CC63" s="6" t="s">
        <v>5235</v>
      </c>
      <c r="CD63" s="9" t="s">
        <v>3713</v>
      </c>
      <c r="CE63" s="6" t="s">
        <v>5236</v>
      </c>
      <c r="CF63" s="9" t="s">
        <v>3713</v>
      </c>
      <c r="CG63" s="6" t="s">
        <v>5240</v>
      </c>
      <c r="CH63" s="9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275" t="s">
        <v>942</v>
      </c>
      <c r="CT63" s="275" t="s">
        <v>942</v>
      </c>
      <c r="CU63" s="275" t="s">
        <v>942</v>
      </c>
      <c r="CV63" s="115" t="s">
        <v>3739</v>
      </c>
      <c r="CW63" s="273" t="s">
        <v>3739</v>
      </c>
      <c r="CX63" s="273" t="s">
        <v>3739</v>
      </c>
    </row>
    <row r="64" spans="1:102" ht="72.599999999999994">
      <c r="A64" s="8">
        <v>26</v>
      </c>
      <c r="B64" s="143" t="s">
        <v>5207</v>
      </c>
      <c r="C64" s="6" t="s">
        <v>942</v>
      </c>
      <c r="D64" s="161" t="s">
        <v>5241</v>
      </c>
      <c r="E64" s="8" t="s">
        <v>4976</v>
      </c>
      <c r="F64" s="8">
        <v>2022</v>
      </c>
      <c r="G64" s="8">
        <v>2022</v>
      </c>
      <c r="H64" s="8"/>
      <c r="I64" s="6" t="s">
        <v>4986</v>
      </c>
      <c r="J64" s="6" t="s">
        <v>5723</v>
      </c>
      <c r="K64" s="482"/>
      <c r="L64" s="458">
        <v>13600000</v>
      </c>
      <c r="M64" s="6" t="s">
        <v>3216</v>
      </c>
      <c r="N64" s="8">
        <v>7</v>
      </c>
      <c r="O64" s="6" t="s">
        <v>4978</v>
      </c>
      <c r="P64" s="9" t="s">
        <v>3223</v>
      </c>
      <c r="Q64" s="8" t="s">
        <v>3215</v>
      </c>
      <c r="R64" s="8" t="s">
        <v>3923</v>
      </c>
      <c r="S64" s="8">
        <v>6744406</v>
      </c>
      <c r="T64" s="7" t="s">
        <v>352</v>
      </c>
      <c r="U64" s="162" t="s">
        <v>985</v>
      </c>
      <c r="V64" s="458">
        <v>13600000</v>
      </c>
      <c r="W64" s="6" t="s">
        <v>166</v>
      </c>
      <c r="X64" s="6"/>
      <c r="Y64" s="6"/>
      <c r="Z64" s="6" t="s">
        <v>3286</v>
      </c>
      <c r="AA64" s="6" t="s">
        <v>3216</v>
      </c>
      <c r="AB64" s="8"/>
      <c r="AC64" s="8"/>
      <c r="AD64" s="8">
        <v>6099359</v>
      </c>
      <c r="AE64" s="162" t="s">
        <v>977</v>
      </c>
      <c r="AF64" s="6" t="s">
        <v>67</v>
      </c>
      <c r="AG64" s="458">
        <v>13600000</v>
      </c>
      <c r="AH64" s="6" t="s">
        <v>166</v>
      </c>
      <c r="AI64" s="6"/>
      <c r="AJ64" s="6"/>
      <c r="AK64" s="6" t="s">
        <v>3286</v>
      </c>
      <c r="AL64" s="6" t="s">
        <v>3216</v>
      </c>
      <c r="AM64" s="99">
        <v>6658755</v>
      </c>
      <c r="AN64" s="11" t="s">
        <v>1901</v>
      </c>
      <c r="AO64" s="6" t="s">
        <v>32</v>
      </c>
      <c r="AP64" s="458">
        <v>13600000</v>
      </c>
      <c r="AQ64" s="6" t="s">
        <v>164</v>
      </c>
      <c r="AR64" s="6"/>
      <c r="AS64" s="6"/>
      <c r="AT64" s="6" t="s">
        <v>3286</v>
      </c>
      <c r="AU64" s="6" t="s">
        <v>3216</v>
      </c>
      <c r="AV64" s="6">
        <v>259781</v>
      </c>
      <c r="AW64" s="11" t="s">
        <v>982</v>
      </c>
      <c r="AX64" s="6" t="s">
        <v>26</v>
      </c>
      <c r="AY64" s="458">
        <v>13600000</v>
      </c>
      <c r="AZ64" s="6" t="s">
        <v>164</v>
      </c>
      <c r="BA64" s="6" t="s">
        <v>166</v>
      </c>
      <c r="BB64" s="6" t="s">
        <v>3286</v>
      </c>
      <c r="BC64" s="6" t="s">
        <v>3216</v>
      </c>
      <c r="BD64" s="33"/>
      <c r="BE64" s="33"/>
      <c r="BF64" s="33"/>
      <c r="BG64" s="233"/>
      <c r="BH64" s="33"/>
      <c r="BI64" s="33"/>
      <c r="BJ64" s="33"/>
      <c r="BK64" s="33"/>
      <c r="BL64" s="33"/>
      <c r="BM64" s="33"/>
      <c r="BN64" s="33"/>
      <c r="BO64" s="233"/>
      <c r="BP64" s="33"/>
      <c r="BQ64" s="33"/>
      <c r="BR64" s="33"/>
      <c r="BS64" s="33"/>
      <c r="BT64" s="33"/>
      <c r="BU64" s="33"/>
      <c r="BV64" s="233"/>
      <c r="BW64" s="33"/>
      <c r="BX64" s="33"/>
      <c r="BY64" s="33"/>
      <c r="BZ64" s="33"/>
      <c r="CA64" s="763" t="s">
        <v>3190</v>
      </c>
      <c r="CB64" s="163" t="s">
        <v>3191</v>
      </c>
      <c r="CC64" s="6" t="s">
        <v>1043</v>
      </c>
      <c r="CD64" s="9"/>
      <c r="CE64" s="6" t="s">
        <v>5242</v>
      </c>
      <c r="CF64" s="9"/>
      <c r="CG64" s="6" t="s">
        <v>1051</v>
      </c>
      <c r="CH64" s="9"/>
      <c r="CI64" s="33" t="s">
        <v>1025</v>
      </c>
      <c r="CJ64" s="33"/>
      <c r="CK64" s="33"/>
      <c r="CL64" s="33"/>
      <c r="CM64" s="33"/>
      <c r="CN64" s="33"/>
      <c r="CO64" s="33"/>
      <c r="CP64" s="33"/>
      <c r="CQ64" s="33"/>
      <c r="CR64" s="33"/>
      <c r="CS64" s="115" t="s">
        <v>3061</v>
      </c>
      <c r="CT64" s="273" t="s">
        <v>3739</v>
      </c>
      <c r="CU64" s="273" t="s">
        <v>3739</v>
      </c>
      <c r="CV64" s="274" t="s">
        <v>5243</v>
      </c>
      <c r="CW64" s="273" t="s">
        <v>3739</v>
      </c>
      <c r="CX64" s="273" t="s">
        <v>3739</v>
      </c>
    </row>
    <row r="65" spans="1:105" ht="120.6">
      <c r="A65" s="298">
        <v>27</v>
      </c>
      <c r="B65" s="143" t="s">
        <v>5207</v>
      </c>
      <c r="C65" s="143" t="s">
        <v>5244</v>
      </c>
      <c r="D65" s="161" t="s">
        <v>2616</v>
      </c>
      <c r="E65" s="8" t="s">
        <v>4976</v>
      </c>
      <c r="F65" s="8">
        <v>2022</v>
      </c>
      <c r="G65" s="8">
        <v>2022</v>
      </c>
      <c r="H65" s="8"/>
      <c r="I65" s="6" t="s">
        <v>4977</v>
      </c>
      <c r="J65" s="6" t="s">
        <v>5724</v>
      </c>
      <c r="K65" s="482"/>
      <c r="L65" s="458">
        <v>5000000</v>
      </c>
      <c r="M65" s="6" t="s">
        <v>3216</v>
      </c>
      <c r="N65" s="8">
        <v>7</v>
      </c>
      <c r="O65" s="6" t="s">
        <v>4978</v>
      </c>
      <c r="P65" s="9" t="s">
        <v>3223</v>
      </c>
      <c r="Q65" s="8" t="s">
        <v>3215</v>
      </c>
      <c r="R65" s="8" t="s">
        <v>3923</v>
      </c>
      <c r="S65" s="8">
        <v>6806664</v>
      </c>
      <c r="T65" s="7" t="s">
        <v>121</v>
      </c>
      <c r="U65" s="162" t="s">
        <v>2333</v>
      </c>
      <c r="V65" s="458">
        <v>5000000</v>
      </c>
      <c r="W65" s="6" t="s">
        <v>175</v>
      </c>
      <c r="X65" s="6"/>
      <c r="Y65" s="6"/>
      <c r="Z65" s="6" t="s">
        <v>3286</v>
      </c>
      <c r="AA65" s="6" t="s">
        <v>3216</v>
      </c>
      <c r="AB65" s="8"/>
      <c r="AC65" s="8"/>
      <c r="AD65" s="8">
        <v>6793410</v>
      </c>
      <c r="AE65" s="10" t="s">
        <v>947</v>
      </c>
      <c r="AF65" s="6" t="s">
        <v>79</v>
      </c>
      <c r="AG65" s="458">
        <v>5000000</v>
      </c>
      <c r="AH65" s="6" t="s">
        <v>175</v>
      </c>
      <c r="AI65" s="6"/>
      <c r="AJ65" s="6"/>
      <c r="AK65" s="6" t="s">
        <v>3286</v>
      </c>
      <c r="AL65" s="6" t="s">
        <v>3216</v>
      </c>
      <c r="AM65" s="8">
        <v>6760392</v>
      </c>
      <c r="AN65" s="162" t="s">
        <v>948</v>
      </c>
      <c r="AO65" s="6" t="s">
        <v>75</v>
      </c>
      <c r="AP65" s="458">
        <v>5000000</v>
      </c>
      <c r="AQ65" s="6" t="s">
        <v>175</v>
      </c>
      <c r="AR65" s="6"/>
      <c r="AS65" s="6"/>
      <c r="AT65" s="6" t="s">
        <v>3286</v>
      </c>
      <c r="AU65" s="6" t="s">
        <v>3216</v>
      </c>
      <c r="AV65" s="33"/>
      <c r="AW65" s="33"/>
      <c r="AX65" s="33"/>
      <c r="AY65" s="458"/>
      <c r="AZ65" s="33"/>
      <c r="BA65" s="33"/>
      <c r="BB65" s="33"/>
      <c r="BC65" s="33"/>
      <c r="BD65" s="33"/>
      <c r="BE65" s="33"/>
      <c r="BF65" s="33"/>
      <c r="BG65" s="233"/>
      <c r="BH65" s="33"/>
      <c r="BI65" s="33"/>
      <c r="BJ65" s="33"/>
      <c r="BK65" s="33"/>
      <c r="BL65" s="33"/>
      <c r="BM65" s="33"/>
      <c r="BN65" s="33"/>
      <c r="BO65" s="233"/>
      <c r="BP65" s="33"/>
      <c r="BQ65" s="33"/>
      <c r="BR65" s="33"/>
      <c r="BS65" s="33"/>
      <c r="BT65" s="33"/>
      <c r="BU65" s="33"/>
      <c r="BV65" s="233"/>
      <c r="BW65" s="33"/>
      <c r="BX65" s="33"/>
      <c r="BY65" s="33"/>
      <c r="BZ65" s="33"/>
      <c r="CA65" s="160" t="s">
        <v>3190</v>
      </c>
      <c r="CB65" s="160" t="s">
        <v>3191</v>
      </c>
      <c r="CC65" s="6" t="s">
        <v>5245</v>
      </c>
      <c r="CD65" s="9"/>
      <c r="CE65" s="6" t="s">
        <v>5246</v>
      </c>
      <c r="CF65" s="9"/>
      <c r="CG65" s="6" t="s">
        <v>2624</v>
      </c>
      <c r="CH65" s="9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115" t="s">
        <v>3061</v>
      </c>
      <c r="CT65" s="115" t="s">
        <v>4981</v>
      </c>
      <c r="CU65" s="115" t="s">
        <v>4991</v>
      </c>
      <c r="CV65" s="274" t="s">
        <v>5247</v>
      </c>
      <c r="CW65" s="273" t="s">
        <v>3739</v>
      </c>
      <c r="CX65" s="273" t="s">
        <v>3739</v>
      </c>
    </row>
    <row r="66" spans="1:105" ht="48.6">
      <c r="A66" s="298">
        <v>28</v>
      </c>
      <c r="B66" s="143" t="s">
        <v>5207</v>
      </c>
      <c r="C66" s="143" t="s">
        <v>5248</v>
      </c>
      <c r="D66" s="161" t="s">
        <v>5249</v>
      </c>
      <c r="E66" s="8" t="s">
        <v>4976</v>
      </c>
      <c r="F66" s="8">
        <v>2022</v>
      </c>
      <c r="G66" s="8">
        <v>2022</v>
      </c>
      <c r="H66" s="8"/>
      <c r="I66" s="6" t="s">
        <v>4977</v>
      </c>
      <c r="J66" s="6" t="s">
        <v>5724</v>
      </c>
      <c r="K66" s="482"/>
      <c r="L66" s="458">
        <v>6330000</v>
      </c>
      <c r="M66" s="6" t="s">
        <v>3216</v>
      </c>
      <c r="N66" s="8">
        <v>7</v>
      </c>
      <c r="O66" s="6" t="s">
        <v>4978</v>
      </c>
      <c r="P66" s="9" t="s">
        <v>3223</v>
      </c>
      <c r="Q66" s="8" t="s">
        <v>3215</v>
      </c>
      <c r="R66" s="8" t="s">
        <v>3923</v>
      </c>
      <c r="S66" s="8">
        <v>6806662</v>
      </c>
      <c r="T66" s="7" t="s">
        <v>51</v>
      </c>
      <c r="U66" s="162" t="s">
        <v>1897</v>
      </c>
      <c r="V66" s="458">
        <v>6330000</v>
      </c>
      <c r="W66" s="6" t="s">
        <v>175</v>
      </c>
      <c r="X66" s="6"/>
      <c r="Y66" s="6"/>
      <c r="Z66" s="6" t="s">
        <v>3286</v>
      </c>
      <c r="AA66" s="6" t="s">
        <v>3216</v>
      </c>
      <c r="AB66" s="8"/>
      <c r="AC66" s="8"/>
      <c r="AD66" s="8">
        <v>6680680</v>
      </c>
      <c r="AE66" s="10" t="s">
        <v>959</v>
      </c>
      <c r="AF66" s="6" t="s">
        <v>9</v>
      </c>
      <c r="AG66" s="458">
        <v>6330000</v>
      </c>
      <c r="AH66" s="6" t="s">
        <v>156</v>
      </c>
      <c r="AI66" s="6"/>
      <c r="AJ66" s="6"/>
      <c r="AK66" s="6" t="s">
        <v>3286</v>
      </c>
      <c r="AL66" s="6" t="s">
        <v>3216</v>
      </c>
      <c r="AM66" s="8">
        <v>6756318</v>
      </c>
      <c r="AN66" s="10" t="s">
        <v>950</v>
      </c>
      <c r="AO66" s="6" t="s">
        <v>176</v>
      </c>
      <c r="AP66" s="458">
        <v>6330000</v>
      </c>
      <c r="AQ66" s="6" t="s">
        <v>175</v>
      </c>
      <c r="AR66" s="6"/>
      <c r="AS66" s="6"/>
      <c r="AT66" s="6" t="s">
        <v>3286</v>
      </c>
      <c r="AU66" s="6" t="s">
        <v>3216</v>
      </c>
      <c r="AV66" s="33"/>
      <c r="AW66" s="33"/>
      <c r="AX66" s="33"/>
      <c r="AY66" s="458"/>
      <c r="AZ66" s="33"/>
      <c r="BA66" s="33"/>
      <c r="BB66" s="33"/>
      <c r="BC66" s="33"/>
      <c r="BD66" s="33"/>
      <c r="BE66" s="33"/>
      <c r="BF66" s="33"/>
      <c r="BG66" s="233"/>
      <c r="BH66" s="33"/>
      <c r="BI66" s="33"/>
      <c r="BJ66" s="33"/>
      <c r="BK66" s="33"/>
      <c r="BL66" s="33"/>
      <c r="BM66" s="33"/>
      <c r="BN66" s="33"/>
      <c r="BO66" s="233"/>
      <c r="BP66" s="33"/>
      <c r="BQ66" s="33"/>
      <c r="BR66" s="33"/>
      <c r="BS66" s="33"/>
      <c r="BT66" s="33"/>
      <c r="BU66" s="33"/>
      <c r="BV66" s="233"/>
      <c r="BW66" s="33"/>
      <c r="BX66" s="33"/>
      <c r="BY66" s="33"/>
      <c r="BZ66" s="33"/>
      <c r="CA66" s="160" t="s">
        <v>3190</v>
      </c>
      <c r="CB66" s="160" t="s">
        <v>3191</v>
      </c>
      <c r="CC66" s="6" t="s">
        <v>5250</v>
      </c>
      <c r="CD66" s="9"/>
      <c r="CE66" s="6" t="s">
        <v>5251</v>
      </c>
      <c r="CF66" s="9"/>
      <c r="CG66" s="6" t="s">
        <v>5252</v>
      </c>
      <c r="CH66" s="9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115" t="s">
        <v>3061</v>
      </c>
      <c r="CT66" s="273" t="s">
        <v>4998</v>
      </c>
      <c r="CU66" s="115" t="s">
        <v>4991</v>
      </c>
      <c r="CV66" s="115" t="s">
        <v>5253</v>
      </c>
      <c r="CW66" s="273" t="s">
        <v>3739</v>
      </c>
      <c r="CX66" s="273" t="s">
        <v>3739</v>
      </c>
      <c r="CY66" s="177"/>
      <c r="CZ66" s="177"/>
      <c r="DA66" s="177"/>
    </row>
    <row r="67" spans="1:105" ht="36">
      <c r="A67" s="178">
        <v>29</v>
      </c>
      <c r="B67" s="148" t="s">
        <v>942</v>
      </c>
      <c r="C67" s="148" t="s">
        <v>942</v>
      </c>
      <c r="D67" s="518" t="s">
        <v>5254</v>
      </c>
      <c r="E67" s="178" t="s">
        <v>5255</v>
      </c>
      <c r="F67" s="178">
        <v>2022</v>
      </c>
      <c r="G67" s="178">
        <v>2022</v>
      </c>
      <c r="H67" s="178"/>
      <c r="I67" s="148" t="s">
        <v>4977</v>
      </c>
      <c r="J67" s="148"/>
      <c r="K67" s="483"/>
      <c r="L67" s="459">
        <v>100000000</v>
      </c>
      <c r="M67" s="148" t="s">
        <v>3216</v>
      </c>
      <c r="N67" s="8">
        <v>7</v>
      </c>
      <c r="O67" s="149"/>
      <c r="P67" s="151" t="s">
        <v>3077</v>
      </c>
      <c r="Q67" s="178" t="s">
        <v>3215</v>
      </c>
      <c r="R67" s="178"/>
      <c r="S67" s="178">
        <v>6680685</v>
      </c>
      <c r="T67" s="149" t="s">
        <v>21</v>
      </c>
      <c r="U67" s="179" t="s">
        <v>944</v>
      </c>
      <c r="V67" s="459">
        <v>100000000</v>
      </c>
      <c r="W67" s="148" t="s">
        <v>155</v>
      </c>
      <c r="X67" s="148"/>
      <c r="Y67" s="148"/>
      <c r="Z67" s="148" t="s">
        <v>3281</v>
      </c>
      <c r="AA67" s="148" t="s">
        <v>3216</v>
      </c>
      <c r="AB67" s="178"/>
      <c r="AC67" s="178"/>
      <c r="AD67" s="148">
        <v>6859016</v>
      </c>
      <c r="AE67" s="150" t="s">
        <v>2497</v>
      </c>
      <c r="AF67" s="148" t="s">
        <v>3126</v>
      </c>
      <c r="AG67" s="459">
        <v>100000000</v>
      </c>
      <c r="AH67" s="148" t="s">
        <v>155</v>
      </c>
      <c r="AI67" s="148"/>
      <c r="AJ67" s="148"/>
      <c r="AK67" s="148" t="s">
        <v>3281</v>
      </c>
      <c r="AL67" s="148" t="s">
        <v>3216</v>
      </c>
      <c r="AM67" s="178">
        <v>6795859</v>
      </c>
      <c r="AN67" s="179" t="s">
        <v>1672</v>
      </c>
      <c r="AO67" s="148" t="s">
        <v>56</v>
      </c>
      <c r="AP67" s="459">
        <v>100000000</v>
      </c>
      <c r="AQ67" s="148" t="s">
        <v>160</v>
      </c>
      <c r="AR67" s="148"/>
      <c r="AS67" s="148"/>
      <c r="AT67" s="148" t="s">
        <v>3281</v>
      </c>
      <c r="AU67" s="148" t="s">
        <v>3216</v>
      </c>
      <c r="AV67" s="181"/>
      <c r="AW67" s="181"/>
      <c r="AX67" s="181"/>
      <c r="AY67" s="459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233"/>
      <c r="BP67" s="181"/>
      <c r="BQ67" s="181"/>
      <c r="BR67" s="181"/>
      <c r="BS67" s="181"/>
      <c r="BT67" s="181"/>
      <c r="BU67" s="181"/>
      <c r="BV67" s="181"/>
      <c r="BW67" s="181"/>
      <c r="BX67" s="181"/>
      <c r="BY67" s="181"/>
      <c r="BZ67" s="181"/>
      <c r="CA67" s="178" t="s">
        <v>3190</v>
      </c>
      <c r="CB67" s="178" t="s">
        <v>3191</v>
      </c>
      <c r="CC67" s="148" t="s">
        <v>3893</v>
      </c>
      <c r="CD67" s="151" t="s">
        <v>155</v>
      </c>
      <c r="CE67" s="148" t="s">
        <v>3082</v>
      </c>
      <c r="CF67" s="151" t="s">
        <v>155</v>
      </c>
      <c r="CG67" s="148" t="s">
        <v>3080</v>
      </c>
      <c r="CH67" s="151" t="s">
        <v>155</v>
      </c>
      <c r="CI67" s="148" t="s">
        <v>487</v>
      </c>
      <c r="CJ67" s="151" t="s">
        <v>155</v>
      </c>
      <c r="CK67" s="148" t="s">
        <v>5256</v>
      </c>
      <c r="CL67" s="151" t="s">
        <v>155</v>
      </c>
      <c r="CM67" s="148" t="s">
        <v>3934</v>
      </c>
      <c r="CN67" s="151" t="s">
        <v>155</v>
      </c>
      <c r="CO67" s="148" t="s">
        <v>3935</v>
      </c>
      <c r="CP67" s="151" t="s">
        <v>155</v>
      </c>
      <c r="CQ67" s="148" t="s">
        <v>2554</v>
      </c>
      <c r="CR67" s="151" t="s">
        <v>160</v>
      </c>
      <c r="CS67" s="178"/>
      <c r="CT67" s="151"/>
      <c r="CU67" s="148"/>
      <c r="CV67" s="151"/>
      <c r="CW67" s="148"/>
      <c r="CX67" s="181"/>
    </row>
    <row r="68" spans="1:105" ht="36.6">
      <c r="A68" s="8">
        <v>30</v>
      </c>
      <c r="B68" s="6" t="s">
        <v>942</v>
      </c>
      <c r="C68" s="6" t="s">
        <v>942</v>
      </c>
      <c r="D68" s="304" t="s">
        <v>5725</v>
      </c>
      <c r="E68" s="6" t="s">
        <v>5133</v>
      </c>
      <c r="F68" s="8">
        <v>2022</v>
      </c>
      <c r="G68" s="8">
        <v>2022</v>
      </c>
      <c r="H68" s="8"/>
      <c r="I68" s="6"/>
      <c r="J68" s="6" t="s">
        <v>5726</v>
      </c>
      <c r="K68" s="482"/>
      <c r="L68" s="458">
        <v>50000000</v>
      </c>
      <c r="M68" s="6" t="s">
        <v>3216</v>
      </c>
      <c r="N68" s="8">
        <v>7</v>
      </c>
      <c r="O68" s="7"/>
      <c r="P68" s="14" t="s">
        <v>3077</v>
      </c>
      <c r="Q68" s="8" t="s">
        <v>3215</v>
      </c>
      <c r="R68" s="8"/>
      <c r="S68" s="8">
        <v>6680634</v>
      </c>
      <c r="T68" s="7" t="s">
        <v>47</v>
      </c>
      <c r="U68" s="162" t="s">
        <v>989</v>
      </c>
      <c r="V68" s="458">
        <v>50000000</v>
      </c>
      <c r="W68" s="6" t="s">
        <v>166</v>
      </c>
      <c r="X68" s="6"/>
      <c r="Y68" s="6"/>
      <c r="Z68" s="6" t="s">
        <v>3286</v>
      </c>
      <c r="AA68" s="6" t="s">
        <v>3216</v>
      </c>
      <c r="AB68" s="8"/>
      <c r="AC68" s="8"/>
      <c r="AD68" s="205">
        <v>6744406</v>
      </c>
      <c r="AE68" s="207" t="s">
        <v>985</v>
      </c>
      <c r="AF68" s="6" t="s">
        <v>352</v>
      </c>
      <c r="AG68" s="458">
        <v>50000000</v>
      </c>
      <c r="AH68" s="6" t="s">
        <v>166</v>
      </c>
      <c r="AI68" s="6"/>
      <c r="AJ68" s="6"/>
      <c r="AK68" s="6" t="s">
        <v>3286</v>
      </c>
      <c r="AL68" s="6" t="s">
        <v>3216</v>
      </c>
      <c r="AM68" s="55"/>
      <c r="AN68" s="117"/>
      <c r="AO68" s="55" t="s">
        <v>5258</v>
      </c>
      <c r="AP68" s="458">
        <v>50000000</v>
      </c>
      <c r="AQ68" s="55"/>
      <c r="AR68" s="55"/>
      <c r="AS68" s="55"/>
      <c r="AT68" s="55"/>
      <c r="AU68" s="32"/>
      <c r="AV68" s="33"/>
      <c r="AW68" s="33"/>
      <c r="AX68" s="33"/>
      <c r="AY68" s="458"/>
      <c r="AZ68" s="33"/>
      <c r="BA68" s="33"/>
      <c r="BB68" s="33"/>
      <c r="BC68" s="33"/>
      <c r="BD68" s="33"/>
      <c r="BE68" s="33"/>
      <c r="BF68" s="33"/>
      <c r="BG68" s="233"/>
      <c r="BH68" s="33"/>
      <c r="BI68" s="33"/>
      <c r="BJ68" s="33"/>
      <c r="BK68" s="33"/>
      <c r="BL68" s="33"/>
      <c r="BM68" s="33"/>
      <c r="BN68" s="33"/>
      <c r="BO68" s="233"/>
      <c r="BP68" s="33"/>
      <c r="BQ68" s="33"/>
      <c r="BR68" s="33"/>
      <c r="BS68" s="33"/>
      <c r="BT68" s="33"/>
      <c r="BU68" s="33"/>
      <c r="BV68" s="233"/>
      <c r="BW68" s="33"/>
      <c r="BX68" s="33"/>
      <c r="BY68" s="33"/>
      <c r="BZ68" s="33"/>
      <c r="CA68" s="160" t="s">
        <v>3190</v>
      </c>
      <c r="CB68" s="163" t="s">
        <v>3191</v>
      </c>
      <c r="CC68" s="6" t="s">
        <v>2316</v>
      </c>
      <c r="CD68" s="9"/>
      <c r="CE68" s="6" t="s">
        <v>1383</v>
      </c>
      <c r="CF68" s="9"/>
      <c r="CG68" s="6"/>
      <c r="CH68" s="9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</row>
    <row r="69" spans="1:105" ht="36">
      <c r="A69" s="8">
        <v>31</v>
      </c>
      <c r="B69" s="55" t="s">
        <v>942</v>
      </c>
      <c r="C69" s="6" t="s">
        <v>942</v>
      </c>
      <c r="D69" s="185" t="s">
        <v>5259</v>
      </c>
      <c r="E69" s="6" t="s">
        <v>5067</v>
      </c>
      <c r="F69" s="8">
        <v>2022</v>
      </c>
      <c r="G69" s="8">
        <v>2022</v>
      </c>
      <c r="H69" s="8"/>
      <c r="I69" s="6" t="s">
        <v>4986</v>
      </c>
      <c r="J69" s="6"/>
      <c r="K69" s="482"/>
      <c r="L69" s="458">
        <v>46175000</v>
      </c>
      <c r="M69" s="6" t="s">
        <v>3216</v>
      </c>
      <c r="N69" s="8">
        <v>7</v>
      </c>
      <c r="O69" s="7"/>
      <c r="P69" s="14" t="s">
        <v>3077</v>
      </c>
      <c r="Q69" s="8" t="s">
        <v>3215</v>
      </c>
      <c r="R69" s="8"/>
      <c r="S69" s="8">
        <v>6680708</v>
      </c>
      <c r="T69" s="7" t="s">
        <v>85</v>
      </c>
      <c r="U69" s="162" t="s">
        <v>2436</v>
      </c>
      <c r="V69" s="458">
        <v>46175000</v>
      </c>
      <c r="W69" s="6" t="s">
        <v>155</v>
      </c>
      <c r="X69" s="6"/>
      <c r="Y69" s="6"/>
      <c r="Z69" s="6" t="s">
        <v>3281</v>
      </c>
      <c r="AA69" s="6" t="s">
        <v>3216</v>
      </c>
      <c r="AB69" s="8"/>
      <c r="AC69" s="8"/>
      <c r="AD69" s="8">
        <v>6665306</v>
      </c>
      <c r="AE69" s="162" t="s">
        <v>1727</v>
      </c>
      <c r="AF69" s="6" t="s">
        <v>28</v>
      </c>
      <c r="AG69" s="458">
        <v>46175000</v>
      </c>
      <c r="AH69" s="6" t="s">
        <v>166</v>
      </c>
      <c r="AI69" s="6"/>
      <c r="AJ69" s="6"/>
      <c r="AK69" s="6" t="s">
        <v>3286</v>
      </c>
      <c r="AL69" s="6" t="s">
        <v>3216</v>
      </c>
      <c r="AM69" s="99">
        <v>6680683</v>
      </c>
      <c r="AN69" s="116" t="s">
        <v>2454</v>
      </c>
      <c r="AO69" s="6" t="s">
        <v>10</v>
      </c>
      <c r="AP69" s="458">
        <v>46175000</v>
      </c>
      <c r="AQ69" s="6" t="s">
        <v>151</v>
      </c>
      <c r="AR69" s="6"/>
      <c r="AS69" s="6"/>
      <c r="AT69" s="6" t="s">
        <v>3281</v>
      </c>
      <c r="AU69" s="6" t="s">
        <v>3216</v>
      </c>
      <c r="AV69" s="33"/>
      <c r="AW69" s="33"/>
      <c r="AX69" s="33"/>
      <c r="AY69" s="458"/>
      <c r="AZ69" s="33"/>
      <c r="BA69" s="33"/>
      <c r="BB69" s="33"/>
      <c r="BC69" s="33"/>
      <c r="BD69" s="33"/>
      <c r="BE69" s="33"/>
      <c r="BF69" s="33"/>
      <c r="BG69" s="233"/>
      <c r="BH69" s="33"/>
      <c r="BI69" s="33"/>
      <c r="BJ69" s="33"/>
      <c r="BK69" s="33"/>
      <c r="BL69" s="33"/>
      <c r="BM69" s="33"/>
      <c r="BN69" s="33"/>
      <c r="BO69" s="233"/>
      <c r="BP69" s="33"/>
      <c r="BQ69" s="33"/>
      <c r="BR69" s="33"/>
      <c r="BS69" s="33"/>
      <c r="BT69" s="33"/>
      <c r="BU69" s="33"/>
      <c r="BV69" s="233"/>
      <c r="BW69" s="33"/>
      <c r="BX69" s="33"/>
      <c r="BY69" s="33"/>
      <c r="BZ69" s="33"/>
      <c r="CA69" s="163" t="s">
        <v>3190</v>
      </c>
      <c r="CB69" s="163" t="s">
        <v>3191</v>
      </c>
      <c r="CC69" s="6"/>
      <c r="CD69" s="9"/>
      <c r="CE69" s="6"/>
      <c r="CF69" s="9"/>
      <c r="CG69" s="6"/>
      <c r="CH69" s="9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</row>
    <row r="70" spans="1:105" ht="36">
      <c r="A70" s="298">
        <v>32</v>
      </c>
      <c r="B70" s="308" t="s">
        <v>5260</v>
      </c>
      <c r="C70" s="143" t="s">
        <v>5261</v>
      </c>
      <c r="D70" s="9" t="s">
        <v>5262</v>
      </c>
      <c r="E70" s="6" t="s">
        <v>5067</v>
      </c>
      <c r="F70" s="8">
        <v>2022</v>
      </c>
      <c r="G70" s="8">
        <v>2022</v>
      </c>
      <c r="H70" s="8"/>
      <c r="I70" s="6" t="s">
        <v>5263</v>
      </c>
      <c r="J70" s="6"/>
      <c r="K70" s="482"/>
      <c r="L70" s="458">
        <v>46500000</v>
      </c>
      <c r="M70" s="6" t="s">
        <v>3216</v>
      </c>
      <c r="N70" s="8">
        <v>7</v>
      </c>
      <c r="O70" s="7"/>
      <c r="P70" s="14" t="s">
        <v>3077</v>
      </c>
      <c r="Q70" s="8" t="s">
        <v>3215</v>
      </c>
      <c r="R70" s="8"/>
      <c r="S70" s="8">
        <v>6682174</v>
      </c>
      <c r="T70" s="7" t="s">
        <v>20</v>
      </c>
      <c r="U70" s="162" t="s">
        <v>2285</v>
      </c>
      <c r="V70" s="458">
        <v>46500000</v>
      </c>
      <c r="W70" s="6" t="s">
        <v>156</v>
      </c>
      <c r="X70" s="6"/>
      <c r="Y70" s="6"/>
      <c r="Z70" s="6" t="s">
        <v>3286</v>
      </c>
      <c r="AA70" s="6" t="s">
        <v>3216</v>
      </c>
      <c r="AB70" s="8"/>
      <c r="AC70" s="8"/>
      <c r="AD70" s="8">
        <v>6681051</v>
      </c>
      <c r="AE70" s="10" t="s">
        <v>1657</v>
      </c>
      <c r="AF70" s="6" t="s">
        <v>6</v>
      </c>
      <c r="AG70" s="458">
        <v>46500000</v>
      </c>
      <c r="AH70" s="6" t="s">
        <v>160</v>
      </c>
      <c r="AI70" s="6"/>
      <c r="AJ70" s="6"/>
      <c r="AK70" s="6" t="s">
        <v>3281</v>
      </c>
      <c r="AL70" s="6" t="s">
        <v>3216</v>
      </c>
      <c r="AM70" s="33">
        <v>6663582</v>
      </c>
      <c r="AN70" s="164" t="s">
        <v>1668</v>
      </c>
      <c r="AO70" s="6" t="s">
        <v>94</v>
      </c>
      <c r="AP70" s="458">
        <v>46500000</v>
      </c>
      <c r="AQ70" s="6" t="s">
        <v>151</v>
      </c>
      <c r="AR70" s="6"/>
      <c r="AS70" s="6"/>
      <c r="AT70" s="6" t="s">
        <v>3281</v>
      </c>
      <c r="AU70" s="6" t="s">
        <v>3216</v>
      </c>
      <c r="AV70" s="33"/>
      <c r="AW70" s="33"/>
      <c r="AX70" s="33"/>
      <c r="AY70" s="458"/>
      <c r="AZ70" s="33"/>
      <c r="BA70" s="33"/>
      <c r="BB70" s="33"/>
      <c r="BC70" s="33"/>
      <c r="BD70" s="33"/>
      <c r="BE70" s="33"/>
      <c r="BF70" s="33"/>
      <c r="BG70" s="233"/>
      <c r="BH70" s="33"/>
      <c r="BI70" s="33"/>
      <c r="BJ70" s="33"/>
      <c r="BK70" s="33"/>
      <c r="BL70" s="33"/>
      <c r="BM70" s="33"/>
      <c r="BN70" s="33"/>
      <c r="BO70" s="233"/>
      <c r="BP70" s="33"/>
      <c r="BQ70" s="33"/>
      <c r="BR70" s="33"/>
      <c r="BS70" s="33"/>
      <c r="BT70" s="33"/>
      <c r="BU70" s="33"/>
      <c r="BV70" s="233"/>
      <c r="BW70" s="33"/>
      <c r="BX70" s="33"/>
      <c r="BY70" s="33"/>
      <c r="BZ70" s="33"/>
      <c r="CA70" s="256" t="s">
        <v>3190</v>
      </c>
      <c r="CB70" s="256" t="s">
        <v>3191</v>
      </c>
      <c r="CC70" s="6"/>
      <c r="CD70" s="9"/>
      <c r="CE70" s="6"/>
      <c r="CF70" s="9"/>
      <c r="CG70" s="6"/>
      <c r="CH70" s="9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</row>
    <row r="71" spans="1:105" ht="36">
      <c r="A71" s="8">
        <v>33</v>
      </c>
      <c r="B71" s="55" t="s">
        <v>942</v>
      </c>
      <c r="C71" s="6" t="s">
        <v>942</v>
      </c>
      <c r="D71" s="185" t="s">
        <v>5264</v>
      </c>
      <c r="E71" s="6" t="s">
        <v>5067</v>
      </c>
      <c r="F71" s="8">
        <v>2022</v>
      </c>
      <c r="G71" s="8">
        <v>2022</v>
      </c>
      <c r="H71" s="8"/>
      <c r="I71" s="6" t="s">
        <v>4796</v>
      </c>
      <c r="J71" s="6"/>
      <c r="K71" s="482"/>
      <c r="L71" s="458">
        <v>43200000</v>
      </c>
      <c r="M71" s="6" t="s">
        <v>3216</v>
      </c>
      <c r="N71" s="8">
        <v>7</v>
      </c>
      <c r="O71" s="7"/>
      <c r="P71" s="14" t="s">
        <v>3077</v>
      </c>
      <c r="Q71" s="8" t="s">
        <v>3215</v>
      </c>
      <c r="R71" s="8"/>
      <c r="S71" s="8">
        <v>6680651</v>
      </c>
      <c r="T71" s="7" t="s">
        <v>12</v>
      </c>
      <c r="U71" s="162" t="s">
        <v>1016</v>
      </c>
      <c r="V71" s="458">
        <v>43200000</v>
      </c>
      <c r="W71" s="6" t="s">
        <v>155</v>
      </c>
      <c r="X71" s="6"/>
      <c r="Y71" s="6"/>
      <c r="Z71" s="6" t="s">
        <v>3281</v>
      </c>
      <c r="AA71" s="6" t="s">
        <v>3216</v>
      </c>
      <c r="AB71" s="8"/>
      <c r="AC71" s="8"/>
      <c r="AD71" s="6">
        <v>259781</v>
      </c>
      <c r="AE71" s="11" t="s">
        <v>982</v>
      </c>
      <c r="AF71" s="6" t="s">
        <v>26</v>
      </c>
      <c r="AG71" s="458">
        <v>43200000</v>
      </c>
      <c r="AH71" s="6" t="s">
        <v>164</v>
      </c>
      <c r="AI71" s="6" t="s">
        <v>166</v>
      </c>
      <c r="AJ71" s="6"/>
      <c r="AK71" s="6" t="s">
        <v>3286</v>
      </c>
      <c r="AL71" s="6" t="s">
        <v>3216</v>
      </c>
      <c r="AM71" s="8">
        <v>6680643</v>
      </c>
      <c r="AN71" s="10" t="s">
        <v>1017</v>
      </c>
      <c r="AO71" s="6" t="s">
        <v>8</v>
      </c>
      <c r="AP71" s="458">
        <v>43200000</v>
      </c>
      <c r="AQ71" s="6" t="s">
        <v>172</v>
      </c>
      <c r="AR71" s="6" t="s">
        <v>160</v>
      </c>
      <c r="AS71" s="6"/>
      <c r="AT71" s="6" t="s">
        <v>3281</v>
      </c>
      <c r="AU71" s="6" t="s">
        <v>3216</v>
      </c>
      <c r="AV71" s="33"/>
      <c r="AW71" s="33"/>
      <c r="AX71" s="33"/>
      <c r="AY71" s="458"/>
      <c r="AZ71" s="33"/>
      <c r="BA71" s="33"/>
      <c r="BB71" s="33"/>
      <c r="BC71" s="33"/>
      <c r="BD71" s="33"/>
      <c r="BE71" s="33"/>
      <c r="BF71" s="33"/>
      <c r="BG71" s="233"/>
      <c r="BH71" s="33"/>
      <c r="BI71" s="33"/>
      <c r="BJ71" s="33"/>
      <c r="BK71" s="33"/>
      <c r="BL71" s="33"/>
      <c r="BM71" s="33"/>
      <c r="BN71" s="33"/>
      <c r="BO71" s="233"/>
      <c r="BP71" s="33"/>
      <c r="BQ71" s="33"/>
      <c r="BR71" s="33"/>
      <c r="BS71" s="33"/>
      <c r="BT71" s="33"/>
      <c r="BU71" s="33"/>
      <c r="BV71" s="233"/>
      <c r="BW71" s="33"/>
      <c r="BX71" s="33"/>
      <c r="BY71" s="33"/>
      <c r="BZ71" s="33"/>
      <c r="CA71" s="163" t="s">
        <v>3190</v>
      </c>
      <c r="CB71" s="163" t="s">
        <v>3191</v>
      </c>
      <c r="CC71" s="6"/>
      <c r="CD71" s="9"/>
      <c r="CE71" s="6"/>
      <c r="CF71" s="9"/>
      <c r="CG71" s="6"/>
      <c r="CH71" s="9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</row>
    <row r="72" spans="1:105" ht="36.6">
      <c r="A72" s="298">
        <v>34</v>
      </c>
      <c r="B72" s="324" t="s">
        <v>5265</v>
      </c>
      <c r="C72" s="144" t="s">
        <v>5266</v>
      </c>
      <c r="D72" s="518" t="s">
        <v>5267</v>
      </c>
      <c r="E72" s="6" t="s">
        <v>5268</v>
      </c>
      <c r="F72" s="8">
        <v>2022</v>
      </c>
      <c r="G72" s="8">
        <v>2022</v>
      </c>
      <c r="H72" s="8"/>
      <c r="I72" s="6" t="s">
        <v>4977</v>
      </c>
      <c r="J72" s="6" t="s">
        <v>5727</v>
      </c>
      <c r="K72" s="482"/>
      <c r="L72" s="458">
        <v>5000000</v>
      </c>
      <c r="M72" s="6" t="s">
        <v>3216</v>
      </c>
      <c r="N72" s="8">
        <v>7</v>
      </c>
      <c r="O72" s="7" t="s">
        <v>5269</v>
      </c>
      <c r="P72" s="9" t="s">
        <v>3223</v>
      </c>
      <c r="Q72" s="8" t="s">
        <v>3215</v>
      </c>
      <c r="R72" s="8"/>
      <c r="S72" s="8">
        <v>6793410</v>
      </c>
      <c r="T72" s="7" t="s">
        <v>79</v>
      </c>
      <c r="U72" s="162" t="s">
        <v>947</v>
      </c>
      <c r="V72" s="458">
        <v>5000000</v>
      </c>
      <c r="W72" s="6" t="s">
        <v>175</v>
      </c>
      <c r="X72" s="6"/>
      <c r="Y72" s="6"/>
      <c r="Z72" s="6" t="s">
        <v>3286</v>
      </c>
      <c r="AA72" s="6" t="s">
        <v>3216</v>
      </c>
      <c r="AB72" s="8">
        <v>8140</v>
      </c>
      <c r="AC72" s="187" t="s">
        <v>3291</v>
      </c>
      <c r="AD72" s="6">
        <v>6806664</v>
      </c>
      <c r="AE72" s="11" t="s">
        <v>2333</v>
      </c>
      <c r="AF72" s="6" t="s">
        <v>121</v>
      </c>
      <c r="AG72" s="458">
        <v>5000000</v>
      </c>
      <c r="AH72" s="6" t="s">
        <v>175</v>
      </c>
      <c r="AI72" s="6"/>
      <c r="AJ72" s="6"/>
      <c r="AK72" s="6" t="s">
        <v>3286</v>
      </c>
      <c r="AL72" s="6" t="s">
        <v>3216</v>
      </c>
      <c r="AM72" s="8">
        <v>6806662</v>
      </c>
      <c r="AN72" s="191">
        <v>714069008</v>
      </c>
      <c r="AO72" s="6" t="s">
        <v>4331</v>
      </c>
      <c r="AP72" s="458">
        <v>5000000</v>
      </c>
      <c r="AQ72" s="6" t="s">
        <v>175</v>
      </c>
      <c r="AR72" s="6"/>
      <c r="AS72" s="6"/>
      <c r="AT72" s="6" t="s">
        <v>3286</v>
      </c>
      <c r="AU72" s="6" t="s">
        <v>3216</v>
      </c>
      <c r="AV72" s="33"/>
      <c r="AW72" s="33"/>
      <c r="AX72" s="33"/>
      <c r="AY72" s="458"/>
      <c r="AZ72" s="33"/>
      <c r="BA72" s="33"/>
      <c r="BB72" s="33"/>
      <c r="BC72" s="33"/>
      <c r="BD72" s="33"/>
      <c r="BE72" s="33"/>
      <c r="BF72" s="33"/>
      <c r="BG72" s="233"/>
      <c r="BH72" s="33"/>
      <c r="BI72" s="33"/>
      <c r="BJ72" s="33"/>
      <c r="BK72" s="33"/>
      <c r="BL72" s="33"/>
      <c r="BM72" s="33"/>
      <c r="BN72" s="33"/>
      <c r="BO72" s="233"/>
      <c r="BP72" s="33"/>
      <c r="BQ72" s="33"/>
      <c r="BR72" s="33"/>
      <c r="BS72" s="33"/>
      <c r="BT72" s="33"/>
      <c r="BU72" s="33"/>
      <c r="BV72" s="233"/>
      <c r="BW72" s="33"/>
      <c r="BX72" s="33"/>
      <c r="BY72" s="33"/>
      <c r="BZ72" s="33"/>
      <c r="CA72" s="256" t="s">
        <v>3190</v>
      </c>
      <c r="CB72" s="256" t="s">
        <v>3191</v>
      </c>
      <c r="CC72" s="6"/>
      <c r="CD72" s="9"/>
      <c r="CE72" s="6"/>
      <c r="CF72" s="9"/>
      <c r="CG72" s="6"/>
      <c r="CH72" s="9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115" t="s">
        <v>3061</v>
      </c>
      <c r="CT72" s="33"/>
      <c r="CU72" s="33"/>
      <c r="CV72" s="33" t="s">
        <v>5270</v>
      </c>
      <c r="CW72" s="33" t="s">
        <v>5271</v>
      </c>
      <c r="CX72" s="33" t="s">
        <v>5272</v>
      </c>
    </row>
    <row r="73" spans="1:105" ht="36">
      <c r="A73" s="8">
        <v>35</v>
      </c>
      <c r="B73" s="6" t="s">
        <v>5273</v>
      </c>
      <c r="C73" s="6" t="s">
        <v>5274</v>
      </c>
      <c r="D73" s="124" t="s">
        <v>5275</v>
      </c>
      <c r="E73" s="6" t="s">
        <v>5276</v>
      </c>
      <c r="F73" s="8">
        <v>2022</v>
      </c>
      <c r="G73" s="8">
        <v>2022</v>
      </c>
      <c r="H73" s="8">
        <v>6</v>
      </c>
      <c r="I73" s="6" t="s">
        <v>4977</v>
      </c>
      <c r="J73" s="6"/>
      <c r="K73" s="482"/>
      <c r="L73" s="460">
        <v>13201608</v>
      </c>
      <c r="M73" s="6" t="s">
        <v>3216</v>
      </c>
      <c r="N73" s="8">
        <v>7</v>
      </c>
      <c r="O73" s="7"/>
      <c r="P73" s="9" t="s">
        <v>3223</v>
      </c>
      <c r="Q73" s="8"/>
      <c r="R73" s="8"/>
      <c r="S73" s="8">
        <v>6099359</v>
      </c>
      <c r="T73" s="7" t="s">
        <v>67</v>
      </c>
      <c r="U73" s="162" t="s">
        <v>977</v>
      </c>
      <c r="V73" s="460">
        <v>13201608</v>
      </c>
      <c r="W73" s="6" t="s">
        <v>166</v>
      </c>
      <c r="X73" s="6"/>
      <c r="Y73" s="6"/>
      <c r="Z73" s="6"/>
      <c r="AA73" s="6"/>
      <c r="AB73" s="8"/>
      <c r="AC73" s="8"/>
      <c r="AD73" s="6"/>
      <c r="AE73" s="11"/>
      <c r="AF73" s="6"/>
      <c r="AG73" s="460"/>
      <c r="AH73" s="6"/>
      <c r="AI73" s="6"/>
      <c r="AJ73" s="6"/>
      <c r="AK73" s="6"/>
      <c r="AL73" s="6"/>
      <c r="AM73" s="6"/>
      <c r="AN73" s="11"/>
      <c r="AO73" s="6"/>
      <c r="AP73" s="460"/>
      <c r="AQ73" s="6"/>
      <c r="AR73" s="6"/>
      <c r="AS73" s="6"/>
      <c r="AT73" s="6"/>
      <c r="AU73" s="6"/>
      <c r="AV73" s="33"/>
      <c r="AW73" s="33"/>
      <c r="AX73" s="33"/>
      <c r="AY73" s="460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2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163" t="s">
        <v>3190</v>
      </c>
      <c r="CB73" s="163" t="s">
        <v>3191</v>
      </c>
      <c r="CC73" s="6" t="s">
        <v>1043</v>
      </c>
      <c r="CD73" s="9" t="s">
        <v>3832</v>
      </c>
      <c r="CE73" s="6" t="s">
        <v>2164</v>
      </c>
      <c r="CF73" s="9" t="s">
        <v>3832</v>
      </c>
      <c r="CG73" s="6" t="s">
        <v>5277</v>
      </c>
      <c r="CH73" s="9" t="s">
        <v>3832</v>
      </c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</row>
    <row r="74" spans="1:105" ht="36">
      <c r="A74" s="8">
        <v>36</v>
      </c>
      <c r="B74" s="6" t="s">
        <v>5273</v>
      </c>
      <c r="C74" s="6" t="s">
        <v>5278</v>
      </c>
      <c r="D74" s="124" t="s">
        <v>5279</v>
      </c>
      <c r="E74" s="6" t="s">
        <v>5276</v>
      </c>
      <c r="F74" s="8">
        <v>2022</v>
      </c>
      <c r="G74" s="8">
        <v>2022</v>
      </c>
      <c r="H74" s="8">
        <v>6</v>
      </c>
      <c r="I74" s="6" t="s">
        <v>4977</v>
      </c>
      <c r="J74" s="6"/>
      <c r="K74" s="482"/>
      <c r="L74" s="460">
        <v>17034333</v>
      </c>
      <c r="M74" s="6" t="s">
        <v>3216</v>
      </c>
      <c r="N74" s="8">
        <v>7</v>
      </c>
      <c r="O74" s="7"/>
      <c r="P74" s="9" t="s">
        <v>3223</v>
      </c>
      <c r="Q74" s="8"/>
      <c r="R74" s="8"/>
      <c r="S74" s="8">
        <v>6778837</v>
      </c>
      <c r="T74" s="7" t="s">
        <v>71</v>
      </c>
      <c r="U74" s="8">
        <v>711039403</v>
      </c>
      <c r="V74" s="460">
        <v>17034333</v>
      </c>
      <c r="W74" s="6" t="s">
        <v>171</v>
      </c>
      <c r="X74" s="6"/>
      <c r="Y74" s="6"/>
      <c r="Z74" s="6"/>
      <c r="AA74" s="6"/>
      <c r="AB74" s="8"/>
      <c r="AC74" s="8"/>
      <c r="AD74" s="6"/>
      <c r="AE74" s="11"/>
      <c r="AF74" s="6"/>
      <c r="AG74" s="460"/>
      <c r="AH74" s="6"/>
      <c r="AI74" s="6"/>
      <c r="AJ74" s="6"/>
      <c r="AK74" s="6"/>
      <c r="AL74" s="6"/>
      <c r="AM74" s="6"/>
      <c r="AN74" s="11"/>
      <c r="AO74" s="6"/>
      <c r="AP74" s="460"/>
      <c r="AQ74" s="6"/>
      <c r="AR74" s="6"/>
      <c r="AS74" s="6"/>
      <c r="AT74" s="6"/>
      <c r="AU74" s="6"/>
      <c r="AV74" s="33"/>
      <c r="AW74" s="33"/>
      <c r="AX74" s="33"/>
      <c r="AY74" s="460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2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163" t="s">
        <v>3190</v>
      </c>
      <c r="CB74" s="163" t="s">
        <v>3191</v>
      </c>
      <c r="CC74" s="6" t="s">
        <v>3103</v>
      </c>
      <c r="CD74" s="9" t="s">
        <v>3862</v>
      </c>
      <c r="CE74" s="6" t="s">
        <v>5280</v>
      </c>
      <c r="CF74" s="9" t="s">
        <v>3862</v>
      </c>
      <c r="CG74" s="6" t="s">
        <v>3105</v>
      </c>
      <c r="CH74" s="9" t="s">
        <v>3862</v>
      </c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</row>
    <row r="75" spans="1:105" s="253" customFormat="1" ht="36">
      <c r="A75" s="8">
        <v>37</v>
      </c>
      <c r="B75" s="6" t="s">
        <v>5273</v>
      </c>
      <c r="C75" s="6" t="s">
        <v>5281</v>
      </c>
      <c r="D75" s="124" t="s">
        <v>5282</v>
      </c>
      <c r="E75" s="6" t="s">
        <v>5276</v>
      </c>
      <c r="F75" s="8">
        <v>2022</v>
      </c>
      <c r="G75" s="8">
        <v>2022</v>
      </c>
      <c r="H75" s="8">
        <v>6</v>
      </c>
      <c r="I75" s="6" t="s">
        <v>4986</v>
      </c>
      <c r="J75" s="6"/>
      <c r="K75" s="482"/>
      <c r="L75" s="460">
        <v>15083902</v>
      </c>
      <c r="M75" s="6" t="s">
        <v>3216</v>
      </c>
      <c r="N75" s="8">
        <v>7</v>
      </c>
      <c r="O75" s="7"/>
      <c r="P75" s="9" t="s">
        <v>3223</v>
      </c>
      <c r="Q75" s="8"/>
      <c r="R75" s="8"/>
      <c r="S75" s="13">
        <v>6680625</v>
      </c>
      <c r="T75" s="23" t="s">
        <v>23</v>
      </c>
      <c r="U75" s="16" t="s">
        <v>1782</v>
      </c>
      <c r="V75" s="460">
        <v>15083902</v>
      </c>
      <c r="W75" s="6" t="s">
        <v>154</v>
      </c>
      <c r="X75" s="6"/>
      <c r="Y75" s="6"/>
      <c r="Z75" s="6"/>
      <c r="AA75" s="6"/>
      <c r="AB75" s="8"/>
      <c r="AC75" s="8"/>
      <c r="AD75" s="6"/>
      <c r="AE75" s="11"/>
      <c r="AF75" s="6"/>
      <c r="AG75" s="460"/>
      <c r="AH75" s="6"/>
      <c r="AI75" s="6"/>
      <c r="AJ75" s="6"/>
      <c r="AK75" s="6"/>
      <c r="AL75" s="6"/>
      <c r="AM75" s="6"/>
      <c r="AN75" s="11"/>
      <c r="AO75" s="6"/>
      <c r="AP75" s="460"/>
      <c r="AQ75" s="6"/>
      <c r="AR75" s="6"/>
      <c r="AS75" s="6"/>
      <c r="AT75" s="6"/>
      <c r="AU75" s="6"/>
      <c r="AV75" s="33"/>
      <c r="AW75" s="33"/>
      <c r="AX75" s="33"/>
      <c r="AY75" s="460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2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163" t="s">
        <v>3190</v>
      </c>
      <c r="CB75" s="163" t="s">
        <v>3191</v>
      </c>
      <c r="CC75" s="6" t="s">
        <v>5283</v>
      </c>
      <c r="CD75" s="9" t="s">
        <v>4216</v>
      </c>
      <c r="CE75" s="6" t="s">
        <v>5284</v>
      </c>
      <c r="CF75" s="9" t="s">
        <v>4216</v>
      </c>
      <c r="CG75" s="6" t="s">
        <v>5285</v>
      </c>
      <c r="CH75" s="9" t="s">
        <v>4216</v>
      </c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</row>
    <row r="76" spans="1:105" s="314" customFormat="1">
      <c r="A76" s="309"/>
      <c r="B76" s="737"/>
      <c r="C76" s="737"/>
      <c r="D76" s="737"/>
      <c r="E76" s="737"/>
      <c r="F76" s="737"/>
      <c r="G76" s="737"/>
      <c r="H76" s="737"/>
      <c r="I76" s="737"/>
      <c r="J76" s="737"/>
      <c r="K76" s="737"/>
      <c r="L76" s="737"/>
      <c r="M76" s="737"/>
      <c r="N76" s="738"/>
      <c r="O76" s="737"/>
      <c r="P76" s="737"/>
      <c r="Q76" s="737"/>
      <c r="R76" s="737"/>
      <c r="S76" s="737"/>
      <c r="T76" s="737"/>
      <c r="U76" s="737"/>
      <c r="V76" s="737"/>
      <c r="W76" s="737"/>
      <c r="X76" s="737"/>
      <c r="Y76" s="737"/>
      <c r="Z76" s="737"/>
      <c r="AA76" s="737"/>
      <c r="AB76" s="737"/>
      <c r="AC76" s="737"/>
      <c r="AD76" s="737"/>
      <c r="AE76" s="737"/>
      <c r="AF76" s="737"/>
      <c r="AG76" s="737"/>
      <c r="AH76" s="737"/>
      <c r="AI76" s="737"/>
      <c r="AJ76" s="737"/>
      <c r="AK76" s="737"/>
      <c r="AL76" s="737"/>
      <c r="AM76" s="737"/>
      <c r="AN76" s="737"/>
      <c r="AO76" s="737"/>
      <c r="AP76" s="737"/>
      <c r="AQ76" s="737"/>
      <c r="AR76" s="737"/>
      <c r="AS76" s="737"/>
      <c r="AT76" s="737"/>
      <c r="AU76" s="737"/>
      <c r="AV76" s="737"/>
      <c r="AW76" s="737"/>
      <c r="AX76" s="737"/>
      <c r="AY76" s="737"/>
      <c r="AZ76" s="737"/>
      <c r="BA76" s="737"/>
      <c r="BB76" s="737"/>
      <c r="BC76" s="737"/>
      <c r="BD76" s="737"/>
      <c r="BE76" s="737"/>
      <c r="BF76" s="737"/>
      <c r="BG76" s="737"/>
      <c r="BH76" s="737"/>
      <c r="BI76" s="737"/>
      <c r="BJ76" s="737"/>
      <c r="BK76" s="737"/>
      <c r="BL76" s="737"/>
      <c r="BM76" s="737"/>
      <c r="BN76" s="737"/>
      <c r="BO76" s="737"/>
      <c r="BP76" s="737"/>
      <c r="BQ76" s="737"/>
      <c r="BR76" s="737"/>
      <c r="BS76" s="737"/>
      <c r="BT76" s="737"/>
      <c r="BU76" s="737"/>
      <c r="BV76" s="737"/>
      <c r="BW76" s="737"/>
      <c r="BX76" s="737"/>
      <c r="BY76" s="737"/>
      <c r="BZ76" s="737"/>
      <c r="CA76" s="737"/>
      <c r="CB76" s="737"/>
      <c r="CC76" s="737"/>
      <c r="CD76" s="737"/>
      <c r="CE76" s="737"/>
      <c r="CF76" s="737"/>
      <c r="CG76" s="737"/>
      <c r="CH76" s="737"/>
      <c r="CI76" s="737"/>
      <c r="CJ76" s="737"/>
      <c r="CK76" s="737"/>
      <c r="CL76" s="737"/>
      <c r="CM76" s="737"/>
      <c r="CN76" s="737"/>
      <c r="CO76" s="737"/>
      <c r="CP76" s="737"/>
      <c r="CQ76" s="737"/>
      <c r="CR76" s="737"/>
      <c r="CS76" s="737"/>
      <c r="CT76" s="737"/>
      <c r="CU76" s="737"/>
      <c r="CV76" s="737"/>
      <c r="CW76" s="737"/>
      <c r="CX76" s="737"/>
    </row>
    <row r="77" spans="1:105" ht="36">
      <c r="A77" s="8">
        <v>1</v>
      </c>
      <c r="B77" s="143" t="s">
        <v>5286</v>
      </c>
      <c r="C77" s="143" t="s">
        <v>5287</v>
      </c>
      <c r="D77" s="9" t="s">
        <v>5288</v>
      </c>
      <c r="E77" s="8" t="s">
        <v>4976</v>
      </c>
      <c r="F77" s="8">
        <v>2023</v>
      </c>
      <c r="G77" s="8">
        <v>2023</v>
      </c>
      <c r="H77" s="8">
        <v>6</v>
      </c>
      <c r="I77" s="6" t="s">
        <v>5289</v>
      </c>
      <c r="J77" s="6" t="s">
        <v>5728</v>
      </c>
      <c r="K77" s="482"/>
      <c r="L77" s="458">
        <v>6000000</v>
      </c>
      <c r="M77" s="6" t="s">
        <v>3091</v>
      </c>
      <c r="N77" s="8">
        <v>6</v>
      </c>
      <c r="O77" s="7" t="s">
        <v>5290</v>
      </c>
      <c r="P77" s="9" t="s">
        <v>3223</v>
      </c>
      <c r="Q77" s="8" t="s">
        <v>3215</v>
      </c>
      <c r="R77" s="8" t="s">
        <v>3923</v>
      </c>
      <c r="S77" s="8">
        <v>6789028</v>
      </c>
      <c r="T77" s="7" t="s">
        <v>179</v>
      </c>
      <c r="U77" s="162" t="s">
        <v>1917</v>
      </c>
      <c r="V77" s="458">
        <v>6000000</v>
      </c>
      <c r="W77" s="6" t="s">
        <v>166</v>
      </c>
      <c r="X77" s="6"/>
      <c r="Y77" s="6"/>
      <c r="Z77" s="6" t="s">
        <v>3286</v>
      </c>
      <c r="AA77" s="6" t="s">
        <v>3216</v>
      </c>
      <c r="AB77" s="8">
        <v>8140</v>
      </c>
      <c r="AC77" s="8">
        <v>72019</v>
      </c>
      <c r="AD77" s="6">
        <v>6835039</v>
      </c>
      <c r="AE77" s="11" t="s">
        <v>2009</v>
      </c>
      <c r="AF77" s="6" t="s">
        <v>37</v>
      </c>
      <c r="AG77" s="458">
        <v>6000000</v>
      </c>
      <c r="AH77" s="6" t="s">
        <v>166</v>
      </c>
      <c r="AI77" s="6"/>
      <c r="AJ77" s="6"/>
      <c r="AK77" s="6" t="s">
        <v>3286</v>
      </c>
      <c r="AL77" s="6" t="s">
        <v>3216</v>
      </c>
      <c r="AM77" s="6">
        <v>6843087</v>
      </c>
      <c r="AN77" s="11" t="s">
        <v>2010</v>
      </c>
      <c r="AO77" s="6" t="s">
        <v>41</v>
      </c>
      <c r="AP77" s="458">
        <v>6000000</v>
      </c>
      <c r="AQ77" s="6" t="s">
        <v>166</v>
      </c>
      <c r="AR77" s="6"/>
      <c r="AS77" s="6"/>
      <c r="AT77" s="6" t="s">
        <v>3286</v>
      </c>
      <c r="AU77" s="6" t="s">
        <v>3216</v>
      </c>
      <c r="AV77" s="33"/>
      <c r="AW77" s="33"/>
      <c r="AX77" s="33"/>
      <c r="AY77" s="233"/>
      <c r="AZ77" s="33"/>
      <c r="BA77" s="33"/>
      <c r="BB77" s="33"/>
      <c r="BC77" s="33"/>
      <c r="BD77" s="33"/>
      <c r="BE77" s="33"/>
      <c r="BF77" s="33"/>
      <c r="BG77" s="233"/>
      <c r="BH77" s="33"/>
      <c r="BI77" s="33"/>
      <c r="BJ77" s="33"/>
      <c r="BK77" s="33"/>
      <c r="BL77" s="33"/>
      <c r="BM77" s="33"/>
      <c r="BN77" s="33"/>
      <c r="BO77" s="233"/>
      <c r="BP77" s="33"/>
      <c r="BQ77" s="33"/>
      <c r="BR77" s="33"/>
      <c r="BS77" s="33"/>
      <c r="BT77" s="33"/>
      <c r="BU77" s="33"/>
      <c r="BV77" s="233"/>
      <c r="BW77" s="33"/>
      <c r="BX77" s="33"/>
      <c r="BY77" s="33"/>
      <c r="BZ77" s="33"/>
      <c r="CA77" s="160" t="s">
        <v>3190</v>
      </c>
      <c r="CB77" s="160" t="s">
        <v>3191</v>
      </c>
      <c r="CC77" s="6" t="s">
        <v>5291</v>
      </c>
      <c r="CD77" s="9" t="s">
        <v>3832</v>
      </c>
      <c r="CE77" s="6" t="s">
        <v>5292</v>
      </c>
      <c r="CF77" s="9" t="s">
        <v>3832</v>
      </c>
      <c r="CG77" s="6" t="s">
        <v>5293</v>
      </c>
      <c r="CH77" s="9" t="s">
        <v>3832</v>
      </c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115" t="s">
        <v>5294</v>
      </c>
      <c r="CT77" s="115" t="s">
        <v>3739</v>
      </c>
      <c r="CU77" s="115" t="s">
        <v>3739</v>
      </c>
      <c r="CV77" s="276" t="s">
        <v>5295</v>
      </c>
      <c r="CW77" s="115" t="s">
        <v>3739</v>
      </c>
      <c r="CX77" s="115" t="s">
        <v>3739</v>
      </c>
    </row>
    <row r="78" spans="1:105" ht="72.599999999999994">
      <c r="A78" s="8">
        <v>2</v>
      </c>
      <c r="B78" s="143" t="s">
        <v>5286</v>
      </c>
      <c r="C78" s="143" t="s">
        <v>5296</v>
      </c>
      <c r="D78" s="9" t="s">
        <v>5297</v>
      </c>
      <c r="E78" s="8" t="s">
        <v>4976</v>
      </c>
      <c r="F78" s="8">
        <v>2023</v>
      </c>
      <c r="G78" s="8">
        <v>2023</v>
      </c>
      <c r="H78" s="8">
        <v>6</v>
      </c>
      <c r="I78" s="6" t="s">
        <v>5298</v>
      </c>
      <c r="J78" s="6" t="s">
        <v>5729</v>
      </c>
      <c r="K78" s="482"/>
      <c r="L78" s="458">
        <v>6000000</v>
      </c>
      <c r="M78" s="6" t="s">
        <v>3091</v>
      </c>
      <c r="N78" s="8">
        <v>6</v>
      </c>
      <c r="O78" s="7" t="s">
        <v>5290</v>
      </c>
      <c r="P78" s="9" t="s">
        <v>3223</v>
      </c>
      <c r="Q78" s="8" t="s">
        <v>3215</v>
      </c>
      <c r="R78" s="8" t="s">
        <v>3923</v>
      </c>
      <c r="S78" s="8">
        <v>6825598</v>
      </c>
      <c r="T78" s="7" t="s">
        <v>5299</v>
      </c>
      <c r="U78" s="162" t="s">
        <v>1774</v>
      </c>
      <c r="V78" s="458">
        <v>6000000</v>
      </c>
      <c r="W78" s="6" t="s">
        <v>156</v>
      </c>
      <c r="X78" s="6"/>
      <c r="Y78" s="6"/>
      <c r="Z78" s="6" t="s">
        <v>3286</v>
      </c>
      <c r="AA78" s="6" t="s">
        <v>3216</v>
      </c>
      <c r="AB78" s="8">
        <v>8140</v>
      </c>
      <c r="AC78" s="8">
        <v>72019</v>
      </c>
      <c r="AD78" s="6">
        <v>6785861</v>
      </c>
      <c r="AE78" s="11" t="s">
        <v>1904</v>
      </c>
      <c r="AF78" s="6" t="s">
        <v>775</v>
      </c>
      <c r="AG78" s="458">
        <v>6000000</v>
      </c>
      <c r="AH78" s="6" t="s">
        <v>3093</v>
      </c>
      <c r="AI78" s="6"/>
      <c r="AJ78" s="6"/>
      <c r="AK78" s="6" t="s">
        <v>3286</v>
      </c>
      <c r="AL78" s="6" t="s">
        <v>3216</v>
      </c>
      <c r="AM78" s="6">
        <v>6830679</v>
      </c>
      <c r="AN78" s="11" t="s">
        <v>4099</v>
      </c>
      <c r="AO78" s="6" t="s">
        <v>2123</v>
      </c>
      <c r="AP78" s="458">
        <v>6000000</v>
      </c>
      <c r="AQ78" s="6" t="s">
        <v>156</v>
      </c>
      <c r="AR78" s="6"/>
      <c r="AS78" s="6"/>
      <c r="AT78" s="6" t="s">
        <v>3286</v>
      </c>
      <c r="AU78" s="6" t="s">
        <v>3216</v>
      </c>
      <c r="AV78" s="33"/>
      <c r="AW78" s="33"/>
      <c r="AX78" s="33"/>
      <c r="AY78" s="233"/>
      <c r="AZ78" s="33"/>
      <c r="BA78" s="33"/>
      <c r="BB78" s="33"/>
      <c r="BC78" s="33"/>
      <c r="BD78" s="33"/>
      <c r="BE78" s="33"/>
      <c r="BF78" s="33"/>
      <c r="BG78" s="233"/>
      <c r="BH78" s="33"/>
      <c r="BI78" s="33"/>
      <c r="BJ78" s="33"/>
      <c r="BK78" s="33"/>
      <c r="BL78" s="33"/>
      <c r="BM78" s="33"/>
      <c r="BN78" s="33"/>
      <c r="BO78" s="233"/>
      <c r="BP78" s="33"/>
      <c r="BQ78" s="33"/>
      <c r="BR78" s="33"/>
      <c r="BS78" s="33"/>
      <c r="BT78" s="33"/>
      <c r="BU78" s="33"/>
      <c r="BV78" s="233"/>
      <c r="BW78" s="33"/>
      <c r="BX78" s="33"/>
      <c r="BY78" s="33"/>
      <c r="BZ78" s="33"/>
      <c r="CA78" s="160" t="s">
        <v>3190</v>
      </c>
      <c r="CB78" s="160" t="s">
        <v>3191</v>
      </c>
      <c r="CC78" s="6" t="s">
        <v>5300</v>
      </c>
      <c r="CD78" s="9" t="s">
        <v>3857</v>
      </c>
      <c r="CE78" s="6" t="s">
        <v>5301</v>
      </c>
      <c r="CF78" s="9" t="s">
        <v>3857</v>
      </c>
      <c r="CG78" s="6" t="s">
        <v>5302</v>
      </c>
      <c r="CH78" s="9" t="s">
        <v>3990</v>
      </c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115" t="s">
        <v>3251</v>
      </c>
      <c r="CT78" s="115" t="s">
        <v>4981</v>
      </c>
      <c r="CU78" s="115" t="s">
        <v>5009</v>
      </c>
      <c r="CV78" s="277" t="s">
        <v>5303</v>
      </c>
      <c r="CW78" s="115" t="s">
        <v>5304</v>
      </c>
      <c r="CX78" s="115" t="s">
        <v>5305</v>
      </c>
    </row>
    <row r="79" spans="1:105" ht="96.6">
      <c r="A79" s="8">
        <v>3</v>
      </c>
      <c r="B79" s="143" t="s">
        <v>5286</v>
      </c>
      <c r="C79" s="143" t="s">
        <v>5306</v>
      </c>
      <c r="D79" s="9" t="s">
        <v>5307</v>
      </c>
      <c r="E79" s="8" t="s">
        <v>4976</v>
      </c>
      <c r="F79" s="8">
        <v>2023</v>
      </c>
      <c r="G79" s="8">
        <v>2023</v>
      </c>
      <c r="H79" s="8">
        <v>6</v>
      </c>
      <c r="I79" s="6" t="s">
        <v>5289</v>
      </c>
      <c r="J79" s="6" t="s">
        <v>5730</v>
      </c>
      <c r="K79" s="482"/>
      <c r="L79" s="458">
        <v>7000000</v>
      </c>
      <c r="M79" s="6" t="s">
        <v>3091</v>
      </c>
      <c r="N79" s="8">
        <v>6</v>
      </c>
      <c r="O79" s="7" t="s">
        <v>5290</v>
      </c>
      <c r="P79" s="9" t="s">
        <v>3223</v>
      </c>
      <c r="Q79" s="8" t="s">
        <v>3215</v>
      </c>
      <c r="R79" s="8" t="s">
        <v>3923</v>
      </c>
      <c r="S79" s="8">
        <v>6787771</v>
      </c>
      <c r="T79" s="7" t="s">
        <v>180</v>
      </c>
      <c r="U79" s="162" t="s">
        <v>1676</v>
      </c>
      <c r="V79" s="458">
        <v>7000000</v>
      </c>
      <c r="W79" s="6" t="s">
        <v>166</v>
      </c>
      <c r="X79" s="6"/>
      <c r="Y79" s="6"/>
      <c r="Z79" s="6" t="s">
        <v>3286</v>
      </c>
      <c r="AA79" s="6" t="s">
        <v>3216</v>
      </c>
      <c r="AB79" s="8">
        <v>8140</v>
      </c>
      <c r="AC79" s="8">
        <v>72019</v>
      </c>
      <c r="AD79" s="6">
        <v>6832969</v>
      </c>
      <c r="AE79" s="6">
        <v>707089302</v>
      </c>
      <c r="AF79" s="6" t="s">
        <v>183</v>
      </c>
      <c r="AG79" s="458">
        <v>7000000</v>
      </c>
      <c r="AH79" s="6" t="s">
        <v>166</v>
      </c>
      <c r="AI79" s="6"/>
      <c r="AJ79" s="6"/>
      <c r="AK79" s="6" t="s">
        <v>3286</v>
      </c>
      <c r="AL79" s="6" t="s">
        <v>3216</v>
      </c>
      <c r="AM79" s="6">
        <v>6834400</v>
      </c>
      <c r="AN79" s="11" t="s">
        <v>2698</v>
      </c>
      <c r="AO79" s="6" t="s">
        <v>185</v>
      </c>
      <c r="AP79" s="458">
        <v>7000000</v>
      </c>
      <c r="AQ79" s="6" t="s">
        <v>166</v>
      </c>
      <c r="AR79" s="6"/>
      <c r="AS79" s="6"/>
      <c r="AT79" s="6" t="s">
        <v>3286</v>
      </c>
      <c r="AU79" s="6" t="s">
        <v>3216</v>
      </c>
      <c r="AV79" s="33"/>
      <c r="AW79" s="33"/>
      <c r="AX79" s="33"/>
      <c r="AY79" s="233"/>
      <c r="AZ79" s="33"/>
      <c r="BA79" s="33"/>
      <c r="BB79" s="33"/>
      <c r="BC79" s="33"/>
      <c r="BD79" s="33"/>
      <c r="BE79" s="33"/>
      <c r="BF79" s="33"/>
      <c r="BG79" s="233"/>
      <c r="BH79" s="33"/>
      <c r="BI79" s="33"/>
      <c r="BJ79" s="33"/>
      <c r="BK79" s="33"/>
      <c r="BL79" s="33"/>
      <c r="BM79" s="33"/>
      <c r="BN79" s="33"/>
      <c r="BO79" s="233"/>
      <c r="BP79" s="33"/>
      <c r="BQ79" s="33"/>
      <c r="BR79" s="33"/>
      <c r="BS79" s="33"/>
      <c r="BT79" s="33"/>
      <c r="BU79" s="33"/>
      <c r="BV79" s="233"/>
      <c r="BW79" s="33"/>
      <c r="BX79" s="33"/>
      <c r="BY79" s="33"/>
      <c r="BZ79" s="33"/>
      <c r="CA79" s="160" t="s">
        <v>3190</v>
      </c>
      <c r="CB79" s="160" t="s">
        <v>3191</v>
      </c>
      <c r="CC79" s="6" t="s">
        <v>5308</v>
      </c>
      <c r="CD79" s="9" t="s">
        <v>3832</v>
      </c>
      <c r="CE79" s="6" t="s">
        <v>5309</v>
      </c>
      <c r="CF79" s="9" t="s">
        <v>3832</v>
      </c>
      <c r="CG79" s="6" t="s">
        <v>5310</v>
      </c>
      <c r="CH79" s="9" t="s">
        <v>3832</v>
      </c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115" t="s">
        <v>3251</v>
      </c>
      <c r="CT79" s="115" t="s">
        <v>4981</v>
      </c>
      <c r="CU79" s="115" t="s">
        <v>5009</v>
      </c>
      <c r="CV79" s="276" t="s">
        <v>5311</v>
      </c>
      <c r="CW79" s="115" t="s">
        <v>3739</v>
      </c>
      <c r="CX79" s="115" t="s">
        <v>3739</v>
      </c>
      <c r="CY79" s="113"/>
      <c r="CZ79" s="113"/>
      <c r="DA79" s="113"/>
    </row>
    <row r="80" spans="1:105" ht="60.6">
      <c r="A80" s="300">
        <v>4</v>
      </c>
      <c r="B80" s="143" t="s">
        <v>5286</v>
      </c>
      <c r="C80" s="143" t="s">
        <v>5312</v>
      </c>
      <c r="D80" s="139" t="s">
        <v>5313</v>
      </c>
      <c r="E80" s="259" t="s">
        <v>4976</v>
      </c>
      <c r="F80" s="259">
        <v>2023</v>
      </c>
      <c r="G80" s="259">
        <v>2023</v>
      </c>
      <c r="H80" s="259">
        <v>6</v>
      </c>
      <c r="I80" s="138" t="s">
        <v>5289</v>
      </c>
      <c r="J80" s="138" t="s">
        <v>5731</v>
      </c>
      <c r="K80" s="484"/>
      <c r="L80" s="461">
        <v>6074000</v>
      </c>
      <c r="M80" s="138" t="s">
        <v>3091</v>
      </c>
      <c r="N80" s="259">
        <v>6</v>
      </c>
      <c r="O80" s="123" t="s">
        <v>5290</v>
      </c>
      <c r="P80" s="9" t="s">
        <v>3223</v>
      </c>
      <c r="Q80" s="259" t="s">
        <v>3215</v>
      </c>
      <c r="R80" s="259" t="s">
        <v>3923</v>
      </c>
      <c r="S80" s="259">
        <v>28854</v>
      </c>
      <c r="T80" s="123" t="s">
        <v>189</v>
      </c>
      <c r="U80" s="260" t="s">
        <v>2959</v>
      </c>
      <c r="V80" s="461">
        <v>6074000</v>
      </c>
      <c r="W80" s="138" t="s">
        <v>164</v>
      </c>
      <c r="X80" s="138"/>
      <c r="Y80" s="138"/>
      <c r="Z80" s="138" t="s">
        <v>3286</v>
      </c>
      <c r="AA80" s="138" t="s">
        <v>3216</v>
      </c>
      <c r="AB80" s="259">
        <v>8140</v>
      </c>
      <c r="AC80" s="259">
        <v>72019</v>
      </c>
      <c r="AD80" s="138">
        <v>259781</v>
      </c>
      <c r="AE80" s="140" t="s">
        <v>982</v>
      </c>
      <c r="AF80" s="138" t="s">
        <v>26</v>
      </c>
      <c r="AG80" s="461">
        <v>6074000</v>
      </c>
      <c r="AH80" s="138" t="s">
        <v>164</v>
      </c>
      <c r="AI80" s="138" t="s">
        <v>166</v>
      </c>
      <c r="AJ80" s="138"/>
      <c r="AK80" s="138" t="s">
        <v>3286</v>
      </c>
      <c r="AL80" s="138" t="s">
        <v>3216</v>
      </c>
      <c r="AM80" s="138">
        <v>6680622</v>
      </c>
      <c r="AN80" s="140" t="s">
        <v>983</v>
      </c>
      <c r="AO80" s="138" t="s">
        <v>11</v>
      </c>
      <c r="AP80" s="461">
        <v>6074000</v>
      </c>
      <c r="AQ80" s="138" t="s">
        <v>164</v>
      </c>
      <c r="AR80" s="138"/>
      <c r="AS80" s="138"/>
      <c r="AT80" s="138" t="s">
        <v>3286</v>
      </c>
      <c r="AU80" s="138" t="s">
        <v>3216</v>
      </c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284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60" t="s">
        <v>3190</v>
      </c>
      <c r="CB80" s="160" t="s">
        <v>3191</v>
      </c>
      <c r="CC80" s="138" t="s">
        <v>5314</v>
      </c>
      <c r="CD80" s="139" t="s">
        <v>5315</v>
      </c>
      <c r="CE80" s="138" t="s">
        <v>5316</v>
      </c>
      <c r="CF80" s="139" t="s">
        <v>5315</v>
      </c>
      <c r="CG80" s="138"/>
      <c r="CH80" s="139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15" t="s">
        <v>5294</v>
      </c>
      <c r="CT80" s="115" t="s">
        <v>5317</v>
      </c>
      <c r="CU80" s="115" t="s">
        <v>5009</v>
      </c>
      <c r="CV80" s="280" t="s">
        <v>5318</v>
      </c>
      <c r="CW80" s="281" t="s">
        <v>942</v>
      </c>
      <c r="CX80" s="281" t="s">
        <v>942</v>
      </c>
    </row>
    <row r="81" spans="1:105" ht="48.6">
      <c r="A81" s="8">
        <v>5</v>
      </c>
      <c r="B81" s="143" t="s">
        <v>5286</v>
      </c>
      <c r="C81" s="143" t="s">
        <v>5319</v>
      </c>
      <c r="D81" s="9" t="s">
        <v>5320</v>
      </c>
      <c r="E81" s="8" t="s">
        <v>4976</v>
      </c>
      <c r="F81" s="8">
        <v>2023</v>
      </c>
      <c r="G81" s="8">
        <v>2023</v>
      </c>
      <c r="H81" s="8">
        <v>6</v>
      </c>
      <c r="I81" s="6" t="s">
        <v>5298</v>
      </c>
      <c r="J81" s="6" t="s">
        <v>5732</v>
      </c>
      <c r="K81" s="482"/>
      <c r="L81" s="458">
        <v>7000000</v>
      </c>
      <c r="M81" s="6" t="s">
        <v>3091</v>
      </c>
      <c r="N81" s="8">
        <v>3</v>
      </c>
      <c r="O81" s="7" t="s">
        <v>5290</v>
      </c>
      <c r="P81" s="9" t="s">
        <v>3223</v>
      </c>
      <c r="Q81" s="8" t="s">
        <v>3215</v>
      </c>
      <c r="R81" s="8" t="s">
        <v>3923</v>
      </c>
      <c r="S81" s="8">
        <v>6795859</v>
      </c>
      <c r="T81" s="7" t="s">
        <v>56</v>
      </c>
      <c r="U81" s="162" t="s">
        <v>1672</v>
      </c>
      <c r="V81" s="458">
        <v>7000000</v>
      </c>
      <c r="W81" s="6" t="s">
        <v>160</v>
      </c>
      <c r="X81" s="6"/>
      <c r="Y81" s="6"/>
      <c r="Z81" s="6" t="s">
        <v>3281</v>
      </c>
      <c r="AA81" s="6" t="s">
        <v>3216</v>
      </c>
      <c r="AB81" s="8">
        <v>8140</v>
      </c>
      <c r="AC81" s="8">
        <v>72019</v>
      </c>
      <c r="AD81" s="6">
        <v>6826739</v>
      </c>
      <c r="AE81" s="11" t="s">
        <v>2307</v>
      </c>
      <c r="AF81" s="6" t="s">
        <v>50</v>
      </c>
      <c r="AG81" s="458">
        <v>7000000</v>
      </c>
      <c r="AH81" s="6" t="s">
        <v>160</v>
      </c>
      <c r="AI81" s="6"/>
      <c r="AJ81" s="6"/>
      <c r="AK81" s="6" t="s">
        <v>3281</v>
      </c>
      <c r="AL81" s="6" t="s">
        <v>3216</v>
      </c>
      <c r="AM81" s="6"/>
      <c r="AN81" s="6"/>
      <c r="AO81" s="6"/>
      <c r="AP81" s="458"/>
      <c r="AQ81" s="6"/>
      <c r="AR81" s="6"/>
      <c r="AS81" s="6"/>
      <c r="AT81" s="6"/>
      <c r="AU81" s="33"/>
      <c r="AV81" s="33"/>
      <c r="AW81" s="33"/>
      <c r="AX81" s="33"/>
      <c r="AY81" s="233"/>
      <c r="AZ81" s="33"/>
      <c r="BA81" s="33"/>
      <c r="BB81" s="33"/>
      <c r="BC81" s="33"/>
      <c r="BD81" s="33"/>
      <c r="BE81" s="33"/>
      <c r="BF81" s="33"/>
      <c r="BG81" s="233"/>
      <c r="BH81" s="33"/>
      <c r="BI81" s="33"/>
      <c r="BJ81" s="33"/>
      <c r="BK81" s="33"/>
      <c r="BL81" s="33"/>
      <c r="BM81" s="33"/>
      <c r="BN81" s="33"/>
      <c r="BO81" s="233"/>
      <c r="BP81" s="33"/>
      <c r="BQ81" s="33"/>
      <c r="BR81" s="33"/>
      <c r="BS81" s="33"/>
      <c r="BT81" s="33"/>
      <c r="BU81" s="33"/>
      <c r="BV81" s="233"/>
      <c r="BW81" s="33"/>
      <c r="BX81" s="33"/>
      <c r="BY81" s="33"/>
      <c r="BZ81" s="33"/>
      <c r="CA81" s="160" t="s">
        <v>3190</v>
      </c>
      <c r="CB81" s="160" t="s">
        <v>3191</v>
      </c>
      <c r="CC81" s="6" t="s">
        <v>5321</v>
      </c>
      <c r="CD81" s="9" t="s">
        <v>3958</v>
      </c>
      <c r="CE81" s="6" t="s">
        <v>5322</v>
      </c>
      <c r="CF81" s="9" t="s">
        <v>3958</v>
      </c>
      <c r="CG81" s="6" t="s">
        <v>5323</v>
      </c>
      <c r="CH81" s="9" t="s">
        <v>3958</v>
      </c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115" t="s">
        <v>5294</v>
      </c>
      <c r="CT81" s="115" t="s">
        <v>4981</v>
      </c>
      <c r="CU81" s="115" t="s">
        <v>4991</v>
      </c>
      <c r="CV81" s="276" t="s">
        <v>5324</v>
      </c>
      <c r="CW81" s="115" t="s">
        <v>5325</v>
      </c>
      <c r="CX81" s="281" t="s">
        <v>942</v>
      </c>
    </row>
    <row r="82" spans="1:105" ht="48.6">
      <c r="A82" s="8">
        <v>6</v>
      </c>
      <c r="B82" s="143" t="s">
        <v>5286</v>
      </c>
      <c r="C82" s="143" t="s">
        <v>5326</v>
      </c>
      <c r="D82" s="9" t="s">
        <v>5327</v>
      </c>
      <c r="E82" s="8" t="s">
        <v>4976</v>
      </c>
      <c r="F82" s="8">
        <v>2023</v>
      </c>
      <c r="G82" s="8">
        <v>2023</v>
      </c>
      <c r="H82" s="8">
        <v>6</v>
      </c>
      <c r="I82" s="6" t="s">
        <v>5298</v>
      </c>
      <c r="J82" s="6" t="s">
        <v>5733</v>
      </c>
      <c r="K82" s="482"/>
      <c r="L82" s="458">
        <v>6500000</v>
      </c>
      <c r="M82" s="6" t="s">
        <v>3091</v>
      </c>
      <c r="N82" s="8">
        <v>3</v>
      </c>
      <c r="O82" s="7"/>
      <c r="P82" s="9" t="s">
        <v>3223</v>
      </c>
      <c r="Q82" s="8" t="s">
        <v>3215</v>
      </c>
      <c r="R82" s="8" t="s">
        <v>3923</v>
      </c>
      <c r="S82" s="8">
        <v>6826743</v>
      </c>
      <c r="T82" s="7" t="s">
        <v>45</v>
      </c>
      <c r="U82" s="162" t="s">
        <v>1880</v>
      </c>
      <c r="V82" s="458">
        <v>6500000</v>
      </c>
      <c r="W82" s="6" t="s">
        <v>160</v>
      </c>
      <c r="X82" s="6"/>
      <c r="Y82" s="6"/>
      <c r="Z82" s="6" t="s">
        <v>3281</v>
      </c>
      <c r="AA82" s="6" t="s">
        <v>3216</v>
      </c>
      <c r="AB82" s="8">
        <v>8140</v>
      </c>
      <c r="AC82" s="8">
        <v>72019</v>
      </c>
      <c r="AD82" s="6">
        <v>6658545</v>
      </c>
      <c r="AE82" s="11" t="s">
        <v>984</v>
      </c>
      <c r="AF82" s="6" t="s">
        <v>40</v>
      </c>
      <c r="AG82" s="458">
        <v>6500000</v>
      </c>
      <c r="AH82" s="6" t="s">
        <v>160</v>
      </c>
      <c r="AI82" s="6"/>
      <c r="AJ82" s="6"/>
      <c r="AK82" s="6" t="s">
        <v>3281</v>
      </c>
      <c r="AL82" s="6" t="s">
        <v>3216</v>
      </c>
      <c r="AM82" s="6">
        <v>6681051</v>
      </c>
      <c r="AN82" s="11" t="s">
        <v>1657</v>
      </c>
      <c r="AO82" s="6" t="s">
        <v>6</v>
      </c>
      <c r="AP82" s="458">
        <v>6500000</v>
      </c>
      <c r="AQ82" s="6" t="s">
        <v>160</v>
      </c>
      <c r="AR82" s="6"/>
      <c r="AS82" s="6"/>
      <c r="AT82" s="6" t="s">
        <v>3281</v>
      </c>
      <c r="AU82" s="6" t="s">
        <v>3216</v>
      </c>
      <c r="AV82" s="33"/>
      <c r="AW82" s="33"/>
      <c r="AX82" s="33"/>
      <c r="AY82" s="233"/>
      <c r="AZ82" s="33"/>
      <c r="BA82" s="33"/>
      <c r="BB82" s="33"/>
      <c r="BC82" s="33"/>
      <c r="BD82" s="33"/>
      <c r="BE82" s="33"/>
      <c r="BF82" s="33"/>
      <c r="BG82" s="233"/>
      <c r="BH82" s="33"/>
      <c r="BI82" s="33"/>
      <c r="BJ82" s="33"/>
      <c r="BK82" s="33"/>
      <c r="BL82" s="33"/>
      <c r="BM82" s="33"/>
      <c r="BN82" s="33"/>
      <c r="BO82" s="233"/>
      <c r="BP82" s="33"/>
      <c r="BQ82" s="33"/>
      <c r="BR82" s="33"/>
      <c r="BS82" s="33"/>
      <c r="BT82" s="33"/>
      <c r="BU82" s="33"/>
      <c r="BV82" s="233"/>
      <c r="BW82" s="33"/>
      <c r="BX82" s="33"/>
      <c r="BY82" s="33"/>
      <c r="BZ82" s="33"/>
      <c r="CA82" s="160" t="s">
        <v>3190</v>
      </c>
      <c r="CB82" s="160" t="s">
        <v>3191</v>
      </c>
      <c r="CC82" s="6" t="s">
        <v>5328</v>
      </c>
      <c r="CD82" s="9" t="s">
        <v>3958</v>
      </c>
      <c r="CE82" s="6" t="s">
        <v>5329</v>
      </c>
      <c r="CF82" s="9" t="s">
        <v>3958</v>
      </c>
      <c r="CG82" s="6"/>
      <c r="CH82" s="9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115" t="s">
        <v>5294</v>
      </c>
      <c r="CT82" s="115" t="s">
        <v>4981</v>
      </c>
      <c r="CU82" s="115" t="s">
        <v>4991</v>
      </c>
      <c r="CV82" s="276" t="s">
        <v>5324</v>
      </c>
      <c r="CW82" s="115" t="s">
        <v>3739</v>
      </c>
      <c r="CX82" s="115" t="s">
        <v>3739</v>
      </c>
    </row>
    <row r="83" spans="1:105" ht="48.6">
      <c r="A83" s="8">
        <v>7</v>
      </c>
      <c r="B83" s="143" t="s">
        <v>5286</v>
      </c>
      <c r="C83" s="143" t="s">
        <v>5330</v>
      </c>
      <c r="D83" s="9" t="s">
        <v>5331</v>
      </c>
      <c r="E83" s="8" t="s">
        <v>4976</v>
      </c>
      <c r="F83" s="8">
        <v>2023</v>
      </c>
      <c r="G83" s="8">
        <v>2023</v>
      </c>
      <c r="H83" s="8">
        <v>6</v>
      </c>
      <c r="I83" s="6" t="s">
        <v>5289</v>
      </c>
      <c r="J83" s="6" t="s">
        <v>5734</v>
      </c>
      <c r="K83" s="482"/>
      <c r="L83" s="458">
        <v>6995000</v>
      </c>
      <c r="M83" s="6" t="s">
        <v>3091</v>
      </c>
      <c r="N83" s="8">
        <v>7</v>
      </c>
      <c r="O83" s="7"/>
      <c r="P83" s="9" t="s">
        <v>3223</v>
      </c>
      <c r="Q83" s="8" t="s">
        <v>3215</v>
      </c>
      <c r="R83" s="8" t="s">
        <v>3923</v>
      </c>
      <c r="S83" s="8">
        <v>6682794</v>
      </c>
      <c r="T83" s="7" t="s">
        <v>49</v>
      </c>
      <c r="U83" s="162" t="s">
        <v>1744</v>
      </c>
      <c r="V83" s="458">
        <v>6995000</v>
      </c>
      <c r="W83" s="6" t="s">
        <v>164</v>
      </c>
      <c r="X83" s="6"/>
      <c r="Y83" s="6"/>
      <c r="Z83" s="6" t="s">
        <v>3286</v>
      </c>
      <c r="AA83" s="6" t="s">
        <v>3216</v>
      </c>
      <c r="AB83" s="8">
        <v>8140</v>
      </c>
      <c r="AC83" s="8">
        <v>72019</v>
      </c>
      <c r="AD83" s="99">
        <v>6853203</v>
      </c>
      <c r="AE83" s="11" t="s">
        <v>3905</v>
      </c>
      <c r="AF83" s="6" t="s">
        <v>191</v>
      </c>
      <c r="AG83" s="458">
        <v>6995000</v>
      </c>
      <c r="AH83" s="6" t="s">
        <v>155</v>
      </c>
      <c r="AI83" s="6"/>
      <c r="AJ83" s="6"/>
      <c r="AK83" s="6" t="s">
        <v>3281</v>
      </c>
      <c r="AL83" s="6" t="s">
        <v>3216</v>
      </c>
      <c r="AM83" s="6"/>
      <c r="AN83" s="6"/>
      <c r="AO83" s="6"/>
      <c r="AP83" s="458"/>
      <c r="AQ83" s="6"/>
      <c r="AR83" s="6"/>
      <c r="AS83" s="6"/>
      <c r="AT83" s="6"/>
      <c r="AU83" s="33"/>
      <c r="AV83" s="33"/>
      <c r="AW83" s="33"/>
      <c r="AX83" s="33"/>
      <c r="AY83" s="233"/>
      <c r="AZ83" s="33"/>
      <c r="BA83" s="33"/>
      <c r="BB83" s="33"/>
      <c r="BC83" s="33"/>
      <c r="BD83" s="33"/>
      <c r="BE83" s="33"/>
      <c r="BF83" s="33"/>
      <c r="BG83" s="233"/>
      <c r="BH83" s="33"/>
      <c r="BI83" s="33"/>
      <c r="BJ83" s="33"/>
      <c r="BK83" s="33"/>
      <c r="BL83" s="33"/>
      <c r="BM83" s="33"/>
      <c r="BN83" s="33"/>
      <c r="BO83" s="233"/>
      <c r="BP83" s="33"/>
      <c r="BQ83" s="33"/>
      <c r="BR83" s="33"/>
      <c r="BS83" s="33"/>
      <c r="BT83" s="33"/>
      <c r="BU83" s="33"/>
      <c r="BV83" s="233"/>
      <c r="BW83" s="33"/>
      <c r="BX83" s="33"/>
      <c r="BY83" s="33"/>
      <c r="BZ83" s="33"/>
      <c r="CA83" s="160" t="s">
        <v>3190</v>
      </c>
      <c r="CB83" s="160" t="s">
        <v>3191</v>
      </c>
      <c r="CC83" s="6" t="s">
        <v>5332</v>
      </c>
      <c r="CD83" s="9" t="s">
        <v>5315</v>
      </c>
      <c r="CE83" s="6"/>
      <c r="CF83" s="9"/>
      <c r="CG83" s="6"/>
      <c r="CH83" s="9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115" t="s">
        <v>5294</v>
      </c>
      <c r="CT83" s="115" t="s">
        <v>4981</v>
      </c>
      <c r="CU83" s="115" t="s">
        <v>5009</v>
      </c>
      <c r="CV83" s="276" t="s">
        <v>5324</v>
      </c>
      <c r="CW83" s="115" t="s">
        <v>3739</v>
      </c>
      <c r="CX83" s="115" t="s">
        <v>3739</v>
      </c>
    </row>
    <row r="84" spans="1:105" ht="36">
      <c r="A84" s="8">
        <v>8</v>
      </c>
      <c r="B84" s="143" t="s">
        <v>5286</v>
      </c>
      <c r="C84" s="143" t="s">
        <v>5333</v>
      </c>
      <c r="D84" s="9" t="s">
        <v>5334</v>
      </c>
      <c r="E84" s="8" t="s">
        <v>4976</v>
      </c>
      <c r="F84" s="8">
        <v>2023</v>
      </c>
      <c r="G84" s="8">
        <v>2023</v>
      </c>
      <c r="H84" s="8">
        <v>8</v>
      </c>
      <c r="I84" s="6" t="s">
        <v>5298</v>
      </c>
      <c r="J84" s="6" t="s">
        <v>5735</v>
      </c>
      <c r="K84" s="482"/>
      <c r="L84" s="458">
        <v>7000000</v>
      </c>
      <c r="M84" s="6" t="s">
        <v>3091</v>
      </c>
      <c r="N84" s="8">
        <v>3</v>
      </c>
      <c r="O84" s="7"/>
      <c r="P84" s="9" t="s">
        <v>3223</v>
      </c>
      <c r="Q84" s="8" t="s">
        <v>3215</v>
      </c>
      <c r="R84" s="8" t="s">
        <v>3923</v>
      </c>
      <c r="S84" s="207">
        <v>6829130</v>
      </c>
      <c r="T84" s="7" t="s">
        <v>173</v>
      </c>
      <c r="U84" s="162" t="s">
        <v>3020</v>
      </c>
      <c r="V84" s="458">
        <v>7000000</v>
      </c>
      <c r="W84" s="6" t="s">
        <v>154</v>
      </c>
      <c r="X84" s="6" t="s">
        <v>155</v>
      </c>
      <c r="Y84" s="6"/>
      <c r="Z84" s="6" t="s">
        <v>3281</v>
      </c>
      <c r="AA84" s="6" t="s">
        <v>3216</v>
      </c>
      <c r="AB84" s="8">
        <v>8140</v>
      </c>
      <c r="AC84" s="8">
        <v>72019</v>
      </c>
      <c r="AD84" s="6">
        <v>6680741</v>
      </c>
      <c r="AE84" s="11" t="s">
        <v>1838</v>
      </c>
      <c r="AF84" s="6" t="s">
        <v>16</v>
      </c>
      <c r="AG84" s="458">
        <v>7000000</v>
      </c>
      <c r="AH84" s="6" t="s">
        <v>154</v>
      </c>
      <c r="AI84" s="6"/>
      <c r="AJ84" s="6"/>
      <c r="AK84" s="6" t="s">
        <v>3281</v>
      </c>
      <c r="AL84" s="6" t="s">
        <v>3216</v>
      </c>
      <c r="AM84" s="6">
        <v>6786182</v>
      </c>
      <c r="AN84" s="11" t="s">
        <v>2471</v>
      </c>
      <c r="AO84" s="6" t="s">
        <v>87</v>
      </c>
      <c r="AP84" s="458">
        <v>7000000</v>
      </c>
      <c r="AQ84" s="6" t="s">
        <v>154</v>
      </c>
      <c r="AR84" s="6"/>
      <c r="AS84" s="6"/>
      <c r="AT84" s="6" t="s">
        <v>3281</v>
      </c>
      <c r="AU84" s="6" t="s">
        <v>3216</v>
      </c>
      <c r="AV84" s="33"/>
      <c r="AW84" s="33"/>
      <c r="AX84" s="33"/>
      <c r="AY84" s="233"/>
      <c r="AZ84" s="33"/>
      <c r="BA84" s="33"/>
      <c r="BB84" s="33"/>
      <c r="BC84" s="33"/>
      <c r="BD84" s="33"/>
      <c r="BE84" s="33"/>
      <c r="BF84" s="33"/>
      <c r="BG84" s="233"/>
      <c r="BH84" s="33"/>
      <c r="BI84" s="33"/>
      <c r="BJ84" s="33"/>
      <c r="BK84" s="33"/>
      <c r="BL84" s="33"/>
      <c r="BM84" s="33"/>
      <c r="BN84" s="33"/>
      <c r="BO84" s="233"/>
      <c r="BP84" s="33"/>
      <c r="BQ84" s="33"/>
      <c r="BR84" s="33"/>
      <c r="BS84" s="33"/>
      <c r="BT84" s="33"/>
      <c r="BU84" s="33"/>
      <c r="BV84" s="233"/>
      <c r="BW84" s="33"/>
      <c r="BX84" s="33"/>
      <c r="BY84" s="33"/>
      <c r="BZ84" s="33"/>
      <c r="CA84" s="160" t="s">
        <v>3190</v>
      </c>
      <c r="CB84" s="160" t="s">
        <v>3191</v>
      </c>
      <c r="CC84" s="6" t="s">
        <v>5335</v>
      </c>
      <c r="CD84" s="9" t="s">
        <v>4216</v>
      </c>
      <c r="CE84" s="6" t="s">
        <v>5336</v>
      </c>
      <c r="CF84" s="9" t="s">
        <v>4216</v>
      </c>
      <c r="CG84" s="6" t="s">
        <v>5337</v>
      </c>
      <c r="CH84" s="9" t="s">
        <v>4216</v>
      </c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275" t="s">
        <v>942</v>
      </c>
      <c r="CT84" s="275" t="s">
        <v>942</v>
      </c>
      <c r="CU84" s="275" t="s">
        <v>942</v>
      </c>
      <c r="CV84" s="276" t="s">
        <v>3739</v>
      </c>
      <c r="CW84" s="273" t="s">
        <v>3739</v>
      </c>
      <c r="CX84" s="273" t="s">
        <v>3739</v>
      </c>
    </row>
    <row r="85" spans="1:105" ht="60.6">
      <c r="A85" s="8">
        <v>9</v>
      </c>
      <c r="B85" s="143" t="s">
        <v>5286</v>
      </c>
      <c r="C85" s="143" t="s">
        <v>5338</v>
      </c>
      <c r="D85" s="9" t="s">
        <v>5339</v>
      </c>
      <c r="E85" s="8" t="s">
        <v>4976</v>
      </c>
      <c r="F85" s="8">
        <v>2023</v>
      </c>
      <c r="G85" s="8">
        <v>2023</v>
      </c>
      <c r="H85" s="8">
        <v>6</v>
      </c>
      <c r="I85" s="6" t="s">
        <v>5298</v>
      </c>
      <c r="J85" s="6" t="s">
        <v>5736</v>
      </c>
      <c r="K85" s="482"/>
      <c r="L85" s="458">
        <v>6961000</v>
      </c>
      <c r="M85" s="6" t="s">
        <v>3091</v>
      </c>
      <c r="N85" s="8">
        <v>3</v>
      </c>
      <c r="O85" s="7"/>
      <c r="P85" s="9" t="s">
        <v>3223</v>
      </c>
      <c r="Q85" s="8" t="s">
        <v>3215</v>
      </c>
      <c r="R85" s="8" t="s">
        <v>3923</v>
      </c>
      <c r="S85" s="162" t="s">
        <v>5340</v>
      </c>
      <c r="T85" s="7" t="s">
        <v>96</v>
      </c>
      <c r="U85" s="162" t="s">
        <v>1889</v>
      </c>
      <c r="V85" s="458">
        <v>6961000</v>
      </c>
      <c r="W85" s="6" t="s">
        <v>3093</v>
      </c>
      <c r="X85" s="6"/>
      <c r="Y85" s="6"/>
      <c r="Z85" s="6" t="s">
        <v>3286</v>
      </c>
      <c r="AA85" s="6" t="s">
        <v>3216</v>
      </c>
      <c r="AB85" s="8">
        <v>8140</v>
      </c>
      <c r="AC85" s="8">
        <v>72019</v>
      </c>
      <c r="AD85" s="6">
        <v>6801989</v>
      </c>
      <c r="AE85" s="11" t="s">
        <v>1890</v>
      </c>
      <c r="AF85" s="6" t="s">
        <v>174</v>
      </c>
      <c r="AG85" s="458">
        <v>6961000</v>
      </c>
      <c r="AH85" s="6" t="s">
        <v>3093</v>
      </c>
      <c r="AI85" s="6"/>
      <c r="AJ85" s="6"/>
      <c r="AK85" s="6" t="s">
        <v>3286</v>
      </c>
      <c r="AL85" s="6" t="s">
        <v>3216</v>
      </c>
      <c r="AM85" s="6">
        <v>6833162</v>
      </c>
      <c r="AN85" s="6">
        <v>701069701</v>
      </c>
      <c r="AO85" s="6" t="s">
        <v>139</v>
      </c>
      <c r="AP85" s="458">
        <v>6961000</v>
      </c>
      <c r="AQ85" s="6" t="s">
        <v>3093</v>
      </c>
      <c r="AR85" s="6"/>
      <c r="AS85" s="6"/>
      <c r="AT85" s="6" t="s">
        <v>3286</v>
      </c>
      <c r="AU85" s="6" t="s">
        <v>3216</v>
      </c>
      <c r="AV85" s="33"/>
      <c r="AW85" s="33"/>
      <c r="AX85" s="33"/>
      <c r="AY85" s="233"/>
      <c r="AZ85" s="33"/>
      <c r="BA85" s="33"/>
      <c r="BB85" s="33"/>
      <c r="BC85" s="33"/>
      <c r="BD85" s="33"/>
      <c r="BE85" s="33"/>
      <c r="BF85" s="33"/>
      <c r="BG85" s="233"/>
      <c r="BH85" s="33"/>
      <c r="BI85" s="33"/>
      <c r="BJ85" s="33"/>
      <c r="BK85" s="33"/>
      <c r="BL85" s="33"/>
      <c r="BM85" s="33"/>
      <c r="BN85" s="33"/>
      <c r="BO85" s="233"/>
      <c r="BP85" s="33"/>
      <c r="BQ85" s="33"/>
      <c r="BR85" s="33"/>
      <c r="BS85" s="33"/>
      <c r="BT85" s="33"/>
      <c r="BU85" s="33"/>
      <c r="BV85" s="233"/>
      <c r="BW85" s="33"/>
      <c r="BX85" s="33"/>
      <c r="BY85" s="33"/>
      <c r="BZ85" s="33"/>
      <c r="CA85" s="160" t="s">
        <v>3190</v>
      </c>
      <c r="CB85" s="160" t="s">
        <v>3191</v>
      </c>
      <c r="CC85" s="6" t="s">
        <v>5341</v>
      </c>
      <c r="CD85" s="9" t="s">
        <v>3990</v>
      </c>
      <c r="CE85" s="6" t="s">
        <v>5342</v>
      </c>
      <c r="CF85" s="9" t="s">
        <v>3990</v>
      </c>
      <c r="CG85" s="6"/>
      <c r="CH85" s="9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115" t="s">
        <v>3251</v>
      </c>
      <c r="CT85" s="115" t="s">
        <v>4981</v>
      </c>
      <c r="CU85" s="275" t="s">
        <v>942</v>
      </c>
      <c r="CV85" s="277" t="s">
        <v>5343</v>
      </c>
      <c r="CW85" s="273" t="s">
        <v>3739</v>
      </c>
      <c r="CX85" s="273" t="s">
        <v>3739</v>
      </c>
    </row>
    <row r="86" spans="1:105" ht="72.599999999999994">
      <c r="A86" s="8">
        <v>10</v>
      </c>
      <c r="B86" s="143" t="s">
        <v>5286</v>
      </c>
      <c r="C86" s="143" t="s">
        <v>5344</v>
      </c>
      <c r="D86" s="9" t="s">
        <v>5345</v>
      </c>
      <c r="E86" s="8" t="s">
        <v>4976</v>
      </c>
      <c r="F86" s="8">
        <v>2023</v>
      </c>
      <c r="G86" s="8">
        <v>2023</v>
      </c>
      <c r="H86" s="8">
        <v>6</v>
      </c>
      <c r="I86" s="6" t="s">
        <v>5298</v>
      </c>
      <c r="J86" s="6" t="s">
        <v>5707</v>
      </c>
      <c r="K86" s="482"/>
      <c r="L86" s="458">
        <v>6480000</v>
      </c>
      <c r="M86" s="6" t="s">
        <v>3091</v>
      </c>
      <c r="N86" s="8">
        <v>6</v>
      </c>
      <c r="O86" s="7"/>
      <c r="P86" s="9" t="s">
        <v>3223</v>
      </c>
      <c r="Q86" s="8" t="s">
        <v>3215</v>
      </c>
      <c r="R86" s="8" t="s">
        <v>3923</v>
      </c>
      <c r="S86" s="162" t="s">
        <v>3985</v>
      </c>
      <c r="T86" s="7" t="s">
        <v>42</v>
      </c>
      <c r="U86" s="162" t="s">
        <v>2730</v>
      </c>
      <c r="V86" s="458">
        <v>6480000</v>
      </c>
      <c r="W86" s="6" t="s">
        <v>3093</v>
      </c>
      <c r="X86" s="6" t="s">
        <v>166</v>
      </c>
      <c r="Y86" s="6"/>
      <c r="Z86" s="6" t="s">
        <v>3286</v>
      </c>
      <c r="AA86" s="6" t="s">
        <v>3216</v>
      </c>
      <c r="AB86" s="8">
        <v>8140</v>
      </c>
      <c r="AC86" s="8">
        <v>72019</v>
      </c>
      <c r="AD86" s="6">
        <v>6727245</v>
      </c>
      <c r="AE86" s="11" t="s">
        <v>1889</v>
      </c>
      <c r="AF86" s="6" t="s">
        <v>96</v>
      </c>
      <c r="AG86" s="458">
        <v>6480000</v>
      </c>
      <c r="AH86" s="6" t="s">
        <v>3093</v>
      </c>
      <c r="AI86" s="6"/>
      <c r="AJ86" s="6"/>
      <c r="AK86" s="6" t="s">
        <v>3286</v>
      </c>
      <c r="AL86" s="6" t="s">
        <v>3216</v>
      </c>
      <c r="AM86" s="6"/>
      <c r="AN86" s="6"/>
      <c r="AO86" s="6"/>
      <c r="AP86" s="458"/>
      <c r="AQ86" s="6"/>
      <c r="AR86" s="6"/>
      <c r="AS86" s="6"/>
      <c r="AT86" s="6"/>
      <c r="AU86" s="33"/>
      <c r="AV86" s="33"/>
      <c r="AW86" s="33"/>
      <c r="AX86" s="33"/>
      <c r="AY86" s="233"/>
      <c r="AZ86" s="33"/>
      <c r="BA86" s="33"/>
      <c r="BB86" s="33"/>
      <c r="BC86" s="33"/>
      <c r="BD86" s="33"/>
      <c r="BE86" s="33"/>
      <c r="BF86" s="33"/>
      <c r="BG86" s="233"/>
      <c r="BH86" s="33"/>
      <c r="BI86" s="33"/>
      <c r="BJ86" s="33"/>
      <c r="BK86" s="33"/>
      <c r="BL86" s="33"/>
      <c r="BM86" s="33"/>
      <c r="BN86" s="33"/>
      <c r="BO86" s="233"/>
      <c r="BP86" s="33"/>
      <c r="BQ86" s="33"/>
      <c r="BR86" s="33"/>
      <c r="BS86" s="33"/>
      <c r="BT86" s="33"/>
      <c r="BU86" s="33"/>
      <c r="BV86" s="233"/>
      <c r="BW86" s="33"/>
      <c r="BX86" s="33"/>
      <c r="BY86" s="33"/>
      <c r="BZ86" s="33"/>
      <c r="CA86" s="160" t="s">
        <v>3190</v>
      </c>
      <c r="CB86" s="160" t="s">
        <v>3191</v>
      </c>
      <c r="CC86" s="6" t="s">
        <v>5346</v>
      </c>
      <c r="CD86" s="9" t="s">
        <v>3990</v>
      </c>
      <c r="CE86" s="6" t="s">
        <v>5347</v>
      </c>
      <c r="CF86" s="9" t="s">
        <v>3990</v>
      </c>
      <c r="CG86" s="6" t="s">
        <v>5348</v>
      </c>
      <c r="CH86" s="9" t="s">
        <v>3990</v>
      </c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115" t="s">
        <v>5294</v>
      </c>
      <c r="CT86" s="115" t="s">
        <v>5349</v>
      </c>
      <c r="CU86" s="115" t="s">
        <v>4991</v>
      </c>
      <c r="CV86" s="276" t="s">
        <v>5324</v>
      </c>
      <c r="CW86" s="273" t="s">
        <v>3739</v>
      </c>
      <c r="CX86" s="273" t="s">
        <v>3739</v>
      </c>
      <c r="CY86" s="113"/>
      <c r="CZ86" s="113"/>
      <c r="DA86" s="113"/>
    </row>
    <row r="87" spans="1:105" ht="72.599999999999994">
      <c r="A87" s="259">
        <v>11</v>
      </c>
      <c r="B87" s="143" t="s">
        <v>5286</v>
      </c>
      <c r="C87" s="143" t="s">
        <v>5350</v>
      </c>
      <c r="D87" s="139" t="s">
        <v>5351</v>
      </c>
      <c r="E87" s="259" t="s">
        <v>4976</v>
      </c>
      <c r="F87" s="259">
        <v>2023</v>
      </c>
      <c r="G87" s="259">
        <v>2023</v>
      </c>
      <c r="H87" s="259">
        <v>7</v>
      </c>
      <c r="I87" s="138" t="s">
        <v>5298</v>
      </c>
      <c r="J87" s="138" t="s">
        <v>5737</v>
      </c>
      <c r="K87" s="484"/>
      <c r="L87" s="462">
        <v>7000000</v>
      </c>
      <c r="M87" s="138" t="s">
        <v>3091</v>
      </c>
      <c r="N87" s="259">
        <v>3</v>
      </c>
      <c r="O87" s="123"/>
      <c r="P87" s="9" t="s">
        <v>3223</v>
      </c>
      <c r="Q87" s="259" t="s">
        <v>3215</v>
      </c>
      <c r="R87" s="259" t="s">
        <v>3923</v>
      </c>
      <c r="S87" s="259">
        <v>6680678</v>
      </c>
      <c r="T87" s="123" t="s">
        <v>14</v>
      </c>
      <c r="U87" s="260" t="s">
        <v>1725</v>
      </c>
      <c r="V87" s="462">
        <v>7000000</v>
      </c>
      <c r="W87" s="138" t="s">
        <v>151</v>
      </c>
      <c r="X87" s="138"/>
      <c r="Y87" s="138"/>
      <c r="Z87" s="138" t="s">
        <v>3281</v>
      </c>
      <c r="AA87" s="138" t="s">
        <v>3216</v>
      </c>
      <c r="AB87" s="259">
        <v>8140</v>
      </c>
      <c r="AC87" s="259">
        <v>72019</v>
      </c>
      <c r="AD87" s="138">
        <v>210955</v>
      </c>
      <c r="AE87" s="140" t="s">
        <v>2404</v>
      </c>
      <c r="AF87" s="138" t="s">
        <v>97</v>
      </c>
      <c r="AG87" s="462">
        <v>7000000</v>
      </c>
      <c r="AH87" s="138" t="s">
        <v>151</v>
      </c>
      <c r="AI87" s="138" t="s">
        <v>166</v>
      </c>
      <c r="AJ87" s="138" t="s">
        <v>155</v>
      </c>
      <c r="AK87" s="138" t="s">
        <v>3281</v>
      </c>
      <c r="AL87" s="138" t="s">
        <v>3216</v>
      </c>
      <c r="AM87" s="138">
        <v>6680629</v>
      </c>
      <c r="AN87" s="140" t="s">
        <v>2424</v>
      </c>
      <c r="AO87" s="138" t="s">
        <v>27</v>
      </c>
      <c r="AP87" s="462">
        <v>7000000</v>
      </c>
      <c r="AQ87" s="138" t="s">
        <v>151</v>
      </c>
      <c r="AR87" s="138"/>
      <c r="AS87" s="138"/>
      <c r="AT87" s="138" t="s">
        <v>3281</v>
      </c>
      <c r="AU87" s="138" t="s">
        <v>3216</v>
      </c>
      <c r="AV87" s="122"/>
      <c r="AW87" s="122"/>
      <c r="AX87" s="122"/>
      <c r="AY87" s="284"/>
      <c r="AZ87" s="122"/>
      <c r="BA87" s="122"/>
      <c r="BB87" s="122"/>
      <c r="BC87" s="122"/>
      <c r="BD87" s="122"/>
      <c r="BE87" s="122"/>
      <c r="BF87" s="122"/>
      <c r="BG87" s="284"/>
      <c r="BH87" s="122"/>
      <c r="BI87" s="122"/>
      <c r="BJ87" s="122"/>
      <c r="BK87" s="122"/>
      <c r="BL87" s="122"/>
      <c r="BM87" s="122"/>
      <c r="BN87" s="122"/>
      <c r="BO87" s="284"/>
      <c r="BP87" s="122"/>
      <c r="BQ87" s="122"/>
      <c r="BR87" s="122"/>
      <c r="BS87" s="122"/>
      <c r="BT87" s="122"/>
      <c r="BU87" s="122"/>
      <c r="BV87" s="284"/>
      <c r="BW87" s="122"/>
      <c r="BX87" s="122"/>
      <c r="BY87" s="122"/>
      <c r="BZ87" s="122"/>
      <c r="CA87" s="160" t="s">
        <v>3190</v>
      </c>
      <c r="CB87" s="160" t="s">
        <v>3191</v>
      </c>
      <c r="CC87" s="138" t="s">
        <v>5352</v>
      </c>
      <c r="CD87" s="139" t="s">
        <v>3848</v>
      </c>
      <c r="CE87" s="138" t="s">
        <v>5353</v>
      </c>
      <c r="CF87" s="139" t="s">
        <v>3848</v>
      </c>
      <c r="CG87" s="138" t="s">
        <v>5354</v>
      </c>
      <c r="CH87" s="139" t="s">
        <v>3848</v>
      </c>
      <c r="CI87" s="122"/>
      <c r="CJ87" s="122"/>
      <c r="CK87" s="122"/>
      <c r="CL87" s="122"/>
      <c r="CM87" s="122"/>
      <c r="CN87" s="122"/>
      <c r="CO87" s="122"/>
      <c r="CP87" s="122"/>
      <c r="CQ87" s="122"/>
      <c r="CR87" s="122"/>
      <c r="CS87" s="115" t="s">
        <v>5294</v>
      </c>
      <c r="CT87" s="115" t="s">
        <v>5349</v>
      </c>
      <c r="CU87" s="115" t="s">
        <v>5009</v>
      </c>
      <c r="CV87" s="285" t="s">
        <v>5324</v>
      </c>
      <c r="CW87" s="273" t="s">
        <v>3739</v>
      </c>
      <c r="CX87" s="273" t="s">
        <v>3739</v>
      </c>
    </row>
    <row r="88" spans="1:105" ht="48.6">
      <c r="A88" s="8">
        <v>12</v>
      </c>
      <c r="B88" s="143" t="s">
        <v>5286</v>
      </c>
      <c r="C88" s="143" t="s">
        <v>5355</v>
      </c>
      <c r="D88" s="9" t="s">
        <v>5356</v>
      </c>
      <c r="E88" s="8" t="s">
        <v>4976</v>
      </c>
      <c r="F88" s="8">
        <v>2023</v>
      </c>
      <c r="G88" s="8">
        <v>2023</v>
      </c>
      <c r="H88" s="8">
        <v>6</v>
      </c>
      <c r="I88" s="6" t="s">
        <v>5289</v>
      </c>
      <c r="J88" s="6" t="s">
        <v>5738</v>
      </c>
      <c r="K88" s="482"/>
      <c r="L88" s="458">
        <v>6470000</v>
      </c>
      <c r="M88" s="6" t="s">
        <v>3091</v>
      </c>
      <c r="N88" s="8">
        <v>3</v>
      </c>
      <c r="O88" s="7"/>
      <c r="P88" s="9" t="s">
        <v>3223</v>
      </c>
      <c r="Q88" s="8" t="s">
        <v>3215</v>
      </c>
      <c r="R88" s="8" t="s">
        <v>3923</v>
      </c>
      <c r="S88" s="8">
        <v>6767777</v>
      </c>
      <c r="T88" s="7" t="s">
        <v>34</v>
      </c>
      <c r="U88" s="162" t="s">
        <v>2673</v>
      </c>
      <c r="V88" s="458">
        <v>6470000</v>
      </c>
      <c r="W88" s="6" t="s">
        <v>171</v>
      </c>
      <c r="X88" s="6"/>
      <c r="Y88" s="6"/>
      <c r="Z88" s="6" t="s">
        <v>3286</v>
      </c>
      <c r="AA88" s="6" t="s">
        <v>3216</v>
      </c>
      <c r="AB88" s="8">
        <v>8140</v>
      </c>
      <c r="AC88" s="8">
        <v>72019</v>
      </c>
      <c r="AD88" s="6">
        <v>6839500</v>
      </c>
      <c r="AE88" s="6">
        <v>710029601</v>
      </c>
      <c r="AF88" s="6" t="s">
        <v>36</v>
      </c>
      <c r="AG88" s="458">
        <v>6470000</v>
      </c>
      <c r="AH88" s="6" t="s">
        <v>171</v>
      </c>
      <c r="AI88" s="6"/>
      <c r="AJ88" s="6"/>
      <c r="AK88" s="6" t="s">
        <v>3286</v>
      </c>
      <c r="AL88" s="6" t="s">
        <v>3216</v>
      </c>
      <c r="AM88" s="8">
        <v>6837723</v>
      </c>
      <c r="AN88" s="10" t="s">
        <v>2672</v>
      </c>
      <c r="AO88" s="6" t="s">
        <v>187</v>
      </c>
      <c r="AP88" s="458">
        <v>6470000</v>
      </c>
      <c r="AQ88" s="6" t="s">
        <v>171</v>
      </c>
      <c r="AR88" s="6"/>
      <c r="AS88" s="6"/>
      <c r="AT88" s="6" t="s">
        <v>3286</v>
      </c>
      <c r="AU88" s="6" t="s">
        <v>3216</v>
      </c>
      <c r="AV88" s="33"/>
      <c r="AW88" s="33"/>
      <c r="AX88" s="33"/>
      <c r="AY88" s="233"/>
      <c r="AZ88" s="33"/>
      <c r="BA88" s="33"/>
      <c r="BB88" s="33"/>
      <c r="BC88" s="33"/>
      <c r="BD88" s="33"/>
      <c r="BE88" s="33"/>
      <c r="BF88" s="33"/>
      <c r="BG88" s="233"/>
      <c r="BH88" s="33"/>
      <c r="BI88" s="33"/>
      <c r="BJ88" s="33"/>
      <c r="BK88" s="33"/>
      <c r="BL88" s="33"/>
      <c r="BM88" s="33"/>
      <c r="BN88" s="33"/>
      <c r="BO88" s="233"/>
      <c r="BP88" s="33"/>
      <c r="BQ88" s="33"/>
      <c r="BR88" s="33"/>
      <c r="BS88" s="33"/>
      <c r="BT88" s="33"/>
      <c r="BU88" s="33"/>
      <c r="BV88" s="233"/>
      <c r="BW88" s="33"/>
      <c r="BX88" s="33"/>
      <c r="BY88" s="33"/>
      <c r="BZ88" s="33"/>
      <c r="CA88" s="160" t="s">
        <v>3190</v>
      </c>
      <c r="CB88" s="160" t="s">
        <v>3191</v>
      </c>
      <c r="CC88" s="6" t="s">
        <v>4294</v>
      </c>
      <c r="CD88" s="9" t="s">
        <v>5357</v>
      </c>
      <c r="CE88" s="6" t="s">
        <v>5358</v>
      </c>
      <c r="CF88" s="9" t="s">
        <v>5357</v>
      </c>
      <c r="CG88" s="6" t="s">
        <v>3863</v>
      </c>
      <c r="CH88" s="9" t="s">
        <v>5357</v>
      </c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115" t="s">
        <v>5294</v>
      </c>
      <c r="CT88" s="115" t="s">
        <v>5359</v>
      </c>
      <c r="CU88" s="115" t="s">
        <v>5009</v>
      </c>
      <c r="CV88" s="276" t="s">
        <v>5360</v>
      </c>
      <c r="CW88" s="115" t="s">
        <v>5361</v>
      </c>
      <c r="CX88" s="273" t="s">
        <v>5362</v>
      </c>
    </row>
    <row r="89" spans="1:105" ht="72.599999999999994">
      <c r="A89" s="8">
        <v>13</v>
      </c>
      <c r="B89" s="143" t="s">
        <v>5286</v>
      </c>
      <c r="C89" s="143" t="s">
        <v>5363</v>
      </c>
      <c r="D89" s="9" t="s">
        <v>2149</v>
      </c>
      <c r="E89" s="8" t="s">
        <v>4976</v>
      </c>
      <c r="F89" s="8">
        <v>2023</v>
      </c>
      <c r="G89" s="8">
        <v>2023</v>
      </c>
      <c r="H89" s="8">
        <v>6</v>
      </c>
      <c r="I89" s="6" t="s">
        <v>5289</v>
      </c>
      <c r="J89" s="6" t="s">
        <v>5739</v>
      </c>
      <c r="K89" s="482"/>
      <c r="L89" s="458">
        <v>7000000</v>
      </c>
      <c r="M89" s="6" t="s">
        <v>3091</v>
      </c>
      <c r="N89" s="8">
        <v>7</v>
      </c>
      <c r="O89" s="7"/>
      <c r="P89" s="9" t="s">
        <v>3223</v>
      </c>
      <c r="Q89" s="8" t="s">
        <v>3215</v>
      </c>
      <c r="R89" s="8" t="s">
        <v>3923</v>
      </c>
      <c r="S89" s="8">
        <v>6663582</v>
      </c>
      <c r="T89" s="7" t="s">
        <v>94</v>
      </c>
      <c r="U89" s="162" t="s">
        <v>1668</v>
      </c>
      <c r="V89" s="458">
        <v>7000000</v>
      </c>
      <c r="W89" s="6" t="s">
        <v>151</v>
      </c>
      <c r="X89" s="6"/>
      <c r="Y89" s="6"/>
      <c r="Z89" s="6" t="s">
        <v>3281</v>
      </c>
      <c r="AA89" s="6" t="s">
        <v>3216</v>
      </c>
      <c r="AB89" s="8">
        <v>8140</v>
      </c>
      <c r="AC89" s="8">
        <v>72019</v>
      </c>
      <c r="AD89" s="165">
        <v>6731906</v>
      </c>
      <c r="AE89" s="237" t="s">
        <v>971</v>
      </c>
      <c r="AF89" s="165" t="s">
        <v>704</v>
      </c>
      <c r="AG89" s="458">
        <v>7000000</v>
      </c>
      <c r="AH89" s="165" t="s">
        <v>151</v>
      </c>
      <c r="AI89" s="165"/>
      <c r="AJ89" s="165"/>
      <c r="AK89" s="165" t="s">
        <v>3281</v>
      </c>
      <c r="AL89" s="165" t="s">
        <v>3216</v>
      </c>
      <c r="AM89" s="239">
        <v>6843797</v>
      </c>
      <c r="AN89" s="240" t="s">
        <v>2418</v>
      </c>
      <c r="AO89" s="239" t="s">
        <v>190</v>
      </c>
      <c r="AP89" s="458">
        <v>7000000</v>
      </c>
      <c r="AQ89" s="6" t="s">
        <v>151</v>
      </c>
      <c r="AR89" s="6"/>
      <c r="AS89" s="6"/>
      <c r="AT89" s="6" t="s">
        <v>3281</v>
      </c>
      <c r="AU89" s="6" t="s">
        <v>3216</v>
      </c>
      <c r="AV89" s="33"/>
      <c r="AW89" s="33"/>
      <c r="AX89" s="33"/>
      <c r="AY89" s="233"/>
      <c r="AZ89" s="33"/>
      <c r="BA89" s="33"/>
      <c r="BB89" s="33"/>
      <c r="BC89" s="33"/>
      <c r="BD89" s="33"/>
      <c r="BE89" s="33"/>
      <c r="BF89" s="33"/>
      <c r="BG89" s="233"/>
      <c r="BH89" s="33"/>
      <c r="BI89" s="33"/>
      <c r="BJ89" s="33"/>
      <c r="BK89" s="33"/>
      <c r="BL89" s="33"/>
      <c r="BM89" s="33"/>
      <c r="BN89" s="33"/>
      <c r="BO89" s="233"/>
      <c r="BP89" s="33"/>
      <c r="BQ89" s="33"/>
      <c r="BR89" s="33"/>
      <c r="BS89" s="33"/>
      <c r="BT89" s="33"/>
      <c r="BU89" s="33"/>
      <c r="BV89" s="233"/>
      <c r="BW89" s="33"/>
      <c r="BX89" s="33"/>
      <c r="BY89" s="33"/>
      <c r="BZ89" s="33"/>
      <c r="CA89" s="160" t="s">
        <v>3190</v>
      </c>
      <c r="CB89" s="160" t="s">
        <v>3191</v>
      </c>
      <c r="CC89" s="6" t="s">
        <v>4300</v>
      </c>
      <c r="CD89" s="9" t="s">
        <v>3848</v>
      </c>
      <c r="CE89" s="6" t="s">
        <v>4158</v>
      </c>
      <c r="CF89" s="9" t="s">
        <v>3848</v>
      </c>
      <c r="CG89" s="55"/>
      <c r="CH89" s="12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115" t="s">
        <v>5294</v>
      </c>
      <c r="CT89" s="115" t="s">
        <v>5349</v>
      </c>
      <c r="CU89" s="115" t="s">
        <v>5009</v>
      </c>
      <c r="CV89" s="280" t="s">
        <v>5202</v>
      </c>
      <c r="CW89" s="273" t="s">
        <v>3739</v>
      </c>
      <c r="CX89" s="273" t="s">
        <v>3739</v>
      </c>
    </row>
    <row r="90" spans="1:105" ht="48.6">
      <c r="A90" s="8">
        <v>14</v>
      </c>
      <c r="B90" s="143" t="s">
        <v>5286</v>
      </c>
      <c r="C90" s="143" t="s">
        <v>5364</v>
      </c>
      <c r="D90" s="9" t="s">
        <v>2428</v>
      </c>
      <c r="E90" s="8" t="s">
        <v>4976</v>
      </c>
      <c r="F90" s="8">
        <v>2023</v>
      </c>
      <c r="G90" s="8">
        <v>2023</v>
      </c>
      <c r="H90" s="8">
        <v>10</v>
      </c>
      <c r="I90" s="6" t="s">
        <v>5289</v>
      </c>
      <c r="J90" s="6" t="s">
        <v>5740</v>
      </c>
      <c r="K90" s="482"/>
      <c r="L90" s="458">
        <v>7000000</v>
      </c>
      <c r="M90" s="6" t="s">
        <v>3091</v>
      </c>
      <c r="N90" s="8">
        <v>3</v>
      </c>
      <c r="O90" s="7"/>
      <c r="P90" s="9" t="s">
        <v>3223</v>
      </c>
      <c r="Q90" s="8" t="s">
        <v>3215</v>
      </c>
      <c r="R90" s="8" t="s">
        <v>3923</v>
      </c>
      <c r="S90" s="8">
        <v>6680641</v>
      </c>
      <c r="T90" s="7" t="s">
        <v>92</v>
      </c>
      <c r="U90" s="162" t="s">
        <v>1794</v>
      </c>
      <c r="V90" s="458">
        <v>7000000</v>
      </c>
      <c r="W90" s="6" t="s">
        <v>151</v>
      </c>
      <c r="X90" s="6"/>
      <c r="Y90" s="6"/>
      <c r="Z90" s="6" t="s">
        <v>3281</v>
      </c>
      <c r="AA90" s="6" t="s">
        <v>3216</v>
      </c>
      <c r="AB90" s="8">
        <v>8140</v>
      </c>
      <c r="AC90" s="8">
        <v>72019</v>
      </c>
      <c r="AD90" s="239">
        <v>6843797</v>
      </c>
      <c r="AE90" s="240" t="s">
        <v>2418</v>
      </c>
      <c r="AF90" s="239" t="s">
        <v>190</v>
      </c>
      <c r="AG90" s="458">
        <v>7000000</v>
      </c>
      <c r="AH90" s="165" t="s">
        <v>151</v>
      </c>
      <c r="AI90" s="165"/>
      <c r="AJ90" s="165"/>
      <c r="AK90" s="165" t="s">
        <v>3281</v>
      </c>
      <c r="AL90" s="165" t="s">
        <v>3216</v>
      </c>
      <c r="AM90" s="165">
        <v>6680683</v>
      </c>
      <c r="AN90" s="237" t="s">
        <v>2454</v>
      </c>
      <c r="AO90" s="165" t="s">
        <v>10</v>
      </c>
      <c r="AP90" s="458">
        <v>7000000</v>
      </c>
      <c r="AQ90" s="6" t="s">
        <v>151</v>
      </c>
      <c r="AR90" s="6"/>
      <c r="AS90" s="6"/>
      <c r="AT90" s="6" t="s">
        <v>3281</v>
      </c>
      <c r="AU90" s="6" t="s">
        <v>3216</v>
      </c>
      <c r="AV90" s="33"/>
      <c r="AW90" s="33"/>
      <c r="AX90" s="33"/>
      <c r="AY90" s="233"/>
      <c r="AZ90" s="33"/>
      <c r="BA90" s="33"/>
      <c r="BB90" s="33"/>
      <c r="BC90" s="33"/>
      <c r="BD90" s="33"/>
      <c r="BE90" s="33"/>
      <c r="BF90" s="33"/>
      <c r="BG90" s="233"/>
      <c r="BH90" s="33"/>
      <c r="BI90" s="33"/>
      <c r="BJ90" s="33"/>
      <c r="BK90" s="33"/>
      <c r="BL90" s="33"/>
      <c r="BM90" s="33"/>
      <c r="BN90" s="33"/>
      <c r="BO90" s="233"/>
      <c r="BP90" s="33"/>
      <c r="BQ90" s="33"/>
      <c r="BR90" s="33"/>
      <c r="BS90" s="33"/>
      <c r="BT90" s="33"/>
      <c r="BU90" s="33"/>
      <c r="BV90" s="233"/>
      <c r="BW90" s="33"/>
      <c r="BX90" s="33"/>
      <c r="BY90" s="33"/>
      <c r="BZ90" s="33"/>
      <c r="CA90" s="160" t="s">
        <v>3190</v>
      </c>
      <c r="CB90" s="160" t="s">
        <v>3191</v>
      </c>
      <c r="CC90" s="6" t="s">
        <v>5365</v>
      </c>
      <c r="CD90" s="9" t="s">
        <v>3848</v>
      </c>
      <c r="CE90" s="6" t="s">
        <v>4899</v>
      </c>
      <c r="CF90" s="9" t="s">
        <v>3848</v>
      </c>
      <c r="CG90" s="6" t="s">
        <v>5366</v>
      </c>
      <c r="CH90" s="9" t="s">
        <v>3848</v>
      </c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115" t="s">
        <v>5294</v>
      </c>
      <c r="CT90" s="115" t="s">
        <v>4981</v>
      </c>
      <c r="CU90" s="273" t="s">
        <v>3739</v>
      </c>
      <c r="CV90" s="280" t="s">
        <v>5367</v>
      </c>
      <c r="CW90" s="273" t="s">
        <v>3739</v>
      </c>
      <c r="CX90" s="273" t="s">
        <v>3739</v>
      </c>
      <c r="CY90" s="113"/>
      <c r="CZ90" s="113"/>
      <c r="DA90" s="113"/>
    </row>
    <row r="91" spans="1:105" ht="84.6">
      <c r="A91" s="259">
        <v>15</v>
      </c>
      <c r="B91" s="143" t="s">
        <v>5286</v>
      </c>
      <c r="C91" s="143" t="s">
        <v>5368</v>
      </c>
      <c r="D91" s="139" t="s">
        <v>5369</v>
      </c>
      <c r="E91" s="259" t="s">
        <v>4976</v>
      </c>
      <c r="F91" s="259">
        <v>2023</v>
      </c>
      <c r="G91" s="259">
        <v>2023</v>
      </c>
      <c r="H91" s="259">
        <v>6</v>
      </c>
      <c r="I91" s="138" t="s">
        <v>5289</v>
      </c>
      <c r="J91" s="138" t="s">
        <v>5741</v>
      </c>
      <c r="K91" s="484"/>
      <c r="L91" s="462">
        <v>7000000</v>
      </c>
      <c r="M91" s="138" t="s">
        <v>3091</v>
      </c>
      <c r="N91" s="259">
        <v>3</v>
      </c>
      <c r="O91" s="123"/>
      <c r="P91" s="9" t="s">
        <v>3223</v>
      </c>
      <c r="Q91" s="259" t="s">
        <v>3215</v>
      </c>
      <c r="R91" s="259" t="s">
        <v>3923</v>
      </c>
      <c r="S91" s="260" t="s">
        <v>4039</v>
      </c>
      <c r="T91" s="286" t="s">
        <v>39</v>
      </c>
      <c r="U91" s="287" t="s">
        <v>1751</v>
      </c>
      <c r="V91" s="462">
        <v>7000000</v>
      </c>
      <c r="W91" s="288" t="s">
        <v>166</v>
      </c>
      <c r="X91" s="288"/>
      <c r="Y91" s="288"/>
      <c r="Z91" s="288" t="s">
        <v>3286</v>
      </c>
      <c r="AA91" s="138" t="s">
        <v>3216</v>
      </c>
      <c r="AB91" s="259">
        <v>8140</v>
      </c>
      <c r="AC91" s="259">
        <v>72019</v>
      </c>
      <c r="AD91" s="289">
        <v>6833034</v>
      </c>
      <c r="AE91" s="290" t="s">
        <v>2022</v>
      </c>
      <c r="AF91" s="289" t="s">
        <v>35</v>
      </c>
      <c r="AG91" s="462">
        <v>7000000</v>
      </c>
      <c r="AH91" s="288" t="s">
        <v>166</v>
      </c>
      <c r="AI91" s="288"/>
      <c r="AJ91" s="288"/>
      <c r="AK91" s="288" t="s">
        <v>3286</v>
      </c>
      <c r="AL91" s="138" t="s">
        <v>3216</v>
      </c>
      <c r="AM91" s="135">
        <v>6833033</v>
      </c>
      <c r="AN91" s="235" t="s">
        <v>2023</v>
      </c>
      <c r="AO91" s="288" t="s">
        <v>188</v>
      </c>
      <c r="AP91" s="462">
        <v>7000000</v>
      </c>
      <c r="AQ91" s="288" t="s">
        <v>166</v>
      </c>
      <c r="AR91" s="288"/>
      <c r="AS91" s="288"/>
      <c r="AT91" s="288" t="s">
        <v>3286</v>
      </c>
      <c r="AU91" s="138" t="s">
        <v>3216</v>
      </c>
      <c r="AV91" s="122"/>
      <c r="AW91" s="122"/>
      <c r="AX91" s="122"/>
      <c r="AY91" s="284"/>
      <c r="AZ91" s="122"/>
      <c r="BA91" s="122"/>
      <c r="BB91" s="122"/>
      <c r="BC91" s="122"/>
      <c r="BD91" s="122"/>
      <c r="BE91" s="122"/>
      <c r="BF91" s="122"/>
      <c r="BG91" s="284"/>
      <c r="BH91" s="122"/>
      <c r="BI91" s="122"/>
      <c r="BJ91" s="122"/>
      <c r="BK91" s="122"/>
      <c r="BL91" s="122"/>
      <c r="BM91" s="122"/>
      <c r="BN91" s="122"/>
      <c r="BO91" s="284"/>
      <c r="BP91" s="122"/>
      <c r="BQ91" s="122"/>
      <c r="BR91" s="122"/>
      <c r="BS91" s="122"/>
      <c r="BT91" s="122"/>
      <c r="BU91" s="122"/>
      <c r="BV91" s="284"/>
      <c r="BW91" s="122"/>
      <c r="BX91" s="122"/>
      <c r="BY91" s="122"/>
      <c r="BZ91" s="122"/>
      <c r="CA91" s="160" t="s">
        <v>3190</v>
      </c>
      <c r="CB91" s="160" t="s">
        <v>3191</v>
      </c>
      <c r="CC91" s="288" t="s">
        <v>5370</v>
      </c>
      <c r="CD91" s="291" t="s">
        <v>3832</v>
      </c>
      <c r="CE91" s="288" t="s">
        <v>5371</v>
      </c>
      <c r="CF91" s="291" t="s">
        <v>3832</v>
      </c>
      <c r="CG91" s="288" t="s">
        <v>5372</v>
      </c>
      <c r="CH91" s="291" t="s">
        <v>3832</v>
      </c>
      <c r="CI91" s="122"/>
      <c r="CJ91" s="122"/>
      <c r="CK91" s="122"/>
      <c r="CL91" s="122"/>
      <c r="CM91" s="122"/>
      <c r="CN91" s="122"/>
      <c r="CO91" s="122"/>
      <c r="CP91" s="122"/>
      <c r="CQ91" s="122"/>
      <c r="CR91" s="122"/>
      <c r="CS91" s="115" t="s">
        <v>5294</v>
      </c>
      <c r="CT91" s="115" t="s">
        <v>5349</v>
      </c>
      <c r="CU91" s="115" t="s">
        <v>4991</v>
      </c>
      <c r="CV91" s="277" t="s">
        <v>5373</v>
      </c>
      <c r="CW91" s="273" t="s">
        <v>3739</v>
      </c>
      <c r="CX91" s="273" t="s">
        <v>3739</v>
      </c>
    </row>
    <row r="92" spans="1:105" ht="72.599999999999994">
      <c r="A92" s="8">
        <v>16</v>
      </c>
      <c r="B92" s="143" t="s">
        <v>5286</v>
      </c>
      <c r="C92" s="143" t="s">
        <v>5374</v>
      </c>
      <c r="D92" s="9" t="s">
        <v>5375</v>
      </c>
      <c r="E92" s="6" t="s">
        <v>5031</v>
      </c>
      <c r="F92" s="8">
        <v>2023</v>
      </c>
      <c r="G92" s="8">
        <v>2023</v>
      </c>
      <c r="H92" s="8">
        <v>6</v>
      </c>
      <c r="I92" s="6" t="s">
        <v>5289</v>
      </c>
      <c r="J92" s="6" t="s">
        <v>5742</v>
      </c>
      <c r="K92" s="482"/>
      <c r="L92" s="458">
        <v>15500000</v>
      </c>
      <c r="M92" s="6" t="s">
        <v>3091</v>
      </c>
      <c r="N92" s="8">
        <v>3</v>
      </c>
      <c r="O92" s="7"/>
      <c r="P92" s="9" t="s">
        <v>3223</v>
      </c>
      <c r="Q92" s="8" t="s">
        <v>3215</v>
      </c>
      <c r="R92" s="8" t="s">
        <v>3923</v>
      </c>
      <c r="S92" s="8">
        <v>6826727</v>
      </c>
      <c r="T92" s="7" t="s">
        <v>114</v>
      </c>
      <c r="U92" s="162" t="s">
        <v>2276</v>
      </c>
      <c r="V92" s="458">
        <v>15500000</v>
      </c>
      <c r="W92" s="6" t="s">
        <v>156</v>
      </c>
      <c r="X92" s="6"/>
      <c r="Y92" s="6"/>
      <c r="Z92" s="6" t="s">
        <v>3286</v>
      </c>
      <c r="AA92" s="6" t="s">
        <v>3216</v>
      </c>
      <c r="AB92" s="8">
        <v>8140</v>
      </c>
      <c r="AC92" s="8">
        <v>72019</v>
      </c>
      <c r="AD92" s="99">
        <v>6744406</v>
      </c>
      <c r="AE92" s="11" t="s">
        <v>985</v>
      </c>
      <c r="AF92" s="6" t="s">
        <v>352</v>
      </c>
      <c r="AG92" s="458">
        <v>15500000</v>
      </c>
      <c r="AH92" s="6" t="s">
        <v>166</v>
      </c>
      <c r="AI92" s="6"/>
      <c r="AJ92" s="6"/>
      <c r="AK92" s="6" t="s">
        <v>3286</v>
      </c>
      <c r="AL92" s="6" t="s">
        <v>3216</v>
      </c>
      <c r="AM92" s="6">
        <v>6680623</v>
      </c>
      <c r="AN92" s="11" t="s">
        <v>1841</v>
      </c>
      <c r="AO92" s="6" t="s">
        <v>30</v>
      </c>
      <c r="AP92" s="458">
        <v>15500000</v>
      </c>
      <c r="AQ92" s="6" t="s">
        <v>166</v>
      </c>
      <c r="AR92" s="6"/>
      <c r="AS92" s="6"/>
      <c r="AT92" s="6" t="s">
        <v>3286</v>
      </c>
      <c r="AU92" s="6" t="s">
        <v>3216</v>
      </c>
      <c r="AV92" s="33"/>
      <c r="AW92" s="33"/>
      <c r="AX92" s="33"/>
      <c r="AY92" s="233"/>
      <c r="AZ92" s="33"/>
      <c r="BA92" s="33"/>
      <c r="BB92" s="33"/>
      <c r="BC92" s="33"/>
      <c r="BD92" s="33"/>
      <c r="BE92" s="33"/>
      <c r="BF92" s="33"/>
      <c r="BG92" s="233"/>
      <c r="BH92" s="33"/>
      <c r="BI92" s="33"/>
      <c r="BJ92" s="33"/>
      <c r="BK92" s="33"/>
      <c r="BL92" s="33"/>
      <c r="BM92" s="33"/>
      <c r="BN92" s="33"/>
      <c r="BO92" s="233"/>
      <c r="BP92" s="33"/>
      <c r="BQ92" s="33"/>
      <c r="BR92" s="33"/>
      <c r="BS92" s="33"/>
      <c r="BT92" s="33"/>
      <c r="BU92" s="33"/>
      <c r="BV92" s="233"/>
      <c r="BW92" s="33"/>
      <c r="BX92" s="33"/>
      <c r="BY92" s="33"/>
      <c r="BZ92" s="33"/>
      <c r="CA92" s="160" t="s">
        <v>3190</v>
      </c>
      <c r="CB92" s="163" t="s">
        <v>3191</v>
      </c>
      <c r="CC92" s="6" t="s">
        <v>5376</v>
      </c>
      <c r="CD92" s="9" t="s">
        <v>3857</v>
      </c>
      <c r="CE92" s="6" t="s">
        <v>5377</v>
      </c>
      <c r="CF92" s="9" t="s">
        <v>3857</v>
      </c>
      <c r="CG92" s="6" t="s">
        <v>5378</v>
      </c>
      <c r="CH92" s="9" t="s">
        <v>3857</v>
      </c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115" t="s">
        <v>3251</v>
      </c>
      <c r="CT92" s="115" t="s">
        <v>5349</v>
      </c>
      <c r="CU92" s="115" t="s">
        <v>4991</v>
      </c>
      <c r="CV92" s="285" t="s">
        <v>942</v>
      </c>
      <c r="CW92" s="115" t="s">
        <v>5379</v>
      </c>
      <c r="CX92" s="273" t="s">
        <v>3739</v>
      </c>
    </row>
    <row r="93" spans="1:105" ht="48">
      <c r="A93" s="8">
        <v>17</v>
      </c>
      <c r="B93" s="143" t="s">
        <v>5380</v>
      </c>
      <c r="C93" s="250" t="s">
        <v>4210</v>
      </c>
      <c r="D93" s="9" t="s">
        <v>5381</v>
      </c>
      <c r="E93" s="6" t="s">
        <v>5133</v>
      </c>
      <c r="F93" s="8">
        <v>2023</v>
      </c>
      <c r="G93" s="8">
        <v>2023</v>
      </c>
      <c r="H93" s="8">
        <v>3</v>
      </c>
      <c r="I93" s="6" t="s">
        <v>5289</v>
      </c>
      <c r="J93" s="6"/>
      <c r="K93" s="485"/>
      <c r="L93" s="458">
        <v>25600000</v>
      </c>
      <c r="M93" s="6" t="s">
        <v>3091</v>
      </c>
      <c r="N93" s="8"/>
      <c r="O93" s="7"/>
      <c r="P93" s="241" t="s">
        <v>3077</v>
      </c>
      <c r="Q93" s="8" t="s">
        <v>3215</v>
      </c>
      <c r="R93" s="241"/>
      <c r="S93" s="8" t="s">
        <v>4213</v>
      </c>
      <c r="T93" s="7" t="s">
        <v>87</v>
      </c>
      <c r="U93" s="162" t="s">
        <v>2471</v>
      </c>
      <c r="V93" s="458">
        <v>25600000</v>
      </c>
      <c r="W93" s="6" t="s">
        <v>154</v>
      </c>
      <c r="X93" s="6"/>
      <c r="Y93" s="6"/>
      <c r="Z93" s="6" t="s">
        <v>3281</v>
      </c>
      <c r="AA93" s="6" t="s">
        <v>3216</v>
      </c>
      <c r="AB93" s="8">
        <v>8140</v>
      </c>
      <c r="AC93" s="8">
        <v>72019</v>
      </c>
      <c r="AD93" s="33">
        <v>6724784</v>
      </c>
      <c r="AE93" s="33">
        <v>722119101</v>
      </c>
      <c r="AF93" s="6" t="s">
        <v>108</v>
      </c>
      <c r="AG93" s="458">
        <v>25600000</v>
      </c>
      <c r="AH93" s="6" t="s">
        <v>154</v>
      </c>
      <c r="AI93" s="6"/>
      <c r="AJ93" s="6"/>
      <c r="AK93" s="6" t="s">
        <v>3281</v>
      </c>
      <c r="AL93" s="6" t="s">
        <v>3216</v>
      </c>
      <c r="AM93" s="8">
        <v>6680625</v>
      </c>
      <c r="AN93" s="162" t="s">
        <v>1782</v>
      </c>
      <c r="AO93" s="6" t="s">
        <v>23</v>
      </c>
      <c r="AP93" s="458">
        <v>25600000</v>
      </c>
      <c r="AQ93" s="6" t="s">
        <v>154</v>
      </c>
      <c r="AR93" s="6"/>
      <c r="AS93" s="6"/>
      <c r="AT93" s="6" t="s">
        <v>3281</v>
      </c>
      <c r="AU93" s="6" t="s">
        <v>3216</v>
      </c>
      <c r="AV93" s="241"/>
      <c r="AW93" s="241"/>
      <c r="AX93" s="241"/>
      <c r="AY93" s="299"/>
      <c r="AZ93" s="241"/>
      <c r="BA93" s="241"/>
      <c r="BB93" s="241"/>
      <c r="BC93" s="241"/>
      <c r="BD93" s="241"/>
      <c r="BE93" s="241"/>
      <c r="BF93" s="241"/>
      <c r="BG93" s="299"/>
      <c r="BH93" s="241"/>
      <c r="BI93" s="241"/>
      <c r="BJ93" s="241"/>
      <c r="BK93" s="241"/>
      <c r="BL93" s="241"/>
      <c r="BM93" s="241"/>
      <c r="BN93" s="241"/>
      <c r="BO93" s="299"/>
      <c r="BP93" s="241"/>
      <c r="BQ93" s="241"/>
      <c r="BR93" s="241"/>
      <c r="BS93" s="241"/>
      <c r="BT93" s="241"/>
      <c r="BU93" s="241"/>
      <c r="BV93" s="299"/>
      <c r="BW93" s="241"/>
      <c r="BX93" s="241"/>
      <c r="BY93" s="241"/>
      <c r="BZ93" s="241"/>
      <c r="CA93" s="8" t="s">
        <v>3190</v>
      </c>
      <c r="CB93" s="163" t="s">
        <v>3191</v>
      </c>
      <c r="CC93" s="301" t="s">
        <v>5382</v>
      </c>
      <c r="CD93" s="302"/>
      <c r="CE93" s="301" t="s">
        <v>5383</v>
      </c>
      <c r="CF93" s="302"/>
      <c r="CG93" s="303" t="s">
        <v>5384</v>
      </c>
      <c r="CH93" s="302"/>
      <c r="CI93" s="241"/>
      <c r="CJ93" s="241"/>
      <c r="CK93" s="241"/>
      <c r="CL93" s="241"/>
      <c r="CM93" s="241"/>
      <c r="CN93" s="241"/>
      <c r="CO93" s="241"/>
      <c r="CP93" s="241"/>
      <c r="CQ93" s="241"/>
      <c r="CR93" s="241"/>
      <c r="CS93" s="241" t="s">
        <v>3251</v>
      </c>
      <c r="CT93" s="241" t="s">
        <v>942</v>
      </c>
      <c r="CU93" s="241" t="s">
        <v>942</v>
      </c>
      <c r="CV93" s="241"/>
      <c r="CW93" s="241" t="s">
        <v>3868</v>
      </c>
      <c r="CX93" s="241"/>
    </row>
    <row r="94" spans="1:105" ht="36">
      <c r="A94" s="8">
        <v>18</v>
      </c>
      <c r="B94" s="143" t="s">
        <v>5385</v>
      </c>
      <c r="C94" s="144" t="s">
        <v>5386</v>
      </c>
      <c r="D94" s="9" t="s">
        <v>3100</v>
      </c>
      <c r="E94" s="6" t="s">
        <v>5067</v>
      </c>
      <c r="F94" s="8">
        <v>2023</v>
      </c>
      <c r="G94" s="8">
        <v>2023</v>
      </c>
      <c r="H94" s="8">
        <v>12</v>
      </c>
      <c r="I94" s="6" t="s">
        <v>5387</v>
      </c>
      <c r="J94" s="6"/>
      <c r="K94" s="486">
        <v>50000000</v>
      </c>
      <c r="L94" s="458">
        <v>45000000</v>
      </c>
      <c r="M94" s="6" t="s">
        <v>3091</v>
      </c>
      <c r="N94" s="8" t="s">
        <v>942</v>
      </c>
      <c r="O94" s="7" t="s">
        <v>5388</v>
      </c>
      <c r="P94" s="241" t="s">
        <v>3077</v>
      </c>
      <c r="Q94" s="8" t="s">
        <v>3215</v>
      </c>
      <c r="R94" s="241"/>
      <c r="S94" s="8">
        <v>6680708</v>
      </c>
      <c r="T94" s="7" t="s">
        <v>85</v>
      </c>
      <c r="U94" s="162" t="s">
        <v>2436</v>
      </c>
      <c r="V94" s="458">
        <v>45000000</v>
      </c>
      <c r="W94" s="6" t="s">
        <v>155</v>
      </c>
      <c r="X94" s="6"/>
      <c r="Y94" s="6"/>
      <c r="Z94" s="6" t="s">
        <v>3281</v>
      </c>
      <c r="AA94" s="6" t="s">
        <v>3216</v>
      </c>
      <c r="AB94" s="8">
        <v>8140</v>
      </c>
      <c r="AC94" s="8">
        <v>72019</v>
      </c>
      <c r="AD94" s="8">
        <v>6680641</v>
      </c>
      <c r="AE94" s="162" t="s">
        <v>1794</v>
      </c>
      <c r="AF94" s="6" t="s">
        <v>92</v>
      </c>
      <c r="AG94" s="458">
        <v>45000000</v>
      </c>
      <c r="AH94" s="6" t="s">
        <v>5389</v>
      </c>
      <c r="AI94" s="6"/>
      <c r="AJ94" s="6"/>
      <c r="AK94" s="6" t="s">
        <v>3281</v>
      </c>
      <c r="AL94" s="6" t="s">
        <v>3216</v>
      </c>
      <c r="AM94" s="6">
        <v>6681051</v>
      </c>
      <c r="AN94" s="11" t="s">
        <v>1657</v>
      </c>
      <c r="AO94" s="6" t="s">
        <v>6</v>
      </c>
      <c r="AP94" s="458">
        <v>45000000</v>
      </c>
      <c r="AQ94" s="6" t="s">
        <v>160</v>
      </c>
      <c r="AR94" s="6"/>
      <c r="AS94" s="6"/>
      <c r="AT94" s="6" t="s">
        <v>3281</v>
      </c>
      <c r="AU94" s="6" t="s">
        <v>3216</v>
      </c>
      <c r="AV94" s="241"/>
      <c r="AW94" s="241"/>
      <c r="AX94" s="241"/>
      <c r="AY94" s="299"/>
      <c r="AZ94" s="241"/>
      <c r="BA94" s="241"/>
      <c r="BB94" s="241"/>
      <c r="BC94" s="241"/>
      <c r="BD94" s="241"/>
      <c r="BE94" s="241"/>
      <c r="BF94" s="241"/>
      <c r="BG94" s="299"/>
      <c r="BH94" s="241"/>
      <c r="BI94" s="241"/>
      <c r="BJ94" s="241"/>
      <c r="BK94" s="241"/>
      <c r="BL94" s="241"/>
      <c r="BM94" s="241"/>
      <c r="BN94" s="241"/>
      <c r="BO94" s="299"/>
      <c r="BP94" s="241"/>
      <c r="BQ94" s="241"/>
      <c r="BR94" s="241"/>
      <c r="BS94" s="241"/>
      <c r="BT94" s="241"/>
      <c r="BU94" s="241"/>
      <c r="BV94" s="299"/>
      <c r="BW94" s="241"/>
      <c r="BX94" s="241"/>
      <c r="BY94" s="241"/>
      <c r="BZ94" s="241"/>
      <c r="CA94" s="8" t="s">
        <v>3190</v>
      </c>
      <c r="CB94" s="163" t="s">
        <v>3191</v>
      </c>
      <c r="CC94" s="6" t="s">
        <v>5390</v>
      </c>
      <c r="CD94" s="9" t="s">
        <v>3848</v>
      </c>
      <c r="CE94" s="304" t="s">
        <v>5391</v>
      </c>
      <c r="CF94" s="9" t="s">
        <v>3841</v>
      </c>
      <c r="CG94" s="304" t="s">
        <v>5392</v>
      </c>
      <c r="CH94" s="9" t="s">
        <v>3841</v>
      </c>
      <c r="CI94" s="304" t="s">
        <v>5393</v>
      </c>
      <c r="CJ94" s="9" t="s">
        <v>3958</v>
      </c>
      <c r="CK94" s="241"/>
      <c r="CL94" s="241"/>
      <c r="CM94" s="241"/>
      <c r="CN94" s="241"/>
      <c r="CO94" s="241"/>
      <c r="CP94" s="241"/>
      <c r="CQ94" s="241"/>
      <c r="CR94" s="241"/>
      <c r="CS94" s="241" t="s">
        <v>5394</v>
      </c>
      <c r="CT94" s="241" t="s">
        <v>5395</v>
      </c>
      <c r="CU94" s="241" t="s">
        <v>5396</v>
      </c>
      <c r="CV94" s="241"/>
      <c r="CW94" s="241"/>
      <c r="CX94" s="241"/>
    </row>
    <row r="95" spans="1:105" s="5" customFormat="1" ht="36">
      <c r="A95" s="8">
        <v>19</v>
      </c>
      <c r="B95" s="143" t="s">
        <v>5385</v>
      </c>
      <c r="C95" s="144" t="s">
        <v>5397</v>
      </c>
      <c r="D95" s="9" t="s">
        <v>5398</v>
      </c>
      <c r="E95" s="6" t="s">
        <v>5067</v>
      </c>
      <c r="F95" s="8">
        <v>2023</v>
      </c>
      <c r="G95" s="8">
        <v>2023</v>
      </c>
      <c r="H95" s="8">
        <v>12</v>
      </c>
      <c r="I95" s="6" t="s">
        <v>5399</v>
      </c>
      <c r="J95" s="6"/>
      <c r="K95" s="486">
        <v>50000000</v>
      </c>
      <c r="L95" s="458">
        <v>47500000</v>
      </c>
      <c r="M95" s="6" t="s">
        <v>3091</v>
      </c>
      <c r="N95" s="8" t="s">
        <v>942</v>
      </c>
      <c r="O95" s="7" t="s">
        <v>5388</v>
      </c>
      <c r="P95" s="241" t="s">
        <v>3077</v>
      </c>
      <c r="Q95" s="8" t="s">
        <v>3215</v>
      </c>
      <c r="R95" s="241"/>
      <c r="S95" s="8">
        <v>6681051</v>
      </c>
      <c r="T95" s="7" t="s">
        <v>6</v>
      </c>
      <c r="U95" s="162" t="s">
        <v>1657</v>
      </c>
      <c r="V95" s="458">
        <v>47500000</v>
      </c>
      <c r="W95" s="6" t="s">
        <v>160</v>
      </c>
      <c r="X95" s="6"/>
      <c r="Y95" s="6"/>
      <c r="Z95" s="6" t="s">
        <v>3281</v>
      </c>
      <c r="AA95" s="6" t="s">
        <v>3216</v>
      </c>
      <c r="AB95" s="8">
        <v>8140</v>
      </c>
      <c r="AC95" s="8">
        <v>72019</v>
      </c>
      <c r="AD95" s="33">
        <v>6663582</v>
      </c>
      <c r="AE95" s="164" t="s">
        <v>1668</v>
      </c>
      <c r="AF95" s="6" t="s">
        <v>5400</v>
      </c>
      <c r="AG95" s="458">
        <v>47500000</v>
      </c>
      <c r="AH95" s="6" t="s">
        <v>151</v>
      </c>
      <c r="AI95" s="6"/>
      <c r="AJ95" s="6"/>
      <c r="AK95" s="6" t="s">
        <v>3281</v>
      </c>
      <c r="AL95" s="6" t="s">
        <v>3216</v>
      </c>
      <c r="AM95" s="8">
        <v>6680708</v>
      </c>
      <c r="AN95" s="10" t="s">
        <v>2436</v>
      </c>
      <c r="AO95" s="6" t="s">
        <v>5401</v>
      </c>
      <c r="AP95" s="458">
        <v>47500000</v>
      </c>
      <c r="AQ95" s="6" t="s">
        <v>155</v>
      </c>
      <c r="AR95" s="6"/>
      <c r="AS95" s="6"/>
      <c r="AT95" s="6" t="s">
        <v>3281</v>
      </c>
      <c r="AU95" s="6" t="s">
        <v>3216</v>
      </c>
      <c r="AV95" s="241"/>
      <c r="AW95" s="241"/>
      <c r="AX95" s="241"/>
      <c r="AY95" s="299"/>
      <c r="AZ95" s="241"/>
      <c r="BA95" s="241"/>
      <c r="BB95" s="241"/>
      <c r="BC95" s="241"/>
      <c r="BD95" s="241"/>
      <c r="BE95" s="241"/>
      <c r="BF95" s="241"/>
      <c r="BG95" s="299"/>
      <c r="BH95" s="241"/>
      <c r="BI95" s="241"/>
      <c r="BJ95" s="241"/>
      <c r="BK95" s="241"/>
      <c r="BL95" s="241"/>
      <c r="BM95" s="241"/>
      <c r="BN95" s="241"/>
      <c r="BO95" s="299"/>
      <c r="BP95" s="241"/>
      <c r="BQ95" s="241"/>
      <c r="BR95" s="241"/>
      <c r="BS95" s="241"/>
      <c r="BT95" s="241"/>
      <c r="BU95" s="241"/>
      <c r="BV95" s="299"/>
      <c r="BW95" s="241"/>
      <c r="BX95" s="241"/>
      <c r="BY95" s="241"/>
      <c r="BZ95" s="241"/>
      <c r="CA95" s="8" t="s">
        <v>3190</v>
      </c>
      <c r="CB95" s="163" t="s">
        <v>3191</v>
      </c>
      <c r="CC95" s="304" t="s">
        <v>5402</v>
      </c>
      <c r="CD95" s="9" t="s">
        <v>3848</v>
      </c>
      <c r="CE95" s="304" t="s">
        <v>5393</v>
      </c>
      <c r="CF95" s="9" t="s">
        <v>3958</v>
      </c>
      <c r="CG95" s="304" t="s">
        <v>5403</v>
      </c>
      <c r="CH95" s="9" t="s">
        <v>3841</v>
      </c>
      <c r="CI95" s="241"/>
      <c r="CJ95" s="241"/>
      <c r="CK95" s="241"/>
      <c r="CL95" s="241"/>
      <c r="CM95" s="241"/>
      <c r="CN95" s="241"/>
      <c r="CO95" s="241"/>
      <c r="CP95" s="241"/>
      <c r="CQ95" s="241"/>
      <c r="CR95" s="241"/>
      <c r="CS95" s="241" t="s">
        <v>5394</v>
      </c>
      <c r="CT95" s="241" t="s">
        <v>5395</v>
      </c>
      <c r="CU95" s="241" t="s">
        <v>5404</v>
      </c>
      <c r="CV95" s="241"/>
      <c r="CW95" s="241"/>
      <c r="CX95" s="241"/>
    </row>
    <row r="96" spans="1:105" ht="60">
      <c r="A96" s="8">
        <v>20</v>
      </c>
      <c r="B96" s="143" t="s">
        <v>5405</v>
      </c>
      <c r="C96" s="143" t="s">
        <v>5406</v>
      </c>
      <c r="D96" s="9" t="s">
        <v>5407</v>
      </c>
      <c r="E96" s="6" t="s">
        <v>5408</v>
      </c>
      <c r="F96" s="8">
        <v>2023</v>
      </c>
      <c r="G96" s="8">
        <v>2023</v>
      </c>
      <c r="H96" s="8">
        <v>6</v>
      </c>
      <c r="I96" s="6" t="s">
        <v>5289</v>
      </c>
      <c r="J96" s="6" t="s">
        <v>5743</v>
      </c>
      <c r="K96" s="487">
        <v>7000000</v>
      </c>
      <c r="L96" s="463">
        <v>6775000</v>
      </c>
      <c r="M96" s="6" t="s">
        <v>3091</v>
      </c>
      <c r="N96" s="8">
        <v>6</v>
      </c>
      <c r="O96" s="6"/>
      <c r="P96" s="9" t="s">
        <v>3223</v>
      </c>
      <c r="Q96" s="8"/>
      <c r="R96" s="8"/>
      <c r="S96" s="8">
        <v>6826699</v>
      </c>
      <c r="T96" s="6" t="s">
        <v>33</v>
      </c>
      <c r="U96" s="162" t="s">
        <v>1905</v>
      </c>
      <c r="V96" s="463">
        <v>6775000</v>
      </c>
      <c r="W96" s="6" t="s">
        <v>166</v>
      </c>
      <c r="X96" s="6"/>
      <c r="Y96" s="6"/>
      <c r="Z96" s="6" t="s">
        <v>3286</v>
      </c>
      <c r="AA96" s="6" t="s">
        <v>3216</v>
      </c>
      <c r="AB96" s="8">
        <v>8140</v>
      </c>
      <c r="AC96" s="8">
        <v>72019</v>
      </c>
      <c r="AD96" s="6">
        <v>6785861</v>
      </c>
      <c r="AE96" s="11" t="s">
        <v>1904</v>
      </c>
      <c r="AF96" s="6" t="s">
        <v>775</v>
      </c>
      <c r="AG96" s="463">
        <v>6775000</v>
      </c>
      <c r="AH96" s="6" t="s">
        <v>3093</v>
      </c>
      <c r="AI96" s="6"/>
      <c r="AJ96" s="6"/>
      <c r="AK96" s="6" t="s">
        <v>3286</v>
      </c>
      <c r="AL96" s="6" t="s">
        <v>3216</v>
      </c>
      <c r="AM96" s="8">
        <v>6839112</v>
      </c>
      <c r="AN96" s="162" t="s">
        <v>2949</v>
      </c>
      <c r="AO96" s="6" t="s">
        <v>54</v>
      </c>
      <c r="AP96" s="463">
        <v>6775000</v>
      </c>
      <c r="AQ96" s="6" t="s">
        <v>166</v>
      </c>
      <c r="AR96" s="6"/>
      <c r="AS96" s="6"/>
      <c r="AT96" s="6" t="s">
        <v>3286</v>
      </c>
      <c r="AU96" s="6" t="s">
        <v>3216</v>
      </c>
      <c r="AV96" s="8"/>
      <c r="AW96" s="8"/>
      <c r="AX96" s="8"/>
      <c r="AY96" s="292"/>
      <c r="AZ96" s="8"/>
      <c r="BA96" s="8"/>
      <c r="BB96" s="8"/>
      <c r="BC96" s="8"/>
      <c r="BD96" s="8"/>
      <c r="BE96" s="8"/>
      <c r="BF96" s="8"/>
      <c r="BG96" s="292"/>
      <c r="BH96" s="8"/>
      <c r="BI96" s="8"/>
      <c r="BJ96" s="8"/>
      <c r="BK96" s="8"/>
      <c r="BL96" s="8"/>
      <c r="BM96" s="8"/>
      <c r="BN96" s="8"/>
      <c r="BO96" s="292"/>
      <c r="BP96" s="8"/>
      <c r="BQ96" s="8"/>
      <c r="BR96" s="8"/>
      <c r="BS96" s="8"/>
      <c r="BT96" s="8"/>
      <c r="BU96" s="8"/>
      <c r="BV96" s="292"/>
      <c r="BW96" s="8"/>
      <c r="BX96" s="8"/>
      <c r="BY96" s="8"/>
      <c r="BZ96" s="8"/>
      <c r="CA96" s="160" t="s">
        <v>3190</v>
      </c>
      <c r="CB96" s="163" t="s">
        <v>3191</v>
      </c>
      <c r="CC96" s="6"/>
      <c r="CD96" s="6"/>
      <c r="CE96" s="6"/>
      <c r="CF96" s="6"/>
      <c r="CG96" s="6"/>
      <c r="CH96" s="6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6" t="s">
        <v>5409</v>
      </c>
      <c r="CT96" s="6" t="s">
        <v>5410</v>
      </c>
      <c r="CU96" s="6" t="s">
        <v>5411</v>
      </c>
      <c r="CV96" s="8"/>
      <c r="CW96" s="8"/>
      <c r="CX96" s="8"/>
    </row>
    <row r="97" spans="1:105" ht="60">
      <c r="A97" s="8">
        <v>21</v>
      </c>
      <c r="B97" s="143" t="s">
        <v>5405</v>
      </c>
      <c r="C97" s="143" t="s">
        <v>5412</v>
      </c>
      <c r="D97" s="9" t="s">
        <v>5413</v>
      </c>
      <c r="E97" s="6" t="s">
        <v>5408</v>
      </c>
      <c r="F97" s="8">
        <v>2023</v>
      </c>
      <c r="G97" s="8">
        <v>2023</v>
      </c>
      <c r="H97" s="8">
        <v>6</v>
      </c>
      <c r="I97" s="6" t="s">
        <v>5289</v>
      </c>
      <c r="J97" s="6" t="s">
        <v>5744</v>
      </c>
      <c r="K97" s="486">
        <v>7000000</v>
      </c>
      <c r="L97" s="458">
        <v>5325000</v>
      </c>
      <c r="M97" s="6" t="s">
        <v>3091</v>
      </c>
      <c r="N97" s="8">
        <v>3</v>
      </c>
      <c r="O97" s="7"/>
      <c r="P97" s="9" t="s">
        <v>3223</v>
      </c>
      <c r="Q97" s="241"/>
      <c r="R97" s="241"/>
      <c r="S97" s="8">
        <v>259781</v>
      </c>
      <c r="T97" s="7" t="s">
        <v>26</v>
      </c>
      <c r="U97" s="162" t="s">
        <v>982</v>
      </c>
      <c r="V97" s="458">
        <v>5325000</v>
      </c>
      <c r="W97" s="6" t="s">
        <v>3093</v>
      </c>
      <c r="X97" s="6" t="s">
        <v>166</v>
      </c>
      <c r="Y97" s="6"/>
      <c r="Z97" s="6" t="s">
        <v>3286</v>
      </c>
      <c r="AA97" s="6" t="s">
        <v>3216</v>
      </c>
      <c r="AB97" s="8">
        <v>8140</v>
      </c>
      <c r="AC97" s="8">
        <v>72019</v>
      </c>
      <c r="AD97" s="241">
        <v>6801945</v>
      </c>
      <c r="AE97" s="242" t="s">
        <v>1723</v>
      </c>
      <c r="AF97" s="6" t="s">
        <v>134</v>
      </c>
      <c r="AG97" s="458">
        <v>5325000</v>
      </c>
      <c r="AH97" s="6" t="s">
        <v>156</v>
      </c>
      <c r="AI97" s="6"/>
      <c r="AJ97" s="6"/>
      <c r="AK97" s="6" t="s">
        <v>3286</v>
      </c>
      <c r="AL97" s="6" t="s">
        <v>3216</v>
      </c>
      <c r="AM97" s="8"/>
      <c r="AN97" s="10"/>
      <c r="AO97" s="6"/>
      <c r="AP97" s="458"/>
      <c r="AQ97" s="6"/>
      <c r="AR97" s="6"/>
      <c r="AS97" s="6"/>
      <c r="AT97" s="6"/>
      <c r="AU97" s="6"/>
      <c r="AV97" s="241"/>
      <c r="AW97" s="241"/>
      <c r="AX97" s="241"/>
      <c r="AY97" s="299"/>
      <c r="AZ97" s="241"/>
      <c r="BA97" s="241"/>
      <c r="BB97" s="241"/>
      <c r="BC97" s="241"/>
      <c r="BD97" s="241"/>
      <c r="BE97" s="241"/>
      <c r="BF97" s="241"/>
      <c r="BG97" s="299"/>
      <c r="BH97" s="241"/>
      <c r="BI97" s="241"/>
      <c r="BJ97" s="241"/>
      <c r="BK97" s="241"/>
      <c r="BL97" s="241"/>
      <c r="BM97" s="241"/>
      <c r="BN97" s="241"/>
      <c r="BO97" s="299"/>
      <c r="BP97" s="241"/>
      <c r="BQ97" s="241"/>
      <c r="BR97" s="241"/>
      <c r="BS97" s="241"/>
      <c r="BT97" s="241"/>
      <c r="BU97" s="241"/>
      <c r="BV97" s="299"/>
      <c r="BW97" s="241"/>
      <c r="BX97" s="241"/>
      <c r="BY97" s="241"/>
      <c r="BZ97" s="241"/>
      <c r="CA97" s="160" t="s">
        <v>3190</v>
      </c>
      <c r="CB97" s="163" t="s">
        <v>3191</v>
      </c>
      <c r="CC97" s="304"/>
      <c r="CD97" s="9"/>
      <c r="CE97" s="304"/>
      <c r="CF97" s="9"/>
      <c r="CG97" s="304"/>
      <c r="CH97" s="9"/>
      <c r="CI97" s="241"/>
      <c r="CJ97" s="241"/>
      <c r="CK97" s="241"/>
      <c r="CL97" s="241"/>
      <c r="CM97" s="241"/>
      <c r="CN97" s="241"/>
      <c r="CO97" s="241"/>
      <c r="CP97" s="241"/>
      <c r="CQ97" s="241"/>
      <c r="CR97" s="241"/>
      <c r="CS97" s="7" t="s">
        <v>5414</v>
      </c>
      <c r="CT97" s="7" t="s">
        <v>5410</v>
      </c>
      <c r="CU97" s="33" t="s">
        <v>5415</v>
      </c>
      <c r="CV97" s="241"/>
      <c r="CW97" s="241"/>
      <c r="CX97" s="241"/>
    </row>
    <row r="98" spans="1:105" ht="60">
      <c r="A98" s="8">
        <v>22</v>
      </c>
      <c r="B98" s="143" t="s">
        <v>5405</v>
      </c>
      <c r="C98" s="143" t="s">
        <v>5416</v>
      </c>
      <c r="D98" s="9" t="s">
        <v>5417</v>
      </c>
      <c r="E98" s="6" t="s">
        <v>5408</v>
      </c>
      <c r="F98" s="8">
        <v>2023</v>
      </c>
      <c r="G98" s="8">
        <v>2023</v>
      </c>
      <c r="H98" s="8">
        <v>6</v>
      </c>
      <c r="I98" s="6" t="s">
        <v>5289</v>
      </c>
      <c r="J98" s="6" t="s">
        <v>5745</v>
      </c>
      <c r="K98" s="488">
        <v>7000000</v>
      </c>
      <c r="L98" s="458">
        <v>6700000</v>
      </c>
      <c r="M98" s="6" t="s">
        <v>3091</v>
      </c>
      <c r="N98" s="8">
        <v>3</v>
      </c>
      <c r="O98" s="7"/>
      <c r="P98" s="9" t="s">
        <v>3223</v>
      </c>
      <c r="Q98" s="241"/>
      <c r="R98" s="241"/>
      <c r="S98" s="8">
        <v>6764236</v>
      </c>
      <c r="T98" s="7" t="s">
        <v>25</v>
      </c>
      <c r="U98" s="162" t="s">
        <v>1684</v>
      </c>
      <c r="V98" s="458">
        <v>6700000</v>
      </c>
      <c r="W98" s="6" t="s">
        <v>166</v>
      </c>
      <c r="X98" s="6"/>
      <c r="Y98" s="6"/>
      <c r="Z98" s="6" t="s">
        <v>3286</v>
      </c>
      <c r="AA98" s="6" t="s">
        <v>3216</v>
      </c>
      <c r="AB98" s="8">
        <v>8140</v>
      </c>
      <c r="AC98" s="8">
        <v>72019</v>
      </c>
      <c r="AD98" s="8">
        <v>6665306</v>
      </c>
      <c r="AE98" s="162" t="s">
        <v>1727</v>
      </c>
      <c r="AF98" s="6" t="s">
        <v>28</v>
      </c>
      <c r="AG98" s="458">
        <v>6700000</v>
      </c>
      <c r="AH98" s="6" t="s">
        <v>166</v>
      </c>
      <c r="AI98" s="6"/>
      <c r="AJ98" s="6"/>
      <c r="AK98" s="6" t="s">
        <v>3286</v>
      </c>
      <c r="AL98" s="6" t="s">
        <v>3216</v>
      </c>
      <c r="AM98" s="8">
        <v>6680634</v>
      </c>
      <c r="AN98" s="10" t="s">
        <v>989</v>
      </c>
      <c r="AO98" s="6" t="s">
        <v>47</v>
      </c>
      <c r="AP98" s="458">
        <v>6700000</v>
      </c>
      <c r="AQ98" s="6" t="s">
        <v>166</v>
      </c>
      <c r="AR98" s="6"/>
      <c r="AS98" s="6"/>
      <c r="AT98" s="6" t="s">
        <v>3286</v>
      </c>
      <c r="AU98" s="6" t="s">
        <v>3216</v>
      </c>
      <c r="AV98" s="241"/>
      <c r="AW98" s="241"/>
      <c r="AX98" s="241"/>
      <c r="AY98" s="299"/>
      <c r="AZ98" s="241"/>
      <c r="BA98" s="241"/>
      <c r="BB98" s="241"/>
      <c r="BC98" s="241"/>
      <c r="BD98" s="241"/>
      <c r="BE98" s="241"/>
      <c r="BF98" s="241"/>
      <c r="BG98" s="299"/>
      <c r="BH98" s="241"/>
      <c r="BI98" s="241"/>
      <c r="BJ98" s="241"/>
      <c r="BK98" s="241"/>
      <c r="BL98" s="241"/>
      <c r="BM98" s="241"/>
      <c r="BN98" s="241"/>
      <c r="BO98" s="299"/>
      <c r="BP98" s="241"/>
      <c r="BQ98" s="241"/>
      <c r="BR98" s="241"/>
      <c r="BS98" s="241"/>
      <c r="BT98" s="241"/>
      <c r="BU98" s="241"/>
      <c r="BV98" s="299"/>
      <c r="BW98" s="241"/>
      <c r="BX98" s="241"/>
      <c r="BY98" s="241"/>
      <c r="BZ98" s="241"/>
      <c r="CA98" s="160" t="s">
        <v>3190</v>
      </c>
      <c r="CB98" s="163" t="s">
        <v>3191</v>
      </c>
      <c r="CC98" s="304"/>
      <c r="CD98" s="9"/>
      <c r="CE98" s="304"/>
      <c r="CF98" s="9"/>
      <c r="CG98" s="304"/>
      <c r="CH98" s="9"/>
      <c r="CI98" s="241"/>
      <c r="CJ98" s="241"/>
      <c r="CK98" s="241"/>
      <c r="CL98" s="241"/>
      <c r="CM98" s="241"/>
      <c r="CN98" s="241"/>
      <c r="CO98" s="241"/>
      <c r="CP98" s="241"/>
      <c r="CQ98" s="241"/>
      <c r="CR98" s="241"/>
      <c r="CS98" s="7" t="s">
        <v>5414</v>
      </c>
      <c r="CT98" s="7" t="s">
        <v>5418</v>
      </c>
      <c r="CU98" s="7" t="s">
        <v>5419</v>
      </c>
      <c r="CV98" s="241"/>
      <c r="CW98" s="241"/>
      <c r="CX98" s="241"/>
    </row>
    <row r="99" spans="1:105" ht="60">
      <c r="A99" s="8">
        <v>23</v>
      </c>
      <c r="B99" s="143" t="s">
        <v>5405</v>
      </c>
      <c r="C99" s="143" t="s">
        <v>5420</v>
      </c>
      <c r="D99" s="9" t="s">
        <v>5421</v>
      </c>
      <c r="E99" s="6" t="s">
        <v>5408</v>
      </c>
      <c r="F99" s="8">
        <v>2023</v>
      </c>
      <c r="G99" s="8">
        <v>2023</v>
      </c>
      <c r="H99" s="8">
        <v>6</v>
      </c>
      <c r="I99" s="6" t="s">
        <v>5289</v>
      </c>
      <c r="J99" s="6" t="s">
        <v>5746</v>
      </c>
      <c r="K99" s="486">
        <v>6405000</v>
      </c>
      <c r="L99" s="458">
        <v>6702500</v>
      </c>
      <c r="M99" s="6" t="s">
        <v>3091</v>
      </c>
      <c r="N99" s="8">
        <v>3</v>
      </c>
      <c r="O99" s="7"/>
      <c r="P99" s="9" t="s">
        <v>3223</v>
      </c>
      <c r="Q99" s="241"/>
      <c r="R99" s="241"/>
      <c r="S99" s="8">
        <v>6099359</v>
      </c>
      <c r="T99" s="7" t="s">
        <v>5422</v>
      </c>
      <c r="U99" s="162" t="s">
        <v>977</v>
      </c>
      <c r="V99" s="458">
        <v>6702500</v>
      </c>
      <c r="W99" s="6" t="s">
        <v>166</v>
      </c>
      <c r="X99" s="6"/>
      <c r="Y99" s="6"/>
      <c r="Z99" s="6" t="s">
        <v>3286</v>
      </c>
      <c r="AA99" s="6" t="s">
        <v>3216</v>
      </c>
      <c r="AB99" s="8">
        <v>8140</v>
      </c>
      <c r="AC99" s="8">
        <v>72019</v>
      </c>
      <c r="AD99" s="241">
        <v>6839112</v>
      </c>
      <c r="AE99" s="242" t="s">
        <v>2949</v>
      </c>
      <c r="AF99" s="6" t="s">
        <v>5423</v>
      </c>
      <c r="AG99" s="458">
        <v>6702500</v>
      </c>
      <c r="AH99" s="6" t="s">
        <v>166</v>
      </c>
      <c r="AI99" s="6"/>
      <c r="AJ99" s="6"/>
      <c r="AK99" s="6" t="s">
        <v>3286</v>
      </c>
      <c r="AL99" s="6" t="s">
        <v>3216</v>
      </c>
      <c r="AM99" s="8"/>
      <c r="AN99" s="10"/>
      <c r="AO99" s="6"/>
      <c r="AP99" s="458"/>
      <c r="AQ99" s="6"/>
      <c r="AR99" s="6"/>
      <c r="AS99" s="6"/>
      <c r="AT99" s="6"/>
      <c r="AU99" s="6"/>
      <c r="AV99" s="241"/>
      <c r="AW99" s="241"/>
      <c r="AX99" s="241"/>
      <c r="AY99" s="299"/>
      <c r="AZ99" s="241"/>
      <c r="BA99" s="241"/>
      <c r="BB99" s="241"/>
      <c r="BC99" s="241"/>
      <c r="BD99" s="241"/>
      <c r="BE99" s="241"/>
      <c r="BF99" s="241"/>
      <c r="BG99" s="299"/>
      <c r="BH99" s="241"/>
      <c r="BI99" s="241"/>
      <c r="BJ99" s="241"/>
      <c r="BK99" s="241"/>
      <c r="BL99" s="241"/>
      <c r="BM99" s="241"/>
      <c r="BN99" s="241"/>
      <c r="BO99" s="299"/>
      <c r="BP99" s="241"/>
      <c r="BQ99" s="241"/>
      <c r="BR99" s="241"/>
      <c r="BS99" s="241"/>
      <c r="BT99" s="241"/>
      <c r="BU99" s="241"/>
      <c r="BV99" s="299"/>
      <c r="BW99" s="241"/>
      <c r="BX99" s="241"/>
      <c r="BY99" s="241"/>
      <c r="BZ99" s="241"/>
      <c r="CA99" s="160" t="s">
        <v>3190</v>
      </c>
      <c r="CB99" s="163" t="s">
        <v>3191</v>
      </c>
      <c r="CC99" s="304"/>
      <c r="CD99" s="9"/>
      <c r="CE99" s="304"/>
      <c r="CF99" s="9"/>
      <c r="CG99" s="304"/>
      <c r="CH99" s="9"/>
      <c r="CI99" s="241"/>
      <c r="CJ99" s="241"/>
      <c r="CK99" s="241"/>
      <c r="CL99" s="241"/>
      <c r="CM99" s="241"/>
      <c r="CN99" s="241"/>
      <c r="CO99" s="241"/>
      <c r="CP99" s="241"/>
      <c r="CQ99" s="241"/>
      <c r="CR99" s="241"/>
      <c r="CS99" s="7" t="s">
        <v>5424</v>
      </c>
      <c r="CT99" s="7" t="s">
        <v>5425</v>
      </c>
      <c r="CU99" s="7" t="s">
        <v>5426</v>
      </c>
      <c r="CV99" s="241" t="s">
        <v>5427</v>
      </c>
      <c r="CW99" s="241"/>
      <c r="CX99" s="241"/>
    </row>
    <row r="100" spans="1:105" ht="60">
      <c r="A100" s="8">
        <v>24</v>
      </c>
      <c r="B100" s="143" t="s">
        <v>5405</v>
      </c>
      <c r="C100" s="143" t="s">
        <v>5428</v>
      </c>
      <c r="D100" s="9" t="s">
        <v>5429</v>
      </c>
      <c r="E100" s="6" t="s">
        <v>5408</v>
      </c>
      <c r="F100" s="8">
        <v>2023</v>
      </c>
      <c r="G100" s="8">
        <v>2023</v>
      </c>
      <c r="H100" s="8">
        <v>6</v>
      </c>
      <c r="I100" s="6" t="s">
        <v>5289</v>
      </c>
      <c r="J100" s="6" t="s">
        <v>5747</v>
      </c>
      <c r="K100" s="486">
        <v>7000000</v>
      </c>
      <c r="L100" s="458">
        <v>7000000</v>
      </c>
      <c r="M100" s="6" t="s">
        <v>3091</v>
      </c>
      <c r="N100" s="8">
        <v>6</v>
      </c>
      <c r="O100" s="7"/>
      <c r="P100" s="9" t="s">
        <v>3223</v>
      </c>
      <c r="Q100" s="241"/>
      <c r="R100" s="241"/>
      <c r="S100" s="8">
        <v>6859016</v>
      </c>
      <c r="T100" s="7" t="s">
        <v>3126</v>
      </c>
      <c r="U100" s="162" t="s">
        <v>2497</v>
      </c>
      <c r="V100" s="458">
        <v>7000000</v>
      </c>
      <c r="W100" s="6" t="s">
        <v>155</v>
      </c>
      <c r="X100" s="6"/>
      <c r="Y100" s="6"/>
      <c r="Z100" s="6" t="s">
        <v>3281</v>
      </c>
      <c r="AA100" s="6" t="s">
        <v>3216</v>
      </c>
      <c r="AB100" s="8">
        <v>8140</v>
      </c>
      <c r="AC100" s="8">
        <v>72019</v>
      </c>
      <c r="AD100" s="8">
        <v>6680651</v>
      </c>
      <c r="AE100" s="162" t="s">
        <v>1016</v>
      </c>
      <c r="AF100" s="6" t="s">
        <v>12</v>
      </c>
      <c r="AG100" s="458">
        <v>7000000</v>
      </c>
      <c r="AH100" s="6" t="s">
        <v>155</v>
      </c>
      <c r="AI100" s="6"/>
      <c r="AJ100" s="6"/>
      <c r="AK100" s="6" t="s">
        <v>3281</v>
      </c>
      <c r="AL100" s="6" t="s">
        <v>3216</v>
      </c>
      <c r="AM100" s="8">
        <v>6680643</v>
      </c>
      <c r="AN100" s="10" t="s">
        <v>1017</v>
      </c>
      <c r="AO100" s="6" t="s">
        <v>8</v>
      </c>
      <c r="AP100" s="458">
        <v>7000000</v>
      </c>
      <c r="AQ100" s="6" t="s">
        <v>172</v>
      </c>
      <c r="AR100" s="6" t="s">
        <v>160</v>
      </c>
      <c r="AS100" s="6"/>
      <c r="AT100" s="6" t="s">
        <v>3281</v>
      </c>
      <c r="AU100" s="6" t="s">
        <v>3216</v>
      </c>
      <c r="AV100" s="241"/>
      <c r="AW100" s="241"/>
      <c r="AX100" s="241"/>
      <c r="AY100" s="299"/>
      <c r="AZ100" s="241"/>
      <c r="BA100" s="241"/>
      <c r="BB100" s="241"/>
      <c r="BC100" s="241"/>
      <c r="BD100" s="241"/>
      <c r="BE100" s="241"/>
      <c r="BF100" s="241"/>
      <c r="BG100" s="299"/>
      <c r="BH100" s="241"/>
      <c r="BI100" s="241"/>
      <c r="BJ100" s="241"/>
      <c r="BK100" s="241"/>
      <c r="BL100" s="241"/>
      <c r="BM100" s="241"/>
      <c r="BN100" s="241"/>
      <c r="BO100" s="299"/>
      <c r="BP100" s="241"/>
      <c r="BQ100" s="241"/>
      <c r="BR100" s="241"/>
      <c r="BS100" s="241"/>
      <c r="BT100" s="241"/>
      <c r="BU100" s="241"/>
      <c r="BV100" s="299"/>
      <c r="BW100" s="241"/>
      <c r="BX100" s="241"/>
      <c r="BY100" s="241"/>
      <c r="BZ100" s="241"/>
      <c r="CA100" s="160" t="s">
        <v>3190</v>
      </c>
      <c r="CB100" s="163" t="s">
        <v>3191</v>
      </c>
      <c r="CC100" s="304"/>
      <c r="CD100" s="9"/>
      <c r="CE100" s="304"/>
      <c r="CF100" s="9"/>
      <c r="CG100" s="304"/>
      <c r="CH100" s="9"/>
      <c r="CI100" s="241"/>
      <c r="CJ100" s="241"/>
      <c r="CK100" s="241"/>
      <c r="CL100" s="241"/>
      <c r="CM100" s="241"/>
      <c r="CN100" s="241"/>
      <c r="CO100" s="241"/>
      <c r="CP100" s="241"/>
      <c r="CQ100" s="241"/>
      <c r="CR100" s="241"/>
      <c r="CS100" s="7" t="s">
        <v>5430</v>
      </c>
      <c r="CT100" s="7" t="s">
        <v>5431</v>
      </c>
      <c r="CU100" s="7" t="s">
        <v>5432</v>
      </c>
      <c r="CV100" s="241" t="s">
        <v>5270</v>
      </c>
      <c r="CW100" s="241" t="s">
        <v>3528</v>
      </c>
      <c r="CX100" s="241"/>
    </row>
    <row r="101" spans="1:105" ht="120">
      <c r="A101" s="8">
        <v>25</v>
      </c>
      <c r="B101" s="143" t="s">
        <v>5405</v>
      </c>
      <c r="C101" s="143" t="s">
        <v>5433</v>
      </c>
      <c r="D101" s="9" t="s">
        <v>5434</v>
      </c>
      <c r="E101" s="6" t="s">
        <v>5408</v>
      </c>
      <c r="F101" s="8">
        <v>2023</v>
      </c>
      <c r="G101" s="8">
        <v>2023</v>
      </c>
      <c r="H101" s="8">
        <v>4</v>
      </c>
      <c r="I101" s="6" t="s">
        <v>5298</v>
      </c>
      <c r="J101" s="6" t="s">
        <v>5748</v>
      </c>
      <c r="K101" s="486">
        <v>7000000</v>
      </c>
      <c r="L101" s="458">
        <v>7000000</v>
      </c>
      <c r="M101" s="6" t="s">
        <v>3091</v>
      </c>
      <c r="N101" s="8">
        <v>3</v>
      </c>
      <c r="O101" s="7"/>
      <c r="P101" s="9" t="s">
        <v>3223</v>
      </c>
      <c r="Q101" s="241"/>
      <c r="R101" s="241"/>
      <c r="S101" s="8">
        <v>6680651</v>
      </c>
      <c r="T101" s="7" t="s">
        <v>12</v>
      </c>
      <c r="U101" s="162" t="s">
        <v>1016</v>
      </c>
      <c r="V101" s="458">
        <v>7000000</v>
      </c>
      <c r="W101" s="6" t="s">
        <v>155</v>
      </c>
      <c r="X101" s="6"/>
      <c r="Y101" s="6"/>
      <c r="Z101" s="6" t="s">
        <v>3281</v>
      </c>
      <c r="AA101" s="6" t="s">
        <v>3216</v>
      </c>
      <c r="AB101" s="8">
        <v>8140</v>
      </c>
      <c r="AC101" s="8">
        <v>72019</v>
      </c>
      <c r="AD101" s="99">
        <v>6778519</v>
      </c>
      <c r="AE101" s="116" t="s">
        <v>1876</v>
      </c>
      <c r="AF101" s="6" t="s">
        <v>177</v>
      </c>
      <c r="AG101" s="458">
        <v>7000000</v>
      </c>
      <c r="AH101" s="6" t="s">
        <v>172</v>
      </c>
      <c r="AI101" s="6"/>
      <c r="AJ101" s="6"/>
      <c r="AK101" s="6" t="s">
        <v>3281</v>
      </c>
      <c r="AL101" s="6" t="s">
        <v>3216</v>
      </c>
      <c r="AM101" s="8">
        <v>6680708</v>
      </c>
      <c r="AN101" s="10" t="s">
        <v>2436</v>
      </c>
      <c r="AO101" s="6" t="s">
        <v>85</v>
      </c>
      <c r="AP101" s="458">
        <v>7000000</v>
      </c>
      <c r="AQ101" s="6" t="s">
        <v>155</v>
      </c>
      <c r="AR101" s="6"/>
      <c r="AS101" s="6"/>
      <c r="AT101" s="6" t="s">
        <v>3281</v>
      </c>
      <c r="AU101" s="6" t="s">
        <v>3216</v>
      </c>
      <c r="AV101" s="241"/>
      <c r="AW101" s="241"/>
      <c r="AX101" s="241"/>
      <c r="AY101" s="299"/>
      <c r="AZ101" s="241"/>
      <c r="BA101" s="241"/>
      <c r="BB101" s="241"/>
      <c r="BC101" s="241"/>
      <c r="BD101" s="241"/>
      <c r="BE101" s="241"/>
      <c r="BF101" s="241"/>
      <c r="BG101" s="299"/>
      <c r="BH101" s="241"/>
      <c r="BI101" s="241"/>
      <c r="BJ101" s="241"/>
      <c r="BK101" s="241"/>
      <c r="BL101" s="241"/>
      <c r="BM101" s="241"/>
      <c r="BN101" s="241"/>
      <c r="BO101" s="299"/>
      <c r="BP101" s="241"/>
      <c r="BQ101" s="241"/>
      <c r="BR101" s="241"/>
      <c r="BS101" s="241"/>
      <c r="BT101" s="241"/>
      <c r="BU101" s="241"/>
      <c r="BV101" s="299"/>
      <c r="BW101" s="241"/>
      <c r="BX101" s="241"/>
      <c r="BY101" s="241"/>
      <c r="BZ101" s="241"/>
      <c r="CA101" s="160" t="s">
        <v>3190</v>
      </c>
      <c r="CB101" s="163" t="s">
        <v>3191</v>
      </c>
      <c r="CC101" s="304"/>
      <c r="CD101" s="9"/>
      <c r="CE101" s="304"/>
      <c r="CF101" s="9"/>
      <c r="CG101" s="304"/>
      <c r="CH101" s="9"/>
      <c r="CI101" s="241"/>
      <c r="CJ101" s="241"/>
      <c r="CK101" s="241"/>
      <c r="CL101" s="241"/>
      <c r="CM101" s="241"/>
      <c r="CN101" s="241"/>
      <c r="CO101" s="241"/>
      <c r="CP101" s="241"/>
      <c r="CQ101" s="241"/>
      <c r="CR101" s="241"/>
      <c r="CS101" s="7" t="s">
        <v>5435</v>
      </c>
      <c r="CT101" s="7" t="s">
        <v>5436</v>
      </c>
      <c r="CU101" s="7" t="s">
        <v>5437</v>
      </c>
      <c r="CV101" s="241" t="s">
        <v>3528</v>
      </c>
      <c r="CW101" s="241"/>
      <c r="CX101" s="241"/>
      <c r="CY101" s="136"/>
      <c r="CZ101" s="136"/>
      <c r="DA101" s="136"/>
    </row>
    <row r="102" spans="1:105" ht="60">
      <c r="A102" s="305">
        <v>26</v>
      </c>
      <c r="B102" s="143" t="s">
        <v>5405</v>
      </c>
      <c r="C102" s="143" t="s">
        <v>5438</v>
      </c>
      <c r="D102" s="166" t="s">
        <v>5439</v>
      </c>
      <c r="E102" s="165" t="s">
        <v>5408</v>
      </c>
      <c r="F102" s="135">
        <v>2023</v>
      </c>
      <c r="G102" s="135">
        <v>2023</v>
      </c>
      <c r="H102" s="135">
        <v>6</v>
      </c>
      <c r="I102" s="165" t="s">
        <v>5289</v>
      </c>
      <c r="J102" s="165" t="s">
        <v>5749</v>
      </c>
      <c r="K102" s="488">
        <v>7000000</v>
      </c>
      <c r="L102" s="464">
        <v>7000000</v>
      </c>
      <c r="M102" s="165" t="s">
        <v>3091</v>
      </c>
      <c r="N102" s="135">
        <v>3</v>
      </c>
      <c r="O102" s="171"/>
      <c r="P102" s="9" t="s">
        <v>3223</v>
      </c>
      <c r="Q102" s="246"/>
      <c r="R102" s="246"/>
      <c r="S102" s="135">
        <v>6768348</v>
      </c>
      <c r="T102" s="171" t="s">
        <v>53</v>
      </c>
      <c r="U102" s="168" t="s">
        <v>2044</v>
      </c>
      <c r="V102" s="464">
        <v>7000000</v>
      </c>
      <c r="W102" s="165" t="s">
        <v>171</v>
      </c>
      <c r="X102" s="165"/>
      <c r="Y102" s="165"/>
      <c r="Z102" s="165" t="s">
        <v>3286</v>
      </c>
      <c r="AA102" s="165" t="s">
        <v>3216</v>
      </c>
      <c r="AB102" s="8">
        <v>8140</v>
      </c>
      <c r="AC102" s="8">
        <v>72019</v>
      </c>
      <c r="AD102" s="135">
        <v>6760392</v>
      </c>
      <c r="AE102" s="168" t="s">
        <v>948</v>
      </c>
      <c r="AF102" s="165" t="s">
        <v>75</v>
      </c>
      <c r="AG102" s="464">
        <v>7000000</v>
      </c>
      <c r="AH102" s="165" t="s">
        <v>175</v>
      </c>
      <c r="AI102" s="165"/>
      <c r="AJ102" s="165"/>
      <c r="AK102" s="165" t="s">
        <v>3286</v>
      </c>
      <c r="AL102" s="165" t="s">
        <v>3216</v>
      </c>
      <c r="AM102" s="135">
        <v>6682237</v>
      </c>
      <c r="AN102" s="235" t="s">
        <v>1736</v>
      </c>
      <c r="AO102" s="165" t="s">
        <v>13</v>
      </c>
      <c r="AP102" s="464">
        <v>7000000</v>
      </c>
      <c r="AQ102" s="165" t="s">
        <v>3093</v>
      </c>
      <c r="AR102" s="165"/>
      <c r="AS102" s="165"/>
      <c r="AT102" s="165" t="s">
        <v>3286</v>
      </c>
      <c r="AU102" s="165" t="s">
        <v>3216</v>
      </c>
      <c r="AV102" s="246"/>
      <c r="AW102" s="246"/>
      <c r="AX102" s="246"/>
      <c r="AY102" s="246"/>
      <c r="AZ102" s="24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246"/>
      <c r="BK102" s="246"/>
      <c r="BL102" s="246"/>
      <c r="BM102" s="246"/>
      <c r="BN102" s="246"/>
      <c r="BO102" s="307"/>
      <c r="BP102" s="246"/>
      <c r="BQ102" s="246"/>
      <c r="BR102" s="246"/>
      <c r="BS102" s="246"/>
      <c r="BT102" s="246"/>
      <c r="BU102" s="246"/>
      <c r="BV102" s="246"/>
      <c r="BW102" s="246"/>
      <c r="BX102" s="246"/>
      <c r="BY102" s="246"/>
      <c r="BZ102" s="246"/>
      <c r="CA102" s="160" t="s">
        <v>3190</v>
      </c>
      <c r="CB102" s="163" t="s">
        <v>3191</v>
      </c>
      <c r="CC102" s="306"/>
      <c r="CD102" s="166"/>
      <c r="CE102" s="306"/>
      <c r="CF102" s="166"/>
      <c r="CG102" s="306"/>
      <c r="CH102" s="166"/>
      <c r="CI102" s="246"/>
      <c r="CJ102" s="246"/>
      <c r="CK102" s="246"/>
      <c r="CL102" s="246"/>
      <c r="CM102" s="246"/>
      <c r="CN102" s="246"/>
      <c r="CO102" s="246"/>
      <c r="CP102" s="246"/>
      <c r="CQ102" s="246"/>
      <c r="CR102" s="246"/>
      <c r="CS102" s="171" t="s">
        <v>5440</v>
      </c>
      <c r="CT102" s="171" t="s">
        <v>5441</v>
      </c>
      <c r="CU102" s="171" t="s">
        <v>5442</v>
      </c>
      <c r="CV102" s="246"/>
      <c r="CW102" s="246"/>
      <c r="CX102" s="246"/>
    </row>
    <row r="103" spans="1:105" ht="60">
      <c r="A103" s="8">
        <v>27</v>
      </c>
      <c r="B103" s="143" t="s">
        <v>5405</v>
      </c>
      <c r="C103" s="143" t="s">
        <v>5443</v>
      </c>
      <c r="D103" s="9" t="s">
        <v>5444</v>
      </c>
      <c r="E103" s="6" t="s">
        <v>5408</v>
      </c>
      <c r="F103" s="8">
        <v>2023</v>
      </c>
      <c r="G103" s="8">
        <v>2023</v>
      </c>
      <c r="H103" s="8">
        <v>6</v>
      </c>
      <c r="I103" s="6" t="s">
        <v>5289</v>
      </c>
      <c r="J103" s="6" t="s">
        <v>5750</v>
      </c>
      <c r="K103" s="488">
        <v>7000000</v>
      </c>
      <c r="L103" s="458">
        <v>6895000</v>
      </c>
      <c r="M103" s="6" t="s">
        <v>3091</v>
      </c>
      <c r="N103" s="8">
        <v>3</v>
      </c>
      <c r="O103" s="7"/>
      <c r="P103" s="9" t="s">
        <v>3223</v>
      </c>
      <c r="Q103" s="241"/>
      <c r="R103" s="241"/>
      <c r="S103" s="8">
        <v>6680634</v>
      </c>
      <c r="T103" s="7" t="s">
        <v>47</v>
      </c>
      <c r="U103" s="162" t="s">
        <v>989</v>
      </c>
      <c r="V103" s="458">
        <v>6895000</v>
      </c>
      <c r="W103" s="6" t="s">
        <v>166</v>
      </c>
      <c r="X103" s="6"/>
      <c r="Y103" s="6"/>
      <c r="Z103" s="6" t="s">
        <v>3286</v>
      </c>
      <c r="AA103" s="6" t="s">
        <v>3216</v>
      </c>
      <c r="AB103" s="8">
        <v>8140</v>
      </c>
      <c r="AC103" s="8">
        <v>72019</v>
      </c>
      <c r="AD103" s="8">
        <v>6764236</v>
      </c>
      <c r="AE103" s="162" t="s">
        <v>1684</v>
      </c>
      <c r="AF103" s="6" t="s">
        <v>25</v>
      </c>
      <c r="AG103" s="458">
        <v>6895000</v>
      </c>
      <c r="AH103" s="6" t="s">
        <v>166</v>
      </c>
      <c r="AI103" s="6"/>
      <c r="AJ103" s="6"/>
      <c r="AK103" s="6" t="s">
        <v>3286</v>
      </c>
      <c r="AL103" s="6" t="s">
        <v>3216</v>
      </c>
      <c r="AM103" s="8">
        <v>6787771</v>
      </c>
      <c r="AN103" s="162" t="s">
        <v>1676</v>
      </c>
      <c r="AO103" s="6" t="s">
        <v>180</v>
      </c>
      <c r="AP103" s="458">
        <v>6895000</v>
      </c>
      <c r="AQ103" s="6" t="s">
        <v>166</v>
      </c>
      <c r="AR103" s="6"/>
      <c r="AS103" s="6"/>
      <c r="AT103" s="6" t="s">
        <v>3286</v>
      </c>
      <c r="AU103" s="6" t="s">
        <v>3216</v>
      </c>
      <c r="AV103" s="241"/>
      <c r="AW103" s="241"/>
      <c r="AX103" s="241"/>
      <c r="AY103" s="299"/>
      <c r="AZ103" s="241"/>
      <c r="BA103" s="241"/>
      <c r="BB103" s="241"/>
      <c r="BC103" s="241"/>
      <c r="BD103" s="241"/>
      <c r="BE103" s="241"/>
      <c r="BF103" s="241"/>
      <c r="BG103" s="299"/>
      <c r="BH103" s="241"/>
      <c r="BI103" s="241"/>
      <c r="BJ103" s="241"/>
      <c r="BK103" s="241"/>
      <c r="BL103" s="241"/>
      <c r="BM103" s="241"/>
      <c r="BN103" s="241"/>
      <c r="BO103" s="299"/>
      <c r="BP103" s="241"/>
      <c r="BQ103" s="241"/>
      <c r="BR103" s="241"/>
      <c r="BS103" s="241"/>
      <c r="BT103" s="241"/>
      <c r="BU103" s="241"/>
      <c r="BV103" s="299"/>
      <c r="BW103" s="241"/>
      <c r="BX103" s="241"/>
      <c r="BY103" s="241"/>
      <c r="BZ103" s="241"/>
      <c r="CA103" s="160" t="s">
        <v>3190</v>
      </c>
      <c r="CB103" s="163" t="s">
        <v>3191</v>
      </c>
      <c r="CC103" s="304"/>
      <c r="CD103" s="9"/>
      <c r="CE103" s="304"/>
      <c r="CF103" s="9"/>
      <c r="CG103" s="304"/>
      <c r="CH103" s="9"/>
      <c r="CI103" s="241"/>
      <c r="CJ103" s="241"/>
      <c r="CK103" s="241"/>
      <c r="CL103" s="241"/>
      <c r="CM103" s="241"/>
      <c r="CN103" s="241"/>
      <c r="CO103" s="241"/>
      <c r="CP103" s="241"/>
      <c r="CQ103" s="241"/>
      <c r="CR103" s="241"/>
      <c r="CS103" s="7" t="s">
        <v>5445</v>
      </c>
      <c r="CT103" s="7" t="s">
        <v>5446</v>
      </c>
      <c r="CU103" s="7" t="s">
        <v>4991</v>
      </c>
      <c r="CV103" s="241" t="s">
        <v>5447</v>
      </c>
      <c r="CW103" s="241" t="s">
        <v>3528</v>
      </c>
      <c r="CX103" s="241"/>
    </row>
    <row r="104" spans="1:105" ht="60">
      <c r="A104" s="8">
        <v>28</v>
      </c>
      <c r="B104" s="143" t="s">
        <v>5405</v>
      </c>
      <c r="C104" s="143" t="s">
        <v>5448</v>
      </c>
      <c r="D104" s="9" t="s">
        <v>5449</v>
      </c>
      <c r="E104" s="6" t="s">
        <v>5408</v>
      </c>
      <c r="F104" s="8">
        <v>2023</v>
      </c>
      <c r="G104" s="8">
        <v>2023</v>
      </c>
      <c r="H104" s="8">
        <v>6</v>
      </c>
      <c r="I104" s="6" t="s">
        <v>5298</v>
      </c>
      <c r="J104" s="6" t="s">
        <v>5751</v>
      </c>
      <c r="K104" s="488">
        <v>7000000</v>
      </c>
      <c r="L104" s="458">
        <v>6992000</v>
      </c>
      <c r="M104" s="6" t="s">
        <v>3091</v>
      </c>
      <c r="N104" s="8">
        <v>3</v>
      </c>
      <c r="O104" s="7"/>
      <c r="P104" s="9" t="s">
        <v>3223</v>
      </c>
      <c r="Q104" s="241"/>
      <c r="R104" s="241"/>
      <c r="S104" s="8">
        <v>6833162</v>
      </c>
      <c r="T104" s="7" t="s">
        <v>139</v>
      </c>
      <c r="U104" s="162" t="s">
        <v>2031</v>
      </c>
      <c r="V104" s="458">
        <v>6992000</v>
      </c>
      <c r="W104" s="6" t="s">
        <v>3093</v>
      </c>
      <c r="X104" s="6"/>
      <c r="Y104" s="6"/>
      <c r="Z104" s="6" t="s">
        <v>3286</v>
      </c>
      <c r="AA104" s="6" t="s">
        <v>3216</v>
      </c>
      <c r="AB104" s="8">
        <v>8140</v>
      </c>
      <c r="AC104" s="8">
        <v>72019</v>
      </c>
      <c r="AD104" s="6">
        <v>6839500</v>
      </c>
      <c r="AE104" s="11" t="s">
        <v>2671</v>
      </c>
      <c r="AF104" s="6" t="s">
        <v>36</v>
      </c>
      <c r="AG104" s="458">
        <v>6992000</v>
      </c>
      <c r="AH104" s="6" t="s">
        <v>171</v>
      </c>
      <c r="AI104" s="6"/>
      <c r="AJ104" s="6"/>
      <c r="AK104" s="6" t="s">
        <v>3286</v>
      </c>
      <c r="AL104" s="6" t="s">
        <v>3216</v>
      </c>
      <c r="AM104" s="8">
        <v>6837723</v>
      </c>
      <c r="AN104" s="10" t="s">
        <v>2672</v>
      </c>
      <c r="AO104" s="6" t="s">
        <v>187</v>
      </c>
      <c r="AP104" s="458">
        <v>6992000</v>
      </c>
      <c r="AQ104" s="6" t="s">
        <v>171</v>
      </c>
      <c r="AR104" s="6"/>
      <c r="AS104" s="6"/>
      <c r="AT104" s="6" t="s">
        <v>3286</v>
      </c>
      <c r="AU104" s="6" t="s">
        <v>3216</v>
      </c>
      <c r="AV104" s="241"/>
      <c r="AW104" s="241"/>
      <c r="AX104" s="241"/>
      <c r="AY104" s="299"/>
      <c r="AZ104" s="241"/>
      <c r="BA104" s="241"/>
      <c r="BB104" s="241"/>
      <c r="BC104" s="241"/>
      <c r="BD104" s="241"/>
      <c r="BE104" s="241"/>
      <c r="BF104" s="241"/>
      <c r="BG104" s="299"/>
      <c r="BH104" s="241"/>
      <c r="BI104" s="241"/>
      <c r="BJ104" s="241"/>
      <c r="BK104" s="241"/>
      <c r="BL104" s="241"/>
      <c r="BM104" s="241"/>
      <c r="BN104" s="241"/>
      <c r="BO104" s="299"/>
      <c r="BP104" s="241"/>
      <c r="BQ104" s="241"/>
      <c r="BR104" s="241"/>
      <c r="BS104" s="241"/>
      <c r="BT104" s="241"/>
      <c r="BU104" s="241"/>
      <c r="BV104" s="299"/>
      <c r="BW104" s="241"/>
      <c r="BX104" s="241"/>
      <c r="BY104" s="241"/>
      <c r="BZ104" s="241"/>
      <c r="CA104" s="160" t="s">
        <v>3190</v>
      </c>
      <c r="CB104" s="163" t="s">
        <v>3191</v>
      </c>
      <c r="CC104" s="304"/>
      <c r="CD104" s="9"/>
      <c r="CE104" s="304"/>
      <c r="CF104" s="9"/>
      <c r="CG104" s="304"/>
      <c r="CH104" s="9"/>
      <c r="CI104" s="241"/>
      <c r="CJ104" s="241"/>
      <c r="CK104" s="241"/>
      <c r="CL104" s="241"/>
      <c r="CM104" s="241"/>
      <c r="CN104" s="241"/>
      <c r="CO104" s="241"/>
      <c r="CP104" s="241"/>
      <c r="CQ104" s="241"/>
      <c r="CR104" s="241"/>
      <c r="CS104" s="7" t="s">
        <v>5450</v>
      </c>
      <c r="CT104" s="7" t="s">
        <v>5451</v>
      </c>
      <c r="CU104" s="7" t="s">
        <v>5452</v>
      </c>
      <c r="CV104" s="241"/>
      <c r="CW104" s="241"/>
      <c r="CX104" s="241"/>
    </row>
    <row r="105" spans="1:105" ht="60">
      <c r="A105" s="298">
        <v>29</v>
      </c>
      <c r="B105" s="143" t="s">
        <v>5405</v>
      </c>
      <c r="C105" s="143" t="s">
        <v>5453</v>
      </c>
      <c r="D105" s="9" t="s">
        <v>5454</v>
      </c>
      <c r="E105" s="6" t="s">
        <v>5408</v>
      </c>
      <c r="F105" s="8">
        <v>2023</v>
      </c>
      <c r="G105" s="8">
        <v>2023</v>
      </c>
      <c r="H105" s="8">
        <v>6</v>
      </c>
      <c r="I105" s="6" t="s">
        <v>5298</v>
      </c>
      <c r="J105" s="6" t="s">
        <v>5752</v>
      </c>
      <c r="K105" s="486">
        <v>6961000</v>
      </c>
      <c r="L105" s="458">
        <v>7000000</v>
      </c>
      <c r="M105" s="6" t="s">
        <v>3091</v>
      </c>
      <c r="N105" s="8">
        <v>3</v>
      </c>
      <c r="O105" s="7"/>
      <c r="P105" s="9" t="s">
        <v>3223</v>
      </c>
      <c r="Q105" s="241"/>
      <c r="R105" s="241"/>
      <c r="S105" s="8">
        <v>6760392</v>
      </c>
      <c r="T105" s="7" t="s">
        <v>75</v>
      </c>
      <c r="U105" s="162" t="s">
        <v>948</v>
      </c>
      <c r="V105" s="458">
        <v>7000000</v>
      </c>
      <c r="W105" s="6" t="s">
        <v>175</v>
      </c>
      <c r="X105" s="6"/>
      <c r="Y105" s="6"/>
      <c r="Z105" s="6" t="s">
        <v>3286</v>
      </c>
      <c r="AA105" s="6" t="s">
        <v>3216</v>
      </c>
      <c r="AB105" s="8">
        <v>8140</v>
      </c>
      <c r="AC105" s="8">
        <v>72019</v>
      </c>
      <c r="AD105" s="8">
        <v>6806664</v>
      </c>
      <c r="AE105" s="162" t="s">
        <v>2333</v>
      </c>
      <c r="AF105" s="6" t="s">
        <v>121</v>
      </c>
      <c r="AG105" s="458">
        <v>7000000</v>
      </c>
      <c r="AH105" s="6" t="s">
        <v>175</v>
      </c>
      <c r="AI105" s="6"/>
      <c r="AJ105" s="6"/>
      <c r="AK105" s="6" t="s">
        <v>3286</v>
      </c>
      <c r="AL105" s="6" t="s">
        <v>3216</v>
      </c>
      <c r="AM105" s="8">
        <v>6793410</v>
      </c>
      <c r="AN105" s="10" t="s">
        <v>947</v>
      </c>
      <c r="AO105" s="6" t="s">
        <v>79</v>
      </c>
      <c r="AP105" s="458">
        <v>7000000</v>
      </c>
      <c r="AQ105" s="6" t="s">
        <v>175</v>
      </c>
      <c r="AR105" s="6"/>
      <c r="AS105" s="6"/>
      <c r="AT105" s="6" t="s">
        <v>3286</v>
      </c>
      <c r="AU105" s="6" t="s">
        <v>3216</v>
      </c>
      <c r="AV105" s="241"/>
      <c r="AW105" s="241"/>
      <c r="AX105" s="241"/>
      <c r="AY105" s="299"/>
      <c r="AZ105" s="241"/>
      <c r="BA105" s="241"/>
      <c r="BB105" s="241"/>
      <c r="BC105" s="241"/>
      <c r="BD105" s="241"/>
      <c r="BE105" s="241"/>
      <c r="BF105" s="241"/>
      <c r="BG105" s="299"/>
      <c r="BH105" s="241"/>
      <c r="BI105" s="241"/>
      <c r="BJ105" s="241"/>
      <c r="BK105" s="241"/>
      <c r="BL105" s="241"/>
      <c r="BM105" s="241"/>
      <c r="BN105" s="241"/>
      <c r="BO105" s="299"/>
      <c r="BP105" s="241"/>
      <c r="BQ105" s="241"/>
      <c r="BR105" s="241"/>
      <c r="BS105" s="241"/>
      <c r="BT105" s="241"/>
      <c r="BU105" s="241"/>
      <c r="BV105" s="299"/>
      <c r="BW105" s="241"/>
      <c r="BX105" s="241"/>
      <c r="BY105" s="241"/>
      <c r="BZ105" s="241"/>
      <c r="CA105" s="160" t="s">
        <v>3190</v>
      </c>
      <c r="CB105" s="163" t="s">
        <v>3191</v>
      </c>
      <c r="CC105" s="304"/>
      <c r="CD105" s="9"/>
      <c r="CE105" s="304"/>
      <c r="CF105" s="9"/>
      <c r="CG105" s="304"/>
      <c r="CH105" s="9"/>
      <c r="CI105" s="241"/>
      <c r="CJ105" s="241"/>
      <c r="CK105" s="241"/>
      <c r="CL105" s="241"/>
      <c r="CM105" s="241"/>
      <c r="CN105" s="241"/>
      <c r="CO105" s="241"/>
      <c r="CP105" s="241"/>
      <c r="CQ105" s="241"/>
      <c r="CR105" s="241"/>
      <c r="CS105" s="7" t="s">
        <v>5455</v>
      </c>
      <c r="CT105" s="7" t="s">
        <v>5456</v>
      </c>
      <c r="CU105" s="7" t="s">
        <v>5452</v>
      </c>
      <c r="CV105" s="241" t="s">
        <v>5447</v>
      </c>
      <c r="CW105" s="241"/>
      <c r="CX105" s="241"/>
    </row>
    <row r="106" spans="1:105" ht="60">
      <c r="A106" s="8">
        <v>30</v>
      </c>
      <c r="B106" s="143" t="s">
        <v>5405</v>
      </c>
      <c r="C106" s="143" t="s">
        <v>5457</v>
      </c>
      <c r="D106" s="9" t="s">
        <v>5458</v>
      </c>
      <c r="E106" s="6" t="s">
        <v>5140</v>
      </c>
      <c r="F106" s="8">
        <v>2023</v>
      </c>
      <c r="G106" s="8">
        <v>2023</v>
      </c>
      <c r="H106" s="8">
        <v>6</v>
      </c>
      <c r="I106" s="6" t="s">
        <v>5298</v>
      </c>
      <c r="J106" s="6" t="s">
        <v>5753</v>
      </c>
      <c r="K106" s="486">
        <v>17000000</v>
      </c>
      <c r="L106" s="458">
        <v>16940000</v>
      </c>
      <c r="M106" s="6" t="s">
        <v>3091</v>
      </c>
      <c r="N106" s="8">
        <v>5</v>
      </c>
      <c r="O106" s="7"/>
      <c r="P106" s="9" t="s">
        <v>3223</v>
      </c>
      <c r="Q106" s="241"/>
      <c r="R106" s="241"/>
      <c r="S106" s="8">
        <v>6658755</v>
      </c>
      <c r="T106" s="7" t="s">
        <v>32</v>
      </c>
      <c r="U106" s="162" t="s">
        <v>1901</v>
      </c>
      <c r="V106" s="458">
        <v>16940000</v>
      </c>
      <c r="W106" s="6" t="s">
        <v>164</v>
      </c>
      <c r="X106" s="6"/>
      <c r="Y106" s="6"/>
      <c r="Z106" s="6" t="s">
        <v>3286</v>
      </c>
      <c r="AA106" s="6" t="s">
        <v>3216</v>
      </c>
      <c r="AB106" s="8">
        <v>8140</v>
      </c>
      <c r="AC106" s="8">
        <v>72019</v>
      </c>
      <c r="AD106" s="8">
        <v>6680628</v>
      </c>
      <c r="AE106" s="10" t="s">
        <v>1007</v>
      </c>
      <c r="AF106" s="6" t="s">
        <v>5459</v>
      </c>
      <c r="AG106" s="458">
        <v>16940000</v>
      </c>
      <c r="AH106" s="6" t="s">
        <v>164</v>
      </c>
      <c r="AI106" s="6"/>
      <c r="AJ106" s="6"/>
      <c r="AK106" s="6" t="s">
        <v>3286</v>
      </c>
      <c r="AL106" s="6" t="s">
        <v>3216</v>
      </c>
      <c r="AM106" s="8">
        <v>6833033</v>
      </c>
      <c r="AN106" s="10" t="s">
        <v>2023</v>
      </c>
      <c r="AO106" s="6" t="s">
        <v>188</v>
      </c>
      <c r="AP106" s="458">
        <v>16940000</v>
      </c>
      <c r="AQ106" s="6" t="s">
        <v>166</v>
      </c>
      <c r="AR106" s="6"/>
      <c r="AS106" s="6"/>
      <c r="AT106" s="6" t="s">
        <v>3286</v>
      </c>
      <c r="AU106" s="6" t="s">
        <v>3216</v>
      </c>
      <c r="AV106" s="241"/>
      <c r="AW106" s="241"/>
      <c r="AX106" s="241"/>
      <c r="AY106" s="299"/>
      <c r="AZ106" s="241"/>
      <c r="BA106" s="241"/>
      <c r="BB106" s="241"/>
      <c r="BC106" s="241"/>
      <c r="BD106" s="241"/>
      <c r="BE106" s="241"/>
      <c r="BF106" s="241"/>
      <c r="BG106" s="299"/>
      <c r="BH106" s="241"/>
      <c r="BI106" s="241"/>
      <c r="BJ106" s="241"/>
      <c r="BK106" s="241"/>
      <c r="BL106" s="241"/>
      <c r="BM106" s="241"/>
      <c r="BN106" s="241"/>
      <c r="BO106" s="299"/>
      <c r="BP106" s="241"/>
      <c r="BQ106" s="241"/>
      <c r="BR106" s="241"/>
      <c r="BS106" s="241"/>
      <c r="BT106" s="241"/>
      <c r="BU106" s="241"/>
      <c r="BV106" s="299"/>
      <c r="BW106" s="241"/>
      <c r="BX106" s="241"/>
      <c r="BY106" s="241"/>
      <c r="BZ106" s="241"/>
      <c r="CA106" s="160" t="s">
        <v>3190</v>
      </c>
      <c r="CB106" s="163" t="s">
        <v>3191</v>
      </c>
      <c r="CC106" s="304"/>
      <c r="CD106" s="9"/>
      <c r="CE106" s="304"/>
      <c r="CF106" s="9"/>
      <c r="CG106" s="304"/>
      <c r="CH106" s="9"/>
      <c r="CI106" s="241"/>
      <c r="CJ106" s="241"/>
      <c r="CK106" s="241"/>
      <c r="CL106" s="241"/>
      <c r="CM106" s="241"/>
      <c r="CN106" s="241"/>
      <c r="CO106" s="241"/>
      <c r="CP106" s="241"/>
      <c r="CQ106" s="241"/>
      <c r="CR106" s="241"/>
      <c r="CS106" s="7" t="s">
        <v>5460</v>
      </c>
      <c r="CT106" s="7" t="s">
        <v>5418</v>
      </c>
      <c r="CU106" s="7" t="s">
        <v>5009</v>
      </c>
      <c r="CV106" s="241"/>
      <c r="CW106" s="241"/>
      <c r="CX106" s="241"/>
    </row>
    <row r="107" spans="1:105" ht="36">
      <c r="A107" s="8">
        <v>31</v>
      </c>
      <c r="B107" s="143" t="s">
        <v>5461</v>
      </c>
      <c r="C107" s="143" t="s">
        <v>5462</v>
      </c>
      <c r="D107" s="9" t="s">
        <v>5463</v>
      </c>
      <c r="E107" s="6" t="s">
        <v>5464</v>
      </c>
      <c r="F107" s="8">
        <v>2023</v>
      </c>
      <c r="G107" s="8">
        <v>2023</v>
      </c>
      <c r="H107" s="8">
        <v>6</v>
      </c>
      <c r="I107" s="6" t="s">
        <v>5289</v>
      </c>
      <c r="J107" s="6" t="s">
        <v>5754</v>
      </c>
      <c r="K107" s="458">
        <v>7000000</v>
      </c>
      <c r="L107" s="458">
        <v>7000000</v>
      </c>
      <c r="M107" s="6" t="s">
        <v>3091</v>
      </c>
      <c r="N107" s="8">
        <v>3</v>
      </c>
      <c r="O107" s="6" t="s">
        <v>5465</v>
      </c>
      <c r="P107" s="9" t="s">
        <v>3223</v>
      </c>
      <c r="Q107" s="8" t="s">
        <v>3215</v>
      </c>
      <c r="R107" s="8" t="s">
        <v>3923</v>
      </c>
      <c r="S107" s="8">
        <v>6826739</v>
      </c>
      <c r="T107" s="7" t="s">
        <v>50</v>
      </c>
      <c r="U107" s="10" t="s">
        <v>2307</v>
      </c>
      <c r="V107" s="458">
        <v>7000000</v>
      </c>
      <c r="W107" s="6" t="s">
        <v>160</v>
      </c>
      <c r="X107" s="6"/>
      <c r="Y107" s="6"/>
      <c r="Z107" s="6" t="s">
        <v>3281</v>
      </c>
      <c r="AA107" s="6" t="s">
        <v>3216</v>
      </c>
      <c r="AB107" s="8">
        <v>8140</v>
      </c>
      <c r="AC107" s="8">
        <v>72019</v>
      </c>
      <c r="AD107" s="241">
        <v>6859382</v>
      </c>
      <c r="AE107" s="242" t="s">
        <v>2343</v>
      </c>
      <c r="AF107" s="6" t="s">
        <v>184</v>
      </c>
      <c r="AG107" s="458">
        <v>7000000</v>
      </c>
      <c r="AH107" s="6" t="s">
        <v>166</v>
      </c>
      <c r="AI107" s="6"/>
      <c r="AJ107" s="6"/>
      <c r="AK107" s="6" t="s">
        <v>3286</v>
      </c>
      <c r="AL107" s="6" t="s">
        <v>3216</v>
      </c>
      <c r="AM107" s="8">
        <v>6795859</v>
      </c>
      <c r="AN107" s="162" t="s">
        <v>1672</v>
      </c>
      <c r="AO107" s="6" t="s">
        <v>56</v>
      </c>
      <c r="AP107" s="458">
        <v>7000000</v>
      </c>
      <c r="AQ107" s="6" t="s">
        <v>160</v>
      </c>
      <c r="AR107" s="6"/>
      <c r="AS107" s="6"/>
      <c r="AT107" s="6" t="s">
        <v>3281</v>
      </c>
      <c r="AU107" s="6" t="s">
        <v>3216</v>
      </c>
      <c r="AV107" s="241"/>
      <c r="AW107" s="241"/>
      <c r="AX107" s="241"/>
      <c r="AY107" s="299"/>
      <c r="AZ107" s="241"/>
      <c r="BA107" s="241"/>
      <c r="BB107" s="241"/>
      <c r="BC107" s="241"/>
      <c r="BD107" s="241"/>
      <c r="BE107" s="241"/>
      <c r="BF107" s="241"/>
      <c r="BG107" s="299"/>
      <c r="BH107" s="241"/>
      <c r="BI107" s="241"/>
      <c r="BJ107" s="241"/>
      <c r="BK107" s="241"/>
      <c r="BL107" s="241"/>
      <c r="BM107" s="241"/>
      <c r="BN107" s="241"/>
      <c r="BO107" s="299"/>
      <c r="BP107" s="241"/>
      <c r="BQ107" s="241"/>
      <c r="BR107" s="241"/>
      <c r="BS107" s="241"/>
      <c r="BT107" s="241"/>
      <c r="BU107" s="241"/>
      <c r="BV107" s="299"/>
      <c r="BW107" s="241"/>
      <c r="BX107" s="241"/>
      <c r="BY107" s="241"/>
      <c r="BZ107" s="241"/>
      <c r="CA107" s="160" t="s">
        <v>3190</v>
      </c>
      <c r="CB107" s="160" t="s">
        <v>3191</v>
      </c>
      <c r="CC107" s="304"/>
      <c r="CD107" s="9"/>
      <c r="CE107" s="304"/>
      <c r="CF107" s="9"/>
      <c r="CG107" s="304"/>
      <c r="CH107" s="9"/>
      <c r="CI107" s="241"/>
      <c r="CJ107" s="241"/>
      <c r="CK107" s="241"/>
      <c r="CL107" s="241"/>
      <c r="CM107" s="241"/>
      <c r="CN107" s="241"/>
      <c r="CO107" s="241"/>
      <c r="CP107" s="241"/>
      <c r="CQ107" s="241"/>
      <c r="CR107" s="241"/>
      <c r="CS107" s="241"/>
      <c r="CT107" s="241"/>
      <c r="CU107" s="241"/>
      <c r="CV107" s="241"/>
      <c r="CW107" s="241"/>
      <c r="CX107" s="241"/>
      <c r="CY107" s="136"/>
      <c r="CZ107" s="136"/>
      <c r="DA107" s="136"/>
    </row>
    <row r="108" spans="1:105" ht="36">
      <c r="A108" s="169">
        <v>32</v>
      </c>
      <c r="B108" s="143" t="s">
        <v>5461</v>
      </c>
      <c r="C108" s="254" t="s">
        <v>5466</v>
      </c>
      <c r="D108" s="166" t="s">
        <v>5467</v>
      </c>
      <c r="E108" s="165" t="s">
        <v>5464</v>
      </c>
      <c r="F108" s="135">
        <v>2023</v>
      </c>
      <c r="G108" s="135">
        <v>2023</v>
      </c>
      <c r="H108" s="135">
        <v>6</v>
      </c>
      <c r="I108" s="165" t="s">
        <v>5289</v>
      </c>
      <c r="J108" s="165" t="s">
        <v>5755</v>
      </c>
      <c r="K108" s="465">
        <v>7000000</v>
      </c>
      <c r="L108" s="465">
        <v>7000000</v>
      </c>
      <c r="M108" s="165" t="s">
        <v>3091</v>
      </c>
      <c r="N108" s="514">
        <v>3</v>
      </c>
      <c r="O108" s="165" t="s">
        <v>5465</v>
      </c>
      <c r="P108" s="9" t="s">
        <v>3223</v>
      </c>
      <c r="Q108" s="135" t="s">
        <v>3215</v>
      </c>
      <c r="R108" s="135" t="s">
        <v>3923</v>
      </c>
      <c r="S108" s="135">
        <v>6680641</v>
      </c>
      <c r="T108" s="171" t="s">
        <v>92</v>
      </c>
      <c r="U108" s="168" t="s">
        <v>1794</v>
      </c>
      <c r="V108" s="465">
        <v>7000000</v>
      </c>
      <c r="W108" s="165" t="s">
        <v>151</v>
      </c>
      <c r="X108" s="165"/>
      <c r="Y108" s="165"/>
      <c r="Z108" s="165" t="s">
        <v>3281</v>
      </c>
      <c r="AA108" s="165" t="s">
        <v>3216</v>
      </c>
      <c r="AB108" s="8">
        <v>8140</v>
      </c>
      <c r="AC108" s="8">
        <v>72019</v>
      </c>
      <c r="AD108" s="246">
        <v>6843797</v>
      </c>
      <c r="AE108" s="247" t="s">
        <v>2418</v>
      </c>
      <c r="AF108" s="165" t="s">
        <v>190</v>
      </c>
      <c r="AG108" s="465">
        <v>7000000</v>
      </c>
      <c r="AH108" s="165" t="s">
        <v>151</v>
      </c>
      <c r="AI108" s="165"/>
      <c r="AJ108" s="165"/>
      <c r="AK108" s="165" t="s">
        <v>3281</v>
      </c>
      <c r="AL108" s="165" t="s">
        <v>3216</v>
      </c>
      <c r="AM108" s="135">
        <v>258471</v>
      </c>
      <c r="AN108" s="168" t="s">
        <v>3504</v>
      </c>
      <c r="AO108" s="165" t="s">
        <v>5468</v>
      </c>
      <c r="AP108" s="465">
        <v>7000000</v>
      </c>
      <c r="AQ108" s="165" t="s">
        <v>155</v>
      </c>
      <c r="AR108" s="165"/>
      <c r="AS108" s="165"/>
      <c r="AT108" s="165" t="s">
        <v>3281</v>
      </c>
      <c r="AU108" s="165" t="s">
        <v>3216</v>
      </c>
      <c r="AV108" s="246"/>
      <c r="AW108" s="246"/>
      <c r="AX108" s="246"/>
      <c r="AY108" s="307"/>
      <c r="AZ108" s="246"/>
      <c r="BA108" s="246"/>
      <c r="BB108" s="246"/>
      <c r="BC108" s="246"/>
      <c r="BD108" s="246"/>
      <c r="BE108" s="246"/>
      <c r="BF108" s="246"/>
      <c r="BG108" s="307"/>
      <c r="BH108" s="246"/>
      <c r="BI108" s="246"/>
      <c r="BJ108" s="246"/>
      <c r="BK108" s="246"/>
      <c r="BL108" s="246"/>
      <c r="BM108" s="246"/>
      <c r="BN108" s="246"/>
      <c r="BO108" s="307"/>
      <c r="BP108" s="246"/>
      <c r="BQ108" s="246"/>
      <c r="BR108" s="246"/>
      <c r="BS108" s="246"/>
      <c r="BT108" s="246"/>
      <c r="BU108" s="246"/>
      <c r="BV108" s="307"/>
      <c r="BW108" s="246"/>
      <c r="BX108" s="246"/>
      <c r="BY108" s="246"/>
      <c r="BZ108" s="246"/>
      <c r="CA108" s="160" t="s">
        <v>3190</v>
      </c>
      <c r="CB108" s="160" t="s">
        <v>3191</v>
      </c>
      <c r="CC108" s="306"/>
      <c r="CD108" s="166"/>
      <c r="CE108" s="306"/>
      <c r="CF108" s="166"/>
      <c r="CG108" s="306"/>
      <c r="CH108" s="166"/>
      <c r="CI108" s="246"/>
      <c r="CJ108" s="246"/>
      <c r="CK108" s="246"/>
      <c r="CL108" s="246"/>
      <c r="CM108" s="246"/>
      <c r="CN108" s="246"/>
      <c r="CO108" s="246"/>
      <c r="CP108" s="246"/>
      <c r="CQ108" s="246"/>
      <c r="CR108" s="246"/>
      <c r="CS108" s="246"/>
      <c r="CT108" s="246"/>
      <c r="CU108" s="246"/>
      <c r="CV108" s="246"/>
      <c r="CW108" s="246"/>
      <c r="CX108" s="246"/>
    </row>
    <row r="109" spans="1:105" ht="36">
      <c r="A109" s="8">
        <v>33</v>
      </c>
      <c r="B109" s="143" t="s">
        <v>5461</v>
      </c>
      <c r="C109" s="146" t="s">
        <v>5469</v>
      </c>
      <c r="D109" s="9" t="s">
        <v>5470</v>
      </c>
      <c r="E109" s="6" t="s">
        <v>5464</v>
      </c>
      <c r="F109" s="8">
        <v>2023</v>
      </c>
      <c r="G109" s="8">
        <v>2023</v>
      </c>
      <c r="H109" s="8">
        <v>6</v>
      </c>
      <c r="I109" s="6" t="s">
        <v>5289</v>
      </c>
      <c r="J109" s="6" t="s">
        <v>5756</v>
      </c>
      <c r="K109" s="458">
        <v>7000000</v>
      </c>
      <c r="L109" s="458">
        <v>7000000</v>
      </c>
      <c r="M109" s="6" t="s">
        <v>3091</v>
      </c>
      <c r="N109" s="207">
        <v>3</v>
      </c>
      <c r="O109" s="6" t="s">
        <v>5465</v>
      </c>
      <c r="P109" s="9" t="s">
        <v>3223</v>
      </c>
      <c r="Q109" s="8" t="s">
        <v>3215</v>
      </c>
      <c r="R109" s="8" t="s">
        <v>3923</v>
      </c>
      <c r="S109" s="8">
        <v>6833162</v>
      </c>
      <c r="T109" s="7" t="s">
        <v>139</v>
      </c>
      <c r="U109" s="162" t="s">
        <v>2031</v>
      </c>
      <c r="V109" s="458">
        <v>7000000</v>
      </c>
      <c r="W109" s="6" t="s">
        <v>3093</v>
      </c>
      <c r="X109" s="6"/>
      <c r="Y109" s="6"/>
      <c r="Z109" s="6" t="s">
        <v>3286</v>
      </c>
      <c r="AA109" s="6" t="s">
        <v>3216</v>
      </c>
      <c r="AB109" s="8">
        <v>8140</v>
      </c>
      <c r="AC109" s="8">
        <v>72019</v>
      </c>
      <c r="AD109" s="6">
        <v>6839500</v>
      </c>
      <c r="AE109" s="11" t="s">
        <v>2671</v>
      </c>
      <c r="AF109" s="6" t="s">
        <v>36</v>
      </c>
      <c r="AG109" s="458">
        <v>7000000</v>
      </c>
      <c r="AH109" s="6" t="s">
        <v>171</v>
      </c>
      <c r="AI109" s="6"/>
      <c r="AJ109" s="6"/>
      <c r="AK109" s="6" t="s">
        <v>3286</v>
      </c>
      <c r="AL109" s="6" t="s">
        <v>3216</v>
      </c>
      <c r="AM109" s="8">
        <v>6837723</v>
      </c>
      <c r="AN109" s="10" t="s">
        <v>2672</v>
      </c>
      <c r="AO109" s="6" t="s">
        <v>187</v>
      </c>
      <c r="AP109" s="458">
        <v>7000000</v>
      </c>
      <c r="AQ109" s="6" t="s">
        <v>171</v>
      </c>
      <c r="AR109" s="6"/>
      <c r="AS109" s="6"/>
      <c r="AT109" s="6" t="s">
        <v>3286</v>
      </c>
      <c r="AU109" s="6" t="s">
        <v>3216</v>
      </c>
      <c r="AV109" s="241"/>
      <c r="AW109" s="241"/>
      <c r="AX109" s="241"/>
      <c r="AY109" s="299"/>
      <c r="AZ109" s="241"/>
      <c r="BA109" s="241"/>
      <c r="BB109" s="241"/>
      <c r="BC109" s="241"/>
      <c r="BD109" s="241"/>
      <c r="BE109" s="241"/>
      <c r="BF109" s="241"/>
      <c r="BG109" s="299"/>
      <c r="BH109" s="241"/>
      <c r="BI109" s="241"/>
      <c r="BJ109" s="241"/>
      <c r="BK109" s="241"/>
      <c r="BL109" s="241"/>
      <c r="BM109" s="241"/>
      <c r="BN109" s="241"/>
      <c r="BO109" s="299"/>
      <c r="BP109" s="241"/>
      <c r="BQ109" s="241"/>
      <c r="BR109" s="241"/>
      <c r="BS109" s="241"/>
      <c r="BT109" s="241"/>
      <c r="BU109" s="241"/>
      <c r="BV109" s="299"/>
      <c r="BW109" s="241"/>
      <c r="BX109" s="241"/>
      <c r="BY109" s="241"/>
      <c r="BZ109" s="241"/>
      <c r="CA109" s="160" t="s">
        <v>3190</v>
      </c>
      <c r="CB109" s="163" t="s">
        <v>3191</v>
      </c>
      <c r="CC109" s="304"/>
      <c r="CD109" s="9"/>
      <c r="CE109" s="304"/>
      <c r="CF109" s="9"/>
      <c r="CG109" s="304"/>
      <c r="CH109" s="9"/>
      <c r="CI109" s="241"/>
      <c r="CJ109" s="241"/>
      <c r="CK109" s="241"/>
      <c r="CL109" s="241"/>
      <c r="CM109" s="241"/>
      <c r="CN109" s="241"/>
      <c r="CO109" s="241"/>
      <c r="CP109" s="241"/>
      <c r="CQ109" s="241"/>
      <c r="CR109" s="241"/>
      <c r="CS109" s="7" t="s">
        <v>5294</v>
      </c>
      <c r="CT109" s="241"/>
      <c r="CU109" s="241"/>
      <c r="CV109" s="241" t="s">
        <v>5148</v>
      </c>
      <c r="CW109" s="241"/>
      <c r="CX109" s="241"/>
    </row>
    <row r="110" spans="1:105" ht="36">
      <c r="A110" s="8">
        <v>34</v>
      </c>
      <c r="B110" s="143" t="s">
        <v>5461</v>
      </c>
      <c r="C110" s="143" t="s">
        <v>5471</v>
      </c>
      <c r="D110" s="9" t="s">
        <v>5472</v>
      </c>
      <c r="E110" s="6" t="s">
        <v>5464</v>
      </c>
      <c r="F110" s="8">
        <v>2023</v>
      </c>
      <c r="G110" s="8">
        <v>2023</v>
      </c>
      <c r="H110" s="8">
        <v>6</v>
      </c>
      <c r="I110" s="33" t="s">
        <v>5473</v>
      </c>
      <c r="J110" s="33" t="s">
        <v>5757</v>
      </c>
      <c r="K110" s="458">
        <v>7000000</v>
      </c>
      <c r="L110" s="458">
        <v>7000000</v>
      </c>
      <c r="M110" s="6" t="s">
        <v>3091</v>
      </c>
      <c r="N110" s="207">
        <v>1</v>
      </c>
      <c r="O110" s="6" t="s">
        <v>5465</v>
      </c>
      <c r="P110" s="9" t="s">
        <v>3223</v>
      </c>
      <c r="Q110" s="8" t="s">
        <v>3215</v>
      </c>
      <c r="R110" s="8" t="s">
        <v>3923</v>
      </c>
      <c r="S110" s="8">
        <v>6826743</v>
      </c>
      <c r="T110" s="7" t="s">
        <v>45</v>
      </c>
      <c r="U110" s="162" t="s">
        <v>1880</v>
      </c>
      <c r="V110" s="458">
        <v>7000000</v>
      </c>
      <c r="W110" s="6" t="s">
        <v>160</v>
      </c>
      <c r="X110" s="6"/>
      <c r="Y110" s="6"/>
      <c r="Z110" s="6" t="s">
        <v>3281</v>
      </c>
      <c r="AA110" s="6" t="s">
        <v>3216</v>
      </c>
      <c r="AB110" s="8">
        <v>8140</v>
      </c>
      <c r="AC110" s="8">
        <v>72019</v>
      </c>
      <c r="AD110" s="6">
        <v>6826739</v>
      </c>
      <c r="AE110" s="11" t="s">
        <v>2307</v>
      </c>
      <c r="AF110" s="6" t="s">
        <v>5474</v>
      </c>
      <c r="AG110" s="458">
        <v>7000000</v>
      </c>
      <c r="AH110" s="6" t="s">
        <v>160</v>
      </c>
      <c r="AI110" s="6"/>
      <c r="AJ110" s="6"/>
      <c r="AK110" s="6" t="s">
        <v>3281</v>
      </c>
      <c r="AL110" s="6" t="s">
        <v>3216</v>
      </c>
      <c r="AM110" s="8">
        <v>6825598</v>
      </c>
      <c r="AN110" s="162" t="s">
        <v>1774</v>
      </c>
      <c r="AO110" s="6" t="s">
        <v>186</v>
      </c>
      <c r="AP110" s="458">
        <v>7000000</v>
      </c>
      <c r="AQ110" s="6" t="s">
        <v>156</v>
      </c>
      <c r="AR110" s="6"/>
      <c r="AS110" s="6"/>
      <c r="AT110" s="6" t="s">
        <v>3286</v>
      </c>
      <c r="AU110" s="6" t="s">
        <v>3216</v>
      </c>
      <c r="AV110" s="241"/>
      <c r="AW110" s="241"/>
      <c r="AX110" s="241"/>
      <c r="AY110" s="299"/>
      <c r="AZ110" s="241"/>
      <c r="BA110" s="241"/>
      <c r="BB110" s="241"/>
      <c r="BC110" s="241"/>
      <c r="BD110" s="241"/>
      <c r="BE110" s="241"/>
      <c r="BF110" s="241"/>
      <c r="BG110" s="299"/>
      <c r="BH110" s="241"/>
      <c r="BI110" s="241"/>
      <c r="BJ110" s="241"/>
      <c r="BK110" s="241"/>
      <c r="BL110" s="241"/>
      <c r="BM110" s="241"/>
      <c r="BN110" s="241"/>
      <c r="BO110" s="299"/>
      <c r="BP110" s="241"/>
      <c r="BQ110" s="241"/>
      <c r="BR110" s="241"/>
      <c r="BS110" s="241"/>
      <c r="BT110" s="241"/>
      <c r="BU110" s="241"/>
      <c r="BV110" s="299"/>
      <c r="BW110" s="241"/>
      <c r="BX110" s="241"/>
      <c r="BY110" s="241"/>
      <c r="BZ110" s="241"/>
      <c r="CA110" s="160" t="s">
        <v>3190</v>
      </c>
      <c r="CB110" s="160" t="s">
        <v>3191</v>
      </c>
      <c r="CC110" s="304"/>
      <c r="CD110" s="9"/>
      <c r="CE110" s="304"/>
      <c r="CF110" s="9"/>
      <c r="CG110" s="304"/>
      <c r="CH110" s="9"/>
      <c r="CI110" s="241"/>
      <c r="CJ110" s="241"/>
      <c r="CK110" s="241"/>
      <c r="CL110" s="241"/>
      <c r="CM110" s="241"/>
      <c r="CN110" s="241"/>
      <c r="CO110" s="241"/>
      <c r="CP110" s="241"/>
      <c r="CQ110" s="241"/>
      <c r="CR110" s="241"/>
      <c r="CS110" s="241"/>
      <c r="CT110" s="241"/>
      <c r="CU110" s="241"/>
      <c r="CV110" s="241"/>
      <c r="CW110" s="241"/>
      <c r="CX110" s="241"/>
      <c r="CY110" s="27"/>
      <c r="CZ110" s="27"/>
      <c r="DA110" s="27"/>
    </row>
    <row r="111" spans="1:105" ht="48">
      <c r="A111" s="8">
        <v>35</v>
      </c>
      <c r="B111" s="143" t="s">
        <v>5475</v>
      </c>
      <c r="C111" s="182" t="s">
        <v>5476</v>
      </c>
      <c r="D111" s="9" t="s">
        <v>5477</v>
      </c>
      <c r="E111" s="6" t="s">
        <v>5464</v>
      </c>
      <c r="F111" s="8">
        <v>2023</v>
      </c>
      <c r="G111" s="8">
        <v>2023</v>
      </c>
      <c r="H111" s="8">
        <v>3</v>
      </c>
      <c r="I111" s="6" t="s">
        <v>5298</v>
      </c>
      <c r="J111" s="6" t="s">
        <v>5758</v>
      </c>
      <c r="K111" s="458">
        <v>7432000</v>
      </c>
      <c r="L111" s="458">
        <v>7000000</v>
      </c>
      <c r="M111" s="6" t="s">
        <v>3091</v>
      </c>
      <c r="N111" s="207">
        <v>4</v>
      </c>
      <c r="O111" s="6" t="s">
        <v>5465</v>
      </c>
      <c r="P111" s="9" t="s">
        <v>3223</v>
      </c>
      <c r="Q111" s="8" t="s">
        <v>3215</v>
      </c>
      <c r="R111" s="8" t="s">
        <v>3923</v>
      </c>
      <c r="S111" s="164" t="s">
        <v>5478</v>
      </c>
      <c r="T111" s="7" t="s">
        <v>8</v>
      </c>
      <c r="U111" s="164" t="s">
        <v>1017</v>
      </c>
      <c r="V111" s="458">
        <v>7000000</v>
      </c>
      <c r="W111" s="33" t="s">
        <v>172</v>
      </c>
      <c r="X111" s="33" t="s">
        <v>160</v>
      </c>
      <c r="Y111" s="33"/>
      <c r="Z111" s="6" t="s">
        <v>3281</v>
      </c>
      <c r="AA111" s="6" t="s">
        <v>3216</v>
      </c>
      <c r="AB111" s="8">
        <v>8140</v>
      </c>
      <c r="AC111" s="8">
        <v>72019</v>
      </c>
      <c r="AD111" s="33">
        <v>6787821</v>
      </c>
      <c r="AE111" s="164" t="s">
        <v>1756</v>
      </c>
      <c r="AF111" s="33" t="s">
        <v>43</v>
      </c>
      <c r="AG111" s="458">
        <v>7000000</v>
      </c>
      <c r="AH111" s="6" t="s">
        <v>172</v>
      </c>
      <c r="AI111" s="6"/>
      <c r="AJ111" s="6"/>
      <c r="AK111" s="6" t="s">
        <v>3281</v>
      </c>
      <c r="AL111" s="6" t="s">
        <v>3216</v>
      </c>
      <c r="AM111" s="33">
        <v>6784457</v>
      </c>
      <c r="AN111" s="164" t="s">
        <v>1754</v>
      </c>
      <c r="AO111" s="33" t="s">
        <v>44</v>
      </c>
      <c r="AP111" s="458">
        <v>7000000</v>
      </c>
      <c r="AQ111" s="6" t="s">
        <v>172</v>
      </c>
      <c r="AR111" s="6"/>
      <c r="AS111" s="6"/>
      <c r="AT111" s="6" t="s">
        <v>3281</v>
      </c>
      <c r="AU111" s="6" t="s">
        <v>3216</v>
      </c>
      <c r="AV111" s="33"/>
      <c r="AW111" s="33"/>
      <c r="AX111" s="33"/>
      <c r="AY111" s="233"/>
      <c r="AZ111" s="33"/>
      <c r="BA111" s="33"/>
      <c r="BB111" s="33"/>
      <c r="BC111" s="33"/>
      <c r="BD111" s="33"/>
      <c r="BE111" s="33"/>
      <c r="BF111" s="33"/>
      <c r="BG111" s="233"/>
      <c r="BH111" s="33"/>
      <c r="BI111" s="33"/>
      <c r="BJ111" s="33"/>
      <c r="BK111" s="33"/>
      <c r="BL111" s="33"/>
      <c r="BM111" s="33"/>
      <c r="BN111" s="33"/>
      <c r="BO111" s="233"/>
      <c r="BP111" s="33"/>
      <c r="BQ111" s="33"/>
      <c r="BR111" s="33"/>
      <c r="BS111" s="33"/>
      <c r="BT111" s="33"/>
      <c r="BU111" s="33"/>
      <c r="BV111" s="233"/>
      <c r="BW111" s="33"/>
      <c r="BX111" s="33"/>
      <c r="BY111" s="33"/>
      <c r="BZ111" s="33"/>
      <c r="CA111" s="160" t="s">
        <v>3190</v>
      </c>
      <c r="CB111" s="160" t="s">
        <v>3191</v>
      </c>
      <c r="CC111" s="7" t="s">
        <v>1936</v>
      </c>
      <c r="CD111" s="33"/>
      <c r="CE111" s="7" t="s">
        <v>5479</v>
      </c>
      <c r="CF111" s="33"/>
      <c r="CG111" s="33" t="s">
        <v>2137</v>
      </c>
      <c r="CH111" s="33"/>
      <c r="CI111" s="7" t="s">
        <v>5480</v>
      </c>
      <c r="CJ111" s="33"/>
      <c r="CK111" s="33"/>
      <c r="CL111" s="33"/>
      <c r="CM111" s="33"/>
      <c r="CN111" s="33"/>
      <c r="CO111" s="33"/>
      <c r="CP111" s="33"/>
      <c r="CQ111" s="33"/>
      <c r="CR111" s="33"/>
      <c r="CS111" s="7" t="s">
        <v>3251</v>
      </c>
      <c r="CT111" s="7"/>
      <c r="CU111" s="7" t="s">
        <v>4991</v>
      </c>
      <c r="CV111" s="33"/>
      <c r="CW111" s="33"/>
      <c r="CX111" s="33"/>
      <c r="CY111" s="147"/>
      <c r="CZ111" s="147"/>
      <c r="DA111" s="147"/>
    </row>
    <row r="112" spans="1:105" ht="36">
      <c r="A112" s="169">
        <v>36</v>
      </c>
      <c r="B112" s="143" t="s">
        <v>5475</v>
      </c>
      <c r="C112" s="330" t="s">
        <v>5481</v>
      </c>
      <c r="D112" s="4" t="s">
        <v>5482</v>
      </c>
      <c r="E112" s="165" t="s">
        <v>5464</v>
      </c>
      <c r="F112" s="135">
        <v>2023</v>
      </c>
      <c r="G112" s="135">
        <v>2023</v>
      </c>
      <c r="H112" s="135">
        <v>3</v>
      </c>
      <c r="I112" s="165" t="s">
        <v>5289</v>
      </c>
      <c r="J112" s="165" t="s">
        <v>5759</v>
      </c>
      <c r="K112" s="465">
        <v>7000000</v>
      </c>
      <c r="L112" s="465">
        <v>7000000</v>
      </c>
      <c r="M112" s="165" t="s">
        <v>3091</v>
      </c>
      <c r="N112" s="514">
        <v>3</v>
      </c>
      <c r="O112" s="165" t="s">
        <v>5465</v>
      </c>
      <c r="P112" s="9" t="s">
        <v>3223</v>
      </c>
      <c r="Q112" s="135" t="s">
        <v>3215</v>
      </c>
      <c r="R112" s="135" t="s">
        <v>3923</v>
      </c>
      <c r="S112" s="167">
        <v>6680618</v>
      </c>
      <c r="T112" s="171" t="s">
        <v>24</v>
      </c>
      <c r="U112" s="170" t="s">
        <v>1737</v>
      </c>
      <c r="V112" s="465">
        <v>7000000</v>
      </c>
      <c r="W112" s="165" t="s">
        <v>160</v>
      </c>
      <c r="X112" s="165"/>
      <c r="Y112" s="165"/>
      <c r="Z112" s="165" t="s">
        <v>3281</v>
      </c>
      <c r="AA112" s="165" t="s">
        <v>3216</v>
      </c>
      <c r="AB112" s="135">
        <v>8140</v>
      </c>
      <c r="AC112" s="135">
        <v>72019</v>
      </c>
      <c r="AD112" s="167">
        <v>6681051</v>
      </c>
      <c r="AE112" s="170" t="s">
        <v>1657</v>
      </c>
      <c r="AF112" s="167" t="s">
        <v>6</v>
      </c>
      <c r="AG112" s="465">
        <v>7000000</v>
      </c>
      <c r="AH112" s="165" t="s">
        <v>160</v>
      </c>
      <c r="AI112" s="165"/>
      <c r="AJ112" s="165"/>
      <c r="AK112" s="165" t="s">
        <v>3281</v>
      </c>
      <c r="AL112" s="165" t="s">
        <v>3216</v>
      </c>
      <c r="AM112" s="167">
        <v>6681205</v>
      </c>
      <c r="AN112" s="170" t="s">
        <v>1705</v>
      </c>
      <c r="AO112" s="167" t="s">
        <v>48</v>
      </c>
      <c r="AP112" s="465">
        <v>7000000</v>
      </c>
      <c r="AQ112" s="165" t="s">
        <v>156</v>
      </c>
      <c r="AR112" s="165"/>
      <c r="AS112" s="165"/>
      <c r="AT112" s="165" t="s">
        <v>3286</v>
      </c>
      <c r="AU112" s="165" t="s">
        <v>3216</v>
      </c>
      <c r="AV112" s="167"/>
      <c r="AW112" s="167"/>
      <c r="AX112" s="167"/>
      <c r="AY112" s="249"/>
      <c r="AZ112" s="167"/>
      <c r="BA112" s="167"/>
      <c r="BB112" s="167"/>
      <c r="BC112" s="167"/>
      <c r="BD112" s="167"/>
      <c r="BE112" s="167"/>
      <c r="BF112" s="167"/>
      <c r="BG112" s="249"/>
      <c r="BH112" s="167"/>
      <c r="BI112" s="167"/>
      <c r="BJ112" s="167"/>
      <c r="BK112" s="167"/>
      <c r="BL112" s="167"/>
      <c r="BM112" s="167"/>
      <c r="BN112" s="167"/>
      <c r="BO112" s="249"/>
      <c r="BP112" s="167"/>
      <c r="BQ112" s="167"/>
      <c r="BR112" s="167"/>
      <c r="BS112" s="167"/>
      <c r="BT112" s="167"/>
      <c r="BU112" s="167"/>
      <c r="BV112" s="249"/>
      <c r="BW112" s="167"/>
      <c r="BX112" s="167"/>
      <c r="BY112" s="167"/>
      <c r="BZ112" s="167"/>
      <c r="CA112" s="160" t="s">
        <v>3190</v>
      </c>
      <c r="CB112" s="163" t="s">
        <v>3191</v>
      </c>
      <c r="CC112" s="171" t="s">
        <v>5483</v>
      </c>
      <c r="CD112" s="167"/>
      <c r="CE112" s="167" t="s">
        <v>5484</v>
      </c>
      <c r="CF112" s="167"/>
      <c r="CG112" s="167"/>
      <c r="CH112" s="167"/>
      <c r="CI112" s="167"/>
      <c r="CJ112" s="167"/>
      <c r="CK112" s="167"/>
      <c r="CL112" s="167"/>
      <c r="CM112" s="167"/>
      <c r="CN112" s="167"/>
      <c r="CO112" s="167"/>
      <c r="CP112" s="167"/>
      <c r="CQ112" s="167"/>
      <c r="CR112" s="167"/>
      <c r="CS112" s="167" t="s">
        <v>5294</v>
      </c>
      <c r="CT112" s="167" t="s">
        <v>5485</v>
      </c>
      <c r="CU112" s="167" t="s">
        <v>5486</v>
      </c>
      <c r="CV112" s="167"/>
      <c r="CW112" s="167"/>
      <c r="CX112" s="167"/>
      <c r="CY112" s="129"/>
      <c r="CZ112" s="129"/>
      <c r="DA112" s="129"/>
    </row>
    <row r="113" spans="1:105" ht="36">
      <c r="A113" s="8">
        <v>37</v>
      </c>
      <c r="B113" s="6" t="s">
        <v>942</v>
      </c>
      <c r="C113" s="6" t="s">
        <v>942</v>
      </c>
      <c r="D113" s="9" t="s">
        <v>5487</v>
      </c>
      <c r="E113" s="8" t="s">
        <v>5276</v>
      </c>
      <c r="F113" s="135">
        <v>2023</v>
      </c>
      <c r="G113" s="135">
        <v>2023</v>
      </c>
      <c r="H113" s="8">
        <v>6</v>
      </c>
      <c r="I113" s="6" t="s">
        <v>5298</v>
      </c>
      <c r="J113" s="6"/>
      <c r="K113" s="466" t="s">
        <v>5488</v>
      </c>
      <c r="L113" s="466" t="s">
        <v>5488</v>
      </c>
      <c r="M113" s="165" t="s">
        <v>3091</v>
      </c>
      <c r="N113" s="8">
        <v>6</v>
      </c>
      <c r="O113" s="6" t="s">
        <v>5489</v>
      </c>
      <c r="P113" s="9" t="s">
        <v>3223</v>
      </c>
      <c r="Q113" s="8"/>
      <c r="R113" s="8" t="s">
        <v>3077</v>
      </c>
      <c r="S113" s="8">
        <v>6859016</v>
      </c>
      <c r="T113" s="7" t="s">
        <v>3126</v>
      </c>
      <c r="U113" s="162" t="s">
        <v>2497</v>
      </c>
      <c r="V113" s="292"/>
      <c r="W113" s="165" t="s">
        <v>155</v>
      </c>
      <c r="X113" s="165"/>
      <c r="Y113" s="165"/>
      <c r="Z113" s="165" t="s">
        <v>3281</v>
      </c>
      <c r="AA113" s="165" t="s">
        <v>3216</v>
      </c>
      <c r="AB113" s="135">
        <v>8140</v>
      </c>
      <c r="AC113" s="135">
        <v>72019</v>
      </c>
      <c r="AD113" s="8">
        <v>258471</v>
      </c>
      <c r="AE113" s="162" t="s">
        <v>3504</v>
      </c>
      <c r="AF113" s="9" t="s">
        <v>60</v>
      </c>
      <c r="AG113" s="292"/>
      <c r="AH113" s="8" t="s">
        <v>155</v>
      </c>
      <c r="AI113" s="8"/>
      <c r="AJ113" s="8"/>
      <c r="AK113" s="165" t="s">
        <v>3281</v>
      </c>
      <c r="AL113" s="165" t="s">
        <v>3216</v>
      </c>
      <c r="AM113" s="8">
        <v>6680612</v>
      </c>
      <c r="AN113" s="162" t="s">
        <v>960</v>
      </c>
      <c r="AO113" s="6" t="s">
        <v>19</v>
      </c>
      <c r="AP113" s="292"/>
      <c r="AQ113" s="6" t="s">
        <v>155</v>
      </c>
      <c r="AR113" s="6"/>
      <c r="AS113" s="6"/>
      <c r="AT113" s="6" t="s">
        <v>3224</v>
      </c>
      <c r="AU113" s="6" t="s">
        <v>3216</v>
      </c>
      <c r="AV113" s="8"/>
      <c r="AW113" s="8"/>
      <c r="AX113" s="8"/>
      <c r="AY113" s="292"/>
      <c r="AZ113" s="8"/>
      <c r="BA113" s="8"/>
      <c r="BB113" s="8"/>
      <c r="BC113" s="8"/>
      <c r="BD113" s="8"/>
      <c r="BE113" s="8"/>
      <c r="BF113" s="8"/>
      <c r="BG113" s="292"/>
      <c r="BH113" s="8"/>
      <c r="BI113" s="8"/>
      <c r="BJ113" s="8"/>
      <c r="BK113" s="8"/>
      <c r="BL113" s="8"/>
      <c r="BM113" s="8"/>
      <c r="BN113" s="8"/>
      <c r="BO113" s="292"/>
      <c r="BP113" s="8"/>
      <c r="BQ113" s="8"/>
      <c r="BR113" s="8"/>
      <c r="BS113" s="8"/>
      <c r="BT113" s="8"/>
      <c r="BU113" s="8"/>
      <c r="BV113" s="292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147"/>
      <c r="CZ113" s="147"/>
      <c r="DA113" s="147"/>
    </row>
    <row r="114" spans="1:105" ht="36">
      <c r="A114" s="169">
        <v>38</v>
      </c>
      <c r="B114" s="143" t="s">
        <v>5490</v>
      </c>
      <c r="C114" s="6" t="s">
        <v>942</v>
      </c>
      <c r="D114" s="166" t="s">
        <v>5491</v>
      </c>
      <c r="E114" s="165" t="s">
        <v>5276</v>
      </c>
      <c r="F114" s="135">
        <v>2023</v>
      </c>
      <c r="G114" s="135">
        <v>2023</v>
      </c>
      <c r="H114" s="135">
        <v>9</v>
      </c>
      <c r="I114" s="165" t="s">
        <v>5298</v>
      </c>
      <c r="J114" s="165"/>
      <c r="K114" s="465">
        <v>30000000</v>
      </c>
      <c r="L114" s="465">
        <v>30000000</v>
      </c>
      <c r="M114" s="165" t="s">
        <v>3091</v>
      </c>
      <c r="N114" s="514"/>
      <c r="O114" s="165" t="s">
        <v>5489</v>
      </c>
      <c r="P114" s="166" t="s">
        <v>3077</v>
      </c>
      <c r="Q114" s="135" t="s">
        <v>3215</v>
      </c>
      <c r="R114" s="8" t="s">
        <v>3077</v>
      </c>
      <c r="S114" s="8">
        <v>258471</v>
      </c>
      <c r="T114" s="171" t="s">
        <v>60</v>
      </c>
      <c r="U114" s="162" t="s">
        <v>3504</v>
      </c>
      <c r="V114" s="245">
        <f t="shared" ref="V114:V120" si="1">L114/6</f>
        <v>5000000</v>
      </c>
      <c r="W114" s="165" t="s">
        <v>155</v>
      </c>
      <c r="X114" s="165"/>
      <c r="Y114" s="165"/>
      <c r="Z114" s="165" t="s">
        <v>3281</v>
      </c>
      <c r="AA114" s="165" t="s">
        <v>3216</v>
      </c>
      <c r="AB114" s="135">
        <v>8140</v>
      </c>
      <c r="AC114" s="135">
        <v>72019</v>
      </c>
      <c r="AD114" s="13">
        <v>6680612</v>
      </c>
      <c r="AE114" s="16" t="s">
        <v>960</v>
      </c>
      <c r="AF114" s="167" t="s">
        <v>19</v>
      </c>
      <c r="AG114" s="248">
        <f t="shared" ref="AG114:AG120" si="2">L114/6</f>
        <v>5000000</v>
      </c>
      <c r="AH114" s="8" t="s">
        <v>155</v>
      </c>
      <c r="AI114" s="8"/>
      <c r="AJ114" s="8"/>
      <c r="AK114" s="165" t="s">
        <v>3281</v>
      </c>
      <c r="AL114" s="165" t="s">
        <v>3216</v>
      </c>
      <c r="AM114" s="13">
        <v>6680651</v>
      </c>
      <c r="AN114" s="16" t="s">
        <v>1016</v>
      </c>
      <c r="AO114" s="167" t="s">
        <v>12</v>
      </c>
      <c r="AP114" s="248">
        <f t="shared" ref="AP114:AP120" si="3">L114/6</f>
        <v>5000000</v>
      </c>
      <c r="AQ114" s="6" t="s">
        <v>155</v>
      </c>
      <c r="AR114" s="6"/>
      <c r="AS114" s="6"/>
      <c r="AT114" s="165" t="s">
        <v>3281</v>
      </c>
      <c r="AU114" s="6" t="s">
        <v>3216</v>
      </c>
      <c r="AV114" s="167">
        <v>6680631</v>
      </c>
      <c r="AW114" s="170" t="s">
        <v>1770</v>
      </c>
      <c r="AX114" s="167" t="s">
        <v>77</v>
      </c>
      <c r="AY114" s="248">
        <f t="shared" ref="AY114:AY120" si="4">L114/6</f>
        <v>5000000</v>
      </c>
      <c r="AZ114" s="6" t="s">
        <v>155</v>
      </c>
      <c r="BA114" s="6"/>
      <c r="BB114" s="165" t="s">
        <v>3281</v>
      </c>
      <c r="BC114" s="6" t="s">
        <v>3216</v>
      </c>
      <c r="BD114" s="167">
        <v>6898606</v>
      </c>
      <c r="BE114" s="170" t="s">
        <v>2460</v>
      </c>
      <c r="BF114" s="167" t="s">
        <v>198</v>
      </c>
      <c r="BG114" s="248">
        <f t="shared" ref="BG114:BG120" si="5">L114/6</f>
        <v>5000000</v>
      </c>
      <c r="BH114" s="165" t="s">
        <v>151</v>
      </c>
      <c r="BI114" s="165"/>
      <c r="BJ114" s="165" t="s">
        <v>3281</v>
      </c>
      <c r="BK114" s="6" t="s">
        <v>3216</v>
      </c>
      <c r="BL114" s="167"/>
      <c r="BM114" s="170" t="s">
        <v>1963</v>
      </c>
      <c r="BN114" s="513" t="s">
        <v>140</v>
      </c>
      <c r="BO114" s="248">
        <f t="shared" ref="BO114:BO120" si="6">L114/6</f>
        <v>5000000</v>
      </c>
      <c r="BP114" s="6" t="s">
        <v>155</v>
      </c>
      <c r="BQ114" s="165" t="s">
        <v>3281</v>
      </c>
      <c r="BR114" s="6" t="s">
        <v>3216</v>
      </c>
      <c r="BS114" s="167"/>
      <c r="BT114" s="167"/>
      <c r="BU114" s="167"/>
      <c r="BV114" s="249"/>
      <c r="BW114" s="167"/>
      <c r="BX114" s="167"/>
      <c r="BY114" s="167"/>
      <c r="BZ114" s="167"/>
      <c r="CA114" s="160"/>
      <c r="CB114" s="8"/>
      <c r="CC114" s="171"/>
      <c r="CD114" s="167"/>
      <c r="CE114" s="167"/>
      <c r="CF114" s="167"/>
      <c r="CG114" s="167"/>
      <c r="CH114" s="167"/>
      <c r="CI114" s="167"/>
      <c r="CJ114" s="167"/>
      <c r="CK114" s="167"/>
      <c r="CL114" s="167"/>
      <c r="CM114" s="167"/>
      <c r="CN114" s="167"/>
      <c r="CO114" s="167"/>
      <c r="CP114" s="167"/>
      <c r="CQ114" s="167"/>
      <c r="CR114" s="167"/>
      <c r="CS114" s="167"/>
      <c r="CT114" s="167"/>
      <c r="CU114" s="167"/>
      <c r="CV114" s="167"/>
      <c r="CW114" s="167"/>
      <c r="CX114" s="167"/>
      <c r="CY114" s="147"/>
      <c r="CZ114" s="147"/>
      <c r="DA114" s="147"/>
    </row>
    <row r="115" spans="1:105" ht="36">
      <c r="A115" s="169">
        <v>39</v>
      </c>
      <c r="B115" s="143" t="s">
        <v>5492</v>
      </c>
      <c r="C115" s="6" t="s">
        <v>942</v>
      </c>
      <c r="D115" s="166" t="s">
        <v>5493</v>
      </c>
      <c r="E115" s="165" t="s">
        <v>5276</v>
      </c>
      <c r="F115" s="135">
        <v>2023</v>
      </c>
      <c r="G115" s="135">
        <v>2023</v>
      </c>
      <c r="H115" s="135">
        <v>9</v>
      </c>
      <c r="I115" s="165" t="s">
        <v>5298</v>
      </c>
      <c r="J115" s="165"/>
      <c r="K115" s="465">
        <v>10000000</v>
      </c>
      <c r="L115" s="465">
        <v>10000000</v>
      </c>
      <c r="M115" s="165" t="s">
        <v>3091</v>
      </c>
      <c r="N115" s="514"/>
      <c r="O115" s="165" t="s">
        <v>5489</v>
      </c>
      <c r="P115" s="166" t="s">
        <v>3077</v>
      </c>
      <c r="Q115" s="135" t="s">
        <v>3215</v>
      </c>
      <c r="R115" s="8" t="s">
        <v>3077</v>
      </c>
      <c r="S115" s="135">
        <v>6898606</v>
      </c>
      <c r="T115" s="171" t="s">
        <v>198</v>
      </c>
      <c r="U115" s="168">
        <v>7700018303</v>
      </c>
      <c r="V115" s="245">
        <f t="shared" si="1"/>
        <v>1666666.6666666667</v>
      </c>
      <c r="W115" s="165" t="s">
        <v>151</v>
      </c>
      <c r="X115" s="165"/>
      <c r="Y115" s="165"/>
      <c r="Z115" s="165" t="s">
        <v>3281</v>
      </c>
      <c r="AA115" s="165" t="s">
        <v>3216</v>
      </c>
      <c r="AB115" s="135">
        <v>8140</v>
      </c>
      <c r="AC115" s="135">
        <v>72019</v>
      </c>
      <c r="AD115" s="246">
        <v>6843797</v>
      </c>
      <c r="AE115" s="247" t="s">
        <v>2418</v>
      </c>
      <c r="AF115" s="167" t="s">
        <v>190</v>
      </c>
      <c r="AG115" s="248">
        <f t="shared" si="2"/>
        <v>1666666.6666666667</v>
      </c>
      <c r="AH115" s="165" t="s">
        <v>151</v>
      </c>
      <c r="AI115" s="165"/>
      <c r="AJ115" s="165"/>
      <c r="AK115" s="165" t="s">
        <v>3281</v>
      </c>
      <c r="AL115" s="165" t="s">
        <v>3216</v>
      </c>
      <c r="AM115" s="138">
        <v>210955</v>
      </c>
      <c r="AN115" s="140" t="s">
        <v>2404</v>
      </c>
      <c r="AO115" s="167" t="s">
        <v>97</v>
      </c>
      <c r="AP115" s="248">
        <f t="shared" si="3"/>
        <v>1666666.6666666667</v>
      </c>
      <c r="AQ115" s="165" t="s">
        <v>151</v>
      </c>
      <c r="AR115" s="165" t="s">
        <v>166</v>
      </c>
      <c r="AS115" s="165" t="s">
        <v>155</v>
      </c>
      <c r="AT115" s="165" t="s">
        <v>3281</v>
      </c>
      <c r="AU115" s="6" t="s">
        <v>3216</v>
      </c>
      <c r="AV115" s="167"/>
      <c r="AW115" s="170" t="s">
        <v>1963</v>
      </c>
      <c r="AX115" s="513" t="s">
        <v>140</v>
      </c>
      <c r="AY115" s="248">
        <f t="shared" si="4"/>
        <v>1666666.6666666667</v>
      </c>
      <c r="AZ115" s="6" t="s">
        <v>155</v>
      </c>
      <c r="BA115" s="6"/>
      <c r="BB115" s="165" t="s">
        <v>3281</v>
      </c>
      <c r="BC115" s="6" t="s">
        <v>3216</v>
      </c>
      <c r="BD115" s="167">
        <v>258471</v>
      </c>
      <c r="BE115" s="170" t="s">
        <v>3504</v>
      </c>
      <c r="BF115" s="167" t="s">
        <v>60</v>
      </c>
      <c r="BG115" s="248">
        <f t="shared" si="5"/>
        <v>1666666.6666666667</v>
      </c>
      <c r="BH115" s="6" t="s">
        <v>155</v>
      </c>
      <c r="BI115" s="6"/>
      <c r="BJ115" s="165" t="s">
        <v>3281</v>
      </c>
      <c r="BK115" s="6" t="s">
        <v>3216</v>
      </c>
      <c r="BL115" s="167">
        <v>6868847</v>
      </c>
      <c r="BM115" s="170" t="s">
        <v>2393</v>
      </c>
      <c r="BN115" s="167" t="s">
        <v>195</v>
      </c>
      <c r="BO115" s="248">
        <f t="shared" si="6"/>
        <v>1666666.6666666667</v>
      </c>
      <c r="BP115" s="167" t="s">
        <v>164</v>
      </c>
      <c r="BQ115" s="165" t="s">
        <v>3286</v>
      </c>
      <c r="BR115" s="6" t="s">
        <v>3216</v>
      </c>
      <c r="BS115" s="167"/>
      <c r="BT115" s="167"/>
      <c r="BU115" s="167"/>
      <c r="BV115" s="249"/>
      <c r="BW115" s="167"/>
      <c r="BX115" s="167"/>
      <c r="BY115" s="167"/>
      <c r="BZ115" s="167"/>
      <c r="CA115" s="160"/>
      <c r="CB115" s="8"/>
      <c r="CC115" s="171"/>
      <c r="CD115" s="167"/>
      <c r="CE115" s="167"/>
      <c r="CF115" s="167"/>
      <c r="CG115" s="167"/>
      <c r="CH115" s="167"/>
      <c r="CI115" s="167"/>
      <c r="CJ115" s="167"/>
      <c r="CK115" s="167"/>
      <c r="CL115" s="167"/>
      <c r="CM115" s="167"/>
      <c r="CN115" s="167"/>
      <c r="CO115" s="167"/>
      <c r="CP115" s="167"/>
      <c r="CQ115" s="167"/>
      <c r="CR115" s="167"/>
      <c r="CS115" s="167"/>
      <c r="CT115" s="167"/>
      <c r="CU115" s="167"/>
      <c r="CV115" s="167"/>
      <c r="CW115" s="167"/>
      <c r="CX115" s="167"/>
      <c r="CY115" s="147"/>
      <c r="CZ115" s="147"/>
      <c r="DA115" s="147"/>
    </row>
    <row r="116" spans="1:105" ht="36">
      <c r="A116" s="169">
        <v>40</v>
      </c>
      <c r="B116" s="143" t="s">
        <v>5494</v>
      </c>
      <c r="C116" s="6" t="s">
        <v>942</v>
      </c>
      <c r="D116" s="166" t="s">
        <v>5495</v>
      </c>
      <c r="E116" s="165" t="s">
        <v>5276</v>
      </c>
      <c r="F116" s="135">
        <v>2023</v>
      </c>
      <c r="G116" s="135">
        <v>2023</v>
      </c>
      <c r="H116" s="135">
        <v>9</v>
      </c>
      <c r="I116" s="165" t="s">
        <v>5298</v>
      </c>
      <c r="J116" s="165"/>
      <c r="K116" s="465">
        <v>30000000</v>
      </c>
      <c r="L116" s="465">
        <v>30000000</v>
      </c>
      <c r="M116" s="165" t="s">
        <v>3091</v>
      </c>
      <c r="N116" s="514"/>
      <c r="O116" s="165" t="s">
        <v>5489</v>
      </c>
      <c r="P116" s="166" t="s">
        <v>3077</v>
      </c>
      <c r="Q116" s="135" t="s">
        <v>3215</v>
      </c>
      <c r="R116" s="8" t="s">
        <v>3077</v>
      </c>
      <c r="S116" s="8">
        <v>6680633</v>
      </c>
      <c r="T116" s="171" t="s">
        <v>18</v>
      </c>
      <c r="U116" s="190" t="s">
        <v>3322</v>
      </c>
      <c r="V116" s="245">
        <f t="shared" si="1"/>
        <v>5000000</v>
      </c>
      <c r="W116" s="165" t="s">
        <v>156</v>
      </c>
      <c r="X116" s="165" t="s">
        <v>166</v>
      </c>
      <c r="Y116" s="165"/>
      <c r="Z116" s="165" t="s">
        <v>3281</v>
      </c>
      <c r="AA116" s="165" t="s">
        <v>3216</v>
      </c>
      <c r="AB116" s="135">
        <v>8140</v>
      </c>
      <c r="AC116" s="135">
        <v>72019</v>
      </c>
      <c r="AD116" s="241">
        <v>6801945</v>
      </c>
      <c r="AE116" s="242" t="s">
        <v>1723</v>
      </c>
      <c r="AF116" s="167" t="s">
        <v>134</v>
      </c>
      <c r="AG116" s="248">
        <f t="shared" si="2"/>
        <v>5000000</v>
      </c>
      <c r="AH116" s="165" t="s">
        <v>156</v>
      </c>
      <c r="AI116" s="165"/>
      <c r="AJ116" s="165"/>
      <c r="AK116" s="165" t="s">
        <v>3286</v>
      </c>
      <c r="AL116" s="165" t="s">
        <v>3216</v>
      </c>
      <c r="AM116" s="6">
        <v>6833162</v>
      </c>
      <c r="AN116" s="6">
        <v>701069701</v>
      </c>
      <c r="AO116" s="167" t="s">
        <v>139</v>
      </c>
      <c r="AP116" s="248">
        <f t="shared" si="3"/>
        <v>5000000</v>
      </c>
      <c r="AQ116" s="165" t="s">
        <v>3093</v>
      </c>
      <c r="AR116" s="165"/>
      <c r="AS116" s="165"/>
      <c r="AT116" s="165" t="s">
        <v>3286</v>
      </c>
      <c r="AU116" s="6" t="s">
        <v>3216</v>
      </c>
      <c r="AV116" s="167">
        <v>6793410</v>
      </c>
      <c r="AW116" s="170" t="s">
        <v>947</v>
      </c>
      <c r="AX116" s="167" t="s">
        <v>79</v>
      </c>
      <c r="AY116" s="248">
        <f t="shared" si="4"/>
        <v>5000000</v>
      </c>
      <c r="AZ116" s="165" t="s">
        <v>175</v>
      </c>
      <c r="BA116" s="165"/>
      <c r="BB116" s="165" t="s">
        <v>3286</v>
      </c>
      <c r="BC116" s="6" t="s">
        <v>3216</v>
      </c>
      <c r="BD116" s="167">
        <v>6859016</v>
      </c>
      <c r="BE116" s="170" t="s">
        <v>2497</v>
      </c>
      <c r="BF116" s="167" t="s">
        <v>52</v>
      </c>
      <c r="BG116" s="248">
        <f t="shared" si="5"/>
        <v>5000000</v>
      </c>
      <c r="BH116" s="6" t="s">
        <v>155</v>
      </c>
      <c r="BI116" s="6"/>
      <c r="BJ116" s="165" t="s">
        <v>3281</v>
      </c>
      <c r="BK116" s="6" t="s">
        <v>3216</v>
      </c>
      <c r="BL116" s="167"/>
      <c r="BM116" s="170" t="s">
        <v>1963</v>
      </c>
      <c r="BN116" s="513" t="s">
        <v>140</v>
      </c>
      <c r="BO116" s="248">
        <f t="shared" si="6"/>
        <v>5000000</v>
      </c>
      <c r="BP116" s="6" t="s">
        <v>155</v>
      </c>
      <c r="BQ116" s="165" t="s">
        <v>3281</v>
      </c>
      <c r="BR116" s="6" t="s">
        <v>3216</v>
      </c>
      <c r="BS116" s="167"/>
      <c r="BT116" s="167"/>
      <c r="BU116" s="167"/>
      <c r="BV116" s="249"/>
      <c r="BW116" s="167"/>
      <c r="BX116" s="167"/>
      <c r="BY116" s="167"/>
      <c r="BZ116" s="167"/>
      <c r="CA116" s="160"/>
      <c r="CB116" s="8"/>
      <c r="CC116" s="171"/>
      <c r="CD116" s="167"/>
      <c r="CE116" s="167"/>
      <c r="CF116" s="167"/>
      <c r="CG116" s="167"/>
      <c r="CH116" s="167"/>
      <c r="CI116" s="167"/>
      <c r="CJ116" s="167"/>
      <c r="CK116" s="167"/>
      <c r="CL116" s="167"/>
      <c r="CM116" s="167"/>
      <c r="CN116" s="167"/>
      <c r="CO116" s="167"/>
      <c r="CP116" s="167"/>
      <c r="CQ116" s="167"/>
      <c r="CR116" s="167"/>
      <c r="CS116" s="167"/>
      <c r="CT116" s="167"/>
      <c r="CU116" s="167"/>
      <c r="CV116" s="167"/>
      <c r="CW116" s="167"/>
      <c r="CX116" s="167"/>
      <c r="CY116" s="147"/>
      <c r="CZ116" s="147"/>
      <c r="DA116" s="147"/>
    </row>
    <row r="117" spans="1:105" ht="36">
      <c r="A117" s="169">
        <v>41</v>
      </c>
      <c r="B117" s="143" t="s">
        <v>5496</v>
      </c>
      <c r="C117" s="6" t="s">
        <v>942</v>
      </c>
      <c r="D117" s="166" t="s">
        <v>5497</v>
      </c>
      <c r="E117" s="165" t="s">
        <v>5276</v>
      </c>
      <c r="F117" s="135">
        <v>2023</v>
      </c>
      <c r="G117" s="135">
        <v>2023</v>
      </c>
      <c r="H117" s="135">
        <v>9</v>
      </c>
      <c r="I117" s="165" t="s">
        <v>5298</v>
      </c>
      <c r="J117" s="165"/>
      <c r="K117" s="465">
        <v>46586600</v>
      </c>
      <c r="L117" s="465">
        <v>46586600</v>
      </c>
      <c r="M117" s="165" t="s">
        <v>3091</v>
      </c>
      <c r="N117" s="514"/>
      <c r="O117" s="165" t="s">
        <v>5489</v>
      </c>
      <c r="P117" s="166" t="s">
        <v>3077</v>
      </c>
      <c r="Q117" s="135" t="s">
        <v>3215</v>
      </c>
      <c r="R117" s="8" t="s">
        <v>3077</v>
      </c>
      <c r="S117" s="8">
        <v>6680633</v>
      </c>
      <c r="T117" s="171" t="s">
        <v>18</v>
      </c>
      <c r="U117" s="190" t="s">
        <v>3322</v>
      </c>
      <c r="V117" s="245">
        <f t="shared" si="1"/>
        <v>7764433.333333333</v>
      </c>
      <c r="W117" s="165" t="s">
        <v>156</v>
      </c>
      <c r="X117" s="165" t="s">
        <v>166</v>
      </c>
      <c r="Y117" s="165"/>
      <c r="Z117" s="165" t="s">
        <v>3286</v>
      </c>
      <c r="AA117" s="165" t="s">
        <v>3216</v>
      </c>
      <c r="AB117" s="135">
        <v>8140</v>
      </c>
      <c r="AC117" s="135">
        <v>72019</v>
      </c>
      <c r="AD117" s="167">
        <v>6679083</v>
      </c>
      <c r="AE117" s="170" t="s">
        <v>2292</v>
      </c>
      <c r="AF117" s="167" t="s">
        <v>163</v>
      </c>
      <c r="AG117" s="248">
        <f t="shared" si="2"/>
        <v>7764433.333333333</v>
      </c>
      <c r="AH117" s="165" t="s">
        <v>156</v>
      </c>
      <c r="AI117" s="165"/>
      <c r="AJ117" s="165"/>
      <c r="AK117" s="165" t="s">
        <v>3286</v>
      </c>
      <c r="AL117" s="165" t="s">
        <v>3216</v>
      </c>
      <c r="AM117" s="8">
        <v>6760392</v>
      </c>
      <c r="AN117" s="10" t="s">
        <v>948</v>
      </c>
      <c r="AO117" s="167" t="s">
        <v>75</v>
      </c>
      <c r="AP117" s="248">
        <f t="shared" si="3"/>
        <v>7764433.333333333</v>
      </c>
      <c r="AQ117" s="165" t="s">
        <v>175</v>
      </c>
      <c r="AR117" s="165"/>
      <c r="AS117" s="165"/>
      <c r="AT117" s="165" t="s">
        <v>3286</v>
      </c>
      <c r="AU117" s="6" t="s">
        <v>3216</v>
      </c>
      <c r="AV117" s="167">
        <v>6680680</v>
      </c>
      <c r="AW117" s="170" t="s">
        <v>959</v>
      </c>
      <c r="AX117" s="167" t="s">
        <v>9</v>
      </c>
      <c r="AY117" s="248">
        <f t="shared" si="4"/>
        <v>7764433.333333333</v>
      </c>
      <c r="AZ117" s="165" t="s">
        <v>156</v>
      </c>
      <c r="BA117" s="165"/>
      <c r="BB117" s="165" t="s">
        <v>3286</v>
      </c>
      <c r="BC117" s="6" t="s">
        <v>3216</v>
      </c>
      <c r="BD117" s="167">
        <v>6843087</v>
      </c>
      <c r="BE117" s="170" t="s">
        <v>2010</v>
      </c>
      <c r="BF117" s="167" t="s">
        <v>41</v>
      </c>
      <c r="BG117" s="248">
        <f t="shared" si="5"/>
        <v>7764433.333333333</v>
      </c>
      <c r="BH117" s="167" t="s">
        <v>166</v>
      </c>
      <c r="BI117" s="167"/>
      <c r="BJ117" s="165" t="s">
        <v>3286</v>
      </c>
      <c r="BK117" s="6" t="s">
        <v>3216</v>
      </c>
      <c r="BL117" s="167"/>
      <c r="BM117" s="170" t="s">
        <v>1963</v>
      </c>
      <c r="BN117" s="513" t="s">
        <v>140</v>
      </c>
      <c r="BO117" s="248">
        <f t="shared" si="6"/>
        <v>7764433.333333333</v>
      </c>
      <c r="BP117" s="6" t="s">
        <v>155</v>
      </c>
      <c r="BQ117" s="165" t="s">
        <v>3281</v>
      </c>
      <c r="BR117" s="6" t="s">
        <v>3216</v>
      </c>
      <c r="BS117" s="167"/>
      <c r="BT117" s="167"/>
      <c r="BU117" s="167"/>
      <c r="BV117" s="249"/>
      <c r="BW117" s="167"/>
      <c r="BX117" s="167"/>
      <c r="BY117" s="167"/>
      <c r="BZ117" s="167"/>
      <c r="CA117" s="160"/>
      <c r="CB117" s="8"/>
      <c r="CC117" s="171"/>
      <c r="CD117" s="167"/>
      <c r="CE117" s="167"/>
      <c r="CF117" s="167"/>
      <c r="CG117" s="167"/>
      <c r="CH117" s="167"/>
      <c r="CI117" s="167"/>
      <c r="CJ117" s="167"/>
      <c r="CK117" s="167"/>
      <c r="CL117" s="167"/>
      <c r="CM117" s="167"/>
      <c r="CN117" s="167"/>
      <c r="CO117" s="167"/>
      <c r="CP117" s="167"/>
      <c r="CQ117" s="167"/>
      <c r="CR117" s="167"/>
      <c r="CS117" s="167"/>
      <c r="CT117" s="167"/>
      <c r="CU117" s="167"/>
      <c r="CV117" s="167"/>
      <c r="CW117" s="167"/>
      <c r="CX117" s="167"/>
      <c r="CY117" s="147"/>
      <c r="CZ117" s="147"/>
      <c r="DA117" s="147"/>
    </row>
    <row r="118" spans="1:105" ht="36">
      <c r="A118" s="169">
        <v>42</v>
      </c>
      <c r="B118" s="143" t="s">
        <v>5498</v>
      </c>
      <c r="C118" s="6" t="s">
        <v>942</v>
      </c>
      <c r="D118" s="166" t="s">
        <v>5499</v>
      </c>
      <c r="E118" s="165" t="s">
        <v>5276</v>
      </c>
      <c r="F118" s="135">
        <v>2023</v>
      </c>
      <c r="G118" s="135">
        <v>2023</v>
      </c>
      <c r="H118" s="135">
        <v>9</v>
      </c>
      <c r="I118" s="165" t="s">
        <v>5298</v>
      </c>
      <c r="J118" s="165"/>
      <c r="K118" s="465">
        <v>400000000</v>
      </c>
      <c r="L118" s="465">
        <v>400000000</v>
      </c>
      <c r="M118" s="165" t="s">
        <v>3091</v>
      </c>
      <c r="N118" s="514"/>
      <c r="O118" s="165" t="s">
        <v>5489</v>
      </c>
      <c r="P118" s="166" t="s">
        <v>3077</v>
      </c>
      <c r="Q118" s="135" t="s">
        <v>3215</v>
      </c>
      <c r="R118" s="8" t="s">
        <v>3077</v>
      </c>
      <c r="S118" s="8">
        <v>6859016</v>
      </c>
      <c r="T118" s="7" t="s">
        <v>3126</v>
      </c>
      <c r="U118" s="162" t="s">
        <v>2497</v>
      </c>
      <c r="V118" s="245">
        <f t="shared" si="1"/>
        <v>66666666.666666664</v>
      </c>
      <c r="W118" s="165" t="s">
        <v>155</v>
      </c>
      <c r="X118" s="165"/>
      <c r="Y118" s="165"/>
      <c r="Z118" s="165" t="s">
        <v>3281</v>
      </c>
      <c r="AA118" s="165" t="s">
        <v>3216</v>
      </c>
      <c r="AB118" s="135">
        <v>8140</v>
      </c>
      <c r="AC118" s="135">
        <v>72019</v>
      </c>
      <c r="AD118" s="167">
        <v>6099359</v>
      </c>
      <c r="AE118" s="168" t="s">
        <v>977</v>
      </c>
      <c r="AF118" s="167" t="s">
        <v>67</v>
      </c>
      <c r="AG118" s="248">
        <f t="shared" si="2"/>
        <v>66666666.666666664</v>
      </c>
      <c r="AH118" s="165" t="s">
        <v>166</v>
      </c>
      <c r="AI118" s="165"/>
      <c r="AJ118" s="165"/>
      <c r="AK118" s="165" t="s">
        <v>3286</v>
      </c>
      <c r="AL118" s="165" t="s">
        <v>3216</v>
      </c>
      <c r="AM118" s="118">
        <v>6886510</v>
      </c>
      <c r="AN118" s="11" t="s">
        <v>4248</v>
      </c>
      <c r="AO118" s="167" t="s">
        <v>202</v>
      </c>
      <c r="AP118" s="248">
        <f t="shared" si="3"/>
        <v>66666666.666666664</v>
      </c>
      <c r="AQ118" s="165" t="s">
        <v>156</v>
      </c>
      <c r="AR118" s="165"/>
      <c r="AS118" s="165"/>
      <c r="AT118" s="165" t="s">
        <v>3286</v>
      </c>
      <c r="AU118" s="6" t="s">
        <v>3216</v>
      </c>
      <c r="AV118" s="167">
        <v>6680618</v>
      </c>
      <c r="AW118" s="170" t="s">
        <v>1737</v>
      </c>
      <c r="AX118" s="167" t="s">
        <v>24</v>
      </c>
      <c r="AY118" s="248">
        <f t="shared" si="4"/>
        <v>66666666.666666664</v>
      </c>
      <c r="AZ118" s="135" t="s">
        <v>160</v>
      </c>
      <c r="BA118" s="135"/>
      <c r="BB118" s="165" t="s">
        <v>3281</v>
      </c>
      <c r="BC118" s="6" t="s">
        <v>3216</v>
      </c>
      <c r="BD118" s="167"/>
      <c r="BE118" s="170" t="s">
        <v>1963</v>
      </c>
      <c r="BF118" s="513" t="s">
        <v>140</v>
      </c>
      <c r="BG118" s="248">
        <f t="shared" si="5"/>
        <v>66666666.666666664</v>
      </c>
      <c r="BH118" s="6" t="s">
        <v>155</v>
      </c>
      <c r="BI118" s="6"/>
      <c r="BJ118" s="165" t="s">
        <v>3281</v>
      </c>
      <c r="BK118" s="6" t="s">
        <v>3216</v>
      </c>
      <c r="BL118" s="167">
        <v>258471</v>
      </c>
      <c r="BM118" s="170" t="s">
        <v>3504</v>
      </c>
      <c r="BN118" s="167" t="s">
        <v>60</v>
      </c>
      <c r="BO118" s="248">
        <f t="shared" si="6"/>
        <v>66666666.666666664</v>
      </c>
      <c r="BP118" s="6" t="s">
        <v>155</v>
      </c>
      <c r="BQ118" s="165" t="s">
        <v>3281</v>
      </c>
      <c r="BR118" s="6" t="s">
        <v>3216</v>
      </c>
      <c r="BS118" s="167"/>
      <c r="BT118" s="167"/>
      <c r="BU118" s="167"/>
      <c r="BV118" s="249"/>
      <c r="BW118" s="167"/>
      <c r="BX118" s="167"/>
      <c r="BY118" s="167"/>
      <c r="BZ118" s="167"/>
      <c r="CA118" s="160"/>
      <c r="CB118" s="8"/>
      <c r="CC118" s="171"/>
      <c r="CD118" s="167"/>
      <c r="CE118" s="167"/>
      <c r="CF118" s="167"/>
      <c r="CG118" s="167"/>
      <c r="CH118" s="167"/>
      <c r="CI118" s="167"/>
      <c r="CJ118" s="167"/>
      <c r="CK118" s="167"/>
      <c r="CL118" s="167"/>
      <c r="CM118" s="167"/>
      <c r="CN118" s="167"/>
      <c r="CO118" s="167"/>
      <c r="CP118" s="167"/>
      <c r="CQ118" s="167"/>
      <c r="CR118" s="167"/>
      <c r="CS118" s="167"/>
      <c r="CT118" s="167"/>
      <c r="CU118" s="167"/>
      <c r="CV118" s="167"/>
      <c r="CW118" s="167"/>
      <c r="CX118" s="167"/>
      <c r="CY118" s="147"/>
      <c r="CZ118" s="147"/>
      <c r="DA118" s="147"/>
    </row>
    <row r="119" spans="1:105" ht="36">
      <c r="A119" s="169">
        <v>43</v>
      </c>
      <c r="B119" s="143" t="s">
        <v>5500</v>
      </c>
      <c r="C119" s="6" t="s">
        <v>942</v>
      </c>
      <c r="D119" s="166" t="s">
        <v>5501</v>
      </c>
      <c r="E119" s="165" t="s">
        <v>5276</v>
      </c>
      <c r="F119" s="135">
        <v>2023</v>
      </c>
      <c r="G119" s="135">
        <v>2023</v>
      </c>
      <c r="H119" s="135">
        <v>9</v>
      </c>
      <c r="I119" s="165" t="s">
        <v>5298</v>
      </c>
      <c r="J119" s="165"/>
      <c r="K119" s="465">
        <v>46586600</v>
      </c>
      <c r="L119" s="465">
        <v>46586600</v>
      </c>
      <c r="M119" s="165" t="s">
        <v>3091</v>
      </c>
      <c r="N119" s="514"/>
      <c r="O119" s="165" t="s">
        <v>5489</v>
      </c>
      <c r="P119" s="166" t="s">
        <v>3077</v>
      </c>
      <c r="Q119" s="135" t="s">
        <v>3215</v>
      </c>
      <c r="R119" s="8" t="s">
        <v>3077</v>
      </c>
      <c r="S119" s="8">
        <v>6859016</v>
      </c>
      <c r="T119" s="7" t="s">
        <v>3126</v>
      </c>
      <c r="U119" s="162" t="s">
        <v>2497</v>
      </c>
      <c r="V119" s="245">
        <f t="shared" si="1"/>
        <v>7764433.333333333</v>
      </c>
      <c r="W119" s="165" t="s">
        <v>155</v>
      </c>
      <c r="X119" s="165"/>
      <c r="Y119" s="165"/>
      <c r="Z119" s="165" t="s">
        <v>3281</v>
      </c>
      <c r="AA119" s="165" t="s">
        <v>3216</v>
      </c>
      <c r="AB119" s="135">
        <v>8140</v>
      </c>
      <c r="AC119" s="135">
        <v>72019</v>
      </c>
      <c r="AD119" s="241">
        <v>6859382</v>
      </c>
      <c r="AE119" s="242" t="s">
        <v>2343</v>
      </c>
      <c r="AF119" s="167" t="s">
        <v>184</v>
      </c>
      <c r="AG119" s="248">
        <f t="shared" si="2"/>
        <v>7764433.333333333</v>
      </c>
      <c r="AH119" s="165" t="s">
        <v>166</v>
      </c>
      <c r="AI119" s="165"/>
      <c r="AJ119" s="165"/>
      <c r="AK119" s="165" t="s">
        <v>3286</v>
      </c>
      <c r="AL119" s="165" t="s">
        <v>3216</v>
      </c>
      <c r="AM119" s="167">
        <v>6865379</v>
      </c>
      <c r="AN119" s="168" t="s">
        <v>2696</v>
      </c>
      <c r="AO119" s="167" t="s">
        <v>193</v>
      </c>
      <c r="AP119" s="248">
        <f t="shared" si="3"/>
        <v>7764433.333333333</v>
      </c>
      <c r="AQ119" s="165" t="s">
        <v>166</v>
      </c>
      <c r="AR119" s="165"/>
      <c r="AS119" s="165"/>
      <c r="AT119" s="165" t="s">
        <v>3286</v>
      </c>
      <c r="AU119" s="6" t="s">
        <v>3216</v>
      </c>
      <c r="AV119" s="167">
        <v>6839500</v>
      </c>
      <c r="AW119" s="170" t="s">
        <v>2671</v>
      </c>
      <c r="AX119" s="167" t="s">
        <v>36</v>
      </c>
      <c r="AY119" s="248">
        <f t="shared" si="4"/>
        <v>7764433.333333333</v>
      </c>
      <c r="AZ119" s="135" t="s">
        <v>171</v>
      </c>
      <c r="BA119" s="135"/>
      <c r="BB119" s="165" t="s">
        <v>3286</v>
      </c>
      <c r="BC119" s="6" t="s">
        <v>3216</v>
      </c>
      <c r="BD119" s="167">
        <v>6843087</v>
      </c>
      <c r="BE119" s="170" t="s">
        <v>2010</v>
      </c>
      <c r="BF119" s="167" t="s">
        <v>41</v>
      </c>
      <c r="BG119" s="248">
        <f t="shared" si="5"/>
        <v>7764433.333333333</v>
      </c>
      <c r="BH119" s="167" t="s">
        <v>166</v>
      </c>
      <c r="BI119" s="167"/>
      <c r="BJ119" s="165" t="s">
        <v>3286</v>
      </c>
      <c r="BK119" s="6" t="s">
        <v>3216</v>
      </c>
      <c r="BL119" s="167"/>
      <c r="BM119" s="170" t="s">
        <v>1963</v>
      </c>
      <c r="BN119" s="513" t="s">
        <v>140</v>
      </c>
      <c r="BO119" s="248">
        <f t="shared" si="6"/>
        <v>7764433.333333333</v>
      </c>
      <c r="BP119" s="6" t="s">
        <v>155</v>
      </c>
      <c r="BQ119" s="165" t="s">
        <v>3281</v>
      </c>
      <c r="BR119" s="6" t="s">
        <v>3216</v>
      </c>
      <c r="BS119" s="167"/>
      <c r="BT119" s="167"/>
      <c r="BU119" s="167"/>
      <c r="BV119" s="249"/>
      <c r="BW119" s="167"/>
      <c r="BX119" s="167"/>
      <c r="BY119" s="167"/>
      <c r="BZ119" s="167"/>
      <c r="CA119" s="160"/>
      <c r="CB119" s="8"/>
      <c r="CC119" s="171"/>
      <c r="CD119" s="167"/>
      <c r="CE119" s="167"/>
      <c r="CF119" s="167"/>
      <c r="CG119" s="167"/>
      <c r="CH119" s="167"/>
      <c r="CI119" s="167"/>
      <c r="CJ119" s="167"/>
      <c r="CK119" s="167"/>
      <c r="CL119" s="167"/>
      <c r="CM119" s="167"/>
      <c r="CN119" s="167"/>
      <c r="CO119" s="167"/>
      <c r="CP119" s="167"/>
      <c r="CQ119" s="167"/>
      <c r="CR119" s="167"/>
      <c r="CS119" s="167"/>
      <c r="CT119" s="167"/>
      <c r="CU119" s="167"/>
      <c r="CV119" s="167"/>
      <c r="CW119" s="167"/>
      <c r="CX119" s="167"/>
      <c r="CY119" s="147"/>
      <c r="CZ119" s="147"/>
      <c r="DA119" s="147"/>
    </row>
    <row r="120" spans="1:105" s="314" customFormat="1" ht="36">
      <c r="A120" s="169">
        <v>44</v>
      </c>
      <c r="B120" s="143" t="s">
        <v>5502</v>
      </c>
      <c r="C120" s="6" t="s">
        <v>942</v>
      </c>
      <c r="D120" s="166" t="s">
        <v>5503</v>
      </c>
      <c r="E120" s="165" t="s">
        <v>5276</v>
      </c>
      <c r="F120" s="135">
        <v>2023</v>
      </c>
      <c r="G120" s="135">
        <v>2023</v>
      </c>
      <c r="H120" s="135">
        <v>9</v>
      </c>
      <c r="I120" s="165" t="s">
        <v>5298</v>
      </c>
      <c r="J120" s="165"/>
      <c r="K120" s="465">
        <v>46586600</v>
      </c>
      <c r="L120" s="465">
        <v>46586600</v>
      </c>
      <c r="M120" s="165" t="s">
        <v>3091</v>
      </c>
      <c r="N120" s="514"/>
      <c r="O120" s="165" t="s">
        <v>5489</v>
      </c>
      <c r="P120" s="166" t="s">
        <v>3077</v>
      </c>
      <c r="Q120" s="135" t="s">
        <v>3215</v>
      </c>
      <c r="R120" s="8" t="s">
        <v>3077</v>
      </c>
      <c r="S120" s="6">
        <v>6843087</v>
      </c>
      <c r="T120" s="171" t="s">
        <v>41</v>
      </c>
      <c r="U120" s="11" t="s">
        <v>2010</v>
      </c>
      <c r="V120" s="245">
        <f t="shared" si="1"/>
        <v>7764433.333333333</v>
      </c>
      <c r="W120" s="165" t="s">
        <v>166</v>
      </c>
      <c r="X120" s="165"/>
      <c r="Y120" s="165"/>
      <c r="Z120" s="165" t="s">
        <v>3286</v>
      </c>
      <c r="AA120" s="165" t="s">
        <v>3216</v>
      </c>
      <c r="AB120" s="135">
        <v>8140</v>
      </c>
      <c r="AC120" s="135">
        <v>72019</v>
      </c>
      <c r="AD120" s="8">
        <v>6789028</v>
      </c>
      <c r="AE120" s="162" t="s">
        <v>1917</v>
      </c>
      <c r="AF120" s="167" t="s">
        <v>179</v>
      </c>
      <c r="AG120" s="248">
        <f t="shared" si="2"/>
        <v>7764433.333333333</v>
      </c>
      <c r="AH120" s="165" t="s">
        <v>166</v>
      </c>
      <c r="AI120" s="165"/>
      <c r="AJ120" s="165"/>
      <c r="AK120" s="165" t="s">
        <v>3286</v>
      </c>
      <c r="AL120" s="165" t="s">
        <v>3216</v>
      </c>
      <c r="AM120" s="6">
        <v>6834400</v>
      </c>
      <c r="AN120" s="11" t="s">
        <v>2698</v>
      </c>
      <c r="AO120" s="167" t="s">
        <v>185</v>
      </c>
      <c r="AP120" s="248">
        <f t="shared" si="3"/>
        <v>7764433.333333333</v>
      </c>
      <c r="AQ120" s="165" t="s">
        <v>166</v>
      </c>
      <c r="AR120" s="165"/>
      <c r="AS120" s="165"/>
      <c r="AT120" s="165" t="s">
        <v>3286</v>
      </c>
      <c r="AU120" s="6" t="s">
        <v>3216</v>
      </c>
      <c r="AV120" s="167">
        <v>6835039</v>
      </c>
      <c r="AW120" s="170" t="s">
        <v>2009</v>
      </c>
      <c r="AX120" s="167" t="s">
        <v>37</v>
      </c>
      <c r="AY120" s="248">
        <f t="shared" si="4"/>
        <v>7764433.333333333</v>
      </c>
      <c r="AZ120" s="135" t="s">
        <v>166</v>
      </c>
      <c r="BA120" s="135"/>
      <c r="BB120" s="165" t="s">
        <v>3286</v>
      </c>
      <c r="BC120" s="6" t="s">
        <v>3216</v>
      </c>
      <c r="BD120" s="8">
        <v>6680633</v>
      </c>
      <c r="BE120" s="190" t="s">
        <v>3322</v>
      </c>
      <c r="BF120" s="167" t="s">
        <v>18</v>
      </c>
      <c r="BG120" s="248">
        <f t="shared" si="5"/>
        <v>7764433.333333333</v>
      </c>
      <c r="BH120" s="165" t="s">
        <v>156</v>
      </c>
      <c r="BI120" s="165" t="s">
        <v>166</v>
      </c>
      <c r="BJ120" s="165" t="s">
        <v>3286</v>
      </c>
      <c r="BK120" s="6" t="s">
        <v>3216</v>
      </c>
      <c r="BL120" s="167"/>
      <c r="BM120" s="170" t="s">
        <v>1963</v>
      </c>
      <c r="BN120" s="513" t="s">
        <v>140</v>
      </c>
      <c r="BO120" s="248">
        <f t="shared" si="6"/>
        <v>7764433.333333333</v>
      </c>
      <c r="BP120" s="6" t="s">
        <v>155</v>
      </c>
      <c r="BQ120" s="165" t="s">
        <v>3281</v>
      </c>
      <c r="BR120" s="6" t="s">
        <v>3216</v>
      </c>
      <c r="BS120" s="167"/>
      <c r="BT120" s="167"/>
      <c r="BU120" s="167"/>
      <c r="BV120" s="249"/>
      <c r="BW120" s="167"/>
      <c r="BX120" s="167"/>
      <c r="BY120" s="167"/>
      <c r="BZ120" s="167"/>
      <c r="CA120" s="160"/>
      <c r="CB120" s="8"/>
      <c r="CC120" s="171"/>
      <c r="CD120" s="167"/>
      <c r="CE120" s="167"/>
      <c r="CF120" s="167"/>
      <c r="CG120" s="167"/>
      <c r="CH120" s="167"/>
      <c r="CI120" s="167"/>
      <c r="CJ120" s="167"/>
      <c r="CK120" s="167"/>
      <c r="CL120" s="167"/>
      <c r="CM120" s="167"/>
      <c r="CN120" s="167"/>
      <c r="CO120" s="167"/>
      <c r="CP120" s="167"/>
      <c r="CQ120" s="167"/>
      <c r="CR120" s="167"/>
      <c r="CS120" s="167"/>
      <c r="CT120" s="167"/>
      <c r="CU120" s="167"/>
      <c r="CV120" s="167"/>
      <c r="CW120" s="167"/>
      <c r="CX120" s="167"/>
      <c r="CY120" s="313"/>
      <c r="CZ120" s="313"/>
      <c r="DA120" s="313"/>
    </row>
    <row r="121" spans="1:105">
      <c r="A121" s="309"/>
      <c r="B121" s="153"/>
      <c r="C121" s="153"/>
      <c r="D121" s="156"/>
      <c r="E121" s="309"/>
      <c r="F121" s="310"/>
      <c r="G121" s="310"/>
      <c r="H121" s="309"/>
      <c r="I121" s="153"/>
      <c r="J121" s="153"/>
      <c r="K121" s="467"/>
      <c r="L121" s="467"/>
      <c r="M121" s="311"/>
      <c r="N121" s="309"/>
      <c r="O121" s="153"/>
      <c r="P121" s="309"/>
      <c r="Q121" s="309"/>
      <c r="R121" s="309"/>
      <c r="S121" s="309"/>
      <c r="T121" s="154"/>
      <c r="U121" s="312"/>
      <c r="V121" s="309"/>
      <c r="W121" s="311"/>
      <c r="X121" s="311"/>
      <c r="Y121" s="311"/>
      <c r="Z121" s="311"/>
      <c r="AA121" s="311"/>
      <c r="AB121" s="310"/>
      <c r="AC121" s="310"/>
      <c r="AD121" s="309"/>
      <c r="AE121" s="312"/>
      <c r="AF121" s="153"/>
      <c r="AG121" s="309"/>
      <c r="AH121" s="309"/>
      <c r="AI121" s="309"/>
      <c r="AJ121" s="309"/>
      <c r="AK121" s="311"/>
      <c r="AL121" s="311"/>
      <c r="AM121" s="309"/>
      <c r="AN121" s="312"/>
      <c r="AO121" s="153"/>
      <c r="AP121" s="309"/>
      <c r="AQ121" s="153"/>
      <c r="AR121" s="153"/>
      <c r="AS121" s="153"/>
      <c r="AT121" s="153"/>
      <c r="AU121" s="153"/>
      <c r="AV121" s="309"/>
      <c r="AW121" s="309"/>
      <c r="AX121" s="309"/>
      <c r="AY121" s="309"/>
      <c r="AZ121" s="309"/>
      <c r="BA121" s="309"/>
      <c r="BB121" s="309"/>
      <c r="BC121" s="309"/>
      <c r="BD121" s="309"/>
      <c r="BE121" s="309"/>
      <c r="BF121" s="309"/>
      <c r="BG121" s="309"/>
      <c r="BH121" s="309"/>
      <c r="BI121" s="309"/>
      <c r="BJ121" s="309"/>
      <c r="BK121" s="309"/>
      <c r="BL121" s="309"/>
      <c r="BM121" s="309"/>
      <c r="BN121" s="309"/>
      <c r="BO121" s="292"/>
      <c r="BP121" s="309"/>
      <c r="BQ121" s="309"/>
      <c r="BR121" s="309"/>
      <c r="BS121" s="309"/>
      <c r="BT121" s="309"/>
      <c r="BU121" s="309"/>
      <c r="BV121" s="309"/>
      <c r="BW121" s="309"/>
      <c r="BX121" s="309"/>
      <c r="BY121" s="309"/>
      <c r="BZ121" s="309"/>
      <c r="CA121" s="309"/>
      <c r="CB121" s="309"/>
      <c r="CC121" s="309"/>
      <c r="CD121" s="309"/>
      <c r="CE121" s="309"/>
      <c r="CF121" s="309"/>
      <c r="CG121" s="309"/>
      <c r="CH121" s="309"/>
      <c r="CI121" s="309"/>
      <c r="CJ121" s="309"/>
      <c r="CK121" s="309"/>
      <c r="CL121" s="309"/>
      <c r="CM121" s="309"/>
      <c r="CN121" s="309"/>
      <c r="CO121" s="309"/>
      <c r="CP121" s="309"/>
      <c r="CQ121" s="309"/>
      <c r="CR121" s="309"/>
      <c r="CS121" s="309"/>
      <c r="CT121" s="309"/>
      <c r="CU121" s="309"/>
      <c r="CV121" s="309"/>
      <c r="CW121" s="309"/>
      <c r="CX121" s="309"/>
    </row>
    <row r="122" spans="1:105" ht="36">
      <c r="A122" s="8">
        <v>1</v>
      </c>
      <c r="B122" s="143" t="s">
        <v>5504</v>
      </c>
      <c r="C122" s="165" t="s">
        <v>942</v>
      </c>
      <c r="D122" s="9" t="s">
        <v>5505</v>
      </c>
      <c r="E122" s="6" t="s">
        <v>5506</v>
      </c>
      <c r="F122" s="8">
        <v>2024</v>
      </c>
      <c r="G122" s="8">
        <v>2024</v>
      </c>
      <c r="H122" s="8">
        <v>2</v>
      </c>
      <c r="I122" s="6" t="s">
        <v>5298</v>
      </c>
      <c r="J122" s="6" t="s">
        <v>5760</v>
      </c>
      <c r="K122" s="486">
        <v>15960457</v>
      </c>
      <c r="L122" s="458">
        <v>15960457</v>
      </c>
      <c r="M122" s="6" t="s">
        <v>4269</v>
      </c>
      <c r="N122" s="8">
        <v>4</v>
      </c>
      <c r="O122" s="7" t="s">
        <v>5489</v>
      </c>
      <c r="P122" s="166" t="s">
        <v>3077</v>
      </c>
      <c r="Q122" s="8" t="s">
        <v>3215</v>
      </c>
      <c r="R122" s="8" t="s">
        <v>3077</v>
      </c>
      <c r="S122" s="8">
        <v>6801945</v>
      </c>
      <c r="T122" s="7" t="s">
        <v>134</v>
      </c>
      <c r="U122" s="162">
        <v>713029701</v>
      </c>
      <c r="V122" s="109">
        <f>L122</f>
        <v>15960457</v>
      </c>
      <c r="W122" s="6" t="s">
        <v>156</v>
      </c>
      <c r="X122" s="6"/>
      <c r="Y122" s="6"/>
      <c r="Z122" s="6" t="s">
        <v>4272</v>
      </c>
      <c r="AA122" s="6" t="s">
        <v>4269</v>
      </c>
      <c r="AB122" s="15">
        <v>1093</v>
      </c>
      <c r="AC122" s="204" t="s">
        <v>4271</v>
      </c>
      <c r="AD122" s="167"/>
      <c r="AE122" s="10"/>
      <c r="AF122" s="6"/>
      <c r="AG122" s="57"/>
      <c r="AH122" s="6"/>
      <c r="AI122" s="6"/>
      <c r="AJ122" s="6"/>
      <c r="AK122" s="6"/>
      <c r="AL122" s="6"/>
      <c r="AM122" s="8"/>
      <c r="AN122" s="10"/>
      <c r="AO122" s="6"/>
      <c r="AP122" s="57"/>
      <c r="AQ122" s="6"/>
      <c r="AR122" s="6"/>
      <c r="AS122" s="6"/>
      <c r="AT122" s="6"/>
      <c r="AU122" s="6"/>
      <c r="AV122" s="241"/>
      <c r="AW122" s="241"/>
      <c r="AX122" s="241"/>
      <c r="AY122" s="299"/>
      <c r="AZ122" s="241"/>
      <c r="BA122" s="241"/>
      <c r="BB122" s="241"/>
      <c r="BC122" s="6"/>
      <c r="BD122" s="241"/>
      <c r="BE122" s="241"/>
      <c r="BF122" s="241"/>
      <c r="BG122" s="299"/>
      <c r="BH122" s="241"/>
      <c r="BI122" s="241"/>
      <c r="BJ122" s="241"/>
      <c r="BK122" s="241"/>
      <c r="BL122" s="241"/>
      <c r="BM122" s="241"/>
      <c r="BN122" s="241"/>
      <c r="BO122" s="299"/>
      <c r="BP122" s="241"/>
      <c r="BQ122" s="241"/>
      <c r="BR122" s="241"/>
      <c r="BS122" s="241"/>
      <c r="BT122" s="241"/>
      <c r="BU122" s="241"/>
      <c r="BV122" s="299"/>
      <c r="BW122" s="241"/>
      <c r="BX122" s="241"/>
      <c r="BY122" s="241"/>
      <c r="BZ122" s="241"/>
      <c r="CA122" s="160" t="s">
        <v>3190</v>
      </c>
      <c r="CB122" s="163" t="s">
        <v>3191</v>
      </c>
      <c r="CC122" s="304"/>
      <c r="CD122" s="9"/>
      <c r="CE122" s="304"/>
      <c r="CF122" s="9"/>
      <c r="CG122" s="304"/>
      <c r="CH122" s="9"/>
      <c r="CI122" s="241"/>
      <c r="CJ122" s="241"/>
      <c r="CK122" s="241"/>
      <c r="CL122" s="241"/>
      <c r="CM122" s="241"/>
      <c r="CN122" s="241"/>
      <c r="CO122" s="241"/>
      <c r="CP122" s="241"/>
      <c r="CQ122" s="241"/>
      <c r="CR122" s="241"/>
      <c r="CS122" s="7"/>
      <c r="CT122" s="7"/>
      <c r="CU122" s="7"/>
      <c r="CV122" s="241"/>
      <c r="CW122" s="241"/>
      <c r="CX122" s="241"/>
    </row>
    <row r="123" spans="1:105" ht="36">
      <c r="A123" s="8">
        <v>2</v>
      </c>
      <c r="B123" s="143" t="s">
        <v>5504</v>
      </c>
      <c r="C123" s="165" t="s">
        <v>942</v>
      </c>
      <c r="D123" s="9" t="s">
        <v>5507</v>
      </c>
      <c r="E123" s="6" t="s">
        <v>5506</v>
      </c>
      <c r="F123" s="8">
        <v>2024</v>
      </c>
      <c r="G123" s="8">
        <v>2024</v>
      </c>
      <c r="H123" s="8">
        <v>2</v>
      </c>
      <c r="I123" s="6" t="s">
        <v>5298</v>
      </c>
      <c r="J123" s="6" t="s">
        <v>5761</v>
      </c>
      <c r="K123" s="458">
        <v>16082106</v>
      </c>
      <c r="L123" s="458">
        <v>16082106</v>
      </c>
      <c r="M123" s="6" t="s">
        <v>4269</v>
      </c>
      <c r="N123" s="8">
        <v>4</v>
      </c>
      <c r="O123" s="6" t="s">
        <v>5489</v>
      </c>
      <c r="P123" s="166" t="s">
        <v>3077</v>
      </c>
      <c r="Q123" s="8" t="s">
        <v>3215</v>
      </c>
      <c r="R123" s="8" t="s">
        <v>3077</v>
      </c>
      <c r="S123" s="8">
        <v>6680612</v>
      </c>
      <c r="T123" s="7" t="s">
        <v>19</v>
      </c>
      <c r="U123" s="162">
        <v>728059203</v>
      </c>
      <c r="V123" s="109">
        <f t="shared" ref="V123:V128" si="7">L123</f>
        <v>16082106</v>
      </c>
      <c r="W123" s="6" t="s">
        <v>155</v>
      </c>
      <c r="X123" s="6"/>
      <c r="Y123" s="6"/>
      <c r="Z123" s="6" t="s">
        <v>3224</v>
      </c>
      <c r="AA123" s="6" t="s">
        <v>4269</v>
      </c>
      <c r="AB123" s="15">
        <v>1093</v>
      </c>
      <c r="AC123" s="204" t="s">
        <v>4271</v>
      </c>
      <c r="AD123" s="241"/>
      <c r="AE123" s="242"/>
      <c r="AF123" s="6"/>
      <c r="AG123" s="57"/>
      <c r="AH123" s="6"/>
      <c r="AI123" s="6"/>
      <c r="AJ123" s="6"/>
      <c r="AK123" s="6"/>
      <c r="AL123" s="6"/>
      <c r="AM123" s="8"/>
      <c r="AN123" s="162"/>
      <c r="AO123" s="6"/>
      <c r="AP123" s="57"/>
      <c r="AQ123" s="6"/>
      <c r="AR123" s="6"/>
      <c r="AS123" s="6"/>
      <c r="AT123" s="6"/>
      <c r="AU123" s="6"/>
      <c r="AV123" s="241"/>
      <c r="AW123" s="241"/>
      <c r="AX123" s="241"/>
      <c r="AY123" s="299"/>
      <c r="AZ123" s="241"/>
      <c r="BA123" s="241"/>
      <c r="BB123" s="241"/>
      <c r="BC123" s="6"/>
      <c r="BD123" s="241"/>
      <c r="BE123" s="241"/>
      <c r="BF123" s="241"/>
      <c r="BG123" s="299"/>
      <c r="BH123" s="241"/>
      <c r="BI123" s="241"/>
      <c r="BJ123" s="241"/>
      <c r="BK123" s="241"/>
      <c r="BL123" s="241"/>
      <c r="BM123" s="241"/>
      <c r="BN123" s="241"/>
      <c r="BO123" s="299"/>
      <c r="BP123" s="241"/>
      <c r="BQ123" s="241"/>
      <c r="BR123" s="241"/>
      <c r="BS123" s="241"/>
      <c r="BT123" s="241"/>
      <c r="BU123" s="241"/>
      <c r="BV123" s="299"/>
      <c r="BW123" s="241"/>
      <c r="BX123" s="241"/>
      <c r="BY123" s="241"/>
      <c r="BZ123" s="241"/>
      <c r="CA123" s="160" t="s">
        <v>3190</v>
      </c>
      <c r="CB123" s="163" t="s">
        <v>3191</v>
      </c>
      <c r="CC123" s="304"/>
      <c r="CD123" s="9"/>
      <c r="CE123" s="304"/>
      <c r="CF123" s="9"/>
      <c r="CG123" s="304"/>
      <c r="CH123" s="9"/>
      <c r="CI123" s="241"/>
      <c r="CJ123" s="241"/>
      <c r="CK123" s="241"/>
      <c r="CL123" s="241"/>
      <c r="CM123" s="241"/>
      <c r="CN123" s="241"/>
      <c r="CO123" s="241"/>
      <c r="CP123" s="241"/>
      <c r="CQ123" s="241"/>
      <c r="CR123" s="241"/>
      <c r="CS123" s="241"/>
      <c r="CT123" s="241"/>
      <c r="CU123" s="241"/>
      <c r="CV123" s="241"/>
      <c r="CW123" s="241"/>
      <c r="CX123" s="241"/>
      <c r="CY123" s="136"/>
      <c r="CZ123" s="136"/>
      <c r="DA123" s="136"/>
    </row>
    <row r="124" spans="1:105" ht="36">
      <c r="A124" s="135">
        <v>3</v>
      </c>
      <c r="B124" s="143" t="s">
        <v>5504</v>
      </c>
      <c r="C124" s="165" t="s">
        <v>942</v>
      </c>
      <c r="D124" s="166" t="s">
        <v>5508</v>
      </c>
      <c r="E124" s="6" t="s">
        <v>5506</v>
      </c>
      <c r="F124" s="135">
        <v>2024</v>
      </c>
      <c r="G124" s="135">
        <v>2024</v>
      </c>
      <c r="H124" s="135">
        <v>2</v>
      </c>
      <c r="I124" s="165" t="s">
        <v>5298</v>
      </c>
      <c r="J124" s="165" t="s">
        <v>5762</v>
      </c>
      <c r="K124" s="465">
        <v>15173788</v>
      </c>
      <c r="L124" s="465">
        <v>15173788</v>
      </c>
      <c r="M124" s="165" t="s">
        <v>4269</v>
      </c>
      <c r="N124" s="514">
        <v>4</v>
      </c>
      <c r="O124" s="165" t="s">
        <v>5489</v>
      </c>
      <c r="P124" s="166" t="s">
        <v>3077</v>
      </c>
      <c r="Q124" s="135" t="s">
        <v>3215</v>
      </c>
      <c r="R124" s="135" t="s">
        <v>3077</v>
      </c>
      <c r="S124" s="135">
        <v>6898606</v>
      </c>
      <c r="T124" s="171" t="s">
        <v>198</v>
      </c>
      <c r="U124" s="168">
        <v>7700018303</v>
      </c>
      <c r="V124" s="109">
        <f t="shared" si="7"/>
        <v>15173788</v>
      </c>
      <c r="W124" s="165" t="s">
        <v>154</v>
      </c>
      <c r="X124" s="165"/>
      <c r="Y124" s="165"/>
      <c r="Z124" s="6" t="s">
        <v>3224</v>
      </c>
      <c r="AA124" s="6" t="s">
        <v>4269</v>
      </c>
      <c r="AB124" s="15">
        <v>1093</v>
      </c>
      <c r="AC124" s="204" t="s">
        <v>4271</v>
      </c>
      <c r="AD124" s="246"/>
      <c r="AE124" s="247"/>
      <c r="AF124" s="165"/>
      <c r="AG124" s="238"/>
      <c r="AH124" s="165"/>
      <c r="AI124" s="165"/>
      <c r="AJ124" s="165"/>
      <c r="AK124" s="165"/>
      <c r="AL124" s="6"/>
      <c r="AM124" s="135"/>
      <c r="AN124" s="168"/>
      <c r="AO124" s="165"/>
      <c r="AP124" s="238"/>
      <c r="AQ124" s="165"/>
      <c r="AR124" s="165"/>
      <c r="AS124" s="165"/>
      <c r="AT124" s="165"/>
      <c r="AU124" s="6"/>
      <c r="AV124" s="246"/>
      <c r="AW124" s="246"/>
      <c r="AX124" s="246"/>
      <c r="AY124" s="307"/>
      <c r="AZ124" s="246"/>
      <c r="BA124" s="246"/>
      <c r="BB124" s="246"/>
      <c r="BC124" s="6"/>
      <c r="BD124" s="246"/>
      <c r="BE124" s="246"/>
      <c r="BF124" s="246"/>
      <c r="BG124" s="307"/>
      <c r="BH124" s="246"/>
      <c r="BI124" s="246"/>
      <c r="BJ124" s="246"/>
      <c r="BK124" s="246"/>
      <c r="BL124" s="246"/>
      <c r="BM124" s="246"/>
      <c r="BN124" s="246"/>
      <c r="BO124" s="307"/>
      <c r="BP124" s="246"/>
      <c r="BQ124" s="246"/>
      <c r="BR124" s="246"/>
      <c r="BS124" s="246"/>
      <c r="BT124" s="246"/>
      <c r="BU124" s="246"/>
      <c r="BV124" s="307"/>
      <c r="BW124" s="246"/>
      <c r="BX124" s="246"/>
      <c r="BY124" s="246"/>
      <c r="BZ124" s="246"/>
      <c r="CA124" s="160" t="s">
        <v>3190</v>
      </c>
      <c r="CB124" s="163" t="s">
        <v>3191</v>
      </c>
      <c r="CC124" s="306"/>
      <c r="CD124" s="166"/>
      <c r="CE124" s="306"/>
      <c r="CF124" s="166"/>
      <c r="CG124" s="306"/>
      <c r="CH124" s="166"/>
      <c r="CI124" s="246"/>
      <c r="CJ124" s="246"/>
      <c r="CK124" s="246"/>
      <c r="CL124" s="246"/>
      <c r="CM124" s="246"/>
      <c r="CN124" s="246"/>
      <c r="CO124" s="246"/>
      <c r="CP124" s="246"/>
      <c r="CQ124" s="246"/>
      <c r="CR124" s="246"/>
      <c r="CS124" s="246"/>
      <c r="CT124" s="246"/>
      <c r="CU124" s="246"/>
      <c r="CV124" s="246"/>
      <c r="CW124" s="246"/>
      <c r="CX124" s="246"/>
    </row>
    <row r="125" spans="1:105" ht="36">
      <c r="A125" s="8">
        <v>4</v>
      </c>
      <c r="B125" s="143" t="s">
        <v>5504</v>
      </c>
      <c r="C125" s="165" t="s">
        <v>942</v>
      </c>
      <c r="D125" s="9" t="s">
        <v>5509</v>
      </c>
      <c r="E125" s="6" t="s">
        <v>5506</v>
      </c>
      <c r="F125" s="8">
        <v>2024</v>
      </c>
      <c r="G125" s="8">
        <v>2024</v>
      </c>
      <c r="H125" s="8">
        <v>2</v>
      </c>
      <c r="I125" s="6" t="s">
        <v>5298</v>
      </c>
      <c r="J125" s="6" t="s">
        <v>5763</v>
      </c>
      <c r="K125" s="458">
        <v>16122656</v>
      </c>
      <c r="L125" s="458">
        <v>16122656</v>
      </c>
      <c r="M125" s="6" t="s">
        <v>4269</v>
      </c>
      <c r="N125" s="207">
        <v>4</v>
      </c>
      <c r="O125" s="6" t="s">
        <v>5489</v>
      </c>
      <c r="P125" s="166" t="s">
        <v>3077</v>
      </c>
      <c r="Q125" s="8" t="s">
        <v>3215</v>
      </c>
      <c r="R125" s="8" t="s">
        <v>3077</v>
      </c>
      <c r="S125" s="8">
        <v>6898606</v>
      </c>
      <c r="T125" s="7" t="s">
        <v>198</v>
      </c>
      <c r="U125" s="168">
        <v>7700018303</v>
      </c>
      <c r="V125" s="109">
        <f t="shared" si="7"/>
        <v>16122656</v>
      </c>
      <c r="W125" s="165" t="s">
        <v>154</v>
      </c>
      <c r="X125" s="165"/>
      <c r="Y125" s="165"/>
      <c r="Z125" s="6" t="s">
        <v>3224</v>
      </c>
      <c r="AA125" s="6" t="s">
        <v>4269</v>
      </c>
      <c r="AB125" s="15">
        <v>1093</v>
      </c>
      <c r="AC125" s="204" t="s">
        <v>4271</v>
      </c>
      <c r="AD125" s="6"/>
      <c r="AE125" s="11"/>
      <c r="AF125" s="6"/>
      <c r="AG125" s="57"/>
      <c r="AH125" s="6"/>
      <c r="AI125" s="6"/>
      <c r="AJ125" s="6"/>
      <c r="AK125" s="6"/>
      <c r="AL125" s="6"/>
      <c r="AM125" s="8"/>
      <c r="AN125" s="10"/>
      <c r="AO125" s="6"/>
      <c r="AP125" s="57"/>
      <c r="AQ125" s="6"/>
      <c r="AR125" s="6"/>
      <c r="AS125" s="6"/>
      <c r="AT125" s="6"/>
      <c r="AU125" s="6"/>
      <c r="AV125" s="241"/>
      <c r="AW125" s="241"/>
      <c r="AX125" s="241"/>
      <c r="AY125" s="299"/>
      <c r="AZ125" s="241"/>
      <c r="BA125" s="241"/>
      <c r="BB125" s="241"/>
      <c r="BC125" s="6"/>
      <c r="BD125" s="241"/>
      <c r="BE125" s="241"/>
      <c r="BF125" s="241"/>
      <c r="BG125" s="299"/>
      <c r="BH125" s="241"/>
      <c r="BI125" s="241"/>
      <c r="BJ125" s="241"/>
      <c r="BK125" s="241"/>
      <c r="BL125" s="241"/>
      <c r="BM125" s="241"/>
      <c r="BN125" s="241"/>
      <c r="BO125" s="299"/>
      <c r="BP125" s="241"/>
      <c r="BQ125" s="241"/>
      <c r="BR125" s="241"/>
      <c r="BS125" s="241"/>
      <c r="BT125" s="241"/>
      <c r="BU125" s="241"/>
      <c r="BV125" s="299"/>
      <c r="BW125" s="241"/>
      <c r="BX125" s="241"/>
      <c r="BY125" s="241"/>
      <c r="BZ125" s="241"/>
      <c r="CA125" s="160" t="s">
        <v>3190</v>
      </c>
      <c r="CB125" s="163" t="s">
        <v>3191</v>
      </c>
      <c r="CC125" s="304"/>
      <c r="CD125" s="9"/>
      <c r="CE125" s="304"/>
      <c r="CF125" s="9"/>
      <c r="CG125" s="304"/>
      <c r="CH125" s="9"/>
      <c r="CI125" s="241"/>
      <c r="CJ125" s="241"/>
      <c r="CK125" s="241"/>
      <c r="CL125" s="241"/>
      <c r="CM125" s="241"/>
      <c r="CN125" s="241"/>
      <c r="CO125" s="241"/>
      <c r="CP125" s="241"/>
      <c r="CQ125" s="241"/>
      <c r="CR125" s="241"/>
      <c r="CS125" s="7"/>
      <c r="CT125" s="241"/>
      <c r="CU125" s="241"/>
      <c r="CV125" s="241"/>
      <c r="CW125" s="241"/>
      <c r="CX125" s="241"/>
    </row>
    <row r="126" spans="1:105" ht="36">
      <c r="A126" s="8">
        <v>5</v>
      </c>
      <c r="B126" s="143" t="s">
        <v>5504</v>
      </c>
      <c r="C126" s="165" t="s">
        <v>942</v>
      </c>
      <c r="D126" s="9" t="s">
        <v>5510</v>
      </c>
      <c r="E126" s="6" t="s">
        <v>5506</v>
      </c>
      <c r="F126" s="8">
        <v>2024</v>
      </c>
      <c r="G126" s="8">
        <v>2024</v>
      </c>
      <c r="H126" s="8">
        <v>2</v>
      </c>
      <c r="I126" s="33" t="s">
        <v>5298</v>
      </c>
      <c r="J126" s="8" t="s">
        <v>5764</v>
      </c>
      <c r="K126" s="458">
        <v>16187536</v>
      </c>
      <c r="L126" s="458">
        <v>16187536</v>
      </c>
      <c r="M126" s="6" t="s">
        <v>4269</v>
      </c>
      <c r="N126" s="207">
        <v>4</v>
      </c>
      <c r="O126" s="6" t="s">
        <v>5489</v>
      </c>
      <c r="P126" s="166" t="s">
        <v>3077</v>
      </c>
      <c r="Q126" s="8" t="s">
        <v>3215</v>
      </c>
      <c r="R126" s="8" t="s">
        <v>3077</v>
      </c>
      <c r="S126" s="8">
        <v>6801945</v>
      </c>
      <c r="T126" s="7" t="s">
        <v>134</v>
      </c>
      <c r="U126" s="162">
        <v>713029701</v>
      </c>
      <c r="V126" s="109">
        <f t="shared" si="7"/>
        <v>16187536</v>
      </c>
      <c r="W126" s="6" t="s">
        <v>156</v>
      </c>
      <c r="X126" s="6"/>
      <c r="Y126" s="6"/>
      <c r="Z126" s="6" t="s">
        <v>4272</v>
      </c>
      <c r="AA126" s="6" t="s">
        <v>4269</v>
      </c>
      <c r="AB126" s="15">
        <v>1093</v>
      </c>
      <c r="AC126" s="204" t="s">
        <v>4271</v>
      </c>
      <c r="AD126" s="6"/>
      <c r="AE126" s="11"/>
      <c r="AF126" s="6"/>
      <c r="AG126" s="57"/>
      <c r="AH126" s="6"/>
      <c r="AI126" s="6"/>
      <c r="AJ126" s="6"/>
      <c r="AK126" s="6"/>
      <c r="AL126" s="6"/>
      <c r="AM126" s="8"/>
      <c r="AN126" s="162"/>
      <c r="AO126" s="6"/>
      <c r="AP126" s="57"/>
      <c r="AQ126" s="6"/>
      <c r="AR126" s="6"/>
      <c r="AS126" s="6"/>
      <c r="AT126" s="6"/>
      <c r="AU126" s="6"/>
      <c r="AV126" s="241"/>
      <c r="AW126" s="241"/>
      <c r="AX126" s="241"/>
      <c r="AY126" s="299"/>
      <c r="AZ126" s="241"/>
      <c r="BA126" s="241"/>
      <c r="BB126" s="241"/>
      <c r="BC126" s="6"/>
      <c r="BD126" s="241"/>
      <c r="BE126" s="241"/>
      <c r="BF126" s="241"/>
      <c r="BG126" s="299"/>
      <c r="BH126" s="241"/>
      <c r="BI126" s="241"/>
      <c r="BJ126" s="241"/>
      <c r="BK126" s="241"/>
      <c r="BL126" s="241"/>
      <c r="BM126" s="241"/>
      <c r="BN126" s="241"/>
      <c r="BO126" s="299"/>
      <c r="BP126" s="241"/>
      <c r="BQ126" s="241"/>
      <c r="BR126" s="241"/>
      <c r="BS126" s="241"/>
      <c r="BT126" s="241"/>
      <c r="BU126" s="241"/>
      <c r="BV126" s="299"/>
      <c r="BW126" s="241"/>
      <c r="BX126" s="241"/>
      <c r="BY126" s="241"/>
      <c r="BZ126" s="241"/>
      <c r="CA126" s="160" t="s">
        <v>3190</v>
      </c>
      <c r="CB126" s="163" t="s">
        <v>3191</v>
      </c>
      <c r="CC126" s="304" t="s">
        <v>1818</v>
      </c>
      <c r="CD126" s="9"/>
      <c r="CE126" s="304" t="s">
        <v>5511</v>
      </c>
      <c r="CF126" s="9"/>
      <c r="CG126" s="304" t="s">
        <v>5512</v>
      </c>
      <c r="CH126" s="9"/>
      <c r="CI126" s="241"/>
      <c r="CJ126" s="241"/>
      <c r="CK126" s="241"/>
      <c r="CL126" s="241"/>
      <c r="CM126" s="241"/>
      <c r="CN126" s="241"/>
      <c r="CO126" s="241"/>
      <c r="CP126" s="241"/>
      <c r="CQ126" s="241"/>
      <c r="CR126" s="241"/>
      <c r="CS126" s="241"/>
      <c r="CT126" s="241"/>
      <c r="CU126" s="241"/>
      <c r="CV126" s="241"/>
      <c r="CW126" s="241"/>
      <c r="CX126" s="241"/>
      <c r="CY126" s="27"/>
      <c r="CZ126" s="27"/>
      <c r="DA126" s="27"/>
    </row>
    <row r="127" spans="1:105" ht="36">
      <c r="A127" s="135">
        <v>6</v>
      </c>
      <c r="B127" s="143" t="s">
        <v>5504</v>
      </c>
      <c r="C127" s="165" t="s">
        <v>942</v>
      </c>
      <c r="D127" s="9" t="s">
        <v>5513</v>
      </c>
      <c r="E127" s="6" t="s">
        <v>5506</v>
      </c>
      <c r="F127" s="8">
        <v>2024</v>
      </c>
      <c r="G127" s="8">
        <v>2024</v>
      </c>
      <c r="H127" s="8">
        <v>2</v>
      </c>
      <c r="I127" s="6" t="s">
        <v>5298</v>
      </c>
      <c r="J127" s="6" t="s">
        <v>5765</v>
      </c>
      <c r="K127" s="458">
        <v>14625553</v>
      </c>
      <c r="L127" s="458">
        <v>14625553</v>
      </c>
      <c r="M127" s="6" t="s">
        <v>4269</v>
      </c>
      <c r="N127" s="207">
        <v>4</v>
      </c>
      <c r="O127" s="6" t="s">
        <v>5489</v>
      </c>
      <c r="P127" s="166" t="s">
        <v>3077</v>
      </c>
      <c r="Q127" s="8" t="s">
        <v>3215</v>
      </c>
      <c r="R127" s="8" t="s">
        <v>3077</v>
      </c>
      <c r="S127" s="164">
        <v>6680680</v>
      </c>
      <c r="T127" s="7" t="s">
        <v>9</v>
      </c>
      <c r="U127" s="162">
        <v>704039202</v>
      </c>
      <c r="V127" s="109">
        <f t="shared" si="7"/>
        <v>14625553</v>
      </c>
      <c r="W127" s="6" t="s">
        <v>156</v>
      </c>
      <c r="X127" s="6"/>
      <c r="Y127" s="6"/>
      <c r="Z127" s="6" t="s">
        <v>4272</v>
      </c>
      <c r="AA127" s="6" t="s">
        <v>4269</v>
      </c>
      <c r="AB127" s="15">
        <v>1093</v>
      </c>
      <c r="AC127" s="204" t="s">
        <v>4271</v>
      </c>
      <c r="AD127" s="33"/>
      <c r="AE127" s="164"/>
      <c r="AF127" s="33"/>
      <c r="AG127" s="236"/>
      <c r="AH127" s="6"/>
      <c r="AI127" s="6"/>
      <c r="AJ127" s="6"/>
      <c r="AK127" s="6"/>
      <c r="AL127" s="6"/>
      <c r="AM127" s="33"/>
      <c r="AN127" s="164"/>
      <c r="AO127" s="33"/>
      <c r="AP127" s="236"/>
      <c r="AQ127" s="6"/>
      <c r="AR127" s="6"/>
      <c r="AS127" s="6"/>
      <c r="AT127" s="6"/>
      <c r="AU127" s="6"/>
      <c r="AV127" s="33"/>
      <c r="AW127" s="33"/>
      <c r="AX127" s="33"/>
      <c r="AY127" s="233"/>
      <c r="AZ127" s="33"/>
      <c r="BA127" s="33"/>
      <c r="BB127" s="33"/>
      <c r="BC127" s="6"/>
      <c r="BD127" s="33"/>
      <c r="BE127" s="33"/>
      <c r="BF127" s="33"/>
      <c r="BG127" s="233"/>
      <c r="BH127" s="33"/>
      <c r="BI127" s="33"/>
      <c r="BJ127" s="33"/>
      <c r="BK127" s="33"/>
      <c r="BL127" s="33"/>
      <c r="BM127" s="33"/>
      <c r="BN127" s="33"/>
      <c r="BO127" s="233"/>
      <c r="BP127" s="33"/>
      <c r="BQ127" s="33"/>
      <c r="BR127" s="33"/>
      <c r="BS127" s="33"/>
      <c r="BT127" s="33"/>
      <c r="BU127" s="33"/>
      <c r="BV127" s="233"/>
      <c r="BW127" s="33"/>
      <c r="BX127" s="33"/>
      <c r="BY127" s="33"/>
      <c r="BZ127" s="33"/>
      <c r="CA127" s="160" t="s">
        <v>3190</v>
      </c>
      <c r="CB127" s="163" t="s">
        <v>3191</v>
      </c>
      <c r="CC127" s="7"/>
      <c r="CD127" s="33"/>
      <c r="CE127" s="7"/>
      <c r="CF127" s="33"/>
      <c r="CG127" s="33"/>
      <c r="CH127" s="33"/>
      <c r="CI127" s="7"/>
      <c r="CJ127" s="33"/>
      <c r="CK127" s="33"/>
      <c r="CL127" s="33"/>
      <c r="CM127" s="33"/>
      <c r="CN127" s="33"/>
      <c r="CO127" s="33"/>
      <c r="CP127" s="33"/>
      <c r="CQ127" s="33"/>
      <c r="CR127" s="33"/>
      <c r="CS127" s="7"/>
      <c r="CT127" s="7"/>
      <c r="CU127" s="7"/>
      <c r="CV127" s="33"/>
      <c r="CW127" s="33"/>
      <c r="CX127" s="33"/>
      <c r="CY127" s="147"/>
      <c r="CZ127" s="147"/>
      <c r="DA127" s="147"/>
    </row>
    <row r="128" spans="1:105" ht="36">
      <c r="A128" s="8">
        <v>7</v>
      </c>
      <c r="B128" s="143" t="s">
        <v>5504</v>
      </c>
      <c r="C128" s="165" t="s">
        <v>942</v>
      </c>
      <c r="D128" s="166" t="s">
        <v>3107</v>
      </c>
      <c r="E128" s="6" t="s">
        <v>5506</v>
      </c>
      <c r="F128" s="135">
        <v>2024</v>
      </c>
      <c r="G128" s="135">
        <v>2024</v>
      </c>
      <c r="H128" s="135">
        <v>2</v>
      </c>
      <c r="I128" s="165" t="s">
        <v>5298</v>
      </c>
      <c r="J128" s="165" t="s">
        <v>5766</v>
      </c>
      <c r="K128" s="465">
        <v>13077356</v>
      </c>
      <c r="L128" s="465">
        <v>13077356</v>
      </c>
      <c r="M128" s="165" t="s">
        <v>4269</v>
      </c>
      <c r="N128" s="514">
        <v>4</v>
      </c>
      <c r="O128" s="165" t="s">
        <v>5489</v>
      </c>
      <c r="P128" s="166" t="s">
        <v>3077</v>
      </c>
      <c r="Q128" s="135" t="s">
        <v>3215</v>
      </c>
      <c r="R128" s="135" t="s">
        <v>3077</v>
      </c>
      <c r="S128" s="167">
        <v>6099359</v>
      </c>
      <c r="T128" s="171" t="s">
        <v>67</v>
      </c>
      <c r="U128" s="168">
        <v>708119103</v>
      </c>
      <c r="V128" s="109">
        <f t="shared" si="7"/>
        <v>13077356</v>
      </c>
      <c r="W128" s="165" t="s">
        <v>166</v>
      </c>
      <c r="X128" s="165"/>
      <c r="Y128" s="165"/>
      <c r="Z128" s="6" t="s">
        <v>4282</v>
      </c>
      <c r="AA128" s="6" t="s">
        <v>4269</v>
      </c>
      <c r="AB128" s="15">
        <v>1093</v>
      </c>
      <c r="AC128" s="204" t="s">
        <v>4271</v>
      </c>
      <c r="AD128" s="167"/>
      <c r="AE128" s="170"/>
      <c r="AF128" s="167"/>
      <c r="AG128" s="248"/>
      <c r="AH128" s="165"/>
      <c r="AI128" s="165"/>
      <c r="AJ128" s="165"/>
      <c r="AK128" s="165"/>
      <c r="AL128" s="6"/>
      <c r="AM128" s="167"/>
      <c r="AN128" s="170"/>
      <c r="AO128" s="167"/>
      <c r="AP128" s="248"/>
      <c r="AQ128" s="165"/>
      <c r="AR128" s="165"/>
      <c r="AS128" s="165"/>
      <c r="AT128" s="165"/>
      <c r="AU128" s="6"/>
      <c r="AV128" s="167"/>
      <c r="AW128" s="167"/>
      <c r="AX128" s="167"/>
      <c r="AY128" s="249"/>
      <c r="AZ128" s="167"/>
      <c r="BA128" s="167"/>
      <c r="BB128" s="167"/>
      <c r="BC128" s="6"/>
      <c r="BD128" s="167"/>
      <c r="BE128" s="167"/>
      <c r="BF128" s="167"/>
      <c r="BG128" s="249"/>
      <c r="BH128" s="167"/>
      <c r="BI128" s="167"/>
      <c r="BJ128" s="167"/>
      <c r="BK128" s="167"/>
      <c r="BL128" s="167"/>
      <c r="BM128" s="167"/>
      <c r="BN128" s="167"/>
      <c r="BO128" s="249"/>
      <c r="BP128" s="167"/>
      <c r="BQ128" s="167"/>
      <c r="BR128" s="167"/>
      <c r="BS128" s="167"/>
      <c r="BT128" s="167"/>
      <c r="BU128" s="167"/>
      <c r="BV128" s="249"/>
      <c r="BW128" s="167"/>
      <c r="BX128" s="167"/>
      <c r="BY128" s="167"/>
      <c r="BZ128" s="167"/>
      <c r="CA128" s="160" t="s">
        <v>3190</v>
      </c>
      <c r="CB128" s="163" t="s">
        <v>3191</v>
      </c>
      <c r="CC128" s="171"/>
      <c r="CD128" s="167"/>
      <c r="CE128" s="167"/>
      <c r="CF128" s="167"/>
      <c r="CG128" s="167"/>
      <c r="CH128" s="167"/>
      <c r="CI128" s="167"/>
      <c r="CJ128" s="167"/>
      <c r="CK128" s="167"/>
      <c r="CL128" s="167"/>
      <c r="CM128" s="167"/>
      <c r="CN128" s="167"/>
      <c r="CO128" s="167"/>
      <c r="CP128" s="167"/>
      <c r="CQ128" s="167"/>
      <c r="CR128" s="167"/>
      <c r="CS128" s="167"/>
      <c r="CT128" s="167"/>
      <c r="CU128" s="167"/>
      <c r="CV128" s="167"/>
      <c r="CW128" s="167"/>
      <c r="CX128" s="167"/>
      <c r="CY128" s="147"/>
      <c r="CZ128" s="147"/>
      <c r="DA128" s="147"/>
    </row>
    <row r="129" spans="1:105" ht="36">
      <c r="A129" s="8">
        <v>8</v>
      </c>
      <c r="B129" s="143" t="s">
        <v>5514</v>
      </c>
      <c r="C129" s="327" t="s">
        <v>5515</v>
      </c>
      <c r="D129" s="166" t="s">
        <v>5516</v>
      </c>
      <c r="E129" s="165" t="s">
        <v>216</v>
      </c>
      <c r="F129" s="135">
        <v>2024</v>
      </c>
      <c r="G129" s="135">
        <v>2024</v>
      </c>
      <c r="H129" s="135">
        <v>7</v>
      </c>
      <c r="I129" s="165" t="s">
        <v>5517</v>
      </c>
      <c r="J129" s="165" t="s">
        <v>5767</v>
      </c>
      <c r="K129" s="468">
        <v>9954000</v>
      </c>
      <c r="L129" s="468">
        <v>9954000</v>
      </c>
      <c r="M129" s="165" t="s">
        <v>4269</v>
      </c>
      <c r="N129" s="514">
        <v>5</v>
      </c>
      <c r="O129" s="7" t="s">
        <v>5290</v>
      </c>
      <c r="P129" s="9" t="s">
        <v>3223</v>
      </c>
      <c r="Q129" s="135" t="s">
        <v>3215</v>
      </c>
      <c r="R129" s="135" t="s">
        <v>3223</v>
      </c>
      <c r="S129" s="513"/>
      <c r="T129" s="171" t="s">
        <v>5518</v>
      </c>
      <c r="U129" s="168" t="s">
        <v>5519</v>
      </c>
      <c r="V129" s="245">
        <f>$L129/3</f>
        <v>3318000</v>
      </c>
      <c r="W129" s="6" t="s">
        <v>3093</v>
      </c>
      <c r="X129" s="6"/>
      <c r="Y129" s="6"/>
      <c r="Z129" s="6" t="s">
        <v>4449</v>
      </c>
      <c r="AA129" s="6" t="s">
        <v>4269</v>
      </c>
      <c r="AB129" s="15">
        <v>1093</v>
      </c>
      <c r="AC129" s="204" t="s">
        <v>4271</v>
      </c>
      <c r="AD129" s="167">
        <v>6843682</v>
      </c>
      <c r="AE129" s="170" t="s">
        <v>5520</v>
      </c>
      <c r="AF129" s="167" t="s">
        <v>4379</v>
      </c>
      <c r="AG129" s="245">
        <f>$L129/3</f>
        <v>3318000</v>
      </c>
      <c r="AH129" s="165" t="s">
        <v>3093</v>
      </c>
      <c r="AI129" s="165" t="s">
        <v>166</v>
      </c>
      <c r="AJ129" s="165"/>
      <c r="AK129" s="165" t="s">
        <v>4449</v>
      </c>
      <c r="AL129" s="6" t="s">
        <v>4269</v>
      </c>
      <c r="AM129" s="6">
        <v>6801989</v>
      </c>
      <c r="AN129" s="11" t="s">
        <v>1890</v>
      </c>
      <c r="AO129" s="167" t="s">
        <v>145</v>
      </c>
      <c r="AP129" s="245">
        <f>$L129/3</f>
        <v>3318000</v>
      </c>
      <c r="AQ129" s="165" t="s">
        <v>3093</v>
      </c>
      <c r="AR129" s="165"/>
      <c r="AS129" s="165"/>
      <c r="AT129" s="165" t="s">
        <v>4449</v>
      </c>
      <c r="AU129" s="6" t="s">
        <v>4269</v>
      </c>
      <c r="AV129" s="167"/>
      <c r="AW129" s="167"/>
      <c r="AX129" s="167"/>
      <c r="AY129" s="249"/>
      <c r="AZ129" s="167"/>
      <c r="BA129" s="167"/>
      <c r="BB129" s="167"/>
      <c r="BC129" s="6"/>
      <c r="BD129" s="167"/>
      <c r="BE129" s="167"/>
      <c r="BF129" s="167"/>
      <c r="BG129" s="249"/>
      <c r="BH129" s="167"/>
      <c r="BI129" s="167"/>
      <c r="BJ129" s="167"/>
      <c r="BK129" s="167"/>
      <c r="BL129" s="167"/>
      <c r="BM129" s="167"/>
      <c r="BN129" s="167"/>
      <c r="BO129" s="249"/>
      <c r="BP129" s="167"/>
      <c r="BQ129" s="167"/>
      <c r="BR129" s="167"/>
      <c r="BS129" s="167"/>
      <c r="BT129" s="167"/>
      <c r="BU129" s="167"/>
      <c r="BV129" s="249"/>
      <c r="BW129" s="167"/>
      <c r="BX129" s="167"/>
      <c r="BY129" s="167"/>
      <c r="BZ129" s="167">
        <v>5</v>
      </c>
      <c r="CA129" s="160" t="s">
        <v>3190</v>
      </c>
      <c r="CB129" s="163" t="s">
        <v>3191</v>
      </c>
      <c r="CC129" s="171"/>
      <c r="CD129" s="167"/>
      <c r="CE129" s="167"/>
      <c r="CF129" s="167"/>
      <c r="CG129" s="167"/>
      <c r="CH129" s="167"/>
      <c r="CI129" s="167"/>
      <c r="CJ129" s="167"/>
      <c r="CK129" s="167"/>
      <c r="CL129" s="167"/>
      <c r="CM129" s="167"/>
      <c r="CN129" s="167"/>
      <c r="CO129" s="167"/>
      <c r="CP129" s="167"/>
      <c r="CQ129" s="167"/>
      <c r="CR129" s="167"/>
      <c r="CS129" s="167"/>
      <c r="CT129" s="167"/>
      <c r="CU129" s="167"/>
      <c r="CV129" s="167"/>
      <c r="CW129" s="167"/>
      <c r="CX129" s="167"/>
      <c r="CY129" s="147"/>
      <c r="CZ129" s="147"/>
      <c r="DA129" s="147"/>
    </row>
    <row r="130" spans="1:105" ht="36">
      <c r="A130" s="8">
        <v>9</v>
      </c>
      <c r="B130" s="143" t="s">
        <v>5521</v>
      </c>
      <c r="C130" s="327" t="s">
        <v>5522</v>
      </c>
      <c r="D130" s="166" t="s">
        <v>5523</v>
      </c>
      <c r="E130" s="165" t="s">
        <v>216</v>
      </c>
      <c r="F130" s="135">
        <v>2024</v>
      </c>
      <c r="G130" s="135">
        <v>2024</v>
      </c>
      <c r="H130" s="135">
        <v>7</v>
      </c>
      <c r="I130" s="165" t="s">
        <v>5524</v>
      </c>
      <c r="J130" s="165" t="s">
        <v>5768</v>
      </c>
      <c r="K130" s="468">
        <v>9973000</v>
      </c>
      <c r="L130" s="468">
        <v>9973000</v>
      </c>
      <c r="M130" s="165" t="s">
        <v>4269</v>
      </c>
      <c r="N130" s="514">
        <v>6</v>
      </c>
      <c r="O130" s="7" t="s">
        <v>5290</v>
      </c>
      <c r="P130" s="9" t="s">
        <v>3223</v>
      </c>
      <c r="Q130" s="135" t="s">
        <v>3215</v>
      </c>
      <c r="R130" s="135" t="s">
        <v>3223</v>
      </c>
      <c r="S130" s="8">
        <v>6658755</v>
      </c>
      <c r="T130" s="171" t="s">
        <v>4408</v>
      </c>
      <c r="U130" s="162" t="s">
        <v>1901</v>
      </c>
      <c r="V130" s="245">
        <f>$L130/3</f>
        <v>3324333.3333333335</v>
      </c>
      <c r="W130" s="6" t="s">
        <v>164</v>
      </c>
      <c r="X130" s="6"/>
      <c r="Y130" s="6"/>
      <c r="Z130" s="6" t="s">
        <v>4272</v>
      </c>
      <c r="AA130" s="6" t="s">
        <v>4269</v>
      </c>
      <c r="AB130" s="15">
        <v>1093</v>
      </c>
      <c r="AC130" s="204" t="s">
        <v>4271</v>
      </c>
      <c r="AD130" s="167"/>
      <c r="AE130" s="170" t="s">
        <v>2699</v>
      </c>
      <c r="AF130" s="167" t="s">
        <v>135</v>
      </c>
      <c r="AG130" s="245">
        <f>$L130/3</f>
        <v>3324333.3333333335</v>
      </c>
      <c r="AH130" s="165" t="s">
        <v>171</v>
      </c>
      <c r="AI130" s="165"/>
      <c r="AJ130" s="165"/>
      <c r="AK130" s="165" t="s">
        <v>4272</v>
      </c>
      <c r="AL130" s="6" t="s">
        <v>4269</v>
      </c>
      <c r="AM130" s="167" t="s">
        <v>942</v>
      </c>
      <c r="AN130" s="170" t="s">
        <v>942</v>
      </c>
      <c r="AO130" s="167" t="s">
        <v>3121</v>
      </c>
      <c r="AP130" s="245">
        <f>$L130/3</f>
        <v>3324333.3333333335</v>
      </c>
      <c r="AQ130" s="165"/>
      <c r="AR130" s="165"/>
      <c r="AS130" s="165"/>
      <c r="AT130" s="165"/>
      <c r="AU130" s="6" t="s">
        <v>4269</v>
      </c>
      <c r="AV130" s="167"/>
      <c r="AW130" s="167"/>
      <c r="AX130" s="167"/>
      <c r="AY130" s="249"/>
      <c r="AZ130" s="167"/>
      <c r="BA130" s="167"/>
      <c r="BB130" s="167"/>
      <c r="BC130" s="6"/>
      <c r="BD130" s="167"/>
      <c r="BE130" s="167"/>
      <c r="BF130" s="167"/>
      <c r="BG130" s="249"/>
      <c r="BH130" s="167"/>
      <c r="BI130" s="167"/>
      <c r="BJ130" s="167"/>
      <c r="BK130" s="167"/>
      <c r="BL130" s="167"/>
      <c r="BM130" s="167"/>
      <c r="BN130" s="167"/>
      <c r="BO130" s="249"/>
      <c r="BP130" s="167"/>
      <c r="BQ130" s="167"/>
      <c r="BR130" s="167"/>
      <c r="BS130" s="167"/>
      <c r="BT130" s="167"/>
      <c r="BU130" s="167"/>
      <c r="BV130" s="249"/>
      <c r="BW130" s="167"/>
      <c r="BX130" s="167"/>
      <c r="BY130" s="167"/>
      <c r="BZ130" s="167">
        <v>6</v>
      </c>
      <c r="CA130" s="160" t="s">
        <v>3190</v>
      </c>
      <c r="CB130" s="163" t="s">
        <v>3191</v>
      </c>
      <c r="CC130" s="171"/>
      <c r="CD130" s="167"/>
      <c r="CE130" s="167"/>
      <c r="CF130" s="167"/>
      <c r="CG130" s="167"/>
      <c r="CH130" s="167"/>
      <c r="CI130" s="167"/>
      <c r="CJ130" s="167"/>
      <c r="CK130" s="167"/>
      <c r="CL130" s="167"/>
      <c r="CM130" s="167"/>
      <c r="CN130" s="167"/>
      <c r="CO130" s="167"/>
      <c r="CP130" s="167"/>
      <c r="CQ130" s="167"/>
      <c r="CR130" s="167"/>
      <c r="CS130" s="167"/>
      <c r="CT130" s="167"/>
      <c r="CU130" s="167"/>
      <c r="CV130" s="167"/>
      <c r="CW130" s="167"/>
      <c r="CX130" s="167"/>
      <c r="CY130" s="147"/>
      <c r="CZ130" s="147"/>
      <c r="DA130" s="147"/>
    </row>
    <row r="131" spans="1:105" ht="36">
      <c r="A131" s="135">
        <v>10</v>
      </c>
      <c r="B131" s="143" t="s">
        <v>5525</v>
      </c>
      <c r="C131" s="143" t="s">
        <v>5526</v>
      </c>
      <c r="D131" s="166" t="s">
        <v>5527</v>
      </c>
      <c r="E131" s="165" t="s">
        <v>216</v>
      </c>
      <c r="F131" s="135">
        <v>2024</v>
      </c>
      <c r="G131" s="135">
        <v>2024</v>
      </c>
      <c r="H131" s="135">
        <v>7</v>
      </c>
      <c r="I131" s="165" t="s">
        <v>5524</v>
      </c>
      <c r="J131" s="165" t="s">
        <v>5746</v>
      </c>
      <c r="K131" s="468">
        <v>9770000</v>
      </c>
      <c r="L131" s="468">
        <v>9770000</v>
      </c>
      <c r="M131" s="165" t="s">
        <v>4269</v>
      </c>
      <c r="N131" s="514">
        <v>4</v>
      </c>
      <c r="O131" s="7" t="s">
        <v>5290</v>
      </c>
      <c r="P131" s="9" t="s">
        <v>3223</v>
      </c>
      <c r="Q131" s="135" t="s">
        <v>3215</v>
      </c>
      <c r="R131" s="135" t="s">
        <v>3223</v>
      </c>
      <c r="S131" s="167">
        <v>6099359</v>
      </c>
      <c r="T131" s="171" t="s">
        <v>5528</v>
      </c>
      <c r="U131" s="135">
        <v>708119103</v>
      </c>
      <c r="V131" s="245">
        <f>$L131/4</f>
        <v>2442500</v>
      </c>
      <c r="W131" s="165" t="s">
        <v>166</v>
      </c>
      <c r="X131" s="165"/>
      <c r="Y131" s="165"/>
      <c r="Z131" s="6" t="s">
        <v>4282</v>
      </c>
      <c r="AA131" s="6" t="s">
        <v>4269</v>
      </c>
      <c r="AB131" s="15">
        <v>1093</v>
      </c>
      <c r="AC131" s="204" t="s">
        <v>4271</v>
      </c>
      <c r="AD131" s="6">
        <v>6835039</v>
      </c>
      <c r="AE131" s="11" t="s">
        <v>2009</v>
      </c>
      <c r="AF131" s="167" t="s">
        <v>4694</v>
      </c>
      <c r="AG131" s="245">
        <f>$L131/4</f>
        <v>2442500</v>
      </c>
      <c r="AH131" s="165" t="s">
        <v>166</v>
      </c>
      <c r="AI131" s="165"/>
      <c r="AJ131" s="165"/>
      <c r="AK131" s="165" t="s">
        <v>4282</v>
      </c>
      <c r="AL131" s="6" t="s">
        <v>4269</v>
      </c>
      <c r="AM131" s="13">
        <v>6682174</v>
      </c>
      <c r="AN131" s="16" t="s">
        <v>2285</v>
      </c>
      <c r="AO131" s="167" t="s">
        <v>4839</v>
      </c>
      <c r="AP131" s="245">
        <f>$L131/4</f>
        <v>2442500</v>
      </c>
      <c r="AQ131" s="165" t="s">
        <v>166</v>
      </c>
      <c r="AR131" s="165"/>
      <c r="AS131" s="165"/>
      <c r="AT131" s="165" t="s">
        <v>4282</v>
      </c>
      <c r="AU131" s="6" t="s">
        <v>4269</v>
      </c>
      <c r="AV131" s="8">
        <v>6826727</v>
      </c>
      <c r="AW131" s="162" t="s">
        <v>2276</v>
      </c>
      <c r="AX131" s="167" t="s">
        <v>4545</v>
      </c>
      <c r="AY131" s="245">
        <f>$L131/4</f>
        <v>2442500</v>
      </c>
      <c r="AZ131" s="167" t="s">
        <v>156</v>
      </c>
      <c r="BA131" s="167"/>
      <c r="BB131" s="167" t="s">
        <v>4272</v>
      </c>
      <c r="BC131" s="6" t="s">
        <v>4269</v>
      </c>
      <c r="BD131" s="118">
        <v>6886510</v>
      </c>
      <c r="BE131" s="11" t="s">
        <v>4248</v>
      </c>
      <c r="BF131" s="167" t="s">
        <v>4797</v>
      </c>
      <c r="BG131" s="245">
        <f>$L131/4</f>
        <v>2442500</v>
      </c>
      <c r="BH131" s="167" t="s">
        <v>156</v>
      </c>
      <c r="BI131" s="167"/>
      <c r="BJ131" s="167" t="s">
        <v>4272</v>
      </c>
      <c r="BK131" s="6" t="s">
        <v>4269</v>
      </c>
      <c r="BL131" s="167"/>
      <c r="BM131" s="167"/>
      <c r="BN131" s="167"/>
      <c r="BO131" s="249"/>
      <c r="BP131" s="167"/>
      <c r="BQ131" s="167"/>
      <c r="BR131" s="167"/>
      <c r="BS131" s="167"/>
      <c r="BT131" s="167"/>
      <c r="BU131" s="167"/>
      <c r="BV131" s="249"/>
      <c r="BW131" s="167"/>
      <c r="BX131" s="167"/>
      <c r="BY131" s="167"/>
      <c r="BZ131" s="167">
        <v>4</v>
      </c>
      <c r="CA131" s="160" t="s">
        <v>3190</v>
      </c>
      <c r="CB131" s="163" t="s">
        <v>3191</v>
      </c>
      <c r="CC131" s="171"/>
      <c r="CD131" s="167"/>
      <c r="CE131" s="167"/>
      <c r="CF131" s="167"/>
      <c r="CG131" s="167"/>
      <c r="CH131" s="167"/>
      <c r="CI131" s="167"/>
      <c r="CJ131" s="167"/>
      <c r="CK131" s="167"/>
      <c r="CL131" s="167"/>
      <c r="CM131" s="167"/>
      <c r="CN131" s="167"/>
      <c r="CO131" s="167"/>
      <c r="CP131" s="167"/>
      <c r="CQ131" s="167"/>
      <c r="CR131" s="167"/>
      <c r="CS131" s="167"/>
      <c r="CT131" s="167"/>
      <c r="CU131" s="167"/>
      <c r="CV131" s="167"/>
      <c r="CW131" s="167"/>
      <c r="CX131" s="167"/>
      <c r="CY131" s="147"/>
      <c r="CZ131" s="147"/>
      <c r="DA131" s="147"/>
    </row>
    <row r="132" spans="1:105" ht="36">
      <c r="A132" s="8">
        <v>11</v>
      </c>
      <c r="B132" s="143" t="s">
        <v>5529</v>
      </c>
      <c r="C132" s="143" t="s">
        <v>5530</v>
      </c>
      <c r="D132" s="166" t="s">
        <v>5531</v>
      </c>
      <c r="E132" s="165" t="s">
        <v>216</v>
      </c>
      <c r="F132" s="135">
        <v>2024</v>
      </c>
      <c r="G132" s="135">
        <v>2024</v>
      </c>
      <c r="H132" s="135">
        <v>7</v>
      </c>
      <c r="I132" s="165" t="s">
        <v>5524</v>
      </c>
      <c r="J132" s="165" t="s">
        <v>5769</v>
      </c>
      <c r="K132" s="468">
        <v>9983000</v>
      </c>
      <c r="L132" s="468">
        <v>9983000</v>
      </c>
      <c r="M132" s="165" t="s">
        <v>4269</v>
      </c>
      <c r="N132" s="514">
        <v>4</v>
      </c>
      <c r="O132" s="7" t="s">
        <v>5290</v>
      </c>
      <c r="P132" s="9" t="s">
        <v>3223</v>
      </c>
      <c r="Q132" s="135" t="s">
        <v>3215</v>
      </c>
      <c r="R132" s="135" t="s">
        <v>3223</v>
      </c>
      <c r="S132" s="6">
        <v>6773159</v>
      </c>
      <c r="T132" s="171" t="s">
        <v>4907</v>
      </c>
      <c r="U132" s="6" t="s">
        <v>3683</v>
      </c>
      <c r="V132" s="245">
        <f>$L132/3</f>
        <v>3327666.6666666665</v>
      </c>
      <c r="W132" s="165" t="s">
        <v>171</v>
      </c>
      <c r="X132" s="165"/>
      <c r="Y132" s="165"/>
      <c r="Z132" s="6" t="s">
        <v>4272</v>
      </c>
      <c r="AA132" s="6" t="s">
        <v>4269</v>
      </c>
      <c r="AB132" s="15">
        <v>1093</v>
      </c>
      <c r="AC132" s="204" t="s">
        <v>4271</v>
      </c>
      <c r="AD132" s="259">
        <v>28854</v>
      </c>
      <c r="AE132" s="260" t="s">
        <v>2959</v>
      </c>
      <c r="AF132" s="167" t="s">
        <v>146</v>
      </c>
      <c r="AG132" s="245">
        <f>$L132/3</f>
        <v>3327666.6666666665</v>
      </c>
      <c r="AH132" s="165" t="s">
        <v>164</v>
      </c>
      <c r="AI132" s="165"/>
      <c r="AJ132" s="165"/>
      <c r="AK132" s="165" t="s">
        <v>4272</v>
      </c>
      <c r="AL132" s="6" t="s">
        <v>4269</v>
      </c>
      <c r="AM132" s="167">
        <v>6889068</v>
      </c>
      <c r="AN132" s="170" t="s">
        <v>4299</v>
      </c>
      <c r="AO132" s="167" t="s">
        <v>3111</v>
      </c>
      <c r="AP132" s="245">
        <f>$L132/3</f>
        <v>3327666.6666666665</v>
      </c>
      <c r="AQ132" s="165" t="s">
        <v>171</v>
      </c>
      <c r="AR132" s="165"/>
      <c r="AS132" s="165"/>
      <c r="AT132" s="165" t="s">
        <v>4272</v>
      </c>
      <c r="AU132" s="6" t="s">
        <v>4269</v>
      </c>
      <c r="AV132" s="167"/>
      <c r="AW132" s="167"/>
      <c r="AX132" s="167"/>
      <c r="AY132" s="249"/>
      <c r="AZ132" s="167"/>
      <c r="BA132" s="167"/>
      <c r="BB132" s="167"/>
      <c r="BC132" s="6"/>
      <c r="BD132" s="167"/>
      <c r="BE132" s="167"/>
      <c r="BF132" s="167"/>
      <c r="BG132" s="249"/>
      <c r="BH132" s="167"/>
      <c r="BI132" s="167"/>
      <c r="BJ132" s="167"/>
      <c r="BK132" s="167"/>
      <c r="BL132" s="167"/>
      <c r="BM132" s="167"/>
      <c r="BN132" s="167"/>
      <c r="BO132" s="249"/>
      <c r="BP132" s="167"/>
      <c r="BQ132" s="167"/>
      <c r="BR132" s="167"/>
      <c r="BS132" s="167"/>
      <c r="BT132" s="167"/>
      <c r="BU132" s="167"/>
      <c r="BV132" s="249"/>
      <c r="BW132" s="167"/>
      <c r="BX132" s="167"/>
      <c r="BY132" s="167"/>
      <c r="BZ132" s="167">
        <v>4</v>
      </c>
      <c r="CA132" s="160" t="s">
        <v>3190</v>
      </c>
      <c r="CB132" s="163" t="s">
        <v>3191</v>
      </c>
      <c r="CC132" s="171"/>
      <c r="CD132" s="167"/>
      <c r="CE132" s="167"/>
      <c r="CF132" s="167"/>
      <c r="CG132" s="167"/>
      <c r="CH132" s="167"/>
      <c r="CI132" s="167"/>
      <c r="CJ132" s="167"/>
      <c r="CK132" s="167"/>
      <c r="CL132" s="167"/>
      <c r="CM132" s="167"/>
      <c r="CN132" s="167"/>
      <c r="CO132" s="167"/>
      <c r="CP132" s="167"/>
      <c r="CQ132" s="167"/>
      <c r="CR132" s="167"/>
      <c r="CS132" s="167"/>
      <c r="CT132" s="167"/>
      <c r="CU132" s="167"/>
      <c r="CV132" s="167"/>
      <c r="CW132" s="167"/>
      <c r="CX132" s="167"/>
      <c r="CY132" s="147"/>
      <c r="CZ132" s="147"/>
      <c r="DA132" s="147"/>
    </row>
    <row r="133" spans="1:105" ht="36">
      <c r="A133" s="8">
        <v>12</v>
      </c>
      <c r="B133" s="143"/>
      <c r="C133" s="327" t="s">
        <v>5532</v>
      </c>
      <c r="D133" s="166" t="s">
        <v>5533</v>
      </c>
      <c r="E133" s="165" t="s">
        <v>214</v>
      </c>
      <c r="F133" s="135">
        <v>2024</v>
      </c>
      <c r="G133" s="135">
        <v>2024</v>
      </c>
      <c r="H133" s="135">
        <v>7</v>
      </c>
      <c r="I133" s="165" t="s">
        <v>5524</v>
      </c>
      <c r="J133" s="165" t="s">
        <v>5770</v>
      </c>
      <c r="K133" s="468">
        <v>5000000</v>
      </c>
      <c r="L133" s="468">
        <v>5000000</v>
      </c>
      <c r="M133" s="165" t="s">
        <v>4269</v>
      </c>
      <c r="N133" s="514">
        <v>1</v>
      </c>
      <c r="O133" s="7" t="s">
        <v>5290</v>
      </c>
      <c r="P133" s="9" t="s">
        <v>3223</v>
      </c>
      <c r="Q133" s="135" t="s">
        <v>3215</v>
      </c>
      <c r="R133" s="135" t="s">
        <v>3223</v>
      </c>
      <c r="S133" s="167">
        <v>6892129</v>
      </c>
      <c r="T133" s="171" t="s">
        <v>115</v>
      </c>
      <c r="U133" s="168" t="s">
        <v>2557</v>
      </c>
      <c r="V133" s="245">
        <f>$L133/3</f>
        <v>1666666.6666666667</v>
      </c>
      <c r="W133" s="165" t="s">
        <v>160</v>
      </c>
      <c r="X133" s="165"/>
      <c r="Y133" s="165"/>
      <c r="Z133" s="6" t="s">
        <v>4282</v>
      </c>
      <c r="AA133" s="6" t="s">
        <v>4269</v>
      </c>
      <c r="AB133" s="15">
        <v>1093</v>
      </c>
      <c r="AC133" s="204" t="s">
        <v>4271</v>
      </c>
      <c r="AD133" s="6">
        <v>6658545</v>
      </c>
      <c r="AE133" s="11" t="s">
        <v>984</v>
      </c>
      <c r="AF133" s="167" t="s">
        <v>4751</v>
      </c>
      <c r="AG133" s="245">
        <f>$L133/3</f>
        <v>1666666.6666666667</v>
      </c>
      <c r="AH133" s="165" t="s">
        <v>160</v>
      </c>
      <c r="AI133" s="165"/>
      <c r="AJ133" s="165"/>
      <c r="AK133" s="165" t="s">
        <v>4282</v>
      </c>
      <c r="AL133" s="6" t="s">
        <v>4269</v>
      </c>
      <c r="AM133" s="8">
        <v>6826743</v>
      </c>
      <c r="AN133" s="162" t="s">
        <v>1880</v>
      </c>
      <c r="AO133" s="167" t="s">
        <v>4600</v>
      </c>
      <c r="AP133" s="245">
        <f>$L133/3</f>
        <v>1666666.6666666667</v>
      </c>
      <c r="AQ133" s="165" t="s">
        <v>160</v>
      </c>
      <c r="AR133" s="165"/>
      <c r="AS133" s="165"/>
      <c r="AT133" s="165" t="s">
        <v>4282</v>
      </c>
      <c r="AU133" s="6" t="s">
        <v>4269</v>
      </c>
      <c r="AV133" s="167"/>
      <c r="AW133" s="167"/>
      <c r="AX133" s="167"/>
      <c r="AY133" s="249"/>
      <c r="AZ133" s="167"/>
      <c r="BA133" s="167"/>
      <c r="BB133" s="167"/>
      <c r="BC133" s="6"/>
      <c r="BD133" s="167"/>
      <c r="BE133" s="167"/>
      <c r="BF133" s="167"/>
      <c r="BG133" s="249"/>
      <c r="BH133" s="167"/>
      <c r="BI133" s="167"/>
      <c r="BJ133" s="167"/>
      <c r="BK133" s="167"/>
      <c r="BL133" s="167"/>
      <c r="BM133" s="167"/>
      <c r="BN133" s="167"/>
      <c r="BO133" s="249"/>
      <c r="BP133" s="167"/>
      <c r="BQ133" s="167"/>
      <c r="BR133" s="167"/>
      <c r="BS133" s="167"/>
      <c r="BT133" s="167"/>
      <c r="BU133" s="167"/>
      <c r="BV133" s="249"/>
      <c r="BW133" s="167"/>
      <c r="BX133" s="167"/>
      <c r="BY133" s="167"/>
      <c r="BZ133" s="167">
        <v>1</v>
      </c>
      <c r="CA133" s="160" t="s">
        <v>3190</v>
      </c>
      <c r="CB133" s="163" t="s">
        <v>3191</v>
      </c>
      <c r="CC133" s="171"/>
      <c r="CD133" s="167"/>
      <c r="CE133" s="167"/>
      <c r="CF133" s="167"/>
      <c r="CG133" s="167"/>
      <c r="CH133" s="167"/>
      <c r="CI133" s="167"/>
      <c r="CJ133" s="167"/>
      <c r="CK133" s="167"/>
      <c r="CL133" s="167"/>
      <c r="CM133" s="167"/>
      <c r="CN133" s="167"/>
      <c r="CO133" s="167"/>
      <c r="CP133" s="167"/>
      <c r="CQ133" s="167"/>
      <c r="CR133" s="167"/>
      <c r="CS133" s="167"/>
      <c r="CT133" s="167"/>
      <c r="CU133" s="167"/>
      <c r="CV133" s="167"/>
      <c r="CW133" s="167"/>
      <c r="CX133" s="167"/>
      <c r="CY133" s="147"/>
      <c r="CZ133" s="147"/>
      <c r="DA133" s="147"/>
    </row>
    <row r="134" spans="1:105" ht="36">
      <c r="A134" s="8">
        <v>13</v>
      </c>
      <c r="B134" s="143" t="s">
        <v>5514</v>
      </c>
      <c r="C134" s="327" t="s">
        <v>5534</v>
      </c>
      <c r="D134" s="166" t="s">
        <v>5535</v>
      </c>
      <c r="E134" s="165" t="s">
        <v>216</v>
      </c>
      <c r="F134" s="135">
        <v>2024</v>
      </c>
      <c r="G134" s="135">
        <v>2024</v>
      </c>
      <c r="H134" s="135">
        <v>7</v>
      </c>
      <c r="I134" s="165" t="s">
        <v>5536</v>
      </c>
      <c r="J134" s="165" t="s">
        <v>5771</v>
      </c>
      <c r="K134" s="468">
        <v>10000000</v>
      </c>
      <c r="L134" s="468">
        <v>10000000</v>
      </c>
      <c r="M134" s="165" t="s">
        <v>4269</v>
      </c>
      <c r="N134" s="514">
        <v>6</v>
      </c>
      <c r="O134" s="7" t="s">
        <v>5290</v>
      </c>
      <c r="P134" s="9" t="s">
        <v>3223</v>
      </c>
      <c r="Q134" s="135" t="s">
        <v>3215</v>
      </c>
      <c r="R134" s="135" t="s">
        <v>3223</v>
      </c>
      <c r="S134" s="99">
        <v>6853203</v>
      </c>
      <c r="T134" s="171" t="s">
        <v>4802</v>
      </c>
      <c r="U134" s="11" t="s">
        <v>3905</v>
      </c>
      <c r="V134" s="245">
        <f>$L134/3</f>
        <v>3333333.3333333335</v>
      </c>
      <c r="W134" s="165" t="s">
        <v>155</v>
      </c>
      <c r="X134" s="165"/>
      <c r="Y134" s="165"/>
      <c r="Z134" s="6" t="s">
        <v>3224</v>
      </c>
      <c r="AA134" s="6" t="s">
        <v>4269</v>
      </c>
      <c r="AB134" s="15">
        <v>1093</v>
      </c>
      <c r="AC134" s="204" t="s">
        <v>4271</v>
      </c>
      <c r="AD134" s="8">
        <v>6680612</v>
      </c>
      <c r="AE134" s="8">
        <v>728059203</v>
      </c>
      <c r="AF134" s="167" t="s">
        <v>4341</v>
      </c>
      <c r="AG134" s="245">
        <f>$L134/3</f>
        <v>3333333.3333333335</v>
      </c>
      <c r="AH134" s="165" t="s">
        <v>155</v>
      </c>
      <c r="AI134" s="165"/>
      <c r="AJ134" s="165"/>
      <c r="AK134" s="165" t="s">
        <v>3224</v>
      </c>
      <c r="AL134" s="6" t="s">
        <v>4269</v>
      </c>
      <c r="AM134" s="8">
        <v>6859016</v>
      </c>
      <c r="AN134" s="162" t="s">
        <v>2497</v>
      </c>
      <c r="AO134" s="167" t="s">
        <v>3126</v>
      </c>
      <c r="AP134" s="245">
        <f>$L134/3</f>
        <v>3333333.3333333335</v>
      </c>
      <c r="AQ134" s="165" t="s">
        <v>155</v>
      </c>
      <c r="AR134" s="165"/>
      <c r="AS134" s="165"/>
      <c r="AT134" s="165" t="s">
        <v>3224</v>
      </c>
      <c r="AU134" s="6" t="s">
        <v>4269</v>
      </c>
      <c r="AV134" s="167"/>
      <c r="AW134" s="167"/>
      <c r="AX134" s="167"/>
      <c r="AY134" s="249"/>
      <c r="AZ134" s="167"/>
      <c r="BA134" s="167"/>
      <c r="BB134" s="167"/>
      <c r="BC134" s="6"/>
      <c r="BD134" s="167"/>
      <c r="BE134" s="167"/>
      <c r="BF134" s="167"/>
      <c r="BG134" s="249"/>
      <c r="BH134" s="167"/>
      <c r="BI134" s="167"/>
      <c r="BJ134" s="167"/>
      <c r="BK134" s="167"/>
      <c r="BL134" s="167"/>
      <c r="BM134" s="167"/>
      <c r="BN134" s="167"/>
      <c r="BO134" s="249"/>
      <c r="BP134" s="167"/>
      <c r="BQ134" s="167"/>
      <c r="BR134" s="167"/>
      <c r="BS134" s="167"/>
      <c r="BT134" s="167"/>
      <c r="BU134" s="167"/>
      <c r="BV134" s="249"/>
      <c r="BW134" s="167"/>
      <c r="BX134" s="167"/>
      <c r="BY134" s="167"/>
      <c r="BZ134" s="167">
        <v>6</v>
      </c>
      <c r="CA134" s="160" t="s">
        <v>3190</v>
      </c>
      <c r="CB134" s="163" t="s">
        <v>3191</v>
      </c>
      <c r="CC134" s="171"/>
      <c r="CD134" s="167"/>
      <c r="CE134" s="167"/>
      <c r="CF134" s="167"/>
      <c r="CG134" s="167"/>
      <c r="CH134" s="167"/>
      <c r="CI134" s="167"/>
      <c r="CJ134" s="167"/>
      <c r="CK134" s="167"/>
      <c r="CL134" s="167"/>
      <c r="CM134" s="167"/>
      <c r="CN134" s="167"/>
      <c r="CO134" s="167"/>
      <c r="CP134" s="167"/>
      <c r="CQ134" s="167"/>
      <c r="CR134" s="167"/>
      <c r="CS134" s="167"/>
      <c r="CT134" s="167"/>
      <c r="CU134" s="167"/>
      <c r="CV134" s="167"/>
      <c r="CW134" s="167"/>
      <c r="CX134" s="167"/>
      <c r="CY134" s="147"/>
      <c r="CZ134" s="147"/>
      <c r="DA134" s="147"/>
    </row>
    <row r="135" spans="1:105" ht="36">
      <c r="A135" s="135">
        <v>14</v>
      </c>
      <c r="B135" s="143"/>
      <c r="C135" s="327" t="s">
        <v>5537</v>
      </c>
      <c r="D135" s="166" t="s">
        <v>5538</v>
      </c>
      <c r="E135" s="165" t="s">
        <v>214</v>
      </c>
      <c r="F135" s="135">
        <v>2024</v>
      </c>
      <c r="G135" s="135">
        <v>2024</v>
      </c>
      <c r="H135" s="135">
        <v>7</v>
      </c>
      <c r="I135" s="165" t="s">
        <v>5536</v>
      </c>
      <c r="J135" s="165" t="s">
        <v>5772</v>
      </c>
      <c r="K135" s="468">
        <v>5000000</v>
      </c>
      <c r="L135" s="468">
        <v>5000000</v>
      </c>
      <c r="M135" s="165" t="s">
        <v>4269</v>
      </c>
      <c r="N135" s="514">
        <v>2</v>
      </c>
      <c r="O135" s="7" t="s">
        <v>5290</v>
      </c>
      <c r="P135" s="9" t="s">
        <v>3223</v>
      </c>
      <c r="Q135" s="135" t="s">
        <v>3215</v>
      </c>
      <c r="R135" s="135" t="s">
        <v>3223</v>
      </c>
      <c r="S135" s="8">
        <v>6795859</v>
      </c>
      <c r="T135" s="171" t="s">
        <v>2056</v>
      </c>
      <c r="U135" s="162" t="s">
        <v>1672</v>
      </c>
      <c r="V135" s="245">
        <f>$L135/3</f>
        <v>1666666.6666666667</v>
      </c>
      <c r="W135" s="165" t="s">
        <v>160</v>
      </c>
      <c r="X135" s="165"/>
      <c r="Y135" s="165"/>
      <c r="Z135" s="6" t="s">
        <v>4282</v>
      </c>
      <c r="AA135" s="6" t="s">
        <v>4269</v>
      </c>
      <c r="AB135" s="15">
        <v>1093</v>
      </c>
      <c r="AC135" s="204" t="s">
        <v>4271</v>
      </c>
      <c r="AD135" s="8">
        <v>6681051</v>
      </c>
      <c r="AE135" s="10" t="s">
        <v>1657</v>
      </c>
      <c r="AF135" s="167" t="s">
        <v>4562</v>
      </c>
      <c r="AG135" s="245">
        <f>$L135/3</f>
        <v>1666666.6666666667</v>
      </c>
      <c r="AH135" s="165" t="s">
        <v>160</v>
      </c>
      <c r="AI135" s="165"/>
      <c r="AJ135" s="165"/>
      <c r="AK135" s="165" t="s">
        <v>4282</v>
      </c>
      <c r="AL135" s="6" t="s">
        <v>4269</v>
      </c>
      <c r="AM135" s="6">
        <v>6826739</v>
      </c>
      <c r="AN135" s="11" t="s">
        <v>2307</v>
      </c>
      <c r="AO135" s="167" t="s">
        <v>4479</v>
      </c>
      <c r="AP135" s="245">
        <f>$L135/3</f>
        <v>1666666.6666666667</v>
      </c>
      <c r="AQ135" s="165" t="s">
        <v>160</v>
      </c>
      <c r="AR135" s="165"/>
      <c r="AS135" s="165"/>
      <c r="AT135" s="165" t="s">
        <v>4282</v>
      </c>
      <c r="AU135" s="6" t="s">
        <v>4269</v>
      </c>
      <c r="AV135" s="167"/>
      <c r="AW135" s="167"/>
      <c r="AX135" s="167"/>
      <c r="AY135" s="249"/>
      <c r="AZ135" s="167"/>
      <c r="BA135" s="167"/>
      <c r="BB135" s="167"/>
      <c r="BC135" s="6"/>
      <c r="BD135" s="167"/>
      <c r="BE135" s="167"/>
      <c r="BF135" s="167"/>
      <c r="BG135" s="249"/>
      <c r="BH135" s="167"/>
      <c r="BI135" s="167"/>
      <c r="BJ135" s="167"/>
      <c r="BK135" s="167"/>
      <c r="BL135" s="167"/>
      <c r="BM135" s="167"/>
      <c r="BN135" s="167"/>
      <c r="BO135" s="249"/>
      <c r="BP135" s="167"/>
      <c r="BQ135" s="167"/>
      <c r="BR135" s="167"/>
      <c r="BS135" s="167"/>
      <c r="BT135" s="167"/>
      <c r="BU135" s="167"/>
      <c r="BV135" s="249"/>
      <c r="BW135" s="167"/>
      <c r="BX135" s="167"/>
      <c r="BY135" s="167"/>
      <c r="BZ135" s="167">
        <v>2</v>
      </c>
      <c r="CA135" s="160" t="s">
        <v>3190</v>
      </c>
      <c r="CB135" s="163" t="s">
        <v>3191</v>
      </c>
      <c r="CC135" s="171"/>
      <c r="CD135" s="167"/>
      <c r="CE135" s="167"/>
      <c r="CF135" s="167"/>
      <c r="CG135" s="167"/>
      <c r="CH135" s="167"/>
      <c r="CI135" s="167"/>
      <c r="CJ135" s="167"/>
      <c r="CK135" s="167"/>
      <c r="CL135" s="167"/>
      <c r="CM135" s="167"/>
      <c r="CN135" s="167"/>
      <c r="CO135" s="167"/>
      <c r="CP135" s="167"/>
      <c r="CQ135" s="167"/>
      <c r="CR135" s="167"/>
      <c r="CS135" s="167"/>
      <c r="CT135" s="167"/>
      <c r="CU135" s="167"/>
      <c r="CV135" s="167"/>
      <c r="CW135" s="167"/>
      <c r="CX135" s="167"/>
      <c r="CY135" s="147"/>
      <c r="CZ135" s="147"/>
      <c r="DA135" s="147"/>
    </row>
    <row r="136" spans="1:105" ht="36">
      <c r="A136" s="8">
        <v>15</v>
      </c>
      <c r="B136" s="143"/>
      <c r="C136" s="327" t="s">
        <v>5539</v>
      </c>
      <c r="D136" s="166" t="s">
        <v>5540</v>
      </c>
      <c r="E136" s="165" t="s">
        <v>214</v>
      </c>
      <c r="F136" s="135">
        <v>2024</v>
      </c>
      <c r="G136" s="135">
        <v>2024</v>
      </c>
      <c r="H136" s="135">
        <v>7</v>
      </c>
      <c r="I136" s="165" t="s">
        <v>5524</v>
      </c>
      <c r="J136" s="165" t="s">
        <v>5773</v>
      </c>
      <c r="K136" s="468">
        <v>5000000</v>
      </c>
      <c r="L136" s="468">
        <v>5000000</v>
      </c>
      <c r="M136" s="165" t="s">
        <v>4269</v>
      </c>
      <c r="N136" s="514">
        <v>4</v>
      </c>
      <c r="O136" s="7" t="s">
        <v>5290</v>
      </c>
      <c r="P136" s="9" t="s">
        <v>3223</v>
      </c>
      <c r="Q136" s="135" t="s">
        <v>3215</v>
      </c>
      <c r="R136" s="135" t="s">
        <v>3223</v>
      </c>
      <c r="S136" s="167">
        <v>6886510</v>
      </c>
      <c r="T136" s="171" t="s">
        <v>4797</v>
      </c>
      <c r="U136" s="11" t="s">
        <v>4248</v>
      </c>
      <c r="V136" s="245">
        <f>$L136/4</f>
        <v>1250000</v>
      </c>
      <c r="W136" s="165" t="s">
        <v>156</v>
      </c>
      <c r="X136" s="165"/>
      <c r="Y136" s="165"/>
      <c r="Z136" s="6" t="s">
        <v>4272</v>
      </c>
      <c r="AA136" s="6" t="s">
        <v>4269</v>
      </c>
      <c r="AB136" s="15">
        <v>1093</v>
      </c>
      <c r="AC136" s="204" t="s">
        <v>4271</v>
      </c>
      <c r="AD136" s="8">
        <v>6825598</v>
      </c>
      <c r="AE136" s="162" t="s">
        <v>1774</v>
      </c>
      <c r="AF136" s="167" t="s">
        <v>4147</v>
      </c>
      <c r="AG136" s="245">
        <f>$L136/4</f>
        <v>1250000</v>
      </c>
      <c r="AH136" s="165" t="s">
        <v>156</v>
      </c>
      <c r="AI136" s="165"/>
      <c r="AJ136" s="165"/>
      <c r="AK136" s="165" t="s">
        <v>4272</v>
      </c>
      <c r="AL136" s="6" t="s">
        <v>4269</v>
      </c>
      <c r="AM136" s="8">
        <v>6833162</v>
      </c>
      <c r="AN136" s="162" t="s">
        <v>2031</v>
      </c>
      <c r="AO136" s="167" t="s">
        <v>4381</v>
      </c>
      <c r="AP136" s="245">
        <f>$L136/4</f>
        <v>1250000</v>
      </c>
      <c r="AQ136" s="165" t="s">
        <v>3093</v>
      </c>
      <c r="AR136" s="165"/>
      <c r="AS136" s="165"/>
      <c r="AT136" s="165" t="s">
        <v>4449</v>
      </c>
      <c r="AU136" s="6" t="s">
        <v>4269</v>
      </c>
      <c r="AV136" s="6">
        <v>6785861</v>
      </c>
      <c r="AW136" s="11" t="s">
        <v>1904</v>
      </c>
      <c r="AX136" s="167" t="s">
        <v>5541</v>
      </c>
      <c r="AY136" s="245">
        <f>$L136/4</f>
        <v>1250000</v>
      </c>
      <c r="AZ136" s="167" t="s">
        <v>3093</v>
      </c>
      <c r="BA136" s="167"/>
      <c r="BB136" s="165" t="s">
        <v>4449</v>
      </c>
      <c r="BC136" s="6" t="s">
        <v>4269</v>
      </c>
      <c r="BD136" s="167"/>
      <c r="BE136" s="167"/>
      <c r="BF136" s="167"/>
      <c r="BG136" s="249"/>
      <c r="BH136" s="167"/>
      <c r="BI136" s="167"/>
      <c r="BJ136" s="167"/>
      <c r="BK136" s="167"/>
      <c r="BL136" s="167"/>
      <c r="BM136" s="167"/>
      <c r="BN136" s="167"/>
      <c r="BO136" s="249"/>
      <c r="BP136" s="167"/>
      <c r="BQ136" s="167"/>
      <c r="BR136" s="167"/>
      <c r="BS136" s="167"/>
      <c r="BT136" s="167"/>
      <c r="BU136" s="167"/>
      <c r="BV136" s="249"/>
      <c r="BW136" s="167"/>
      <c r="BX136" s="167"/>
      <c r="BY136" s="167"/>
      <c r="BZ136" s="167">
        <v>4</v>
      </c>
      <c r="CA136" s="160" t="s">
        <v>3190</v>
      </c>
      <c r="CB136" s="163" t="s">
        <v>3191</v>
      </c>
      <c r="CC136" s="171"/>
      <c r="CD136" s="167"/>
      <c r="CE136" s="167"/>
      <c r="CF136" s="167"/>
      <c r="CG136" s="167"/>
      <c r="CH136" s="167"/>
      <c r="CI136" s="167"/>
      <c r="CJ136" s="167"/>
      <c r="CK136" s="167"/>
      <c r="CL136" s="167"/>
      <c r="CM136" s="167"/>
      <c r="CN136" s="167"/>
      <c r="CO136" s="167"/>
      <c r="CP136" s="167"/>
      <c r="CQ136" s="167"/>
      <c r="CR136" s="167"/>
      <c r="CS136" s="167"/>
      <c r="CT136" s="167"/>
      <c r="CU136" s="167"/>
      <c r="CV136" s="167"/>
      <c r="CW136" s="167"/>
      <c r="CX136" s="167"/>
      <c r="CY136" s="147"/>
      <c r="CZ136" s="147"/>
      <c r="DA136" s="147"/>
    </row>
    <row r="137" spans="1:105" ht="36">
      <c r="A137" s="8">
        <v>16</v>
      </c>
      <c r="B137" s="143" t="s">
        <v>5514</v>
      </c>
      <c r="C137" s="143" t="s">
        <v>5542</v>
      </c>
      <c r="D137" s="166" t="s">
        <v>5543</v>
      </c>
      <c r="E137" s="165" t="s">
        <v>216</v>
      </c>
      <c r="F137" s="135">
        <v>2024</v>
      </c>
      <c r="G137" s="135">
        <v>2024</v>
      </c>
      <c r="H137" s="135">
        <v>7</v>
      </c>
      <c r="I137" s="165" t="s">
        <v>5524</v>
      </c>
      <c r="J137" s="165" t="s">
        <v>5774</v>
      </c>
      <c r="K137" s="468">
        <v>10000000</v>
      </c>
      <c r="L137" s="468">
        <v>10000000</v>
      </c>
      <c r="M137" s="165" t="s">
        <v>4269</v>
      </c>
      <c r="N137" s="514">
        <v>3</v>
      </c>
      <c r="O137" s="7" t="s">
        <v>5290</v>
      </c>
      <c r="P137" s="9" t="s">
        <v>3223</v>
      </c>
      <c r="Q137" s="135" t="s">
        <v>3215</v>
      </c>
      <c r="R137" s="135" t="s">
        <v>3223</v>
      </c>
      <c r="S137" s="8">
        <v>6833033</v>
      </c>
      <c r="T137" s="171" t="s">
        <v>5544</v>
      </c>
      <c r="U137" s="10" t="s">
        <v>2023</v>
      </c>
      <c r="V137" s="245">
        <f>$L137/3</f>
        <v>3333333.3333333335</v>
      </c>
      <c r="W137" s="165" t="s">
        <v>166</v>
      </c>
      <c r="X137" s="165"/>
      <c r="Y137" s="165"/>
      <c r="Z137" s="6" t="s">
        <v>4282</v>
      </c>
      <c r="AA137" s="6" t="s">
        <v>4269</v>
      </c>
      <c r="AB137" s="15">
        <v>1093</v>
      </c>
      <c r="AC137" s="204" t="s">
        <v>4271</v>
      </c>
      <c r="AD137" s="167">
        <v>6099359</v>
      </c>
      <c r="AE137" s="135">
        <v>708119103</v>
      </c>
      <c r="AF137" s="167" t="s">
        <v>5528</v>
      </c>
      <c r="AG137" s="245">
        <f>$L137/3</f>
        <v>3333333.3333333335</v>
      </c>
      <c r="AH137" s="165" t="s">
        <v>166</v>
      </c>
      <c r="AI137" s="165"/>
      <c r="AJ137" s="165"/>
      <c r="AK137" s="165" t="s">
        <v>4282</v>
      </c>
      <c r="AL137" s="6" t="s">
        <v>4269</v>
      </c>
      <c r="AM137" s="8">
        <v>6665306</v>
      </c>
      <c r="AN137" s="162" t="s">
        <v>1727</v>
      </c>
      <c r="AO137" s="167" t="s">
        <v>4329</v>
      </c>
      <c r="AP137" s="245">
        <f>$L137/3</f>
        <v>3333333.3333333335</v>
      </c>
      <c r="AQ137" s="165" t="s">
        <v>166</v>
      </c>
      <c r="AR137" s="165"/>
      <c r="AS137" s="165"/>
      <c r="AT137" s="165" t="s">
        <v>4282</v>
      </c>
      <c r="AU137" s="6" t="s">
        <v>4269</v>
      </c>
      <c r="AV137" s="167"/>
      <c r="AW137" s="167"/>
      <c r="AX137" s="167"/>
      <c r="AY137" s="249"/>
      <c r="AZ137" s="167"/>
      <c r="BA137" s="167"/>
      <c r="BB137" s="167"/>
      <c r="BC137" s="6"/>
      <c r="BD137" s="167"/>
      <c r="BE137" s="167"/>
      <c r="BF137" s="167"/>
      <c r="BG137" s="249"/>
      <c r="BH137" s="167"/>
      <c r="BI137" s="167"/>
      <c r="BJ137" s="167"/>
      <c r="BK137" s="167"/>
      <c r="BL137" s="167"/>
      <c r="BM137" s="167"/>
      <c r="BN137" s="167"/>
      <c r="BO137" s="249"/>
      <c r="BP137" s="167"/>
      <c r="BQ137" s="167"/>
      <c r="BR137" s="167"/>
      <c r="BS137" s="167"/>
      <c r="BT137" s="167"/>
      <c r="BU137" s="167"/>
      <c r="BV137" s="249"/>
      <c r="BW137" s="167"/>
      <c r="BX137" s="167"/>
      <c r="BY137" s="167"/>
      <c r="BZ137" s="167">
        <v>3</v>
      </c>
      <c r="CA137" s="160" t="s">
        <v>3190</v>
      </c>
      <c r="CB137" s="163" t="s">
        <v>3191</v>
      </c>
      <c r="CC137" s="171"/>
      <c r="CD137" s="167"/>
      <c r="CE137" s="167"/>
      <c r="CF137" s="167"/>
      <c r="CG137" s="167"/>
      <c r="CH137" s="167"/>
      <c r="CI137" s="167"/>
      <c r="CJ137" s="167"/>
      <c r="CK137" s="167"/>
      <c r="CL137" s="167"/>
      <c r="CM137" s="167"/>
      <c r="CN137" s="167"/>
      <c r="CO137" s="167"/>
      <c r="CP137" s="167"/>
      <c r="CQ137" s="167"/>
      <c r="CR137" s="167"/>
      <c r="CS137" s="167"/>
      <c r="CT137" s="167"/>
      <c r="CU137" s="167"/>
      <c r="CV137" s="167"/>
      <c r="CW137" s="167"/>
      <c r="CX137" s="167"/>
      <c r="CY137" s="147"/>
      <c r="CZ137" s="147"/>
      <c r="DA137" s="147"/>
    </row>
    <row r="138" spans="1:105" ht="36">
      <c r="A138" s="8">
        <v>17</v>
      </c>
      <c r="B138" s="143" t="s">
        <v>5514</v>
      </c>
      <c r="C138" s="327" t="s">
        <v>5545</v>
      </c>
      <c r="D138" s="166" t="s">
        <v>5546</v>
      </c>
      <c r="E138" s="165" t="s">
        <v>216</v>
      </c>
      <c r="F138" s="135">
        <v>2024</v>
      </c>
      <c r="G138" s="135">
        <v>2024</v>
      </c>
      <c r="H138" s="135">
        <v>7</v>
      </c>
      <c r="I138" s="165" t="s">
        <v>5524</v>
      </c>
      <c r="J138" s="165" t="s">
        <v>5730</v>
      </c>
      <c r="K138" s="468">
        <v>10000000</v>
      </c>
      <c r="L138" s="468">
        <v>10000000</v>
      </c>
      <c r="M138" s="165" t="s">
        <v>4269</v>
      </c>
      <c r="N138" s="514">
        <v>4</v>
      </c>
      <c r="O138" s="7" t="s">
        <v>5290</v>
      </c>
      <c r="P138" s="9" t="s">
        <v>3223</v>
      </c>
      <c r="Q138" s="135" t="s">
        <v>3215</v>
      </c>
      <c r="R138" s="135" t="s">
        <v>3223</v>
      </c>
      <c r="S138" s="167">
        <v>6832969</v>
      </c>
      <c r="T138" s="171" t="s">
        <v>5547</v>
      </c>
      <c r="U138" s="168" t="s">
        <v>2901</v>
      </c>
      <c r="V138" s="245">
        <f>$L138/4</f>
        <v>2500000</v>
      </c>
      <c r="W138" s="165" t="s">
        <v>166</v>
      </c>
      <c r="X138" s="165"/>
      <c r="Y138" s="165"/>
      <c r="Z138" s="6" t="s">
        <v>4282</v>
      </c>
      <c r="AA138" s="6" t="s">
        <v>4269</v>
      </c>
      <c r="AB138" s="15">
        <v>1093</v>
      </c>
      <c r="AC138" s="204" t="s">
        <v>4271</v>
      </c>
      <c r="AD138" s="8">
        <v>6826699</v>
      </c>
      <c r="AE138" s="162" t="s">
        <v>1905</v>
      </c>
      <c r="AF138" s="167" t="s">
        <v>4291</v>
      </c>
      <c r="AG138" s="245">
        <f>$L138/4</f>
        <v>2500000</v>
      </c>
      <c r="AH138" s="165" t="s">
        <v>166</v>
      </c>
      <c r="AI138" s="165"/>
      <c r="AJ138" s="165"/>
      <c r="AK138" s="165" t="s">
        <v>4282</v>
      </c>
      <c r="AL138" s="6" t="s">
        <v>4269</v>
      </c>
      <c r="AM138" s="8">
        <v>6787771</v>
      </c>
      <c r="AN138" s="162" t="s">
        <v>1676</v>
      </c>
      <c r="AO138" s="167" t="s">
        <v>123</v>
      </c>
      <c r="AP138" s="245">
        <f>$L138/4</f>
        <v>2500000</v>
      </c>
      <c r="AQ138" s="165" t="s">
        <v>166</v>
      </c>
      <c r="AR138" s="165"/>
      <c r="AS138" s="165"/>
      <c r="AT138" s="165" t="s">
        <v>4282</v>
      </c>
      <c r="AU138" s="6" t="s">
        <v>4269</v>
      </c>
      <c r="AV138" s="6">
        <v>6834400</v>
      </c>
      <c r="AW138" s="11" t="s">
        <v>2698</v>
      </c>
      <c r="AX138" s="167" t="s">
        <v>4383</v>
      </c>
      <c r="AY138" s="245">
        <f>$L138/4</f>
        <v>2500000</v>
      </c>
      <c r="AZ138" s="167" t="s">
        <v>166</v>
      </c>
      <c r="BA138" s="167"/>
      <c r="BB138" s="165" t="s">
        <v>4282</v>
      </c>
      <c r="BC138" s="6" t="s">
        <v>4269</v>
      </c>
      <c r="BD138" s="167"/>
      <c r="BE138" s="167"/>
      <c r="BF138" s="167"/>
      <c r="BG138" s="249"/>
      <c r="BH138" s="167"/>
      <c r="BI138" s="167"/>
      <c r="BJ138" s="167"/>
      <c r="BK138" s="167"/>
      <c r="BL138" s="167"/>
      <c r="BM138" s="167"/>
      <c r="BN138" s="167"/>
      <c r="BO138" s="249"/>
      <c r="BP138" s="167"/>
      <c r="BQ138" s="167"/>
      <c r="BR138" s="167"/>
      <c r="BS138" s="167"/>
      <c r="BT138" s="167"/>
      <c r="BU138" s="167"/>
      <c r="BV138" s="249"/>
      <c r="BW138" s="167"/>
      <c r="BX138" s="167"/>
      <c r="BY138" s="167"/>
      <c r="BZ138" s="167">
        <v>4</v>
      </c>
      <c r="CA138" s="160" t="s">
        <v>3190</v>
      </c>
      <c r="CB138" s="163" t="s">
        <v>3191</v>
      </c>
      <c r="CC138" s="171"/>
      <c r="CD138" s="167"/>
      <c r="CE138" s="167"/>
      <c r="CF138" s="167"/>
      <c r="CG138" s="167"/>
      <c r="CH138" s="167"/>
      <c r="CI138" s="167"/>
      <c r="CJ138" s="167"/>
      <c r="CK138" s="167"/>
      <c r="CL138" s="167"/>
      <c r="CM138" s="167"/>
      <c r="CN138" s="167"/>
      <c r="CO138" s="167"/>
      <c r="CP138" s="167"/>
      <c r="CQ138" s="167"/>
      <c r="CR138" s="167"/>
      <c r="CS138" s="167"/>
      <c r="CT138" s="167"/>
      <c r="CU138" s="167"/>
      <c r="CV138" s="167"/>
      <c r="CW138" s="167"/>
      <c r="CX138" s="167"/>
      <c r="CY138" s="147"/>
      <c r="CZ138" s="147"/>
      <c r="DA138" s="147"/>
    </row>
    <row r="139" spans="1:105" ht="36">
      <c r="A139" s="135">
        <v>18</v>
      </c>
      <c r="B139" s="143" t="s">
        <v>5514</v>
      </c>
      <c r="C139" s="143" t="s">
        <v>5548</v>
      </c>
      <c r="D139" s="166" t="s">
        <v>5549</v>
      </c>
      <c r="E139" s="165" t="s">
        <v>216</v>
      </c>
      <c r="F139" s="135">
        <v>2024</v>
      </c>
      <c r="G139" s="135">
        <v>2024</v>
      </c>
      <c r="H139" s="135">
        <v>7</v>
      </c>
      <c r="I139" s="165" t="s">
        <v>5524</v>
      </c>
      <c r="J139" s="165" t="s">
        <v>5775</v>
      </c>
      <c r="K139" s="468">
        <v>10000000</v>
      </c>
      <c r="L139" s="468">
        <v>10000000</v>
      </c>
      <c r="M139" s="165" t="s">
        <v>4269</v>
      </c>
      <c r="N139" s="514">
        <v>3</v>
      </c>
      <c r="O139" s="7" t="s">
        <v>5290</v>
      </c>
      <c r="P139" s="9" t="s">
        <v>3223</v>
      </c>
      <c r="Q139" s="135" t="s">
        <v>3215</v>
      </c>
      <c r="R139" s="135" t="s">
        <v>3223</v>
      </c>
      <c r="S139" s="167">
        <v>6865379</v>
      </c>
      <c r="T139" s="171" t="s">
        <v>112</v>
      </c>
      <c r="U139" s="168" t="s">
        <v>2696</v>
      </c>
      <c r="V139" s="245">
        <f>$L139/3</f>
        <v>3333333.3333333335</v>
      </c>
      <c r="W139" s="165" t="s">
        <v>166</v>
      </c>
      <c r="X139" s="165"/>
      <c r="Y139" s="165"/>
      <c r="Z139" s="6" t="s">
        <v>4282</v>
      </c>
      <c r="AA139" s="6" t="s">
        <v>4269</v>
      </c>
      <c r="AB139" s="15">
        <v>1093</v>
      </c>
      <c r="AC139" s="204" t="s">
        <v>4271</v>
      </c>
      <c r="AD139" s="289">
        <v>6833034</v>
      </c>
      <c r="AE139" s="290" t="s">
        <v>2022</v>
      </c>
      <c r="AF139" s="167" t="s">
        <v>4667</v>
      </c>
      <c r="AG139" s="245">
        <f>$L139/3</f>
        <v>3333333.3333333335</v>
      </c>
      <c r="AH139" s="165" t="s">
        <v>166</v>
      </c>
      <c r="AI139" s="165"/>
      <c r="AJ139" s="165"/>
      <c r="AK139" s="165" t="s">
        <v>4282</v>
      </c>
      <c r="AL139" s="6" t="s">
        <v>4269</v>
      </c>
      <c r="AM139" s="8">
        <v>6833033</v>
      </c>
      <c r="AN139" s="10" t="s">
        <v>2023</v>
      </c>
      <c r="AO139" s="167" t="s">
        <v>5544</v>
      </c>
      <c r="AP139" s="245">
        <f>$L139/3</f>
        <v>3333333.3333333335</v>
      </c>
      <c r="AQ139" s="165" t="s">
        <v>166</v>
      </c>
      <c r="AR139" s="165"/>
      <c r="AS139" s="165"/>
      <c r="AT139" s="165" t="s">
        <v>4282</v>
      </c>
      <c r="AU139" s="6" t="s">
        <v>4269</v>
      </c>
      <c r="AV139" s="167"/>
      <c r="AW139" s="167"/>
      <c r="AX139" s="167"/>
      <c r="AY139" s="249"/>
      <c r="AZ139" s="167"/>
      <c r="BA139" s="167"/>
      <c r="BB139" s="167"/>
      <c r="BC139" s="6"/>
      <c r="BD139" s="167"/>
      <c r="BE139" s="167"/>
      <c r="BF139" s="167"/>
      <c r="BG139" s="249"/>
      <c r="BH139" s="167"/>
      <c r="BI139" s="167"/>
      <c r="BJ139" s="167"/>
      <c r="BK139" s="167"/>
      <c r="BL139" s="167"/>
      <c r="BM139" s="167"/>
      <c r="BN139" s="167"/>
      <c r="BO139" s="249"/>
      <c r="BP139" s="167"/>
      <c r="BQ139" s="167"/>
      <c r="BR139" s="167"/>
      <c r="BS139" s="167"/>
      <c r="BT139" s="167"/>
      <c r="BU139" s="167"/>
      <c r="BV139" s="249"/>
      <c r="BW139" s="167"/>
      <c r="BX139" s="167"/>
      <c r="BY139" s="167"/>
      <c r="BZ139" s="167">
        <v>3</v>
      </c>
      <c r="CA139" s="160" t="s">
        <v>3190</v>
      </c>
      <c r="CB139" s="163" t="s">
        <v>3191</v>
      </c>
      <c r="CC139" s="171"/>
      <c r="CD139" s="167"/>
      <c r="CE139" s="167"/>
      <c r="CF139" s="167"/>
      <c r="CG139" s="167"/>
      <c r="CH139" s="167"/>
      <c r="CI139" s="167"/>
      <c r="CJ139" s="167"/>
      <c r="CK139" s="167"/>
      <c r="CL139" s="167"/>
      <c r="CM139" s="167"/>
      <c r="CN139" s="167"/>
      <c r="CO139" s="167"/>
      <c r="CP139" s="167"/>
      <c r="CQ139" s="167"/>
      <c r="CR139" s="167"/>
      <c r="CS139" s="167"/>
      <c r="CT139" s="167"/>
      <c r="CU139" s="167"/>
      <c r="CV139" s="167"/>
      <c r="CW139" s="167"/>
      <c r="CX139" s="167"/>
      <c r="CY139" s="147"/>
      <c r="CZ139" s="147"/>
      <c r="DA139" s="147"/>
    </row>
    <row r="140" spans="1:105" ht="36">
      <c r="A140" s="8">
        <v>19</v>
      </c>
      <c r="B140" s="143" t="s">
        <v>5514</v>
      </c>
      <c r="C140" s="143" t="s">
        <v>5550</v>
      </c>
      <c r="D140" s="166" t="s">
        <v>5551</v>
      </c>
      <c r="E140" s="165" t="s">
        <v>216</v>
      </c>
      <c r="F140" s="135">
        <v>2024</v>
      </c>
      <c r="G140" s="135">
        <v>2024</v>
      </c>
      <c r="H140" s="135">
        <v>7</v>
      </c>
      <c r="I140" s="165" t="s">
        <v>5524</v>
      </c>
      <c r="J140" s="165" t="s">
        <v>5776</v>
      </c>
      <c r="K140" s="468">
        <v>10000000</v>
      </c>
      <c r="L140" s="468">
        <v>10000000</v>
      </c>
      <c r="M140" s="165" t="s">
        <v>4269</v>
      </c>
      <c r="N140" s="514">
        <v>3</v>
      </c>
      <c r="O140" s="7" t="s">
        <v>5290</v>
      </c>
      <c r="P140" s="9" t="s">
        <v>3223</v>
      </c>
      <c r="Q140" s="135" t="s">
        <v>3215</v>
      </c>
      <c r="R140" s="135" t="s">
        <v>3223</v>
      </c>
      <c r="S140" s="260" t="s">
        <v>4039</v>
      </c>
      <c r="T140" s="171" t="s">
        <v>4524</v>
      </c>
      <c r="U140" s="287" t="s">
        <v>1751</v>
      </c>
      <c r="V140" s="245">
        <f>$L140/3</f>
        <v>3333333.3333333335</v>
      </c>
      <c r="W140" s="165" t="s">
        <v>166</v>
      </c>
      <c r="X140" s="165"/>
      <c r="Y140" s="165"/>
      <c r="Z140" s="6" t="s">
        <v>4282</v>
      </c>
      <c r="AA140" s="6" t="s">
        <v>4269</v>
      </c>
      <c r="AB140" s="15">
        <v>1093</v>
      </c>
      <c r="AC140" s="204" t="s">
        <v>4271</v>
      </c>
      <c r="AD140" s="241">
        <v>6839112</v>
      </c>
      <c r="AE140" s="242" t="s">
        <v>2949</v>
      </c>
      <c r="AF140" s="167" t="s">
        <v>3128</v>
      </c>
      <c r="AG140" s="245">
        <f>$L140/3</f>
        <v>3333333.3333333335</v>
      </c>
      <c r="AH140" s="165" t="s">
        <v>166</v>
      </c>
      <c r="AI140" s="165"/>
      <c r="AJ140" s="165"/>
      <c r="AK140" s="165" t="s">
        <v>4282</v>
      </c>
      <c r="AL140" s="6" t="s">
        <v>4269</v>
      </c>
      <c r="AM140" s="6">
        <v>6680623</v>
      </c>
      <c r="AN140" s="11" t="s">
        <v>1841</v>
      </c>
      <c r="AO140" s="167" t="s">
        <v>5552</v>
      </c>
      <c r="AP140" s="245">
        <f>$L140/3</f>
        <v>3333333.3333333335</v>
      </c>
      <c r="AQ140" s="165" t="s">
        <v>166</v>
      </c>
      <c r="AR140" s="165"/>
      <c r="AS140" s="165"/>
      <c r="AT140" s="165" t="s">
        <v>4282</v>
      </c>
      <c r="AU140" s="6" t="s">
        <v>4269</v>
      </c>
      <c r="AV140" s="167"/>
      <c r="AW140" s="167"/>
      <c r="AX140" s="167"/>
      <c r="AY140" s="249"/>
      <c r="AZ140" s="167"/>
      <c r="BA140" s="167"/>
      <c r="BB140" s="167"/>
      <c r="BC140" s="6"/>
      <c r="BD140" s="167"/>
      <c r="BE140" s="167"/>
      <c r="BF140" s="167"/>
      <c r="BG140" s="249"/>
      <c r="BH140" s="167"/>
      <c r="BI140" s="167"/>
      <c r="BJ140" s="167"/>
      <c r="BK140" s="167"/>
      <c r="BL140" s="167"/>
      <c r="BM140" s="167"/>
      <c r="BN140" s="167"/>
      <c r="BO140" s="249"/>
      <c r="BP140" s="167"/>
      <c r="BQ140" s="167"/>
      <c r="BR140" s="167"/>
      <c r="BS140" s="167"/>
      <c r="BT140" s="167"/>
      <c r="BU140" s="167"/>
      <c r="BV140" s="249"/>
      <c r="BW140" s="167"/>
      <c r="BX140" s="167"/>
      <c r="BY140" s="167"/>
      <c r="BZ140" s="167">
        <v>3</v>
      </c>
      <c r="CA140" s="160" t="s">
        <v>3190</v>
      </c>
      <c r="CB140" s="163" t="s">
        <v>3191</v>
      </c>
      <c r="CC140" s="171"/>
      <c r="CD140" s="167"/>
      <c r="CE140" s="167"/>
      <c r="CF140" s="167"/>
      <c r="CG140" s="167"/>
      <c r="CH140" s="167"/>
      <c r="CI140" s="167"/>
      <c r="CJ140" s="167"/>
      <c r="CK140" s="167"/>
      <c r="CL140" s="167"/>
      <c r="CM140" s="167"/>
      <c r="CN140" s="167"/>
      <c r="CO140" s="167"/>
      <c r="CP140" s="167"/>
      <c r="CQ140" s="167"/>
      <c r="CR140" s="167"/>
      <c r="CS140" s="167"/>
      <c r="CT140" s="167"/>
      <c r="CU140" s="167"/>
      <c r="CV140" s="167"/>
      <c r="CW140" s="167"/>
      <c r="CX140" s="167"/>
      <c r="CY140" s="147"/>
      <c r="CZ140" s="147"/>
      <c r="DA140" s="147"/>
    </row>
    <row r="141" spans="1:105" ht="36">
      <c r="A141" s="8">
        <v>20</v>
      </c>
      <c r="B141" s="143" t="s">
        <v>5514</v>
      </c>
      <c r="C141" s="327" t="s">
        <v>5553</v>
      </c>
      <c r="D141" s="166" t="s">
        <v>5554</v>
      </c>
      <c r="E141" s="165" t="s">
        <v>216</v>
      </c>
      <c r="F141" s="135">
        <v>2024</v>
      </c>
      <c r="G141" s="135">
        <v>2024</v>
      </c>
      <c r="H141" s="135">
        <v>7</v>
      </c>
      <c r="I141" s="165" t="s">
        <v>4796</v>
      </c>
      <c r="J141" s="165" t="s">
        <v>5777</v>
      </c>
      <c r="K141" s="468">
        <v>10000000</v>
      </c>
      <c r="L141" s="468">
        <v>10000000</v>
      </c>
      <c r="M141" s="165" t="s">
        <v>4269</v>
      </c>
      <c r="N141" s="514">
        <v>5</v>
      </c>
      <c r="O141" s="7" t="s">
        <v>5290</v>
      </c>
      <c r="P141" s="9" t="s">
        <v>3223</v>
      </c>
      <c r="Q141" s="135" t="s">
        <v>3215</v>
      </c>
      <c r="R141" s="135" t="s">
        <v>3223</v>
      </c>
      <c r="S141" s="8">
        <v>6756318</v>
      </c>
      <c r="T141" s="171" t="s">
        <v>143</v>
      </c>
      <c r="U141" s="10" t="s">
        <v>950</v>
      </c>
      <c r="V141" s="245">
        <f>$L141/4</f>
        <v>2500000</v>
      </c>
      <c r="W141" s="6" t="s">
        <v>175</v>
      </c>
      <c r="X141" s="6"/>
      <c r="Y141" s="6"/>
      <c r="Z141" s="6" t="s">
        <v>4272</v>
      </c>
      <c r="AA141" s="6" t="s">
        <v>4269</v>
      </c>
      <c r="AB141" s="15">
        <v>1093</v>
      </c>
      <c r="AC141" s="204" t="s">
        <v>4271</v>
      </c>
      <c r="AD141" s="241">
        <v>6801945</v>
      </c>
      <c r="AE141" s="242" t="s">
        <v>1723</v>
      </c>
      <c r="AF141" s="167" t="s">
        <v>3124</v>
      </c>
      <c r="AG141" s="245">
        <f>$L141/4</f>
        <v>2500000</v>
      </c>
      <c r="AH141" s="165" t="s">
        <v>156</v>
      </c>
      <c r="AI141" s="165"/>
      <c r="AJ141" s="165"/>
      <c r="AK141" s="165" t="s">
        <v>4272</v>
      </c>
      <c r="AL141" s="6" t="s">
        <v>4269</v>
      </c>
      <c r="AM141" s="8">
        <v>6806664</v>
      </c>
      <c r="AN141" s="162" t="s">
        <v>2333</v>
      </c>
      <c r="AO141" s="167" t="s">
        <v>4593</v>
      </c>
      <c r="AP141" s="245">
        <f>$L141/4</f>
        <v>2500000</v>
      </c>
      <c r="AQ141" s="6" t="s">
        <v>175</v>
      </c>
      <c r="AR141" s="6"/>
      <c r="AS141" s="6"/>
      <c r="AT141" s="165" t="s">
        <v>4272</v>
      </c>
      <c r="AU141" s="6" t="s">
        <v>4269</v>
      </c>
      <c r="AV141" s="8">
        <v>6793410</v>
      </c>
      <c r="AW141" s="10" t="s">
        <v>947</v>
      </c>
      <c r="AX141" s="167" t="s">
        <v>4316</v>
      </c>
      <c r="AY141" s="245">
        <f>$L141/4</f>
        <v>2500000</v>
      </c>
      <c r="AZ141" s="167" t="s">
        <v>175</v>
      </c>
      <c r="BA141" s="167"/>
      <c r="BB141" s="165" t="s">
        <v>4272</v>
      </c>
      <c r="BC141" s="6" t="s">
        <v>4269</v>
      </c>
      <c r="BD141" s="167"/>
      <c r="BE141" s="167"/>
      <c r="BF141" s="167"/>
      <c r="BG141" s="249"/>
      <c r="BH141" s="167"/>
      <c r="BI141" s="167"/>
      <c r="BJ141" s="167"/>
      <c r="BK141" s="167"/>
      <c r="BL141" s="167"/>
      <c r="BM141" s="167"/>
      <c r="BN141" s="167"/>
      <c r="BO141" s="249"/>
      <c r="BP141" s="167"/>
      <c r="BQ141" s="167"/>
      <c r="BR141" s="167"/>
      <c r="BS141" s="167"/>
      <c r="BT141" s="167"/>
      <c r="BU141" s="167"/>
      <c r="BV141" s="249"/>
      <c r="BW141" s="167"/>
      <c r="BX141" s="167"/>
      <c r="BY141" s="167"/>
      <c r="BZ141" s="167">
        <v>6</v>
      </c>
      <c r="CA141" s="160" t="s">
        <v>3190</v>
      </c>
      <c r="CB141" s="163" t="s">
        <v>3191</v>
      </c>
      <c r="CC141" s="171"/>
      <c r="CD141" s="167"/>
      <c r="CE141" s="167"/>
      <c r="CF141" s="167"/>
      <c r="CG141" s="167"/>
      <c r="CH141" s="167"/>
      <c r="CI141" s="167"/>
      <c r="CJ141" s="167"/>
      <c r="CK141" s="167"/>
      <c r="CL141" s="167"/>
      <c r="CM141" s="167"/>
      <c r="CN141" s="167"/>
      <c r="CO141" s="167"/>
      <c r="CP141" s="167"/>
      <c r="CQ141" s="167"/>
      <c r="CR141" s="167"/>
      <c r="CS141" s="167"/>
      <c r="CT141" s="167"/>
      <c r="CU141" s="167"/>
      <c r="CV141" s="167"/>
      <c r="CW141" s="167"/>
      <c r="CX141" s="167"/>
      <c r="CY141" s="147"/>
      <c r="CZ141" s="147"/>
      <c r="DA141" s="147"/>
    </row>
    <row r="142" spans="1:105" ht="48" customHeight="1">
      <c r="A142" s="8">
        <v>21</v>
      </c>
      <c r="B142" s="143" t="s">
        <v>5514</v>
      </c>
      <c r="C142" s="143" t="s">
        <v>5555</v>
      </c>
      <c r="D142" s="166" t="s">
        <v>5556</v>
      </c>
      <c r="E142" s="165" t="s">
        <v>216</v>
      </c>
      <c r="F142" s="135">
        <v>2024</v>
      </c>
      <c r="G142" s="135">
        <v>2024</v>
      </c>
      <c r="H142" s="135">
        <v>7</v>
      </c>
      <c r="I142" s="165" t="s">
        <v>5536</v>
      </c>
      <c r="J142" s="165" t="s">
        <v>5778</v>
      </c>
      <c r="K142" s="468">
        <v>9965000</v>
      </c>
      <c r="L142" s="468">
        <v>9965000</v>
      </c>
      <c r="M142" s="165" t="s">
        <v>4269</v>
      </c>
      <c r="N142" s="514">
        <v>3</v>
      </c>
      <c r="O142" s="7" t="s">
        <v>5290</v>
      </c>
      <c r="P142" s="9" t="s">
        <v>3223</v>
      </c>
      <c r="Q142" s="135" t="s">
        <v>3215</v>
      </c>
      <c r="R142" s="135" t="s">
        <v>3223</v>
      </c>
      <c r="S142" s="167">
        <v>6789028</v>
      </c>
      <c r="T142" s="171" t="s">
        <v>5557</v>
      </c>
      <c r="U142" s="168" t="s">
        <v>1917</v>
      </c>
      <c r="V142" s="245">
        <f>$L142/3</f>
        <v>3321666.6666666665</v>
      </c>
      <c r="W142" s="165" t="s">
        <v>166</v>
      </c>
      <c r="X142" s="165"/>
      <c r="Y142" s="165"/>
      <c r="Z142" s="6" t="s">
        <v>4282</v>
      </c>
      <c r="AA142" s="6" t="s">
        <v>4269</v>
      </c>
      <c r="AB142" s="15">
        <v>1093</v>
      </c>
      <c r="AC142" s="204" t="s">
        <v>4271</v>
      </c>
      <c r="AD142" s="167">
        <v>6865379</v>
      </c>
      <c r="AE142" s="168" t="s">
        <v>2696</v>
      </c>
      <c r="AF142" s="167" t="s">
        <v>4728</v>
      </c>
      <c r="AG142" s="245">
        <f>$L142/3</f>
        <v>3321666.6666666665</v>
      </c>
      <c r="AH142" s="165" t="s">
        <v>166</v>
      </c>
      <c r="AI142" s="165"/>
      <c r="AJ142" s="165"/>
      <c r="AK142" s="165" t="s">
        <v>4282</v>
      </c>
      <c r="AL142" s="6" t="s">
        <v>4269</v>
      </c>
      <c r="AM142" s="21">
        <v>6879158</v>
      </c>
      <c r="AN142" s="293" t="s">
        <v>2540</v>
      </c>
      <c r="AO142" s="167" t="s">
        <v>4305</v>
      </c>
      <c r="AP142" s="245">
        <f>$L142/3</f>
        <v>3321666.6666666665</v>
      </c>
      <c r="AQ142" s="165" t="s">
        <v>160</v>
      </c>
      <c r="AR142" s="165"/>
      <c r="AS142" s="165"/>
      <c r="AT142" s="165" t="s">
        <v>4282</v>
      </c>
      <c r="AU142" s="6" t="s">
        <v>4269</v>
      </c>
      <c r="AV142" s="167"/>
      <c r="AW142" s="167"/>
      <c r="AX142" s="167"/>
      <c r="AY142" s="249"/>
      <c r="AZ142" s="167"/>
      <c r="BA142" s="167"/>
      <c r="BB142" s="167"/>
      <c r="BC142" s="6"/>
      <c r="BD142" s="167"/>
      <c r="BE142" s="167"/>
      <c r="BF142" s="167"/>
      <c r="BG142" s="249"/>
      <c r="BH142" s="167"/>
      <c r="BI142" s="167"/>
      <c r="BJ142" s="167"/>
      <c r="BK142" s="167"/>
      <c r="BL142" s="167"/>
      <c r="BM142" s="167"/>
      <c r="BN142" s="167"/>
      <c r="BO142" s="249"/>
      <c r="BP142" s="167"/>
      <c r="BQ142" s="167"/>
      <c r="BR142" s="167"/>
      <c r="BS142" s="167"/>
      <c r="BT142" s="167"/>
      <c r="BU142" s="167"/>
      <c r="BV142" s="249"/>
      <c r="BW142" s="167"/>
      <c r="BX142" s="167"/>
      <c r="BY142" s="167"/>
      <c r="BZ142" s="167">
        <v>3</v>
      </c>
      <c r="CA142" s="160" t="s">
        <v>3190</v>
      </c>
      <c r="CB142" s="163" t="s">
        <v>3191</v>
      </c>
      <c r="CC142" s="171"/>
      <c r="CD142" s="167"/>
      <c r="CE142" s="167"/>
      <c r="CF142" s="167"/>
      <c r="CG142" s="167"/>
      <c r="CH142" s="167"/>
      <c r="CI142" s="167"/>
      <c r="CJ142" s="167"/>
      <c r="CK142" s="167"/>
      <c r="CL142" s="167"/>
      <c r="CM142" s="167"/>
      <c r="CN142" s="167"/>
      <c r="CO142" s="167"/>
      <c r="CP142" s="167"/>
      <c r="CQ142" s="167"/>
      <c r="CR142" s="167"/>
      <c r="CS142" s="167"/>
      <c r="CT142" s="167"/>
      <c r="CU142" s="167"/>
      <c r="CV142" s="167"/>
      <c r="CW142" s="167"/>
      <c r="CX142" s="167"/>
      <c r="CY142" s="147"/>
      <c r="CZ142" s="147"/>
      <c r="DA142" s="147"/>
    </row>
    <row r="143" spans="1:105" ht="36">
      <c r="A143" s="135">
        <v>22</v>
      </c>
      <c r="B143" s="143" t="s">
        <v>5514</v>
      </c>
      <c r="C143" s="143" t="s">
        <v>5558</v>
      </c>
      <c r="D143" s="166" t="s">
        <v>5559</v>
      </c>
      <c r="E143" s="165" t="s">
        <v>216</v>
      </c>
      <c r="F143" s="135">
        <v>2024</v>
      </c>
      <c r="G143" s="135">
        <v>2024</v>
      </c>
      <c r="H143" s="135">
        <v>7</v>
      </c>
      <c r="I143" s="165" t="s">
        <v>5524</v>
      </c>
      <c r="J143" s="165" t="s">
        <v>5779</v>
      </c>
      <c r="K143" s="468">
        <v>10000000</v>
      </c>
      <c r="L143" s="468">
        <v>10000000</v>
      </c>
      <c r="M143" s="165" t="s">
        <v>4269</v>
      </c>
      <c r="N143" s="514">
        <v>4</v>
      </c>
      <c r="O143" s="7" t="s">
        <v>5290</v>
      </c>
      <c r="P143" s="9" t="s">
        <v>3223</v>
      </c>
      <c r="Q143" s="135" t="s">
        <v>3215</v>
      </c>
      <c r="R143" s="135" t="s">
        <v>3223</v>
      </c>
      <c r="S143" s="167">
        <v>259781</v>
      </c>
      <c r="T143" s="171" t="s">
        <v>4579</v>
      </c>
      <c r="U143" s="168" t="s">
        <v>982</v>
      </c>
      <c r="V143" s="245">
        <f>$L143/7</f>
        <v>1428571.4285714286</v>
      </c>
      <c r="W143" s="165" t="s">
        <v>3093</v>
      </c>
      <c r="X143" s="165" t="s">
        <v>166</v>
      </c>
      <c r="Y143" s="165"/>
      <c r="Z143" s="6" t="s">
        <v>4449</v>
      </c>
      <c r="AA143" s="6" t="s">
        <v>4269</v>
      </c>
      <c r="AB143" s="15">
        <v>1093</v>
      </c>
      <c r="AC143" s="204" t="s">
        <v>4271</v>
      </c>
      <c r="AD143" s="6">
        <v>6833162</v>
      </c>
      <c r="AE143" s="6">
        <v>701069701</v>
      </c>
      <c r="AF143" s="167" t="s">
        <v>4381</v>
      </c>
      <c r="AG143" s="245">
        <f>$L143/7</f>
        <v>1428571.4285714286</v>
      </c>
      <c r="AH143" s="165" t="s">
        <v>3093</v>
      </c>
      <c r="AI143" s="165"/>
      <c r="AJ143" s="165"/>
      <c r="AK143" s="165" t="s">
        <v>4449</v>
      </c>
      <c r="AL143" s="6" t="s">
        <v>4269</v>
      </c>
      <c r="AM143" s="6">
        <v>6785861</v>
      </c>
      <c r="AN143" s="11" t="s">
        <v>1904</v>
      </c>
      <c r="AO143" s="167" t="s">
        <v>5541</v>
      </c>
      <c r="AP143" s="245">
        <f>$L143/7</f>
        <v>1428571.4285714286</v>
      </c>
      <c r="AQ143" s="165" t="s">
        <v>3093</v>
      </c>
      <c r="AR143" s="165"/>
      <c r="AS143" s="165"/>
      <c r="AT143" s="165" t="s">
        <v>4449</v>
      </c>
      <c r="AU143" s="6" t="s">
        <v>4269</v>
      </c>
      <c r="AV143" s="167"/>
      <c r="AW143" s="170" t="s">
        <v>2699</v>
      </c>
      <c r="AX143" s="167" t="s">
        <v>135</v>
      </c>
      <c r="AY143" s="245">
        <f>$L143/7</f>
        <v>1428571.4285714286</v>
      </c>
      <c r="AZ143" s="167" t="s">
        <v>171</v>
      </c>
      <c r="BA143" s="167"/>
      <c r="BB143" s="165" t="s">
        <v>4272</v>
      </c>
      <c r="BC143" s="6" t="s">
        <v>4269</v>
      </c>
      <c r="BD143" s="8">
        <v>6826727</v>
      </c>
      <c r="BE143" s="162" t="s">
        <v>2276</v>
      </c>
      <c r="BF143" s="167" t="s">
        <v>4545</v>
      </c>
      <c r="BG143" s="245">
        <f>$L143/7</f>
        <v>1428571.4285714286</v>
      </c>
      <c r="BH143" s="167" t="s">
        <v>156</v>
      </c>
      <c r="BI143" s="167"/>
      <c r="BJ143" s="165" t="s">
        <v>4272</v>
      </c>
      <c r="BK143" s="6" t="s">
        <v>4269</v>
      </c>
      <c r="BL143" s="8">
        <v>6680698</v>
      </c>
      <c r="BM143" s="162" t="s">
        <v>1002</v>
      </c>
      <c r="BN143" s="167" t="s">
        <v>5560</v>
      </c>
      <c r="BO143" s="245">
        <f>$L143/7</f>
        <v>1428571.4285714286</v>
      </c>
      <c r="BP143" s="167" t="s">
        <v>5561</v>
      </c>
      <c r="BQ143" s="165" t="s">
        <v>4272</v>
      </c>
      <c r="BR143" s="6" t="s">
        <v>4269</v>
      </c>
      <c r="BS143" s="167">
        <v>6882289</v>
      </c>
      <c r="BT143" s="170" t="s">
        <v>2799</v>
      </c>
      <c r="BU143" s="167" t="s">
        <v>136</v>
      </c>
      <c r="BV143" s="245">
        <f>$L143/7</f>
        <v>1428571.4285714286</v>
      </c>
      <c r="BW143" s="167" t="s">
        <v>171</v>
      </c>
      <c r="BX143" s="165" t="s">
        <v>4272</v>
      </c>
      <c r="BY143" s="6" t="s">
        <v>4269</v>
      </c>
      <c r="BZ143" s="542">
        <v>4</v>
      </c>
      <c r="CA143" s="160" t="s">
        <v>3190</v>
      </c>
      <c r="CB143" s="163" t="s">
        <v>3191</v>
      </c>
      <c r="CC143" s="171"/>
      <c r="CD143" s="167"/>
      <c r="CE143" s="167"/>
      <c r="CF143" s="167"/>
      <c r="CG143" s="167"/>
      <c r="CH143" s="167"/>
      <c r="CI143" s="167"/>
      <c r="CJ143" s="167"/>
      <c r="CK143" s="167"/>
      <c r="CL143" s="167"/>
      <c r="CM143" s="167"/>
      <c r="CN143" s="167"/>
      <c r="CO143" s="167"/>
      <c r="CP143" s="167"/>
      <c r="CQ143" s="167"/>
      <c r="CR143" s="167"/>
      <c r="CS143" s="167"/>
      <c r="CT143" s="167"/>
      <c r="CU143" s="167"/>
      <c r="CV143" s="167"/>
      <c r="CW143" s="167"/>
      <c r="CX143" s="167"/>
      <c r="CY143" s="147"/>
      <c r="CZ143" s="147"/>
      <c r="DA143" s="147"/>
    </row>
    <row r="144" spans="1:105" ht="36">
      <c r="A144" s="8">
        <v>23</v>
      </c>
      <c r="B144" s="143" t="s">
        <v>5514</v>
      </c>
      <c r="C144" s="327" t="s">
        <v>5562</v>
      </c>
      <c r="D144" s="166" t="s">
        <v>5563</v>
      </c>
      <c r="E144" s="165" t="s">
        <v>216</v>
      </c>
      <c r="F144" s="135">
        <v>2024</v>
      </c>
      <c r="G144" s="135">
        <v>2024</v>
      </c>
      <c r="H144" s="135">
        <v>7</v>
      </c>
      <c r="I144" s="165" t="s">
        <v>5524</v>
      </c>
      <c r="J144" s="165" t="s">
        <v>5780</v>
      </c>
      <c r="K144" s="468">
        <v>9955000</v>
      </c>
      <c r="L144" s="468">
        <v>9955000</v>
      </c>
      <c r="M144" s="165" t="s">
        <v>4269</v>
      </c>
      <c r="N144" s="514">
        <v>7</v>
      </c>
      <c r="O144" s="7" t="s">
        <v>5290</v>
      </c>
      <c r="P144" s="9" t="s">
        <v>3223</v>
      </c>
      <c r="Q144" s="135" t="s">
        <v>3215</v>
      </c>
      <c r="R144" s="135" t="s">
        <v>3223</v>
      </c>
      <c r="S144" s="8">
        <v>6682794</v>
      </c>
      <c r="T144" s="171" t="s">
        <v>4671</v>
      </c>
      <c r="U144" s="162" t="s">
        <v>1744</v>
      </c>
      <c r="V144" s="245">
        <f>$L144/4</f>
        <v>2488750</v>
      </c>
      <c r="W144" s="165" t="s">
        <v>151</v>
      </c>
      <c r="X144" s="165"/>
      <c r="Y144" s="165"/>
      <c r="Z144" s="6" t="s">
        <v>3224</v>
      </c>
      <c r="AA144" s="6" t="s">
        <v>4269</v>
      </c>
      <c r="AB144" s="15">
        <v>1093</v>
      </c>
      <c r="AC144" s="204" t="s">
        <v>4271</v>
      </c>
      <c r="AD144" s="138">
        <v>210955</v>
      </c>
      <c r="AE144" s="140" t="s">
        <v>2404</v>
      </c>
      <c r="AF144" s="167" t="s">
        <v>4288</v>
      </c>
      <c r="AG144" s="245">
        <f>$L144/4</f>
        <v>2488750</v>
      </c>
      <c r="AH144" s="165" t="s">
        <v>151</v>
      </c>
      <c r="AI144" s="165" t="s">
        <v>166</v>
      </c>
      <c r="AJ144" s="165" t="s">
        <v>155</v>
      </c>
      <c r="AK144" s="165" t="s">
        <v>3224</v>
      </c>
      <c r="AL144" s="6" t="s">
        <v>4269</v>
      </c>
      <c r="AM144" s="33">
        <v>6663582</v>
      </c>
      <c r="AN144" s="164" t="s">
        <v>1668</v>
      </c>
      <c r="AO144" s="167" t="s">
        <v>5564</v>
      </c>
      <c r="AP144" s="245">
        <f>$L144/4</f>
        <v>2488750</v>
      </c>
      <c r="AQ144" s="165" t="s">
        <v>151</v>
      </c>
      <c r="AR144" s="165"/>
      <c r="AS144" s="165"/>
      <c r="AT144" s="165" t="s">
        <v>3224</v>
      </c>
      <c r="AU144" s="6" t="s">
        <v>4269</v>
      </c>
      <c r="AV144" s="246">
        <v>6843797</v>
      </c>
      <c r="AW144" s="247" t="s">
        <v>2418</v>
      </c>
      <c r="AX144" s="167" t="s">
        <v>4898</v>
      </c>
      <c r="AY144" s="245">
        <f>$L144/4</f>
        <v>2488750</v>
      </c>
      <c r="AZ144" s="167" t="s">
        <v>151</v>
      </c>
      <c r="BA144" s="167"/>
      <c r="BB144" s="165" t="s">
        <v>3224</v>
      </c>
      <c r="BC144" s="6" t="s">
        <v>4269</v>
      </c>
      <c r="BD144" s="167"/>
      <c r="BE144" s="167"/>
      <c r="BF144" s="167"/>
      <c r="BG144" s="249"/>
      <c r="BH144" s="167"/>
      <c r="BI144" s="167"/>
      <c r="BJ144" s="167"/>
      <c r="BK144" s="167"/>
      <c r="BL144" s="167"/>
      <c r="BM144" s="167"/>
      <c r="BN144" s="167"/>
      <c r="BO144" s="249"/>
      <c r="BP144" s="167"/>
      <c r="BQ144" s="167"/>
      <c r="BR144" s="167"/>
      <c r="BS144" s="167"/>
      <c r="BT144" s="167"/>
      <c r="BU144" s="167"/>
      <c r="BV144" s="249"/>
      <c r="BW144" s="167"/>
      <c r="BX144" s="167"/>
      <c r="BY144" s="167"/>
      <c r="BZ144" s="167">
        <v>7</v>
      </c>
      <c r="CA144" s="160" t="s">
        <v>3190</v>
      </c>
      <c r="CB144" s="163" t="s">
        <v>3191</v>
      </c>
      <c r="CC144" s="171"/>
      <c r="CD144" s="167"/>
      <c r="CE144" s="167"/>
      <c r="CF144" s="167"/>
      <c r="CG144" s="167"/>
      <c r="CH144" s="167"/>
      <c r="CI144" s="167"/>
      <c r="CJ144" s="167"/>
      <c r="CK144" s="167"/>
      <c r="CL144" s="167"/>
      <c r="CM144" s="167"/>
      <c r="CN144" s="167"/>
      <c r="CO144" s="167"/>
      <c r="CP144" s="167"/>
      <c r="CQ144" s="167"/>
      <c r="CR144" s="167"/>
      <c r="CS144" s="167"/>
      <c r="CT144" s="167"/>
      <c r="CU144" s="167"/>
      <c r="CV144" s="167"/>
      <c r="CW144" s="167"/>
      <c r="CX144" s="167"/>
      <c r="CY144" s="147"/>
      <c r="CZ144" s="147"/>
      <c r="DA144" s="147"/>
    </row>
    <row r="145" spans="1:105" ht="36">
      <c r="A145" s="8">
        <v>24</v>
      </c>
      <c r="B145" s="143"/>
      <c r="C145" s="327" t="s">
        <v>5565</v>
      </c>
      <c r="D145" s="166" t="s">
        <v>5566</v>
      </c>
      <c r="E145" s="165" t="s">
        <v>214</v>
      </c>
      <c r="F145" s="135">
        <v>2024</v>
      </c>
      <c r="G145" s="135">
        <v>2024</v>
      </c>
      <c r="H145" s="135">
        <v>7</v>
      </c>
      <c r="I145" s="165" t="s">
        <v>5524</v>
      </c>
      <c r="J145" s="165" t="s">
        <v>5748</v>
      </c>
      <c r="K145" s="468">
        <v>5000000</v>
      </c>
      <c r="L145" s="468">
        <v>5000000</v>
      </c>
      <c r="M145" s="165" t="s">
        <v>4269</v>
      </c>
      <c r="N145" s="514">
        <v>3</v>
      </c>
      <c r="O145" s="7" t="s">
        <v>5290</v>
      </c>
      <c r="P145" s="9" t="s">
        <v>3223</v>
      </c>
      <c r="Q145" s="135" t="s">
        <v>3215</v>
      </c>
      <c r="R145" s="135" t="s">
        <v>3223</v>
      </c>
      <c r="S145" s="167">
        <v>6680625</v>
      </c>
      <c r="T145" s="171" t="s">
        <v>4911</v>
      </c>
      <c r="U145" s="168" t="s">
        <v>1782</v>
      </c>
      <c r="V145" s="245">
        <f>$L145/3</f>
        <v>1666666.6666666667</v>
      </c>
      <c r="W145" s="165" t="s">
        <v>154</v>
      </c>
      <c r="X145" s="165"/>
      <c r="Y145" s="165"/>
      <c r="Z145" s="6" t="s">
        <v>3224</v>
      </c>
      <c r="AA145" s="6" t="s">
        <v>4269</v>
      </c>
      <c r="AB145" s="15">
        <v>1093</v>
      </c>
      <c r="AC145" s="204" t="s">
        <v>4271</v>
      </c>
      <c r="AD145" s="21">
        <v>6680615</v>
      </c>
      <c r="AE145" s="293" t="s">
        <v>2481</v>
      </c>
      <c r="AF145" s="167" t="s">
        <v>4821</v>
      </c>
      <c r="AG145" s="245">
        <f>$L145/3</f>
        <v>1666666.6666666667</v>
      </c>
      <c r="AH145" s="165" t="s">
        <v>154</v>
      </c>
      <c r="AI145" s="165" t="s">
        <v>155</v>
      </c>
      <c r="AJ145" s="165"/>
      <c r="AK145" s="165" t="s">
        <v>3224</v>
      </c>
      <c r="AL145" s="6" t="s">
        <v>4269</v>
      </c>
      <c r="AM145" s="293" t="s">
        <v>4289</v>
      </c>
      <c r="AN145" s="293" t="s">
        <v>4289</v>
      </c>
      <c r="AO145" s="167" t="s">
        <v>4290</v>
      </c>
      <c r="AP145" s="245">
        <f>$L145/3</f>
        <v>1666666.6666666667</v>
      </c>
      <c r="AQ145" s="165" t="s">
        <v>154</v>
      </c>
      <c r="AR145" s="165"/>
      <c r="AS145" s="165"/>
      <c r="AT145" s="165" t="s">
        <v>3224</v>
      </c>
      <c r="AU145" s="6" t="s">
        <v>4269</v>
      </c>
      <c r="AV145" s="167"/>
      <c r="AW145" s="167"/>
      <c r="AX145" s="167"/>
      <c r="AY145" s="249"/>
      <c r="AZ145" s="167"/>
      <c r="BA145" s="167"/>
      <c r="BB145" s="167"/>
      <c r="BC145" s="6"/>
      <c r="BD145" s="167"/>
      <c r="BE145" s="167"/>
      <c r="BF145" s="167"/>
      <c r="BG145" s="249"/>
      <c r="BH145" s="167"/>
      <c r="BI145" s="167"/>
      <c r="BJ145" s="167"/>
      <c r="BK145" s="167"/>
      <c r="BL145" s="167"/>
      <c r="BM145" s="167"/>
      <c r="BN145" s="167"/>
      <c r="BO145" s="249"/>
      <c r="BP145" s="167"/>
      <c r="BQ145" s="167"/>
      <c r="BR145" s="167"/>
      <c r="BS145" s="167"/>
      <c r="BT145" s="167"/>
      <c r="BU145" s="167"/>
      <c r="BV145" s="249"/>
      <c r="BW145" s="167"/>
      <c r="BX145" s="167"/>
      <c r="BY145" s="167"/>
      <c r="BZ145" s="167">
        <v>3</v>
      </c>
      <c r="CA145" s="160" t="s">
        <v>3190</v>
      </c>
      <c r="CB145" s="163" t="s">
        <v>3191</v>
      </c>
      <c r="CC145" s="171"/>
      <c r="CD145" s="167"/>
      <c r="CE145" s="167"/>
      <c r="CF145" s="167"/>
      <c r="CG145" s="167"/>
      <c r="CH145" s="167"/>
      <c r="CI145" s="167"/>
      <c r="CJ145" s="167"/>
      <c r="CK145" s="167"/>
      <c r="CL145" s="167"/>
      <c r="CM145" s="167"/>
      <c r="CN145" s="167"/>
      <c r="CO145" s="167"/>
      <c r="CP145" s="167"/>
      <c r="CQ145" s="167"/>
      <c r="CR145" s="167"/>
      <c r="CS145" s="167"/>
      <c r="CT145" s="167"/>
      <c r="CU145" s="167"/>
      <c r="CV145" s="167"/>
      <c r="CW145" s="167"/>
      <c r="CX145" s="167"/>
      <c r="CY145" s="147"/>
      <c r="CZ145" s="147"/>
      <c r="DA145" s="147"/>
    </row>
    <row r="146" spans="1:105" ht="36">
      <c r="A146" s="8">
        <v>25</v>
      </c>
      <c r="B146" s="143" t="s">
        <v>5514</v>
      </c>
      <c r="C146" s="327" t="s">
        <v>5567</v>
      </c>
      <c r="D146" s="166" t="s">
        <v>5568</v>
      </c>
      <c r="E146" s="165" t="s">
        <v>216</v>
      </c>
      <c r="F146" s="135">
        <v>2024</v>
      </c>
      <c r="G146" s="135">
        <v>2024</v>
      </c>
      <c r="H146" s="135">
        <v>7</v>
      </c>
      <c r="I146" s="165" t="s">
        <v>5517</v>
      </c>
      <c r="J146" s="165" t="s">
        <v>5781</v>
      </c>
      <c r="K146" s="468">
        <v>10000000</v>
      </c>
      <c r="L146" s="468">
        <v>10000000</v>
      </c>
      <c r="M146" s="165" t="s">
        <v>4269</v>
      </c>
      <c r="N146" s="514">
        <v>6</v>
      </c>
      <c r="O146" s="7" t="s">
        <v>5290</v>
      </c>
      <c r="P146" s="9" t="s">
        <v>3223</v>
      </c>
      <c r="Q146" s="135" t="s">
        <v>3215</v>
      </c>
      <c r="R146" s="135" t="s">
        <v>3223</v>
      </c>
      <c r="S146" s="167"/>
      <c r="T146" s="171" t="s">
        <v>5569</v>
      </c>
      <c r="U146" s="168" t="s">
        <v>5570</v>
      </c>
      <c r="V146" s="245">
        <f>$L146/4</f>
        <v>2500000</v>
      </c>
      <c r="W146" s="165" t="s">
        <v>3093</v>
      </c>
      <c r="X146" s="165"/>
      <c r="Y146" s="165"/>
      <c r="Z146" s="6" t="s">
        <v>4449</v>
      </c>
      <c r="AA146" s="6" t="s">
        <v>4269</v>
      </c>
      <c r="AB146" s="15">
        <v>1093</v>
      </c>
      <c r="AC146" s="204" t="s">
        <v>4271</v>
      </c>
      <c r="AD146" s="135">
        <v>6682237</v>
      </c>
      <c r="AE146" s="235" t="s">
        <v>1736</v>
      </c>
      <c r="AF146" s="167" t="s">
        <v>5571</v>
      </c>
      <c r="AG146" s="245">
        <f>$L146/3</f>
        <v>3333333.3333333335</v>
      </c>
      <c r="AH146" s="165" t="s">
        <v>3093</v>
      </c>
      <c r="AI146" s="165"/>
      <c r="AJ146" s="165"/>
      <c r="AK146" s="165" t="s">
        <v>4449</v>
      </c>
      <c r="AL146" s="6" t="s">
        <v>4269</v>
      </c>
      <c r="AM146" s="8">
        <v>6795859</v>
      </c>
      <c r="AN146" s="162" t="s">
        <v>1672</v>
      </c>
      <c r="AO146" s="167" t="s">
        <v>2056</v>
      </c>
      <c r="AP146" s="245">
        <f>$L146/4</f>
        <v>2500000</v>
      </c>
      <c r="AQ146" s="165" t="s">
        <v>160</v>
      </c>
      <c r="AR146" s="165"/>
      <c r="AS146" s="165"/>
      <c r="AT146" s="165" t="s">
        <v>4282</v>
      </c>
      <c r="AU146" s="6" t="s">
        <v>4269</v>
      </c>
      <c r="AV146" s="167">
        <v>6892129</v>
      </c>
      <c r="AW146" s="168" t="s">
        <v>2557</v>
      </c>
      <c r="AX146" s="167" t="s">
        <v>115</v>
      </c>
      <c r="AY146" s="245">
        <f>$L146/4</f>
        <v>2500000</v>
      </c>
      <c r="AZ146" s="167" t="s">
        <v>160</v>
      </c>
      <c r="BA146" s="167"/>
      <c r="BB146" s="165" t="s">
        <v>4282</v>
      </c>
      <c r="BC146" s="6" t="s">
        <v>4269</v>
      </c>
      <c r="BD146" s="167"/>
      <c r="BE146" s="167"/>
      <c r="BF146" s="167"/>
      <c r="BG146" s="249"/>
      <c r="BH146" s="167"/>
      <c r="BI146" s="167"/>
      <c r="BJ146" s="167"/>
      <c r="BK146" s="167"/>
      <c r="BL146" s="167"/>
      <c r="BM146" s="167"/>
      <c r="BN146" s="167"/>
      <c r="BO146" s="249"/>
      <c r="BP146" s="167"/>
      <c r="BQ146" s="167"/>
      <c r="BR146" s="167"/>
      <c r="BS146" s="167"/>
      <c r="BT146" s="167"/>
      <c r="BU146" s="167"/>
      <c r="BV146" s="249"/>
      <c r="BW146" s="167"/>
      <c r="BX146" s="167"/>
      <c r="BY146" s="167"/>
      <c r="BZ146" s="167">
        <v>6</v>
      </c>
      <c r="CA146" s="160" t="s">
        <v>3190</v>
      </c>
      <c r="CB146" s="163" t="s">
        <v>3191</v>
      </c>
      <c r="CC146" s="171"/>
      <c r="CD146" s="167"/>
      <c r="CE146" s="167"/>
      <c r="CF146" s="167"/>
      <c r="CG146" s="167"/>
      <c r="CH146" s="167"/>
      <c r="CI146" s="167"/>
      <c r="CJ146" s="167"/>
      <c r="CK146" s="167"/>
      <c r="CL146" s="167"/>
      <c r="CM146" s="167"/>
      <c r="CN146" s="167"/>
      <c r="CO146" s="167"/>
      <c r="CP146" s="167"/>
      <c r="CQ146" s="167"/>
      <c r="CR146" s="167"/>
      <c r="CS146" s="167"/>
      <c r="CT146" s="167"/>
      <c r="CU146" s="167"/>
      <c r="CV146" s="167"/>
      <c r="CW146" s="167"/>
      <c r="CX146" s="167"/>
      <c r="CY146" s="147"/>
      <c r="CZ146" s="147"/>
      <c r="DA146" s="147"/>
    </row>
    <row r="147" spans="1:105" ht="36">
      <c r="A147" s="135">
        <v>26</v>
      </c>
      <c r="B147" s="143" t="s">
        <v>5514</v>
      </c>
      <c r="C147" s="143" t="s">
        <v>5572</v>
      </c>
      <c r="D147" s="166" t="s">
        <v>5573</v>
      </c>
      <c r="E147" s="165" t="s">
        <v>216</v>
      </c>
      <c r="F147" s="135">
        <v>2024</v>
      </c>
      <c r="G147" s="135">
        <v>2024</v>
      </c>
      <c r="H147" s="135">
        <v>7</v>
      </c>
      <c r="I147" s="165" t="s">
        <v>5524</v>
      </c>
      <c r="J147" s="165" t="s">
        <v>5782</v>
      </c>
      <c r="K147" s="468">
        <v>9920000</v>
      </c>
      <c r="L147" s="468">
        <v>9920000</v>
      </c>
      <c r="M147" s="165" t="s">
        <v>4269</v>
      </c>
      <c r="N147" s="514">
        <v>3</v>
      </c>
      <c r="O147" s="7" t="s">
        <v>5290</v>
      </c>
      <c r="P147" s="9" t="s">
        <v>3223</v>
      </c>
      <c r="Q147" s="135" t="s">
        <v>3215</v>
      </c>
      <c r="R147" s="135" t="s">
        <v>3223</v>
      </c>
      <c r="S147" s="21">
        <v>6868847</v>
      </c>
      <c r="T147" s="171" t="s">
        <v>4865</v>
      </c>
      <c r="U147" s="11" t="s">
        <v>2393</v>
      </c>
      <c r="V147" s="245">
        <f>$L147/3</f>
        <v>3306666.6666666665</v>
      </c>
      <c r="W147" s="6" t="s">
        <v>164</v>
      </c>
      <c r="X147" s="6"/>
      <c r="Y147" s="6"/>
      <c r="Z147" s="6" t="s">
        <v>4272</v>
      </c>
      <c r="AA147" s="6" t="s">
        <v>4269</v>
      </c>
      <c r="AB147" s="15">
        <v>1093</v>
      </c>
      <c r="AC147" s="204" t="s">
        <v>4271</v>
      </c>
      <c r="AD147" s="6">
        <v>6867249</v>
      </c>
      <c r="AE147" s="11" t="s">
        <v>2598</v>
      </c>
      <c r="AF147" s="167" t="s">
        <v>3115</v>
      </c>
      <c r="AG147" s="245">
        <f>$L147/3</f>
        <v>3306666.6666666665</v>
      </c>
      <c r="AH147" s="165" t="s">
        <v>171</v>
      </c>
      <c r="AI147" s="165"/>
      <c r="AJ147" s="165"/>
      <c r="AK147" s="165" t="s">
        <v>4272</v>
      </c>
      <c r="AL147" s="6" t="s">
        <v>4269</v>
      </c>
      <c r="AM147" s="6">
        <v>6680622</v>
      </c>
      <c r="AN147" s="6" t="s">
        <v>983</v>
      </c>
      <c r="AO147" s="167" t="s">
        <v>4864</v>
      </c>
      <c r="AP147" s="245">
        <f>$L147/3</f>
        <v>3306666.6666666665</v>
      </c>
      <c r="AQ147" s="165" t="s">
        <v>164</v>
      </c>
      <c r="AR147" s="165"/>
      <c r="AS147" s="165"/>
      <c r="AT147" s="165" t="s">
        <v>4272</v>
      </c>
      <c r="AU147" s="6" t="s">
        <v>4269</v>
      </c>
      <c r="AV147" s="167"/>
      <c r="AW147" s="167"/>
      <c r="AX147" s="167"/>
      <c r="AY147" s="249"/>
      <c r="AZ147" s="167"/>
      <c r="BA147" s="167"/>
      <c r="BB147" s="167"/>
      <c r="BC147" s="6"/>
      <c r="BD147" s="167"/>
      <c r="BE147" s="167"/>
      <c r="BF147" s="167"/>
      <c r="BG147" s="249"/>
      <c r="BH147" s="167"/>
      <c r="BI147" s="167"/>
      <c r="BJ147" s="167"/>
      <c r="BK147" s="167"/>
      <c r="BL147" s="167"/>
      <c r="BM147" s="167"/>
      <c r="BN147" s="167"/>
      <c r="BO147" s="249"/>
      <c r="BP147" s="167"/>
      <c r="BQ147" s="167"/>
      <c r="BR147" s="167"/>
      <c r="BS147" s="167"/>
      <c r="BT147" s="167"/>
      <c r="BU147" s="167"/>
      <c r="BV147" s="249"/>
      <c r="BW147" s="167"/>
      <c r="BX147" s="167"/>
      <c r="BY147" s="167"/>
      <c r="BZ147" s="167">
        <v>3</v>
      </c>
      <c r="CA147" s="160" t="s">
        <v>3190</v>
      </c>
      <c r="CB147" s="163" t="s">
        <v>3191</v>
      </c>
      <c r="CC147" s="171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47"/>
      <c r="CZ147" s="147"/>
      <c r="DA147" s="147"/>
    </row>
    <row r="148" spans="1:105" ht="36">
      <c r="A148" s="8">
        <v>27</v>
      </c>
      <c r="B148" s="143" t="s">
        <v>5514</v>
      </c>
      <c r="C148" s="327" t="s">
        <v>5574</v>
      </c>
      <c r="D148" s="166" t="s">
        <v>5575</v>
      </c>
      <c r="E148" s="165" t="s">
        <v>216</v>
      </c>
      <c r="F148" s="135">
        <v>2024</v>
      </c>
      <c r="G148" s="135">
        <v>2024</v>
      </c>
      <c r="H148" s="135">
        <v>7</v>
      </c>
      <c r="I148" s="165" t="s">
        <v>5524</v>
      </c>
      <c r="J148" s="165" t="s">
        <v>5783</v>
      </c>
      <c r="K148" s="468">
        <v>10000000</v>
      </c>
      <c r="L148" s="468">
        <v>10000000</v>
      </c>
      <c r="M148" s="165" t="s">
        <v>4269</v>
      </c>
      <c r="N148" s="514">
        <v>3</v>
      </c>
      <c r="O148" s="7" t="s">
        <v>5290</v>
      </c>
      <c r="P148" s="9" t="s">
        <v>3223</v>
      </c>
      <c r="Q148" s="135" t="s">
        <v>3215</v>
      </c>
      <c r="R148" s="135" t="s">
        <v>3223</v>
      </c>
      <c r="S148" s="8">
        <v>6665306</v>
      </c>
      <c r="T148" s="171" t="s">
        <v>4329</v>
      </c>
      <c r="U148" s="162" t="s">
        <v>1727</v>
      </c>
      <c r="V148" s="245">
        <f>$L148/4</f>
        <v>2500000</v>
      </c>
      <c r="W148" s="165" t="s">
        <v>166</v>
      </c>
      <c r="X148" s="165"/>
      <c r="Y148" s="165"/>
      <c r="Z148" s="6" t="s">
        <v>4282</v>
      </c>
      <c r="AA148" s="6" t="s">
        <v>4269</v>
      </c>
      <c r="AB148" s="15">
        <v>1093</v>
      </c>
      <c r="AC148" s="204" t="s">
        <v>4271</v>
      </c>
      <c r="AD148" s="260" t="s">
        <v>4039</v>
      </c>
      <c r="AE148" s="287" t="s">
        <v>1751</v>
      </c>
      <c r="AF148" s="167" t="s">
        <v>4524</v>
      </c>
      <c r="AG148" s="245">
        <f>$L148/4</f>
        <v>2500000</v>
      </c>
      <c r="AH148" s="165" t="s">
        <v>166</v>
      </c>
      <c r="AI148" s="165"/>
      <c r="AJ148" s="165"/>
      <c r="AK148" s="165" t="s">
        <v>4282</v>
      </c>
      <c r="AL148" s="6" t="s">
        <v>4269</v>
      </c>
      <c r="AM148" s="8">
        <v>6764236</v>
      </c>
      <c r="AN148" s="162" t="s">
        <v>1684</v>
      </c>
      <c r="AO148" s="167" t="s">
        <v>4660</v>
      </c>
      <c r="AP148" s="245">
        <f>$L148/4</f>
        <v>2500000</v>
      </c>
      <c r="AQ148" s="165" t="s">
        <v>166</v>
      </c>
      <c r="AR148" s="165"/>
      <c r="AS148" s="165"/>
      <c r="AT148" s="165" t="s">
        <v>4282</v>
      </c>
      <c r="AU148" s="6" t="s">
        <v>4269</v>
      </c>
      <c r="AV148" s="8">
        <v>6680648</v>
      </c>
      <c r="AW148" s="6" t="s">
        <v>1036</v>
      </c>
      <c r="AX148" s="167" t="s">
        <v>4662</v>
      </c>
      <c r="AY148" s="245">
        <f>$L148/4</f>
        <v>2500000</v>
      </c>
      <c r="AZ148" s="167" t="s">
        <v>166</v>
      </c>
      <c r="BA148" s="167"/>
      <c r="BB148" s="165" t="s">
        <v>4282</v>
      </c>
      <c r="BC148" s="6" t="s">
        <v>4269</v>
      </c>
      <c r="BD148" s="167"/>
      <c r="BE148" s="167"/>
      <c r="BF148" s="167"/>
      <c r="BG148" s="249"/>
      <c r="BH148" s="167"/>
      <c r="BI148" s="167"/>
      <c r="BJ148" s="167"/>
      <c r="BK148" s="167"/>
      <c r="BL148" s="167"/>
      <c r="BM148" s="167"/>
      <c r="BN148" s="167"/>
      <c r="BO148" s="249"/>
      <c r="BP148" s="167"/>
      <c r="BQ148" s="167"/>
      <c r="BR148" s="167"/>
      <c r="BS148" s="167"/>
      <c r="BT148" s="167"/>
      <c r="BU148" s="167"/>
      <c r="BV148" s="249"/>
      <c r="BW148" s="167"/>
      <c r="BX148" s="167"/>
      <c r="BY148" s="167"/>
      <c r="BZ148" s="167">
        <v>3</v>
      </c>
      <c r="CA148" s="160" t="s">
        <v>3190</v>
      </c>
      <c r="CB148" s="163" t="s">
        <v>3191</v>
      </c>
      <c r="CC148" s="171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47"/>
      <c r="CZ148" s="147"/>
      <c r="DA148" s="147"/>
    </row>
    <row r="149" spans="1:105" ht="36">
      <c r="A149" s="8">
        <v>28</v>
      </c>
      <c r="B149" s="143"/>
      <c r="C149" s="568" t="s">
        <v>5576</v>
      </c>
      <c r="D149" s="166" t="s">
        <v>5577</v>
      </c>
      <c r="E149" s="165" t="s">
        <v>214</v>
      </c>
      <c r="F149" s="135">
        <v>2024</v>
      </c>
      <c r="G149" s="135">
        <v>2024</v>
      </c>
      <c r="H149" s="135">
        <v>7</v>
      </c>
      <c r="I149" s="165" t="s">
        <v>5536</v>
      </c>
      <c r="J149" s="165" t="s">
        <v>5784</v>
      </c>
      <c r="K149" s="468">
        <v>5000000</v>
      </c>
      <c r="L149" s="468">
        <v>5000000</v>
      </c>
      <c r="M149" s="165" t="s">
        <v>4269</v>
      </c>
      <c r="N149" s="514">
        <v>1</v>
      </c>
      <c r="O149" s="7" t="s">
        <v>5290</v>
      </c>
      <c r="P149" s="9" t="s">
        <v>3223</v>
      </c>
      <c r="Q149" s="135" t="s">
        <v>3215</v>
      </c>
      <c r="R149" s="135" t="s">
        <v>3223</v>
      </c>
      <c r="S149" s="21">
        <v>6879158</v>
      </c>
      <c r="T149" s="171" t="s">
        <v>4305</v>
      </c>
      <c r="U149" s="293" t="s">
        <v>2540</v>
      </c>
      <c r="V149" s="245">
        <f>$L149/3</f>
        <v>1666666.6666666667</v>
      </c>
      <c r="W149" s="165" t="s">
        <v>160</v>
      </c>
      <c r="X149" s="165"/>
      <c r="Y149" s="165"/>
      <c r="Z149" s="6" t="s">
        <v>4282</v>
      </c>
      <c r="AA149" s="6" t="s">
        <v>4269</v>
      </c>
      <c r="AB149" s="15">
        <v>1093</v>
      </c>
      <c r="AC149" s="204" t="s">
        <v>4271</v>
      </c>
      <c r="AD149" s="8">
        <v>6680618</v>
      </c>
      <c r="AE149" s="162" t="s">
        <v>1737</v>
      </c>
      <c r="AF149" s="167" t="s">
        <v>5578</v>
      </c>
      <c r="AG149" s="245">
        <f>$L149/3</f>
        <v>1666666.6666666667</v>
      </c>
      <c r="AH149" s="165" t="s">
        <v>160</v>
      </c>
      <c r="AI149" s="165"/>
      <c r="AJ149" s="165"/>
      <c r="AK149" s="165" t="s">
        <v>4282</v>
      </c>
      <c r="AL149" s="6" t="s">
        <v>4269</v>
      </c>
      <c r="AM149" s="6">
        <v>6658545</v>
      </c>
      <c r="AN149" s="11" t="s">
        <v>984</v>
      </c>
      <c r="AO149" s="167" t="s">
        <v>4751</v>
      </c>
      <c r="AP149" s="245">
        <f>$L149/3</f>
        <v>1666666.6666666667</v>
      </c>
      <c r="AQ149" s="165" t="s">
        <v>160</v>
      </c>
      <c r="AR149" s="165"/>
      <c r="AS149" s="165"/>
      <c r="AT149" s="165" t="s">
        <v>4282</v>
      </c>
      <c r="AU149" s="6" t="s">
        <v>4269</v>
      </c>
      <c r="AV149" s="167"/>
      <c r="AW149" s="167"/>
      <c r="AX149" s="167"/>
      <c r="AY149" s="249"/>
      <c r="AZ149" s="167"/>
      <c r="BA149" s="167"/>
      <c r="BB149" s="167"/>
      <c r="BC149" s="6"/>
      <c r="BD149" s="167"/>
      <c r="BE149" s="167"/>
      <c r="BF149" s="167"/>
      <c r="BG149" s="249"/>
      <c r="BH149" s="167"/>
      <c r="BI149" s="167"/>
      <c r="BJ149" s="167"/>
      <c r="BK149" s="167"/>
      <c r="BL149" s="167"/>
      <c r="BM149" s="167"/>
      <c r="BN149" s="167"/>
      <c r="BO149" s="249"/>
      <c r="BP149" s="167"/>
      <c r="BQ149" s="167"/>
      <c r="BR149" s="167"/>
      <c r="BS149" s="167"/>
      <c r="BT149" s="167"/>
      <c r="BU149" s="167"/>
      <c r="BV149" s="249"/>
      <c r="BW149" s="167"/>
      <c r="BX149" s="167"/>
      <c r="BY149" s="167"/>
      <c r="BZ149" s="167">
        <v>1</v>
      </c>
      <c r="CA149" s="160" t="s">
        <v>3190</v>
      </c>
      <c r="CB149" s="163" t="s">
        <v>3191</v>
      </c>
      <c r="CC149" s="171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47"/>
      <c r="CZ149" s="147"/>
      <c r="DA149" s="147"/>
    </row>
    <row r="150" spans="1:105" ht="36">
      <c r="A150" s="135">
        <v>29</v>
      </c>
      <c r="B150" s="143"/>
      <c r="C150" s="568" t="s">
        <v>5579</v>
      </c>
      <c r="D150" s="166" t="s">
        <v>5580</v>
      </c>
      <c r="E150" s="165" t="s">
        <v>213</v>
      </c>
      <c r="F150" s="135">
        <v>2024</v>
      </c>
      <c r="G150" s="135">
        <v>2024</v>
      </c>
      <c r="H150" s="135">
        <v>6</v>
      </c>
      <c r="I150" s="165" t="s">
        <v>5524</v>
      </c>
      <c r="J150" s="165" t="s">
        <v>5785</v>
      </c>
      <c r="K150" s="468">
        <v>15000000</v>
      </c>
      <c r="L150" s="468">
        <v>15000000</v>
      </c>
      <c r="M150" s="165" t="s">
        <v>4269</v>
      </c>
      <c r="N150" s="135">
        <v>3</v>
      </c>
      <c r="O150" s="7" t="s">
        <v>5290</v>
      </c>
      <c r="P150" s="9" t="s">
        <v>3223</v>
      </c>
      <c r="Q150" s="135" t="s">
        <v>3215</v>
      </c>
      <c r="R150" s="135" t="s">
        <v>3223</v>
      </c>
      <c r="S150" s="21">
        <v>6826699</v>
      </c>
      <c r="T150" s="171" t="s">
        <v>4291</v>
      </c>
      <c r="U150" s="293" t="s">
        <v>1905</v>
      </c>
      <c r="V150" s="245">
        <f>$L150/4</f>
        <v>3750000</v>
      </c>
      <c r="W150" s="165" t="s">
        <v>166</v>
      </c>
      <c r="X150" s="165"/>
      <c r="Y150" s="165"/>
      <c r="Z150" s="6" t="s">
        <v>4282</v>
      </c>
      <c r="AA150" s="6" t="s">
        <v>4269</v>
      </c>
      <c r="AB150" s="15">
        <v>1093</v>
      </c>
      <c r="AC150" s="204" t="s">
        <v>4271</v>
      </c>
      <c r="AD150" s="6">
        <v>6680622</v>
      </c>
      <c r="AE150" s="6" t="s">
        <v>983</v>
      </c>
      <c r="AF150" s="6" t="s">
        <v>11</v>
      </c>
      <c r="AG150" s="245">
        <f>$L150/4</f>
        <v>3750000</v>
      </c>
      <c r="AH150" s="165" t="s">
        <v>164</v>
      </c>
      <c r="AI150" s="165"/>
      <c r="AJ150" s="165"/>
      <c r="AK150" s="165" t="s">
        <v>4272</v>
      </c>
      <c r="AL150" s="6" t="s">
        <v>4269</v>
      </c>
      <c r="AM150" s="8">
        <v>6680628</v>
      </c>
      <c r="AN150" s="10" t="s">
        <v>1007</v>
      </c>
      <c r="AO150" s="6" t="s">
        <v>89</v>
      </c>
      <c r="AP150" s="245">
        <f>$L150/4</f>
        <v>3750000</v>
      </c>
      <c r="AQ150" s="165" t="s">
        <v>164</v>
      </c>
      <c r="AR150" s="165"/>
      <c r="AS150" s="165"/>
      <c r="AT150" s="165" t="s">
        <v>4272</v>
      </c>
      <c r="AU150" s="6" t="s">
        <v>4269</v>
      </c>
      <c r="AV150" s="162" t="s">
        <v>5234</v>
      </c>
      <c r="AW150" s="162" t="s">
        <v>978</v>
      </c>
      <c r="AX150" s="6" t="s">
        <v>178</v>
      </c>
      <c r="AY150" s="245">
        <f>$L150/4</f>
        <v>3750000</v>
      </c>
      <c r="AZ150" s="165" t="s">
        <v>166</v>
      </c>
      <c r="BA150" s="165"/>
      <c r="BB150" s="167" t="s">
        <v>4282</v>
      </c>
      <c r="BC150" s="6" t="s">
        <v>4269</v>
      </c>
      <c r="BD150" s="167"/>
      <c r="BE150" s="167"/>
      <c r="BF150" s="167"/>
      <c r="BG150" s="249"/>
      <c r="BH150" s="167"/>
      <c r="BI150" s="167"/>
      <c r="BJ150" s="167"/>
      <c r="BK150" s="167"/>
      <c r="BL150" s="167"/>
      <c r="BM150" s="167"/>
      <c r="BN150" s="167"/>
      <c r="BO150" s="249"/>
      <c r="BP150" s="167"/>
      <c r="BQ150" s="167"/>
      <c r="BR150" s="167"/>
      <c r="BS150" s="167"/>
      <c r="BT150" s="167"/>
      <c r="BU150" s="167"/>
      <c r="BV150" s="249"/>
      <c r="BW150" s="167"/>
      <c r="BX150" s="167"/>
      <c r="BY150" s="167"/>
      <c r="BZ150" s="167">
        <v>7</v>
      </c>
      <c r="CA150" s="160" t="s">
        <v>3190</v>
      </c>
      <c r="CB150" s="163" t="s">
        <v>3191</v>
      </c>
      <c r="CC150" s="171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47"/>
      <c r="CZ150" s="147"/>
      <c r="DA150" s="147"/>
    </row>
    <row r="151" spans="1:105" ht="36">
      <c r="A151" s="8">
        <v>30</v>
      </c>
      <c r="B151" s="143"/>
      <c r="C151" s="568" t="s">
        <v>5581</v>
      </c>
      <c r="D151" s="166" t="s">
        <v>5582</v>
      </c>
      <c r="E151" s="165" t="s">
        <v>213</v>
      </c>
      <c r="F151" s="135">
        <v>2024</v>
      </c>
      <c r="G151" s="135">
        <v>2024</v>
      </c>
      <c r="H151" s="135">
        <v>6</v>
      </c>
      <c r="I151" s="165" t="s">
        <v>5517</v>
      </c>
      <c r="J151" s="165" t="s">
        <v>5786</v>
      </c>
      <c r="K151" s="468">
        <v>15000000</v>
      </c>
      <c r="L151" s="468">
        <v>15000000</v>
      </c>
      <c r="M151" s="165" t="s">
        <v>4269</v>
      </c>
      <c r="N151" s="135">
        <v>3</v>
      </c>
      <c r="O151" s="7" t="s">
        <v>5290</v>
      </c>
      <c r="P151" s="9" t="s">
        <v>3223</v>
      </c>
      <c r="Q151" s="135" t="s">
        <v>3215</v>
      </c>
      <c r="R151" s="135" t="s">
        <v>3223</v>
      </c>
      <c r="S151" s="21">
        <v>6833034</v>
      </c>
      <c r="T151" s="171" t="s">
        <v>4667</v>
      </c>
      <c r="U151" s="162" t="s">
        <v>2022</v>
      </c>
      <c r="V151" s="245">
        <f>$L151/4</f>
        <v>3750000</v>
      </c>
      <c r="W151" s="165" t="s">
        <v>166</v>
      </c>
      <c r="X151" s="165"/>
      <c r="Y151" s="165"/>
      <c r="Z151" s="6" t="s">
        <v>4282</v>
      </c>
      <c r="AA151" s="6" t="s">
        <v>4269</v>
      </c>
      <c r="AB151" s="15">
        <v>1093</v>
      </c>
      <c r="AC151" s="204" t="s">
        <v>4271</v>
      </c>
      <c r="AD151" s="6">
        <v>6843087</v>
      </c>
      <c r="AE151" s="11" t="s">
        <v>2010</v>
      </c>
      <c r="AF151" s="6" t="s">
        <v>41</v>
      </c>
      <c r="AG151" s="245">
        <f>$L151/4</f>
        <v>3750000</v>
      </c>
      <c r="AH151" s="165" t="s">
        <v>166</v>
      </c>
      <c r="AI151" s="165"/>
      <c r="AJ151" s="165"/>
      <c r="AK151" s="165" t="s">
        <v>4282</v>
      </c>
      <c r="AL151" s="6" t="s">
        <v>4269</v>
      </c>
      <c r="AM151" s="6">
        <v>6859382</v>
      </c>
      <c r="AN151" s="11" t="s">
        <v>2343</v>
      </c>
      <c r="AO151" s="167" t="s">
        <v>184</v>
      </c>
      <c r="AP151" s="245">
        <f>$L151/4</f>
        <v>3750000</v>
      </c>
      <c r="AQ151" s="165" t="s">
        <v>166</v>
      </c>
      <c r="AR151" s="165"/>
      <c r="AS151" s="165"/>
      <c r="AT151" s="165" t="s">
        <v>4282</v>
      </c>
      <c r="AU151" s="6" t="s">
        <v>4269</v>
      </c>
      <c r="AV151" s="8">
        <v>6839112</v>
      </c>
      <c r="AW151" s="162" t="s">
        <v>2949</v>
      </c>
      <c r="AX151" s="6" t="s">
        <v>54</v>
      </c>
      <c r="AY151" s="245">
        <f>$L151/4</f>
        <v>3750000</v>
      </c>
      <c r="AZ151" s="165" t="s">
        <v>166</v>
      </c>
      <c r="BA151" s="165"/>
      <c r="BB151" s="167" t="s">
        <v>4282</v>
      </c>
      <c r="BC151" s="6" t="s">
        <v>4269</v>
      </c>
      <c r="BD151" s="167"/>
      <c r="BE151" s="167"/>
      <c r="BF151" s="167"/>
      <c r="BG151" s="249"/>
      <c r="BH151" s="167"/>
      <c r="BI151" s="167"/>
      <c r="BJ151" s="167"/>
      <c r="BK151" s="167"/>
      <c r="BL151" s="167"/>
      <c r="BM151" s="167"/>
      <c r="BN151" s="167"/>
      <c r="BO151" s="249"/>
      <c r="BP151" s="167"/>
      <c r="BQ151" s="167"/>
      <c r="BR151" s="167"/>
      <c r="BS151" s="167"/>
      <c r="BT151" s="167"/>
      <c r="BU151" s="167"/>
      <c r="BV151" s="249"/>
      <c r="BW151" s="167"/>
      <c r="BX151" s="167"/>
      <c r="BY151" s="167"/>
      <c r="BZ151" s="167">
        <v>3</v>
      </c>
      <c r="CA151" s="160" t="s">
        <v>3190</v>
      </c>
      <c r="CB151" s="163" t="s">
        <v>3191</v>
      </c>
      <c r="CC151" s="171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47"/>
      <c r="CZ151" s="147"/>
      <c r="DA151" s="147"/>
    </row>
    <row r="152" spans="1:105" ht="36">
      <c r="A152" s="8">
        <v>31</v>
      </c>
      <c r="B152" s="143"/>
      <c r="C152" s="568" t="s">
        <v>5583</v>
      </c>
      <c r="D152" s="166" t="s">
        <v>5584</v>
      </c>
      <c r="E152" s="165" t="s">
        <v>213</v>
      </c>
      <c r="F152" s="135">
        <v>2024</v>
      </c>
      <c r="G152" s="135">
        <v>2024</v>
      </c>
      <c r="H152" s="135">
        <v>6</v>
      </c>
      <c r="I152" s="165" t="s">
        <v>5524</v>
      </c>
      <c r="J152" s="165" t="s">
        <v>5787</v>
      </c>
      <c r="K152" s="468">
        <v>15000000</v>
      </c>
      <c r="L152" s="468">
        <v>15000000</v>
      </c>
      <c r="M152" s="165" t="s">
        <v>4269</v>
      </c>
      <c r="N152" s="135">
        <v>6</v>
      </c>
      <c r="O152" s="7" t="s">
        <v>5290</v>
      </c>
      <c r="P152" s="9" t="s">
        <v>3223</v>
      </c>
      <c r="Q152" s="135" t="s">
        <v>3215</v>
      </c>
      <c r="R152" s="135" t="s">
        <v>3223</v>
      </c>
      <c r="S152" s="21">
        <v>6682237</v>
      </c>
      <c r="T152" s="171" t="s">
        <v>5571</v>
      </c>
      <c r="U152" s="293" t="s">
        <v>1736</v>
      </c>
      <c r="V152" s="245">
        <f>$L152/3</f>
        <v>5000000</v>
      </c>
      <c r="W152" s="165" t="s">
        <v>169</v>
      </c>
      <c r="X152" s="165"/>
      <c r="Y152" s="165"/>
      <c r="Z152" s="6" t="s">
        <v>4449</v>
      </c>
      <c r="AA152" s="6" t="s">
        <v>4269</v>
      </c>
      <c r="AB152" s="15">
        <v>1093</v>
      </c>
      <c r="AC152" s="204" t="s">
        <v>4271</v>
      </c>
      <c r="AD152" s="162" t="s">
        <v>3985</v>
      </c>
      <c r="AE152" s="162" t="s">
        <v>2730</v>
      </c>
      <c r="AF152" s="6" t="s">
        <v>42</v>
      </c>
      <c r="AG152" s="245">
        <f>$L152/3</f>
        <v>5000000</v>
      </c>
      <c r="AH152" s="165" t="s">
        <v>169</v>
      </c>
      <c r="AI152" s="165" t="s">
        <v>166</v>
      </c>
      <c r="AJ152" s="165"/>
      <c r="AK152" s="165" t="s">
        <v>4449</v>
      </c>
      <c r="AL152" s="6" t="s">
        <v>4269</v>
      </c>
      <c r="AM152" s="6">
        <v>6826743</v>
      </c>
      <c r="AN152" s="11" t="s">
        <v>1880</v>
      </c>
      <c r="AO152" s="167" t="s">
        <v>4600</v>
      </c>
      <c r="AP152" s="245">
        <f>$L152/3</f>
        <v>5000000</v>
      </c>
      <c r="AQ152" s="165" t="s">
        <v>160</v>
      </c>
      <c r="AR152" s="165"/>
      <c r="AS152" s="165"/>
      <c r="AT152" s="165" t="s">
        <v>4282</v>
      </c>
      <c r="AU152" s="6" t="s">
        <v>4269</v>
      </c>
      <c r="AV152" s="167"/>
      <c r="AW152" s="167"/>
      <c r="AX152" s="167"/>
      <c r="AY152" s="245"/>
      <c r="AZ152" s="167"/>
      <c r="BA152" s="167"/>
      <c r="BB152" s="167"/>
      <c r="BC152" s="6"/>
      <c r="BD152" s="167"/>
      <c r="BE152" s="167"/>
      <c r="BF152" s="167"/>
      <c r="BG152" s="249"/>
      <c r="BH152" s="167"/>
      <c r="BI152" s="167"/>
      <c r="BJ152" s="167"/>
      <c r="BK152" s="167"/>
      <c r="BL152" s="167"/>
      <c r="BM152" s="167"/>
      <c r="BN152" s="167"/>
      <c r="BO152" s="249"/>
      <c r="BP152" s="167"/>
      <c r="BQ152" s="167"/>
      <c r="BR152" s="167"/>
      <c r="BS152" s="167"/>
      <c r="BT152" s="167"/>
      <c r="BU152" s="167"/>
      <c r="BV152" s="249"/>
      <c r="BW152" s="167"/>
      <c r="BX152" s="167"/>
      <c r="BY152" s="167"/>
      <c r="BZ152" s="167">
        <v>6</v>
      </c>
      <c r="CA152" s="160" t="s">
        <v>3190</v>
      </c>
      <c r="CB152" s="163" t="s">
        <v>3191</v>
      </c>
      <c r="CC152" s="171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47"/>
      <c r="CZ152" s="147"/>
      <c r="DA152" s="147"/>
    </row>
    <row r="153" spans="1:105" ht="36">
      <c r="A153" s="135">
        <v>32</v>
      </c>
      <c r="B153" s="143"/>
      <c r="C153" s="568" t="s">
        <v>5585</v>
      </c>
      <c r="D153" s="166" t="s">
        <v>5586</v>
      </c>
      <c r="E153" s="165" t="s">
        <v>213</v>
      </c>
      <c r="F153" s="135">
        <v>2024</v>
      </c>
      <c r="G153" s="135">
        <v>2024</v>
      </c>
      <c r="H153" s="135">
        <v>6</v>
      </c>
      <c r="I153" s="165" t="s">
        <v>5587</v>
      </c>
      <c r="J153" s="165" t="s">
        <v>5788</v>
      </c>
      <c r="K153" s="468">
        <v>15000000</v>
      </c>
      <c r="L153" s="468">
        <v>15000000</v>
      </c>
      <c r="M153" s="165" t="s">
        <v>4269</v>
      </c>
      <c r="N153" s="135">
        <v>3</v>
      </c>
      <c r="O153" s="7" t="s">
        <v>5290</v>
      </c>
      <c r="P153" s="9" t="s">
        <v>3223</v>
      </c>
      <c r="Q153" s="135" t="s">
        <v>3215</v>
      </c>
      <c r="R153" s="135" t="s">
        <v>3223</v>
      </c>
      <c r="S153" s="21">
        <v>6843087</v>
      </c>
      <c r="T153" s="171" t="s">
        <v>3114</v>
      </c>
      <c r="U153" s="293" t="s">
        <v>2010</v>
      </c>
      <c r="V153" s="245">
        <f>$L153/3</f>
        <v>5000000</v>
      </c>
      <c r="W153" s="165" t="s">
        <v>166</v>
      </c>
      <c r="X153" s="165"/>
      <c r="Y153" s="165"/>
      <c r="Z153" s="6" t="s">
        <v>4282</v>
      </c>
      <c r="AA153" s="6" t="s">
        <v>4269</v>
      </c>
      <c r="AB153" s="15">
        <v>1093</v>
      </c>
      <c r="AC153" s="204" t="s">
        <v>4271</v>
      </c>
      <c r="AD153" s="6">
        <v>6835039</v>
      </c>
      <c r="AE153" s="11" t="s">
        <v>2009</v>
      </c>
      <c r="AF153" s="6" t="s">
        <v>37</v>
      </c>
      <c r="AG153" s="245">
        <f>$L153/3</f>
        <v>5000000</v>
      </c>
      <c r="AH153" s="165" t="s">
        <v>166</v>
      </c>
      <c r="AI153" s="165"/>
      <c r="AJ153" s="165"/>
      <c r="AK153" s="165" t="s">
        <v>4282</v>
      </c>
      <c r="AL153" s="6" t="s">
        <v>4269</v>
      </c>
      <c r="AM153" s="8">
        <v>6789028</v>
      </c>
      <c r="AN153" s="162" t="s">
        <v>1917</v>
      </c>
      <c r="AO153" s="6" t="s">
        <v>179</v>
      </c>
      <c r="AP153" s="245">
        <f>$L153/3</f>
        <v>5000000</v>
      </c>
      <c r="AQ153" s="165" t="s">
        <v>166</v>
      </c>
      <c r="AR153" s="165"/>
      <c r="AS153" s="165"/>
      <c r="AT153" s="165" t="s">
        <v>4282</v>
      </c>
      <c r="AU153" s="6" t="s">
        <v>4269</v>
      </c>
      <c r="AV153" s="167"/>
      <c r="AW153" s="167"/>
      <c r="AX153" s="167"/>
      <c r="AY153" s="245"/>
      <c r="AZ153" s="167"/>
      <c r="BA153" s="167"/>
      <c r="BB153" s="167"/>
      <c r="BC153" s="6"/>
      <c r="BD153" s="167"/>
      <c r="BE153" s="167"/>
      <c r="BF153" s="167"/>
      <c r="BG153" s="249"/>
      <c r="BH153" s="167"/>
      <c r="BI153" s="167"/>
      <c r="BJ153" s="167"/>
      <c r="BK153" s="167"/>
      <c r="BL153" s="167"/>
      <c r="BM153" s="167"/>
      <c r="BN153" s="167"/>
      <c r="BO153" s="249"/>
      <c r="BP153" s="167"/>
      <c r="BQ153" s="167"/>
      <c r="BR153" s="167"/>
      <c r="BS153" s="167"/>
      <c r="BT153" s="167"/>
      <c r="BU153" s="167"/>
      <c r="BV153" s="249"/>
      <c r="BW153" s="167"/>
      <c r="BX153" s="167"/>
      <c r="BY153" s="167"/>
      <c r="BZ153" s="167">
        <v>3</v>
      </c>
      <c r="CA153" s="160" t="s">
        <v>3190</v>
      </c>
      <c r="CB153" s="163" t="s">
        <v>3191</v>
      </c>
      <c r="CC153" s="171"/>
      <c r="CD153" s="167"/>
      <c r="CE153" s="167"/>
      <c r="CF153" s="167"/>
      <c r="CG153" s="167"/>
      <c r="CH153" s="167"/>
      <c r="CI153" s="167"/>
      <c r="CJ153" s="167"/>
      <c r="CK153" s="167"/>
      <c r="CL153" s="167"/>
      <c r="CM153" s="167"/>
      <c r="CN153" s="167"/>
      <c r="CO153" s="167"/>
      <c r="CP153" s="167"/>
      <c r="CQ153" s="167"/>
      <c r="CR153" s="167"/>
      <c r="CS153" s="167"/>
      <c r="CT153" s="167"/>
      <c r="CU153" s="167"/>
      <c r="CV153" s="167"/>
      <c r="CW153" s="167"/>
      <c r="CX153" s="167"/>
      <c r="CY153" s="147"/>
      <c r="CZ153" s="147"/>
      <c r="DA153" s="147"/>
    </row>
    <row r="154" spans="1:105" ht="60">
      <c r="A154" s="8">
        <v>33</v>
      </c>
      <c r="B154" s="143"/>
      <c r="C154" s="568" t="s">
        <v>5588</v>
      </c>
      <c r="D154" s="166" t="s">
        <v>5589</v>
      </c>
      <c r="E154" s="165" t="s">
        <v>213</v>
      </c>
      <c r="F154" s="135">
        <v>2024</v>
      </c>
      <c r="G154" s="135">
        <v>2024</v>
      </c>
      <c r="H154" s="135">
        <v>6</v>
      </c>
      <c r="I154" s="165" t="s">
        <v>5524</v>
      </c>
      <c r="J154" s="165" t="s">
        <v>5789</v>
      </c>
      <c r="K154" s="468">
        <v>15000000</v>
      </c>
      <c r="L154" s="468">
        <v>15000000</v>
      </c>
      <c r="M154" s="165" t="s">
        <v>4269</v>
      </c>
      <c r="N154" s="135">
        <v>2</v>
      </c>
      <c r="O154" s="7" t="s">
        <v>5290</v>
      </c>
      <c r="P154" s="9" t="s">
        <v>3223</v>
      </c>
      <c r="Q154" s="135" t="s">
        <v>3215</v>
      </c>
      <c r="R154" s="135" t="s">
        <v>3223</v>
      </c>
      <c r="S154" s="21">
        <v>6898606</v>
      </c>
      <c r="T154" s="171" t="s">
        <v>3109</v>
      </c>
      <c r="U154" s="204" t="s">
        <v>2460</v>
      </c>
      <c r="V154" s="245">
        <f>$L154/5</f>
        <v>3000000</v>
      </c>
      <c r="W154" s="165" t="s">
        <v>151</v>
      </c>
      <c r="X154" s="165"/>
      <c r="Y154" s="165"/>
      <c r="Z154" s="6" t="s">
        <v>3224</v>
      </c>
      <c r="AA154" s="6" t="s">
        <v>4269</v>
      </c>
      <c r="AB154" s="15">
        <v>1093</v>
      </c>
      <c r="AC154" s="204" t="s">
        <v>4271</v>
      </c>
      <c r="AD154" s="8"/>
      <c r="AE154" s="162"/>
      <c r="AF154" s="513" t="s">
        <v>3121</v>
      </c>
      <c r="AG154" s="245">
        <f>$L154/5</f>
        <v>3000000</v>
      </c>
      <c r="AH154" s="165" t="s">
        <v>3110</v>
      </c>
      <c r="AI154" s="165"/>
      <c r="AJ154" s="165"/>
      <c r="AK154" s="165"/>
      <c r="AL154" s="6" t="s">
        <v>4269</v>
      </c>
      <c r="AM154" s="138">
        <v>210955</v>
      </c>
      <c r="AN154" s="140" t="s">
        <v>2404</v>
      </c>
      <c r="AO154" s="167" t="s">
        <v>97</v>
      </c>
      <c r="AP154" s="245">
        <f>$L154/5</f>
        <v>3000000</v>
      </c>
      <c r="AQ154" s="165" t="s">
        <v>151</v>
      </c>
      <c r="AR154" s="165" t="s">
        <v>166</v>
      </c>
      <c r="AS154" s="165" t="s">
        <v>155</v>
      </c>
      <c r="AT154" s="165" t="s">
        <v>3224</v>
      </c>
      <c r="AU154" s="6" t="s">
        <v>4269</v>
      </c>
      <c r="AV154" s="8">
        <v>258471</v>
      </c>
      <c r="AW154" s="162" t="s">
        <v>3504</v>
      </c>
      <c r="AX154" s="6" t="s">
        <v>60</v>
      </c>
      <c r="AY154" s="245">
        <f>$L154/5</f>
        <v>3000000</v>
      </c>
      <c r="AZ154" s="167" t="s">
        <v>155</v>
      </c>
      <c r="BA154" s="167"/>
      <c r="BB154" s="167" t="s">
        <v>3224</v>
      </c>
      <c r="BC154" s="6" t="s">
        <v>4269</v>
      </c>
      <c r="BD154" s="239">
        <v>6843797</v>
      </c>
      <c r="BE154" s="240" t="s">
        <v>2418</v>
      </c>
      <c r="BF154" s="239" t="s">
        <v>190</v>
      </c>
      <c r="BG154" s="245">
        <f>$L154/5</f>
        <v>3000000</v>
      </c>
      <c r="BH154" s="167" t="s">
        <v>151</v>
      </c>
      <c r="BI154" s="167"/>
      <c r="BJ154" s="167" t="s">
        <v>3224</v>
      </c>
      <c r="BK154" s="6" t="s">
        <v>4269</v>
      </c>
      <c r="BL154" s="167"/>
      <c r="BM154" s="167"/>
      <c r="BN154" s="167"/>
      <c r="BO154" s="249"/>
      <c r="BP154" s="167"/>
      <c r="BQ154" s="167"/>
      <c r="BR154" s="167"/>
      <c r="BS154" s="167"/>
      <c r="BT154" s="167"/>
      <c r="BU154" s="167"/>
      <c r="BV154" s="249"/>
      <c r="BW154" s="167"/>
      <c r="BX154" s="167"/>
      <c r="BY154" s="167"/>
      <c r="BZ154" s="167">
        <v>2</v>
      </c>
      <c r="CA154" s="160" t="s">
        <v>3190</v>
      </c>
      <c r="CB154" s="163" t="s">
        <v>3191</v>
      </c>
      <c r="CC154" s="171"/>
      <c r="CD154" s="167"/>
      <c r="CE154" s="167"/>
      <c r="CF154" s="167"/>
      <c r="CG154" s="167"/>
      <c r="CH154" s="167"/>
      <c r="CI154" s="167"/>
      <c r="CJ154" s="167"/>
      <c r="CK154" s="167"/>
      <c r="CL154" s="167"/>
      <c r="CM154" s="167"/>
      <c r="CN154" s="167"/>
      <c r="CO154" s="167"/>
      <c r="CP154" s="167"/>
      <c r="CQ154" s="167"/>
      <c r="CR154" s="167"/>
      <c r="CS154" s="167"/>
      <c r="CT154" s="167"/>
      <c r="CU154" s="167"/>
      <c r="CV154" s="167"/>
      <c r="CW154" s="167"/>
      <c r="CX154" s="167"/>
      <c r="CY154" s="147"/>
      <c r="CZ154" s="147"/>
      <c r="DA154" s="147"/>
    </row>
    <row r="155" spans="1:105" ht="36">
      <c r="A155" s="8">
        <v>34</v>
      </c>
      <c r="B155" s="143"/>
      <c r="C155" s="165"/>
      <c r="D155" s="166" t="s">
        <v>5590</v>
      </c>
      <c r="E155" s="165" t="s">
        <v>5067</v>
      </c>
      <c r="F155" s="135">
        <v>2024</v>
      </c>
      <c r="G155" s="135">
        <v>2024</v>
      </c>
      <c r="H155" s="135"/>
      <c r="I155" s="165"/>
      <c r="J155" s="165"/>
      <c r="K155" s="468">
        <v>42331000</v>
      </c>
      <c r="L155" s="468">
        <v>42331000</v>
      </c>
      <c r="M155" s="165" t="s">
        <v>4269</v>
      </c>
      <c r="N155" s="514"/>
      <c r="O155" s="7" t="s">
        <v>5591</v>
      </c>
      <c r="P155" s="166" t="s">
        <v>5592</v>
      </c>
      <c r="Q155" s="135" t="s">
        <v>3215</v>
      </c>
      <c r="R155" s="166" t="s">
        <v>3077</v>
      </c>
      <c r="S155" s="13">
        <v>258471</v>
      </c>
      <c r="T155" s="23" t="s">
        <v>60</v>
      </c>
      <c r="U155" s="16" t="s">
        <v>3504</v>
      </c>
      <c r="V155" s="245">
        <f>$L155/3</f>
        <v>14110333.333333334</v>
      </c>
      <c r="W155" s="165" t="s">
        <v>155</v>
      </c>
      <c r="X155" s="165"/>
      <c r="Y155" s="165"/>
      <c r="Z155" s="6" t="s">
        <v>3224</v>
      </c>
      <c r="AA155" s="6" t="s">
        <v>4269</v>
      </c>
      <c r="AB155" s="15">
        <v>1093</v>
      </c>
      <c r="AC155" s="204" t="s">
        <v>4271</v>
      </c>
      <c r="AD155" s="167"/>
      <c r="AE155" s="170"/>
      <c r="AF155" s="167" t="s">
        <v>3126</v>
      </c>
      <c r="AG155" s="245">
        <f>$L155/3</f>
        <v>14110333.333333334</v>
      </c>
      <c r="AH155" s="165" t="s">
        <v>155</v>
      </c>
      <c r="AI155" s="165"/>
      <c r="AJ155" s="165"/>
      <c r="AK155" s="165"/>
      <c r="AL155" s="165"/>
      <c r="AM155" s="167"/>
      <c r="AN155" s="170"/>
      <c r="AO155" s="167" t="s">
        <v>184</v>
      </c>
      <c r="AP155" s="245">
        <f>$L155/3</f>
        <v>14110333.333333334</v>
      </c>
      <c r="AQ155" s="165" t="s">
        <v>166</v>
      </c>
      <c r="AR155" s="165"/>
      <c r="AS155" s="165"/>
      <c r="AT155" s="165"/>
      <c r="AU155" s="165"/>
      <c r="AV155" s="167"/>
      <c r="AW155" s="167"/>
      <c r="AX155" s="167"/>
      <c r="AY155" s="249"/>
      <c r="AZ155" s="167"/>
      <c r="BA155" s="167"/>
      <c r="BB155" s="167"/>
      <c r="BC155" s="167"/>
      <c r="BD155" s="167"/>
      <c r="BE155" s="167"/>
      <c r="BF155" s="167"/>
      <c r="BG155" s="249"/>
      <c r="BH155" s="167"/>
      <c r="BI155" s="167"/>
      <c r="BJ155" s="167"/>
      <c r="BK155" s="167"/>
      <c r="BL155" s="167"/>
      <c r="BM155" s="167"/>
      <c r="BN155" s="167"/>
      <c r="BO155" s="249"/>
      <c r="BP155" s="167"/>
      <c r="BQ155" s="167"/>
      <c r="BR155" s="167"/>
      <c r="BS155" s="167"/>
      <c r="BT155" s="167"/>
      <c r="BU155" s="167"/>
      <c r="BV155" s="249"/>
      <c r="BW155" s="167"/>
      <c r="BX155" s="167"/>
      <c r="BY155" s="167"/>
      <c r="BZ155" s="167">
        <v>9.11</v>
      </c>
      <c r="CA155" s="569" t="s">
        <v>3190</v>
      </c>
      <c r="CB155" s="163" t="s">
        <v>3191</v>
      </c>
      <c r="CC155" s="171"/>
      <c r="CD155" s="167"/>
      <c r="CE155" s="167"/>
      <c r="CF155" s="167"/>
      <c r="CG155" s="167"/>
      <c r="CH155" s="167"/>
      <c r="CI155" s="167"/>
      <c r="CJ155" s="167"/>
      <c r="CK155" s="167"/>
      <c r="CL155" s="167"/>
      <c r="CM155" s="167"/>
      <c r="CN155" s="167"/>
      <c r="CO155" s="167"/>
      <c r="CP155" s="167"/>
      <c r="CQ155" s="167"/>
      <c r="CR155" s="167"/>
      <c r="CS155" s="167"/>
      <c r="CT155" s="167"/>
      <c r="CU155" s="167"/>
      <c r="CV155" s="167"/>
      <c r="CW155" s="167"/>
      <c r="CX155" s="167"/>
      <c r="CY155" s="147"/>
      <c r="CZ155" s="147"/>
      <c r="DA155" s="147"/>
    </row>
    <row r="156" spans="1:105" ht="36">
      <c r="A156" s="135">
        <v>35</v>
      </c>
      <c r="B156" s="143"/>
      <c r="C156" s="165"/>
      <c r="D156" s="166" t="s">
        <v>5593</v>
      </c>
      <c r="E156" s="165" t="s">
        <v>5067</v>
      </c>
      <c r="F156" s="135">
        <v>2024</v>
      </c>
      <c r="G156" s="135">
        <v>2024</v>
      </c>
      <c r="H156" s="135"/>
      <c r="I156" s="165"/>
      <c r="J156" s="165"/>
      <c r="K156" s="468">
        <v>40250000</v>
      </c>
      <c r="L156" s="468">
        <v>40250000</v>
      </c>
      <c r="M156" s="165" t="s">
        <v>4269</v>
      </c>
      <c r="N156" s="514"/>
      <c r="O156" s="7" t="s">
        <v>5591</v>
      </c>
      <c r="P156" s="166" t="s">
        <v>5592</v>
      </c>
      <c r="Q156" s="135" t="s">
        <v>3215</v>
      </c>
      <c r="R156" s="166" t="s">
        <v>3077</v>
      </c>
      <c r="S156" s="13">
        <v>259781</v>
      </c>
      <c r="T156" s="23" t="s">
        <v>26</v>
      </c>
      <c r="U156" s="16" t="s">
        <v>982</v>
      </c>
      <c r="V156" s="245">
        <f>$L156/3</f>
        <v>13416666.666666666</v>
      </c>
      <c r="W156" s="165" t="s">
        <v>169</v>
      </c>
      <c r="X156" s="165" t="s">
        <v>166</v>
      </c>
      <c r="Y156" s="165"/>
      <c r="Z156" s="6" t="s">
        <v>4449</v>
      </c>
      <c r="AA156" s="6" t="s">
        <v>4269</v>
      </c>
      <c r="AB156" s="15">
        <v>1093</v>
      </c>
      <c r="AC156" s="204" t="s">
        <v>4271</v>
      </c>
      <c r="AD156" s="167"/>
      <c r="AE156" s="170"/>
      <c r="AF156" s="167" t="s">
        <v>4381</v>
      </c>
      <c r="AG156" s="245">
        <f>$L156/3</f>
        <v>13416666.666666666</v>
      </c>
      <c r="AH156" s="165" t="s">
        <v>169</v>
      </c>
      <c r="AI156" s="165"/>
      <c r="AJ156" s="165"/>
      <c r="AK156" s="165"/>
      <c r="AL156" s="165"/>
      <c r="AM156" s="167"/>
      <c r="AN156" s="170"/>
      <c r="AO156" s="167" t="s">
        <v>5594</v>
      </c>
      <c r="AP156" s="245">
        <f>$L156/3</f>
        <v>13416666.666666666</v>
      </c>
      <c r="AQ156" s="532" t="s">
        <v>1852</v>
      </c>
      <c r="AR156" s="532"/>
      <c r="AS156" s="532"/>
      <c r="AT156" s="532"/>
      <c r="AU156" s="532"/>
      <c r="AV156" s="167"/>
      <c r="AW156" s="167"/>
      <c r="AX156" s="167"/>
      <c r="AY156" s="249"/>
      <c r="AZ156" s="167"/>
      <c r="BA156" s="167"/>
      <c r="BB156" s="167"/>
      <c r="BC156" s="167"/>
      <c r="BD156" s="167"/>
      <c r="BE156" s="167"/>
      <c r="BF156" s="167"/>
      <c r="BG156" s="249"/>
      <c r="BH156" s="167"/>
      <c r="BI156" s="167"/>
      <c r="BJ156" s="167"/>
      <c r="BK156" s="167"/>
      <c r="BL156" s="167"/>
      <c r="BM156" s="167"/>
      <c r="BN156" s="167"/>
      <c r="BO156" s="249"/>
      <c r="BP156" s="167"/>
      <c r="BQ156" s="167"/>
      <c r="BR156" s="167"/>
      <c r="BS156" s="167"/>
      <c r="BT156" s="167"/>
      <c r="BU156" s="167"/>
      <c r="BV156" s="249"/>
      <c r="BW156" s="167"/>
      <c r="BX156" s="167"/>
      <c r="BY156" s="167"/>
      <c r="BZ156" s="167">
        <v>8</v>
      </c>
      <c r="CA156" s="569" t="s">
        <v>3190</v>
      </c>
      <c r="CB156" s="163" t="s">
        <v>3191</v>
      </c>
      <c r="CC156" s="171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47"/>
      <c r="CZ156" s="147"/>
      <c r="DA156" s="147"/>
    </row>
    <row r="157" spans="1:105" ht="36">
      <c r="A157" s="8">
        <v>36</v>
      </c>
      <c r="B157" s="143"/>
      <c r="C157" s="165"/>
      <c r="D157" s="166" t="s">
        <v>5595</v>
      </c>
      <c r="E157" s="165" t="s">
        <v>5067</v>
      </c>
      <c r="F157" s="135">
        <v>2024</v>
      </c>
      <c r="G157" s="135">
        <v>2024</v>
      </c>
      <c r="H157" s="135"/>
      <c r="I157" s="165"/>
      <c r="J157" s="165"/>
      <c r="K157" s="468">
        <v>45000000</v>
      </c>
      <c r="L157" s="468">
        <v>45000000</v>
      </c>
      <c r="M157" s="165" t="s">
        <v>4269</v>
      </c>
      <c r="N157" s="514"/>
      <c r="O157" s="7" t="s">
        <v>5591</v>
      </c>
      <c r="P157" s="166" t="s">
        <v>5592</v>
      </c>
      <c r="Q157" s="135" t="s">
        <v>3215</v>
      </c>
      <c r="R157" s="166" t="s">
        <v>3077</v>
      </c>
      <c r="S157" s="13">
        <v>6665306</v>
      </c>
      <c r="T157" s="23" t="s">
        <v>28</v>
      </c>
      <c r="U157" s="16" t="s">
        <v>1727</v>
      </c>
      <c r="V157" s="245">
        <f>$L157/3</f>
        <v>15000000</v>
      </c>
      <c r="W157" s="165" t="s">
        <v>166</v>
      </c>
      <c r="X157" s="165"/>
      <c r="Y157" s="165"/>
      <c r="Z157" s="6" t="s">
        <v>4282</v>
      </c>
      <c r="AA157" s="6" t="s">
        <v>4269</v>
      </c>
      <c r="AB157" s="15">
        <v>1093</v>
      </c>
      <c r="AC157" s="204" t="s">
        <v>4271</v>
      </c>
      <c r="AD157" s="167"/>
      <c r="AE157" s="170"/>
      <c r="AF157" s="167" t="s">
        <v>4524</v>
      </c>
      <c r="AG157" s="245">
        <f>$L157/3</f>
        <v>15000000</v>
      </c>
      <c r="AH157" s="165" t="s">
        <v>166</v>
      </c>
      <c r="AI157" s="165"/>
      <c r="AJ157" s="165"/>
      <c r="AK157" s="165"/>
      <c r="AL157" s="165"/>
      <c r="AM157" s="167"/>
      <c r="AN157" s="170"/>
      <c r="AO157" s="167"/>
      <c r="AP157" s="245">
        <f>$L157/3</f>
        <v>15000000</v>
      </c>
      <c r="AQ157" s="165"/>
      <c r="AR157" s="165"/>
      <c r="AS157" s="165"/>
      <c r="AT157" s="165"/>
      <c r="AU157" s="165"/>
      <c r="AV157" s="167"/>
      <c r="AW157" s="167"/>
      <c r="AX157" s="167"/>
      <c r="AY157" s="249"/>
      <c r="AZ157" s="167"/>
      <c r="BA157" s="167"/>
      <c r="BB157" s="167"/>
      <c r="BC157" s="167"/>
      <c r="BD157" s="167"/>
      <c r="BE157" s="167"/>
      <c r="BF157" s="167"/>
      <c r="BG157" s="249"/>
      <c r="BH157" s="167"/>
      <c r="BI157" s="167"/>
      <c r="BJ157" s="167"/>
      <c r="BK157" s="167"/>
      <c r="BL157" s="167"/>
      <c r="BM157" s="167"/>
      <c r="BN157" s="167"/>
      <c r="BO157" s="249"/>
      <c r="BP157" s="167"/>
      <c r="BQ157" s="167"/>
      <c r="BR157" s="167"/>
      <c r="BS157" s="167"/>
      <c r="BT157" s="167"/>
      <c r="BU157" s="167"/>
      <c r="BV157" s="249"/>
      <c r="BW157" s="167"/>
      <c r="BX157" s="167"/>
      <c r="BY157" s="167"/>
      <c r="BZ157" s="167">
        <v>2.8</v>
      </c>
      <c r="CA157" s="569" t="s">
        <v>3190</v>
      </c>
      <c r="CB157" s="163" t="s">
        <v>3191</v>
      </c>
      <c r="CC157" s="171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47"/>
      <c r="CZ157" s="147"/>
      <c r="DA157" s="147"/>
    </row>
    <row r="158" spans="1:105" ht="36">
      <c r="A158" s="8">
        <v>37</v>
      </c>
      <c r="B158" s="143"/>
      <c r="C158" s="143" t="s">
        <v>5596</v>
      </c>
      <c r="D158" s="166" t="s">
        <v>5597</v>
      </c>
      <c r="E158" s="165" t="s">
        <v>215</v>
      </c>
      <c r="F158" s="135">
        <v>2024</v>
      </c>
      <c r="G158" s="135">
        <v>2024</v>
      </c>
      <c r="H158" s="135"/>
      <c r="I158" s="165" t="s">
        <v>5524</v>
      </c>
      <c r="J158" s="165" t="s">
        <v>5790</v>
      </c>
      <c r="K158" s="465">
        <v>4920000</v>
      </c>
      <c r="L158" s="465">
        <v>4920000</v>
      </c>
      <c r="M158" s="165" t="s">
        <v>4269</v>
      </c>
      <c r="N158" s="514">
        <v>2</v>
      </c>
      <c r="O158" s="7" t="s">
        <v>5290</v>
      </c>
      <c r="P158" s="9" t="s">
        <v>3223</v>
      </c>
      <c r="Q158" s="135" t="s">
        <v>3215</v>
      </c>
      <c r="R158" s="135" t="s">
        <v>3223</v>
      </c>
      <c r="S158" s="516" t="s">
        <v>5598</v>
      </c>
      <c r="T158" s="171" t="s">
        <v>4666</v>
      </c>
      <c r="U158" s="515" t="s">
        <v>2343</v>
      </c>
      <c r="V158" s="245">
        <f>$L158/3</f>
        <v>1640000</v>
      </c>
      <c r="W158" s="165" t="s">
        <v>166</v>
      </c>
      <c r="X158" s="165"/>
      <c r="Y158" s="165"/>
      <c r="Z158" s="6" t="s">
        <v>4282</v>
      </c>
      <c r="AA158" s="6" t="s">
        <v>4269</v>
      </c>
      <c r="AB158" s="15">
        <v>1093</v>
      </c>
      <c r="AC158" s="204" t="s">
        <v>4271</v>
      </c>
      <c r="AD158" s="516">
        <v>6832969</v>
      </c>
      <c r="AE158" s="517" t="s">
        <v>2901</v>
      </c>
      <c r="AF158" s="167" t="s">
        <v>5547</v>
      </c>
      <c r="AG158" s="245">
        <f>$L158/3</f>
        <v>1640000</v>
      </c>
      <c r="AH158" s="165" t="s">
        <v>166</v>
      </c>
      <c r="AI158" s="165"/>
      <c r="AJ158" s="165"/>
      <c r="AK158" s="165" t="s">
        <v>4282</v>
      </c>
      <c r="AL158" s="165" t="s">
        <v>4269</v>
      </c>
      <c r="AM158" s="516" t="s">
        <v>3954</v>
      </c>
      <c r="AN158" s="517" t="s">
        <v>2010</v>
      </c>
      <c r="AO158" s="167" t="s">
        <v>3114</v>
      </c>
      <c r="AP158" s="245">
        <f>$L158/3</f>
        <v>1640000</v>
      </c>
      <c r="AQ158" s="165" t="s">
        <v>166</v>
      </c>
      <c r="AR158" s="165"/>
      <c r="AS158" s="165"/>
      <c r="AT158" s="165" t="s">
        <v>4282</v>
      </c>
      <c r="AU158" s="165" t="s">
        <v>4269</v>
      </c>
      <c r="AV158" s="167"/>
      <c r="AW158" s="167"/>
      <c r="AX158" s="167"/>
      <c r="AY158" s="249"/>
      <c r="AZ158" s="167"/>
      <c r="BA158" s="167"/>
      <c r="BB158" s="167"/>
      <c r="BC158" s="167"/>
      <c r="BD158" s="167"/>
      <c r="BE158" s="167"/>
      <c r="BF158" s="167"/>
      <c r="BG158" s="249"/>
      <c r="BH158" s="167"/>
      <c r="BI158" s="167"/>
      <c r="BJ158" s="167"/>
      <c r="BK158" s="167"/>
      <c r="BL158" s="167"/>
      <c r="BM158" s="167"/>
      <c r="BN158" s="167"/>
      <c r="BO158" s="249"/>
      <c r="BP158" s="167"/>
      <c r="BQ158" s="167"/>
      <c r="BR158" s="167"/>
      <c r="BS158" s="167"/>
      <c r="BT158" s="167"/>
      <c r="BU158" s="167"/>
      <c r="BV158" s="249"/>
      <c r="BW158" s="167"/>
      <c r="BX158" s="167"/>
      <c r="BY158" s="167"/>
      <c r="BZ158" s="167">
        <v>2</v>
      </c>
      <c r="CA158" s="160" t="s">
        <v>3190</v>
      </c>
      <c r="CB158" s="255" t="s">
        <v>3191</v>
      </c>
      <c r="CC158" s="171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47"/>
      <c r="CZ158" s="147"/>
      <c r="DA158" s="147"/>
    </row>
    <row r="159" spans="1:105" ht="36">
      <c r="A159" s="135">
        <v>38</v>
      </c>
      <c r="B159" s="143"/>
      <c r="C159" s="143" t="s">
        <v>5599</v>
      </c>
      <c r="D159" s="166" t="s">
        <v>3076</v>
      </c>
      <c r="E159" s="165" t="s">
        <v>217</v>
      </c>
      <c r="F159" s="135">
        <v>2024</v>
      </c>
      <c r="G159" s="135">
        <v>2024</v>
      </c>
      <c r="H159" s="135"/>
      <c r="I159" s="165" t="s">
        <v>5524</v>
      </c>
      <c r="J159" s="165" t="s">
        <v>5791</v>
      </c>
      <c r="K159" s="465">
        <v>10000000</v>
      </c>
      <c r="L159" s="465">
        <v>10000000</v>
      </c>
      <c r="M159" s="165" t="s">
        <v>4269</v>
      </c>
      <c r="N159" s="514">
        <v>4</v>
      </c>
      <c r="O159" s="7" t="s">
        <v>5290</v>
      </c>
      <c r="P159" s="9" t="s">
        <v>3223</v>
      </c>
      <c r="Q159" s="135" t="s">
        <v>3215</v>
      </c>
      <c r="R159" s="135" t="s">
        <v>3223</v>
      </c>
      <c r="S159" s="516" t="s">
        <v>3980</v>
      </c>
      <c r="T159" s="171" t="s">
        <v>4383</v>
      </c>
      <c r="U159" s="515" t="s">
        <v>2698</v>
      </c>
      <c r="V159" s="245">
        <f>$L159/2</f>
        <v>5000000</v>
      </c>
      <c r="W159" s="165" t="s">
        <v>166</v>
      </c>
      <c r="X159" s="165"/>
      <c r="Y159" s="165"/>
      <c r="Z159" s="6" t="s">
        <v>4282</v>
      </c>
      <c r="AA159" s="6" t="s">
        <v>4269</v>
      </c>
      <c r="AB159" s="15">
        <v>1093</v>
      </c>
      <c r="AC159" s="204" t="s">
        <v>4271</v>
      </c>
      <c r="AD159" s="516" t="s">
        <v>4199</v>
      </c>
      <c r="AE159" s="517" t="s">
        <v>978</v>
      </c>
      <c r="AF159" s="167" t="s">
        <v>119</v>
      </c>
      <c r="AG159" s="245">
        <f>$L159/2</f>
        <v>5000000</v>
      </c>
      <c r="AH159" s="165" t="s">
        <v>166</v>
      </c>
      <c r="AI159" s="165"/>
      <c r="AJ159" s="165"/>
      <c r="AK159" s="165" t="s">
        <v>4282</v>
      </c>
      <c r="AL159" s="165" t="s">
        <v>4269</v>
      </c>
      <c r="AM159" s="516"/>
      <c r="AN159" s="517"/>
      <c r="AO159" s="167"/>
      <c r="AP159" s="245"/>
      <c r="AQ159" s="165"/>
      <c r="AR159" s="165"/>
      <c r="AS159" s="165"/>
      <c r="AT159" s="165"/>
      <c r="AU159" s="165"/>
      <c r="AV159" s="167"/>
      <c r="AW159" s="167"/>
      <c r="AX159" s="167"/>
      <c r="AY159" s="249"/>
      <c r="AZ159" s="167"/>
      <c r="BA159" s="167"/>
      <c r="BB159" s="167"/>
      <c r="BC159" s="167"/>
      <c r="BD159" s="167"/>
      <c r="BE159" s="167"/>
      <c r="BF159" s="167"/>
      <c r="BG159" s="249"/>
      <c r="BH159" s="167"/>
      <c r="BI159" s="167"/>
      <c r="BJ159" s="167"/>
      <c r="BK159" s="167"/>
      <c r="BL159" s="167"/>
      <c r="BM159" s="167"/>
      <c r="BN159" s="167"/>
      <c r="BO159" s="249"/>
      <c r="BP159" s="167"/>
      <c r="BQ159" s="167"/>
      <c r="BR159" s="167"/>
      <c r="BS159" s="167"/>
      <c r="BT159" s="167"/>
      <c r="BU159" s="167"/>
      <c r="BV159" s="249"/>
      <c r="BW159" s="167"/>
      <c r="BX159" s="167"/>
      <c r="BY159" s="167"/>
      <c r="BZ159" s="167">
        <v>4</v>
      </c>
      <c r="CA159" s="160" t="s">
        <v>3190</v>
      </c>
      <c r="CB159" s="255" t="s">
        <v>3191</v>
      </c>
      <c r="CC159" s="171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47"/>
      <c r="CZ159" s="147"/>
      <c r="DA159" s="147"/>
    </row>
    <row r="160" spans="1:105" ht="36">
      <c r="A160" s="8">
        <v>39</v>
      </c>
      <c r="B160" s="143"/>
      <c r="C160" s="143" t="s">
        <v>5600</v>
      </c>
      <c r="D160" s="166" t="s">
        <v>5601</v>
      </c>
      <c r="E160" s="165" t="s">
        <v>217</v>
      </c>
      <c r="F160" s="135">
        <v>2024</v>
      </c>
      <c r="G160" s="135">
        <v>2024</v>
      </c>
      <c r="H160" s="135"/>
      <c r="I160" s="165" t="s">
        <v>5517</v>
      </c>
      <c r="J160" s="165" t="s">
        <v>5792</v>
      </c>
      <c r="K160" s="465">
        <v>10000000</v>
      </c>
      <c r="L160" s="465">
        <v>10000000</v>
      </c>
      <c r="M160" s="165" t="s">
        <v>4269</v>
      </c>
      <c r="N160" s="514">
        <v>3</v>
      </c>
      <c r="O160" s="7" t="s">
        <v>5290</v>
      </c>
      <c r="P160" s="9" t="s">
        <v>3223</v>
      </c>
      <c r="Q160" s="135" t="s">
        <v>3215</v>
      </c>
      <c r="R160" s="135" t="s">
        <v>3223</v>
      </c>
      <c r="S160" s="516" t="s">
        <v>3924</v>
      </c>
      <c r="T160" s="171" t="s">
        <v>142</v>
      </c>
      <c r="U160" s="515" t="s">
        <v>2672</v>
      </c>
      <c r="V160" s="245">
        <f>$L160/4</f>
        <v>2500000</v>
      </c>
      <c r="W160" s="165" t="s">
        <v>171</v>
      </c>
      <c r="X160" s="165"/>
      <c r="Y160" s="165"/>
      <c r="Z160" s="6" t="s">
        <v>4272</v>
      </c>
      <c r="AA160" s="6" t="s">
        <v>4269</v>
      </c>
      <c r="AB160" s="15">
        <v>1093</v>
      </c>
      <c r="AC160" s="204" t="s">
        <v>4271</v>
      </c>
      <c r="AD160" s="516" t="s">
        <v>5602</v>
      </c>
      <c r="AE160" s="517" t="s">
        <v>2671</v>
      </c>
      <c r="AF160" s="167" t="s">
        <v>4661</v>
      </c>
      <c r="AG160" s="245">
        <f>$L160/4</f>
        <v>2500000</v>
      </c>
      <c r="AH160" s="165" t="s">
        <v>171</v>
      </c>
      <c r="AI160" s="165"/>
      <c r="AJ160" s="165"/>
      <c r="AK160" s="6" t="s">
        <v>4272</v>
      </c>
      <c r="AL160" s="6" t="s">
        <v>4269</v>
      </c>
      <c r="AM160" s="516" t="s">
        <v>5603</v>
      </c>
      <c r="AN160" s="517" t="s">
        <v>2700</v>
      </c>
      <c r="AO160" s="167" t="s">
        <v>4363</v>
      </c>
      <c r="AP160" s="245">
        <f>$L160/4</f>
        <v>2500000</v>
      </c>
      <c r="AQ160" s="165" t="s">
        <v>171</v>
      </c>
      <c r="AR160" s="165"/>
      <c r="AS160" s="165"/>
      <c r="AT160" s="6" t="s">
        <v>4272</v>
      </c>
      <c r="AU160" s="6" t="s">
        <v>4269</v>
      </c>
      <c r="AV160" s="167">
        <v>6767777</v>
      </c>
      <c r="AW160" s="167">
        <v>713059501</v>
      </c>
      <c r="AX160" s="167" t="s">
        <v>3116</v>
      </c>
      <c r="AY160" s="245">
        <f>$L160/4</f>
        <v>2500000</v>
      </c>
      <c r="AZ160" s="165" t="s">
        <v>171</v>
      </c>
      <c r="BA160" s="165"/>
      <c r="BB160" s="6" t="s">
        <v>4272</v>
      </c>
      <c r="BC160" s="6" t="s">
        <v>4269</v>
      </c>
      <c r="BD160" s="167"/>
      <c r="BE160" s="167"/>
      <c r="BF160" s="167"/>
      <c r="BG160" s="249"/>
      <c r="BH160" s="167"/>
      <c r="BI160" s="167"/>
      <c r="BJ160" s="167"/>
      <c r="BK160" s="167"/>
      <c r="BL160" s="167"/>
      <c r="BM160" s="167"/>
      <c r="BN160" s="167"/>
      <c r="BO160" s="249"/>
      <c r="BP160" s="167"/>
      <c r="BQ160" s="167"/>
      <c r="BR160" s="167"/>
      <c r="BS160" s="167"/>
      <c r="BT160" s="167"/>
      <c r="BU160" s="167"/>
      <c r="BV160" s="249"/>
      <c r="BW160" s="167"/>
      <c r="BX160" s="167"/>
      <c r="BY160" s="167"/>
      <c r="BZ160" s="167">
        <v>3</v>
      </c>
      <c r="CA160" s="160" t="s">
        <v>3190</v>
      </c>
      <c r="CB160" s="255" t="s">
        <v>3191</v>
      </c>
      <c r="CC160" s="171"/>
      <c r="CD160" s="167"/>
      <c r="CE160" s="167"/>
      <c r="CF160" s="167"/>
      <c r="CG160" s="167"/>
      <c r="CH160" s="167"/>
      <c r="CI160" s="167"/>
      <c r="CJ160" s="167"/>
      <c r="CK160" s="167"/>
      <c r="CL160" s="167"/>
      <c r="CM160" s="167"/>
      <c r="CN160" s="167"/>
      <c r="CO160" s="167"/>
      <c r="CP160" s="167"/>
      <c r="CQ160" s="167"/>
      <c r="CR160" s="167"/>
      <c r="CS160" s="167"/>
      <c r="CT160" s="167"/>
      <c r="CU160" s="167"/>
      <c r="CV160" s="167"/>
      <c r="CW160" s="167"/>
      <c r="CX160" s="167"/>
      <c r="CY160" s="147"/>
      <c r="CZ160" s="147"/>
      <c r="DA160" s="147"/>
    </row>
    <row r="161" spans="1:105" ht="36">
      <c r="A161" s="8">
        <v>40</v>
      </c>
      <c r="B161" s="143"/>
      <c r="C161" s="143" t="s">
        <v>5604</v>
      </c>
      <c r="D161" s="166" t="s">
        <v>5605</v>
      </c>
      <c r="E161" s="165" t="s">
        <v>217</v>
      </c>
      <c r="F161" s="135">
        <v>2024</v>
      </c>
      <c r="G161" s="135">
        <v>2024</v>
      </c>
      <c r="H161" s="135"/>
      <c r="I161" s="165" t="s">
        <v>5524</v>
      </c>
      <c r="J161" s="165" t="s">
        <v>5793</v>
      </c>
      <c r="K161" s="465">
        <v>9500000</v>
      </c>
      <c r="L161" s="465">
        <v>9500000</v>
      </c>
      <c r="M161" s="165" t="s">
        <v>4269</v>
      </c>
      <c r="N161" s="514">
        <v>2</v>
      </c>
      <c r="O161" s="7" t="s">
        <v>5290</v>
      </c>
      <c r="P161" s="9" t="s">
        <v>3223</v>
      </c>
      <c r="Q161" s="135" t="s">
        <v>3215</v>
      </c>
      <c r="R161" s="135" t="s">
        <v>3223</v>
      </c>
      <c r="S161" s="516" t="s">
        <v>5606</v>
      </c>
      <c r="T161" s="171" t="s">
        <v>3119</v>
      </c>
      <c r="U161" s="515" t="s">
        <v>979</v>
      </c>
      <c r="V161" s="245">
        <f>$L161/3</f>
        <v>3166666.6666666665</v>
      </c>
      <c r="W161" s="165" t="s">
        <v>171</v>
      </c>
      <c r="X161" s="165"/>
      <c r="Y161" s="165"/>
      <c r="Z161" s="6" t="s">
        <v>4272</v>
      </c>
      <c r="AA161" s="6" t="s">
        <v>4269</v>
      </c>
      <c r="AB161" s="15">
        <v>1093</v>
      </c>
      <c r="AC161" s="204" t="s">
        <v>4271</v>
      </c>
      <c r="AD161" s="516" t="s">
        <v>5607</v>
      </c>
      <c r="AE161" s="517" t="s">
        <v>1008</v>
      </c>
      <c r="AF161" s="167" t="s">
        <v>3120</v>
      </c>
      <c r="AG161" s="245">
        <f>$L161/3</f>
        <v>3166666.6666666665</v>
      </c>
      <c r="AH161" s="165" t="s">
        <v>171</v>
      </c>
      <c r="AI161" s="165"/>
      <c r="AJ161" s="165"/>
      <c r="AK161" s="6" t="s">
        <v>4272</v>
      </c>
      <c r="AL161" s="6" t="s">
        <v>4269</v>
      </c>
      <c r="AM161" s="516" t="s">
        <v>5608</v>
      </c>
      <c r="AN161" s="517" t="s">
        <v>2044</v>
      </c>
      <c r="AO161" s="167" t="s">
        <v>4727</v>
      </c>
      <c r="AP161" s="245">
        <f>$L161/3</f>
        <v>3166666.6666666665</v>
      </c>
      <c r="AQ161" s="165" t="s">
        <v>171</v>
      </c>
      <c r="AR161" s="165"/>
      <c r="AS161" s="165"/>
      <c r="AT161" s="6" t="s">
        <v>4272</v>
      </c>
      <c r="AU161" s="6" t="s">
        <v>4269</v>
      </c>
      <c r="AV161" s="167"/>
      <c r="AW161" s="167"/>
      <c r="AX161" s="167"/>
      <c r="AY161" s="249"/>
      <c r="AZ161" s="167"/>
      <c r="BA161" s="167"/>
      <c r="BB161" s="167"/>
      <c r="BC161" s="167"/>
      <c r="BD161" s="167"/>
      <c r="BE161" s="167"/>
      <c r="BF161" s="167"/>
      <c r="BG161" s="249"/>
      <c r="BH161" s="167"/>
      <c r="BI161" s="167"/>
      <c r="BJ161" s="167"/>
      <c r="BK161" s="167"/>
      <c r="BL161" s="167"/>
      <c r="BM161" s="167"/>
      <c r="BN161" s="167"/>
      <c r="BO161" s="249"/>
      <c r="BP161" s="167"/>
      <c r="BQ161" s="167"/>
      <c r="BR161" s="167"/>
      <c r="BS161" s="167"/>
      <c r="BT161" s="167"/>
      <c r="BU161" s="167"/>
      <c r="BV161" s="249"/>
      <c r="BW161" s="167"/>
      <c r="BX161" s="167"/>
      <c r="BY161" s="167"/>
      <c r="BZ161" s="167">
        <v>2</v>
      </c>
      <c r="CA161" s="160" t="s">
        <v>3190</v>
      </c>
      <c r="CB161" s="255" t="s">
        <v>3191</v>
      </c>
      <c r="CC161" s="171"/>
      <c r="CD161" s="167"/>
      <c r="CE161" s="167"/>
      <c r="CF161" s="167"/>
      <c r="CG161" s="167"/>
      <c r="CH161" s="167"/>
      <c r="CI161" s="167"/>
      <c r="CJ161" s="167"/>
      <c r="CK161" s="167"/>
      <c r="CL161" s="167"/>
      <c r="CM161" s="167"/>
      <c r="CN161" s="167"/>
      <c r="CO161" s="167"/>
      <c r="CP161" s="167"/>
      <c r="CQ161" s="167"/>
      <c r="CR161" s="167"/>
      <c r="CS161" s="167"/>
      <c r="CT161" s="167"/>
      <c r="CU161" s="167"/>
      <c r="CV161" s="167"/>
      <c r="CW161" s="167"/>
      <c r="CX161" s="167"/>
      <c r="CY161" s="147"/>
      <c r="CZ161" s="147"/>
      <c r="DA161" s="147"/>
    </row>
    <row r="162" spans="1:105" ht="36">
      <c r="A162" s="135">
        <v>41</v>
      </c>
      <c r="B162" s="143"/>
      <c r="C162" s="143" t="s">
        <v>5609</v>
      </c>
      <c r="D162" s="166" t="s">
        <v>5610</v>
      </c>
      <c r="E162" s="165" t="s">
        <v>217</v>
      </c>
      <c r="F162" s="135">
        <v>2024</v>
      </c>
      <c r="G162" s="135">
        <v>2024</v>
      </c>
      <c r="H162" s="135"/>
      <c r="I162" s="165" t="s">
        <v>5536</v>
      </c>
      <c r="J162" s="165" t="s">
        <v>5794</v>
      </c>
      <c r="K162" s="465">
        <v>9964000</v>
      </c>
      <c r="L162" s="465">
        <v>9964000</v>
      </c>
      <c r="M162" s="165" t="s">
        <v>4269</v>
      </c>
      <c r="N162" s="514">
        <v>4</v>
      </c>
      <c r="O162" s="7" t="s">
        <v>5290</v>
      </c>
      <c r="P162" s="9" t="s">
        <v>3223</v>
      </c>
      <c r="Q162" s="135" t="s">
        <v>3215</v>
      </c>
      <c r="R162" s="135" t="s">
        <v>3223</v>
      </c>
      <c r="S162" s="516" t="s">
        <v>5611</v>
      </c>
      <c r="T162" s="171" t="s">
        <v>3112</v>
      </c>
      <c r="U162" s="515" t="s">
        <v>1770</v>
      </c>
      <c r="V162" s="245">
        <f>$L162/3</f>
        <v>3321333.3333333335</v>
      </c>
      <c r="W162" s="165" t="s">
        <v>155</v>
      </c>
      <c r="X162" s="165"/>
      <c r="Y162" s="165"/>
      <c r="Z162" s="6" t="s">
        <v>3224</v>
      </c>
      <c r="AA162" s="6" t="s">
        <v>4269</v>
      </c>
      <c r="AB162" s="15">
        <v>1093</v>
      </c>
      <c r="AC162" s="204" t="s">
        <v>4271</v>
      </c>
      <c r="AD162" s="516" t="s">
        <v>5612</v>
      </c>
      <c r="AE162" s="517" t="s">
        <v>5613</v>
      </c>
      <c r="AF162" s="167" t="s">
        <v>3113</v>
      </c>
      <c r="AG162" s="245">
        <f>$L162/3</f>
        <v>3321333.3333333335</v>
      </c>
      <c r="AH162" s="165" t="s">
        <v>151</v>
      </c>
      <c r="AI162" s="165"/>
      <c r="AJ162" s="165"/>
      <c r="AK162" s="6" t="s">
        <v>3224</v>
      </c>
      <c r="AL162" s="6" t="s">
        <v>4269</v>
      </c>
      <c r="AM162" s="516" t="s">
        <v>4029</v>
      </c>
      <c r="AN162" s="517" t="s">
        <v>3504</v>
      </c>
      <c r="AO162" s="167" t="s">
        <v>5614</v>
      </c>
      <c r="AP162" s="245">
        <f>$L162/3</f>
        <v>3321333.3333333335</v>
      </c>
      <c r="AQ162" s="165" t="s">
        <v>155</v>
      </c>
      <c r="AR162" s="165"/>
      <c r="AS162" s="165"/>
      <c r="AT162" s="6" t="s">
        <v>3224</v>
      </c>
      <c r="AU162" s="6" t="s">
        <v>4269</v>
      </c>
      <c r="AV162" s="167"/>
      <c r="AW162" s="167"/>
      <c r="AX162" s="167"/>
      <c r="AY162" s="249"/>
      <c r="AZ162" s="167"/>
      <c r="BA162" s="167"/>
      <c r="BB162" s="167"/>
      <c r="BC162" s="167"/>
      <c r="BD162" s="167"/>
      <c r="BE162" s="167"/>
      <c r="BF162" s="167"/>
      <c r="BG162" s="249"/>
      <c r="BH162" s="167"/>
      <c r="BI162" s="167"/>
      <c r="BJ162" s="167"/>
      <c r="BK162" s="167"/>
      <c r="BL162" s="167"/>
      <c r="BM162" s="167"/>
      <c r="BN162" s="167"/>
      <c r="BO162" s="249"/>
      <c r="BP162" s="167"/>
      <c r="BQ162" s="167"/>
      <c r="BR162" s="167"/>
      <c r="BS162" s="167"/>
      <c r="BT162" s="167"/>
      <c r="BU162" s="167"/>
      <c r="BV162" s="249"/>
      <c r="BW162" s="167"/>
      <c r="BX162" s="167"/>
      <c r="BY162" s="167"/>
      <c r="BZ162" s="167">
        <v>4</v>
      </c>
      <c r="CA162" s="160" t="s">
        <v>3190</v>
      </c>
      <c r="CB162" s="255" t="s">
        <v>3191</v>
      </c>
      <c r="CC162" s="171"/>
      <c r="CD162" s="167"/>
      <c r="CE162" s="167"/>
      <c r="CF162" s="167"/>
      <c r="CG162" s="167"/>
      <c r="CH162" s="167"/>
      <c r="CI162" s="167"/>
      <c r="CJ162" s="167"/>
      <c r="CK162" s="167"/>
      <c r="CL162" s="167"/>
      <c r="CM162" s="167"/>
      <c r="CN162" s="167"/>
      <c r="CO162" s="167"/>
      <c r="CP162" s="167"/>
      <c r="CQ162" s="167"/>
      <c r="CR162" s="167"/>
      <c r="CS162" s="167"/>
      <c r="CT162" s="167"/>
      <c r="CU162" s="167"/>
      <c r="CV162" s="167"/>
      <c r="CW162" s="167"/>
      <c r="CX162" s="167"/>
      <c r="CY162" s="147"/>
      <c r="CZ162" s="147"/>
      <c r="DA162" s="147"/>
    </row>
    <row r="163" spans="1:105" ht="36">
      <c r="A163" s="8">
        <v>42</v>
      </c>
      <c r="B163" s="143"/>
      <c r="C163" s="143" t="s">
        <v>5615</v>
      </c>
      <c r="D163" s="166" t="s">
        <v>5616</v>
      </c>
      <c r="E163" s="165" t="s">
        <v>217</v>
      </c>
      <c r="F163" s="135">
        <v>2024</v>
      </c>
      <c r="G163" s="135">
        <v>2024</v>
      </c>
      <c r="H163" s="135"/>
      <c r="I163" s="165" t="s">
        <v>5524</v>
      </c>
      <c r="J163" s="165" t="s">
        <v>5795</v>
      </c>
      <c r="K163" s="465">
        <v>10000000</v>
      </c>
      <c r="L163" s="465">
        <v>10000000</v>
      </c>
      <c r="M163" s="165" t="s">
        <v>4269</v>
      </c>
      <c r="N163" s="514">
        <v>3</v>
      </c>
      <c r="O163" s="7" t="s">
        <v>5290</v>
      </c>
      <c r="P163" s="9" t="s">
        <v>3223</v>
      </c>
      <c r="Q163" s="135" t="s">
        <v>3215</v>
      </c>
      <c r="R163" s="135" t="s">
        <v>3223</v>
      </c>
      <c r="S163" s="516" t="s">
        <v>5617</v>
      </c>
      <c r="T163" s="171" t="s">
        <v>5618</v>
      </c>
      <c r="U163" s="515" t="s">
        <v>2471</v>
      </c>
      <c r="V163" s="245">
        <f>$L163/3</f>
        <v>3333333.3333333335</v>
      </c>
      <c r="W163" s="165" t="s">
        <v>154</v>
      </c>
      <c r="X163" s="165"/>
      <c r="Y163" s="165"/>
      <c r="Z163" s="6" t="s">
        <v>3224</v>
      </c>
      <c r="AA163" s="6" t="s">
        <v>4269</v>
      </c>
      <c r="AB163" s="15">
        <v>1093</v>
      </c>
      <c r="AC163" s="204" t="s">
        <v>4271</v>
      </c>
      <c r="AD163" s="516" t="s">
        <v>5619</v>
      </c>
      <c r="AE163" s="517" t="s">
        <v>1782</v>
      </c>
      <c r="AF163" s="167" t="s">
        <v>4911</v>
      </c>
      <c r="AG163" s="245">
        <f>$L163/3</f>
        <v>3333333.3333333335</v>
      </c>
      <c r="AH163" s="165" t="s">
        <v>154</v>
      </c>
      <c r="AI163" s="165"/>
      <c r="AJ163" s="165"/>
      <c r="AK163" s="6" t="s">
        <v>3224</v>
      </c>
      <c r="AL163" s="6" t="s">
        <v>4269</v>
      </c>
      <c r="AM163" s="516" t="s">
        <v>5620</v>
      </c>
      <c r="AN163" s="517" t="s">
        <v>3020</v>
      </c>
      <c r="AO163" s="167" t="s">
        <v>4822</v>
      </c>
      <c r="AP163" s="245">
        <f>$L163/3</f>
        <v>3333333.3333333335</v>
      </c>
      <c r="AQ163" s="165" t="s">
        <v>154</v>
      </c>
      <c r="AR163" s="165" t="s">
        <v>155</v>
      </c>
      <c r="AS163" s="165"/>
      <c r="AT163" s="6" t="s">
        <v>3224</v>
      </c>
      <c r="AU163" s="6" t="s">
        <v>4269</v>
      </c>
      <c r="AV163" s="167"/>
      <c r="AW163" s="167"/>
      <c r="AX163" s="167"/>
      <c r="AY163" s="249"/>
      <c r="AZ163" s="167"/>
      <c r="BA163" s="167"/>
      <c r="BB163" s="167"/>
      <c r="BC163" s="167"/>
      <c r="BD163" s="167"/>
      <c r="BE163" s="167"/>
      <c r="BF163" s="167"/>
      <c r="BG163" s="249"/>
      <c r="BH163" s="167"/>
      <c r="BI163" s="167"/>
      <c r="BJ163" s="167"/>
      <c r="BK163" s="167"/>
      <c r="BL163" s="167"/>
      <c r="BM163" s="167"/>
      <c r="BN163" s="167"/>
      <c r="BO163" s="249"/>
      <c r="BP163" s="167"/>
      <c r="BQ163" s="167"/>
      <c r="BR163" s="167"/>
      <c r="BS163" s="167"/>
      <c r="BT163" s="167"/>
      <c r="BU163" s="167"/>
      <c r="BV163" s="249"/>
      <c r="BW163" s="167"/>
      <c r="BX163" s="167"/>
      <c r="BY163" s="167"/>
      <c r="BZ163" s="167">
        <v>9</v>
      </c>
      <c r="CA163" s="160" t="s">
        <v>3190</v>
      </c>
      <c r="CB163" s="255" t="s">
        <v>3191</v>
      </c>
      <c r="CC163" s="171"/>
      <c r="CD163" s="167"/>
      <c r="CE163" s="167"/>
      <c r="CF163" s="167"/>
      <c r="CG163" s="167"/>
      <c r="CH163" s="167"/>
      <c r="CI163" s="167"/>
      <c r="CJ163" s="167"/>
      <c r="CK163" s="167"/>
      <c r="CL163" s="167"/>
      <c r="CM163" s="167"/>
      <c r="CN163" s="167"/>
      <c r="CO163" s="167"/>
      <c r="CP163" s="167"/>
      <c r="CQ163" s="167"/>
      <c r="CR163" s="167"/>
      <c r="CS163" s="167"/>
      <c r="CT163" s="167"/>
      <c r="CU163" s="167"/>
      <c r="CV163" s="167"/>
      <c r="CW163" s="167"/>
      <c r="CX163" s="167"/>
      <c r="CY163" s="147"/>
      <c r="CZ163" s="147"/>
      <c r="DA163" s="147"/>
    </row>
    <row r="164" spans="1:105" s="314" customFormat="1">
      <c r="A164" s="309"/>
      <c r="B164" s="155"/>
      <c r="C164" s="311"/>
      <c r="D164" s="570"/>
      <c r="E164" s="311"/>
      <c r="F164" s="310"/>
      <c r="G164" s="310"/>
      <c r="H164" s="310"/>
      <c r="I164" s="311"/>
      <c r="J164" s="311"/>
      <c r="K164" s="571"/>
      <c r="L164" s="571"/>
      <c r="M164" s="311"/>
      <c r="N164" s="310"/>
      <c r="O164" s="311"/>
      <c r="P164" s="310"/>
      <c r="Q164" s="310"/>
      <c r="R164" s="310"/>
      <c r="S164" s="572"/>
      <c r="T164" s="573"/>
      <c r="U164" s="574"/>
      <c r="V164" s="575"/>
      <c r="W164" s="311"/>
      <c r="X164" s="311"/>
      <c r="Y164" s="311"/>
      <c r="Z164" s="153"/>
      <c r="AA164" s="153"/>
      <c r="AB164" s="310"/>
      <c r="AC164" s="310"/>
      <c r="AD164" s="572"/>
      <c r="AE164" s="576"/>
      <c r="AF164" s="572"/>
      <c r="AG164" s="577"/>
      <c r="AH164" s="311"/>
      <c r="AI164" s="311"/>
      <c r="AJ164" s="311"/>
      <c r="AK164" s="311"/>
      <c r="AL164" s="311"/>
      <c r="AM164" s="572"/>
      <c r="AN164" s="576"/>
      <c r="AO164" s="572"/>
      <c r="AP164" s="577"/>
      <c r="AQ164" s="311"/>
      <c r="AR164" s="311"/>
      <c r="AS164" s="311"/>
      <c r="AT164" s="311"/>
      <c r="AU164" s="311"/>
      <c r="AV164" s="572"/>
      <c r="AW164" s="572"/>
      <c r="AX164" s="572"/>
      <c r="AY164" s="572"/>
      <c r="AZ164" s="572"/>
      <c r="BA164" s="572"/>
      <c r="BB164" s="572"/>
      <c r="BC164" s="572"/>
      <c r="BD164" s="572"/>
      <c r="BE164" s="572"/>
      <c r="BF164" s="572"/>
      <c r="BG164" s="572"/>
      <c r="BH164" s="572"/>
      <c r="BI164" s="572"/>
      <c r="BJ164" s="572"/>
      <c r="BK164" s="572"/>
      <c r="BL164" s="572"/>
      <c r="BM164" s="572"/>
      <c r="BN164" s="572"/>
      <c r="BO164" s="572"/>
      <c r="BP164" s="572"/>
      <c r="BQ164" s="572"/>
      <c r="BR164" s="572"/>
      <c r="BS164" s="572"/>
      <c r="BT164" s="572"/>
      <c r="BU164" s="572"/>
      <c r="BV164" s="572"/>
      <c r="BW164" s="572"/>
      <c r="BX164" s="572"/>
      <c r="BY164" s="572"/>
      <c r="BZ164" s="572"/>
      <c r="CA164" s="578"/>
      <c r="CB164" s="309"/>
      <c r="CC164" s="573"/>
      <c r="CD164" s="572"/>
      <c r="CE164" s="572"/>
      <c r="CF164" s="572"/>
      <c r="CG164" s="572"/>
      <c r="CH164" s="572"/>
      <c r="CI164" s="572"/>
      <c r="CJ164" s="572"/>
      <c r="CK164" s="572"/>
      <c r="CL164" s="572"/>
      <c r="CM164" s="572"/>
      <c r="CN164" s="572"/>
      <c r="CO164" s="572"/>
      <c r="CP164" s="572"/>
      <c r="CQ164" s="572"/>
      <c r="CR164" s="572"/>
      <c r="CS164" s="572"/>
      <c r="CT164" s="572"/>
      <c r="CU164" s="572"/>
      <c r="CV164" s="572"/>
      <c r="CW164" s="572"/>
      <c r="CX164" s="572"/>
      <c r="CY164" s="579"/>
      <c r="CZ164" s="579"/>
      <c r="DA164" s="579"/>
    </row>
    <row r="165" spans="1:105" ht="36">
      <c r="A165" s="8">
        <v>1</v>
      </c>
      <c r="B165" s="143"/>
      <c r="C165" s="165"/>
      <c r="D165" s="166" t="s">
        <v>5621</v>
      </c>
      <c r="E165" s="165" t="s">
        <v>5622</v>
      </c>
      <c r="F165" s="135">
        <v>2025</v>
      </c>
      <c r="G165" s="135">
        <v>2025</v>
      </c>
      <c r="H165" s="135">
        <v>6</v>
      </c>
      <c r="I165" s="165" t="s">
        <v>4796</v>
      </c>
      <c r="J165" s="165" t="s">
        <v>5796</v>
      </c>
      <c r="K165" s="465">
        <v>20000000</v>
      </c>
      <c r="L165" s="465">
        <v>20000000</v>
      </c>
      <c r="M165" s="165" t="s">
        <v>4269</v>
      </c>
      <c r="N165" s="514">
        <v>4</v>
      </c>
      <c r="O165" s="165"/>
      <c r="P165" s="9" t="s">
        <v>3223</v>
      </c>
      <c r="Q165" s="135" t="s">
        <v>3215</v>
      </c>
      <c r="R165" s="135"/>
      <c r="S165" s="167"/>
      <c r="T165" s="171" t="s">
        <v>5623</v>
      </c>
      <c r="U165" s="168" t="s">
        <v>1963</v>
      </c>
      <c r="V165" s="245">
        <v>20000000</v>
      </c>
      <c r="W165" s="165" t="s">
        <v>5624</v>
      </c>
      <c r="X165" s="165"/>
      <c r="Y165" s="165"/>
      <c r="Z165" s="6" t="s">
        <v>3224</v>
      </c>
      <c r="AA165" s="6" t="s">
        <v>4269</v>
      </c>
      <c r="AB165" s="15">
        <v>1093</v>
      </c>
      <c r="AC165" s="204" t="s">
        <v>4271</v>
      </c>
      <c r="AD165" s="167">
        <v>6099359</v>
      </c>
      <c r="AE165" s="168" t="s">
        <v>977</v>
      </c>
      <c r="AF165" s="167" t="s">
        <v>5528</v>
      </c>
      <c r="AG165" s="245">
        <v>20000000</v>
      </c>
      <c r="AH165" s="165" t="s">
        <v>166</v>
      </c>
      <c r="AI165" s="165"/>
      <c r="AJ165" s="165"/>
      <c r="AK165" s="165" t="s">
        <v>4282</v>
      </c>
      <c r="AL165" s="165" t="s">
        <v>4269</v>
      </c>
      <c r="AM165" s="167">
        <v>6658755</v>
      </c>
      <c r="AN165" s="170" t="s">
        <v>1901</v>
      </c>
      <c r="AO165" s="167" t="s">
        <v>4408</v>
      </c>
      <c r="AP165" s="245">
        <v>20000000</v>
      </c>
      <c r="AQ165" s="165" t="s">
        <v>164</v>
      </c>
      <c r="AR165" s="165"/>
      <c r="AS165" s="165"/>
      <c r="AT165" s="165" t="s">
        <v>4272</v>
      </c>
      <c r="AU165" s="6" t="s">
        <v>4269</v>
      </c>
      <c r="AV165" s="167">
        <v>28854</v>
      </c>
      <c r="AW165" s="170" t="s">
        <v>2959</v>
      </c>
      <c r="AX165" s="167" t="s">
        <v>146</v>
      </c>
      <c r="AY165" s="245">
        <v>20000000</v>
      </c>
      <c r="AZ165" s="165" t="s">
        <v>164</v>
      </c>
      <c r="BA165" s="165"/>
      <c r="BB165" s="165" t="s">
        <v>4272</v>
      </c>
      <c r="BC165" s="6" t="s">
        <v>4269</v>
      </c>
      <c r="BD165" s="167">
        <v>6868847</v>
      </c>
      <c r="BE165" s="170" t="s">
        <v>2393</v>
      </c>
      <c r="BF165" s="167" t="s">
        <v>4865</v>
      </c>
      <c r="BG165" s="245">
        <v>20000000</v>
      </c>
      <c r="BH165" s="165" t="s">
        <v>164</v>
      </c>
      <c r="BI165" s="165"/>
      <c r="BJ165" s="165" t="s">
        <v>4272</v>
      </c>
      <c r="BK165" s="6" t="s">
        <v>4269</v>
      </c>
      <c r="BL165" s="167"/>
      <c r="BM165" s="167"/>
      <c r="BN165" s="167"/>
      <c r="BO165" s="249"/>
      <c r="BP165" s="167"/>
      <c r="BQ165" s="167"/>
      <c r="BR165" s="167"/>
      <c r="BS165" s="167"/>
      <c r="BT165" s="167"/>
      <c r="BU165" s="167"/>
      <c r="BV165" s="249"/>
      <c r="BW165" s="167"/>
      <c r="BX165" s="167"/>
      <c r="BY165" s="167"/>
      <c r="BZ165" s="167"/>
      <c r="CA165" s="586" t="s">
        <v>3190</v>
      </c>
      <c r="CB165" s="8"/>
      <c r="CC165" s="171"/>
      <c r="CD165" s="167"/>
      <c r="CE165" s="167"/>
      <c r="CF165" s="167"/>
      <c r="CG165" s="167"/>
      <c r="CH165" s="167"/>
      <c r="CI165" s="167"/>
      <c r="CJ165" s="167"/>
      <c r="CK165" s="167"/>
      <c r="CL165" s="167"/>
      <c r="CM165" s="167"/>
      <c r="CN165" s="167"/>
      <c r="CO165" s="167"/>
      <c r="CP165" s="167"/>
      <c r="CQ165" s="167"/>
      <c r="CR165" s="167"/>
      <c r="CS165" s="167"/>
      <c r="CT165" s="167"/>
      <c r="CU165" s="167"/>
      <c r="CV165" s="167"/>
      <c r="CW165" s="167"/>
      <c r="CX165" s="167"/>
      <c r="CY165" s="147"/>
      <c r="CZ165" s="147"/>
      <c r="DA165" s="147"/>
    </row>
    <row r="166" spans="1:105" ht="36">
      <c r="A166" s="8">
        <v>2</v>
      </c>
      <c r="B166" s="143"/>
      <c r="C166" s="165"/>
      <c r="D166" s="166" t="s">
        <v>5625</v>
      </c>
      <c r="E166" s="165" t="s">
        <v>5622</v>
      </c>
      <c r="F166" s="135">
        <v>2025</v>
      </c>
      <c r="G166" s="135">
        <v>2025</v>
      </c>
      <c r="H166" s="135">
        <v>6</v>
      </c>
      <c r="I166" s="165" t="s">
        <v>4796</v>
      </c>
      <c r="J166" s="165" t="s">
        <v>5797</v>
      </c>
      <c r="K166" s="465">
        <v>20000000</v>
      </c>
      <c r="L166" s="465">
        <v>20000000</v>
      </c>
      <c r="M166" s="165" t="s">
        <v>4269</v>
      </c>
      <c r="N166" s="514">
        <v>4</v>
      </c>
      <c r="O166" s="165"/>
      <c r="P166" s="9" t="s">
        <v>3223</v>
      </c>
      <c r="Q166" s="135" t="s">
        <v>3215</v>
      </c>
      <c r="R166" s="135"/>
      <c r="S166" s="167">
        <v>6680633</v>
      </c>
      <c r="T166" s="171" t="s">
        <v>1211</v>
      </c>
      <c r="U166" s="168" t="s">
        <v>1703</v>
      </c>
      <c r="V166" s="245">
        <v>20000000</v>
      </c>
      <c r="W166" s="165" t="s">
        <v>5626</v>
      </c>
      <c r="X166" s="165" t="s">
        <v>166</v>
      </c>
      <c r="Y166" s="165"/>
      <c r="Z166" s="6" t="s">
        <v>4272</v>
      </c>
      <c r="AA166" s="6" t="s">
        <v>4269</v>
      </c>
      <c r="AB166" s="15">
        <v>1093</v>
      </c>
      <c r="AC166" s="204" t="s">
        <v>4271</v>
      </c>
      <c r="AD166" s="167">
        <v>6789028</v>
      </c>
      <c r="AE166" s="170" t="s">
        <v>1917</v>
      </c>
      <c r="AF166" s="167" t="s">
        <v>4728</v>
      </c>
      <c r="AG166" s="245">
        <v>20000000</v>
      </c>
      <c r="AH166" s="165" t="s">
        <v>166</v>
      </c>
      <c r="AI166" s="165"/>
      <c r="AJ166" s="165"/>
      <c r="AK166" s="165" t="s">
        <v>4282</v>
      </c>
      <c r="AL166" s="165" t="s">
        <v>4269</v>
      </c>
      <c r="AM166" s="167">
        <v>6680928</v>
      </c>
      <c r="AN166" s="170" t="s">
        <v>5613</v>
      </c>
      <c r="AO166" s="167" t="s">
        <v>3113</v>
      </c>
      <c r="AP166" s="245">
        <v>20000000</v>
      </c>
      <c r="AQ166" s="165" t="s">
        <v>151</v>
      </c>
      <c r="AR166" s="165"/>
      <c r="AS166" s="165"/>
      <c r="AT166" s="6" t="s">
        <v>3224</v>
      </c>
      <c r="AU166" s="6" t="s">
        <v>4269</v>
      </c>
      <c r="AV166" s="167">
        <v>6835039</v>
      </c>
      <c r="AW166" s="170" t="s">
        <v>2009</v>
      </c>
      <c r="AX166" s="167" t="s">
        <v>4694</v>
      </c>
      <c r="AY166" s="245">
        <v>20000000</v>
      </c>
      <c r="AZ166" s="165" t="s">
        <v>166</v>
      </c>
      <c r="BA166" s="165"/>
      <c r="BB166" s="165" t="s">
        <v>4282</v>
      </c>
      <c r="BC166" s="6" t="s">
        <v>4269</v>
      </c>
      <c r="BD166" s="167">
        <v>6767777</v>
      </c>
      <c r="BE166" s="170" t="s">
        <v>2673</v>
      </c>
      <c r="BF166" s="167" t="s">
        <v>3116</v>
      </c>
      <c r="BG166" s="245">
        <v>20000000</v>
      </c>
      <c r="BH166" s="167" t="s">
        <v>171</v>
      </c>
      <c r="BI166" s="167"/>
      <c r="BJ166" s="165" t="s">
        <v>4272</v>
      </c>
      <c r="BK166" s="6" t="s">
        <v>4269</v>
      </c>
      <c r="BL166" s="167"/>
      <c r="BM166" s="167"/>
      <c r="BN166" s="167"/>
      <c r="BO166" s="249"/>
      <c r="BP166" s="167"/>
      <c r="BQ166" s="167"/>
      <c r="BR166" s="167"/>
      <c r="BS166" s="167"/>
      <c r="BT166" s="167"/>
      <c r="BU166" s="167"/>
      <c r="BV166" s="249"/>
      <c r="BW166" s="167"/>
      <c r="BX166" s="167"/>
      <c r="BY166" s="167"/>
      <c r="BZ166" s="167"/>
      <c r="CA166" s="586" t="s">
        <v>3190</v>
      </c>
      <c r="CB166" s="8"/>
      <c r="CC166" s="171"/>
      <c r="CD166" s="167"/>
      <c r="CE166" s="167"/>
      <c r="CF166" s="167"/>
      <c r="CG166" s="167"/>
      <c r="CH166" s="167"/>
      <c r="CI166" s="167"/>
      <c r="CJ166" s="167"/>
      <c r="CK166" s="167"/>
      <c r="CL166" s="167"/>
      <c r="CM166" s="167"/>
      <c r="CN166" s="167"/>
      <c r="CO166" s="167"/>
      <c r="CP166" s="167"/>
      <c r="CQ166" s="167"/>
      <c r="CR166" s="167"/>
      <c r="CS166" s="167"/>
      <c r="CT166" s="167"/>
      <c r="CU166" s="167"/>
      <c r="CV166" s="167"/>
      <c r="CW166" s="167"/>
      <c r="CX166" s="167"/>
      <c r="CY166" s="147"/>
      <c r="CZ166" s="147"/>
      <c r="DA166" s="147"/>
    </row>
    <row r="167" spans="1:105" ht="36">
      <c r="A167" s="8">
        <v>3</v>
      </c>
      <c r="B167" s="143"/>
      <c r="C167" s="165"/>
      <c r="D167" s="166" t="s">
        <v>5627</v>
      </c>
      <c r="E167" s="165" t="s">
        <v>5622</v>
      </c>
      <c r="F167" s="135">
        <v>2025</v>
      </c>
      <c r="G167" s="135">
        <v>2025</v>
      </c>
      <c r="H167" s="135">
        <v>6</v>
      </c>
      <c r="I167" s="165" t="s">
        <v>4796</v>
      </c>
      <c r="J167" s="165" t="s">
        <v>5798</v>
      </c>
      <c r="K167" s="465">
        <v>15000000</v>
      </c>
      <c r="L167" s="465">
        <v>15000000</v>
      </c>
      <c r="M167" s="165" t="s">
        <v>4269</v>
      </c>
      <c r="N167" s="514">
        <v>4</v>
      </c>
      <c r="O167" s="165"/>
      <c r="P167" s="9" t="s">
        <v>3223</v>
      </c>
      <c r="Q167" s="135" t="s">
        <v>3215</v>
      </c>
      <c r="R167" s="135"/>
      <c r="S167" s="167">
        <v>210955</v>
      </c>
      <c r="T167" s="171" t="s">
        <v>4288</v>
      </c>
      <c r="U167" s="135">
        <v>1001017601</v>
      </c>
      <c r="V167" s="245">
        <v>15000000</v>
      </c>
      <c r="W167" s="165" t="s">
        <v>5628</v>
      </c>
      <c r="X167" s="165" t="s">
        <v>166</v>
      </c>
      <c r="Y167" s="165" t="s">
        <v>155</v>
      </c>
      <c r="Z167" s="6" t="s">
        <v>3224</v>
      </c>
      <c r="AA167" s="6" t="s">
        <v>4269</v>
      </c>
      <c r="AB167" s="15">
        <v>1093</v>
      </c>
      <c r="AC167" s="204" t="s">
        <v>4271</v>
      </c>
      <c r="AD167" s="167">
        <v>6843797</v>
      </c>
      <c r="AE167" s="170" t="s">
        <v>2418</v>
      </c>
      <c r="AF167" s="167" t="s">
        <v>190</v>
      </c>
      <c r="AG167" s="245">
        <v>15000000</v>
      </c>
      <c r="AH167" s="165" t="s">
        <v>151</v>
      </c>
      <c r="AI167" s="165"/>
      <c r="AJ167" s="165"/>
      <c r="AK167" s="165" t="s">
        <v>3224</v>
      </c>
      <c r="AL167" s="165" t="s">
        <v>4269</v>
      </c>
      <c r="AM167" s="167">
        <v>6898606</v>
      </c>
      <c r="AN167" s="170" t="s">
        <v>2460</v>
      </c>
      <c r="AO167" s="167" t="s">
        <v>3109</v>
      </c>
      <c r="AP167" s="245">
        <v>15000000</v>
      </c>
      <c r="AQ167" s="165" t="s">
        <v>151</v>
      </c>
      <c r="AR167" s="165"/>
      <c r="AS167" s="165"/>
      <c r="AT167" s="6" t="s">
        <v>3224</v>
      </c>
      <c r="AU167" s="6" t="s">
        <v>4269</v>
      </c>
      <c r="AV167" s="167">
        <v>6834400</v>
      </c>
      <c r="AW167" s="170" t="s">
        <v>2698</v>
      </c>
      <c r="AX167" s="167" t="s">
        <v>4383</v>
      </c>
      <c r="AY167" s="245">
        <v>15000000</v>
      </c>
      <c r="AZ167" s="165" t="s">
        <v>166</v>
      </c>
      <c r="BA167" s="165"/>
      <c r="BB167" s="165" t="s">
        <v>4282</v>
      </c>
      <c r="BC167" s="6" t="s">
        <v>4269</v>
      </c>
      <c r="BD167" s="167">
        <v>6682794</v>
      </c>
      <c r="BE167" s="170" t="s">
        <v>1744</v>
      </c>
      <c r="BF167" s="167" t="s">
        <v>4671</v>
      </c>
      <c r="BG167" s="245">
        <v>15000000</v>
      </c>
      <c r="BH167" s="167" t="s">
        <v>151</v>
      </c>
      <c r="BI167" s="167"/>
      <c r="BJ167" s="135" t="s">
        <v>3224</v>
      </c>
      <c r="BK167" s="6" t="s">
        <v>4269</v>
      </c>
      <c r="BL167" s="167"/>
      <c r="BM167" s="167"/>
      <c r="BN167" s="167"/>
      <c r="BO167" s="249"/>
      <c r="BP167" s="167"/>
      <c r="BQ167" s="167"/>
      <c r="BR167" s="167"/>
      <c r="BS167" s="167"/>
      <c r="BT167" s="167"/>
      <c r="BU167" s="167"/>
      <c r="BV167" s="249"/>
      <c r="BW167" s="167"/>
      <c r="BX167" s="167"/>
      <c r="BY167" s="167"/>
      <c r="BZ167" s="167"/>
      <c r="CA167" s="586" t="s">
        <v>3190</v>
      </c>
      <c r="CB167" s="8"/>
      <c r="CC167" s="171"/>
      <c r="CD167" s="167"/>
      <c r="CE167" s="167"/>
      <c r="CF167" s="167"/>
      <c r="CG167" s="167"/>
      <c r="CH167" s="167"/>
      <c r="CI167" s="167"/>
      <c r="CJ167" s="167"/>
      <c r="CK167" s="167"/>
      <c r="CL167" s="167"/>
      <c r="CM167" s="167"/>
      <c r="CN167" s="167"/>
      <c r="CO167" s="167"/>
      <c r="CP167" s="167"/>
      <c r="CQ167" s="167"/>
      <c r="CR167" s="167"/>
      <c r="CS167" s="167"/>
      <c r="CT167" s="167"/>
      <c r="CU167" s="167"/>
      <c r="CV167" s="167"/>
      <c r="CW167" s="167"/>
      <c r="CX167" s="167"/>
      <c r="CY167" s="147"/>
      <c r="CZ167" s="147"/>
      <c r="DA167" s="147"/>
    </row>
    <row r="168" spans="1:105" ht="36">
      <c r="A168" s="8">
        <v>4</v>
      </c>
      <c r="B168" s="143"/>
      <c r="C168" s="165"/>
      <c r="D168" s="166" t="s">
        <v>5629</v>
      </c>
      <c r="E168" s="165" t="s">
        <v>5622</v>
      </c>
      <c r="F168" s="135">
        <v>2025</v>
      </c>
      <c r="G168" s="135">
        <v>2025</v>
      </c>
      <c r="H168" s="135">
        <v>6</v>
      </c>
      <c r="I168" s="165" t="s">
        <v>4796</v>
      </c>
      <c r="J168" s="165" t="s">
        <v>5796</v>
      </c>
      <c r="K168" s="465">
        <v>13000000</v>
      </c>
      <c r="L168" s="465">
        <v>13000000</v>
      </c>
      <c r="M168" s="165" t="s">
        <v>4269</v>
      </c>
      <c r="N168" s="514">
        <v>4</v>
      </c>
      <c r="O168" s="165"/>
      <c r="P168" s="9" t="s">
        <v>3223</v>
      </c>
      <c r="Q168" s="135" t="s">
        <v>3215</v>
      </c>
      <c r="R168" s="135"/>
      <c r="S168" s="135">
        <v>6679083</v>
      </c>
      <c r="T168" s="171" t="s">
        <v>117</v>
      </c>
      <c r="U168" s="170" t="s">
        <v>2292</v>
      </c>
      <c r="V168" s="245">
        <v>13000000</v>
      </c>
      <c r="W168" s="165" t="s">
        <v>5626</v>
      </c>
      <c r="X168" s="165"/>
      <c r="Y168" s="165"/>
      <c r="Z168" s="6" t="s">
        <v>4272</v>
      </c>
      <c r="AA168" s="6" t="s">
        <v>4269</v>
      </c>
      <c r="AB168" s="15">
        <v>1093</v>
      </c>
      <c r="AC168" s="204" t="s">
        <v>4271</v>
      </c>
      <c r="AD168" s="167">
        <v>6825598</v>
      </c>
      <c r="AE168" s="170" t="s">
        <v>1774</v>
      </c>
      <c r="AF168" s="167" t="s">
        <v>4147</v>
      </c>
      <c r="AG168" s="245">
        <v>13000000</v>
      </c>
      <c r="AH168" s="165" t="s">
        <v>156</v>
      </c>
      <c r="AI168" s="165"/>
      <c r="AJ168" s="165"/>
      <c r="AK168" s="165" t="s">
        <v>4272</v>
      </c>
      <c r="AL168" s="6" t="s">
        <v>4269</v>
      </c>
      <c r="AM168" s="581" t="s">
        <v>5630</v>
      </c>
      <c r="AN168" s="170" t="s">
        <v>959</v>
      </c>
      <c r="AO168" s="167" t="s">
        <v>4350</v>
      </c>
      <c r="AP168" s="245">
        <v>13000000</v>
      </c>
      <c r="AQ168" s="165" t="s">
        <v>156</v>
      </c>
      <c r="AR168" s="165"/>
      <c r="AS168" s="165"/>
      <c r="AT168" s="165" t="s">
        <v>4272</v>
      </c>
      <c r="AU168" s="6" t="s">
        <v>4269</v>
      </c>
      <c r="AV168" s="167"/>
      <c r="AW168" s="167"/>
      <c r="AX168" s="167" t="s">
        <v>3121</v>
      </c>
      <c r="AY168" s="245">
        <v>13000000</v>
      </c>
      <c r="AZ168" s="167"/>
      <c r="BA168" s="167"/>
      <c r="BB168" s="167"/>
      <c r="BC168" s="167"/>
      <c r="BD168" s="167">
        <v>6680615</v>
      </c>
      <c r="BE168" s="170" t="s">
        <v>2481</v>
      </c>
      <c r="BF168" s="167" t="s">
        <v>4821</v>
      </c>
      <c r="BG168" s="245">
        <v>13000000</v>
      </c>
      <c r="BH168" s="167" t="s">
        <v>154</v>
      </c>
      <c r="BI168" s="167" t="s">
        <v>155</v>
      </c>
      <c r="BJ168" s="135" t="s">
        <v>3224</v>
      </c>
      <c r="BK168" s="6" t="s">
        <v>4269</v>
      </c>
      <c r="BL168" s="167"/>
      <c r="BM168" s="167"/>
      <c r="BN168" s="167"/>
      <c r="BO168" s="249"/>
      <c r="BP168" s="167"/>
      <c r="BQ168" s="167"/>
      <c r="BR168" s="167"/>
      <c r="BS168" s="167"/>
      <c r="BT168" s="167"/>
      <c r="BU168" s="167"/>
      <c r="BV168" s="249"/>
      <c r="BW168" s="167"/>
      <c r="BX168" s="167"/>
      <c r="BY168" s="167"/>
      <c r="BZ168" s="167"/>
      <c r="CA168" s="586" t="s">
        <v>3190</v>
      </c>
      <c r="CB168" s="8"/>
      <c r="CC168" s="171"/>
      <c r="CD168" s="167"/>
      <c r="CE168" s="167"/>
      <c r="CF168" s="167"/>
      <c r="CG168" s="167"/>
      <c r="CH168" s="167"/>
      <c r="CI168" s="167"/>
      <c r="CJ168" s="167"/>
      <c r="CK168" s="167"/>
      <c r="CL168" s="167"/>
      <c r="CM168" s="167"/>
      <c r="CN168" s="167"/>
      <c r="CO168" s="167"/>
      <c r="CP168" s="167"/>
      <c r="CQ168" s="167"/>
      <c r="CR168" s="167"/>
      <c r="CS168" s="167"/>
      <c r="CT168" s="167"/>
      <c r="CU168" s="167"/>
      <c r="CV168" s="167"/>
      <c r="CW168" s="167"/>
      <c r="CX168" s="167"/>
      <c r="CY168" s="147"/>
      <c r="CZ168" s="147"/>
      <c r="DA168" s="147"/>
    </row>
    <row r="169" spans="1:105" ht="36">
      <c r="A169" s="8">
        <v>5</v>
      </c>
      <c r="B169" s="143"/>
      <c r="C169" s="165"/>
      <c r="D169" s="166" t="s">
        <v>5631</v>
      </c>
      <c r="E169" s="165" t="s">
        <v>5622</v>
      </c>
      <c r="F169" s="135">
        <v>2025</v>
      </c>
      <c r="G169" s="135">
        <v>2025</v>
      </c>
      <c r="H169" s="135">
        <v>6</v>
      </c>
      <c r="I169" s="165" t="s">
        <v>4796</v>
      </c>
      <c r="J169" s="165" t="s">
        <v>5799</v>
      </c>
      <c r="K169" s="465">
        <v>12000000</v>
      </c>
      <c r="L169" s="465">
        <v>12000000</v>
      </c>
      <c r="M169" s="165" t="s">
        <v>4269</v>
      </c>
      <c r="N169" s="514">
        <v>4</v>
      </c>
      <c r="O169" s="165"/>
      <c r="P169" s="9" t="s">
        <v>3223</v>
      </c>
      <c r="Q169" s="135" t="s">
        <v>3215</v>
      </c>
      <c r="R169" s="135"/>
      <c r="S169" s="167">
        <v>6680664</v>
      </c>
      <c r="T169" s="171" t="s">
        <v>4744</v>
      </c>
      <c r="U169" s="168" t="s">
        <v>2288</v>
      </c>
      <c r="V169" s="245">
        <v>12000000</v>
      </c>
      <c r="W169" s="165" t="s">
        <v>5626</v>
      </c>
      <c r="X169" s="165"/>
      <c r="Y169" s="165"/>
      <c r="Z169" s="6" t="s">
        <v>4272</v>
      </c>
      <c r="AA169" s="6" t="s">
        <v>4269</v>
      </c>
      <c r="AB169" s="15">
        <v>1093</v>
      </c>
      <c r="AC169" s="204" t="s">
        <v>4271</v>
      </c>
      <c r="AD169" s="167">
        <v>6680664</v>
      </c>
      <c r="AE169" s="170" t="s">
        <v>4248</v>
      </c>
      <c r="AF169" s="167" t="s">
        <v>4797</v>
      </c>
      <c r="AG169" s="245">
        <v>12000000</v>
      </c>
      <c r="AH169" s="165" t="s">
        <v>156</v>
      </c>
      <c r="AI169" s="165"/>
      <c r="AJ169" s="165"/>
      <c r="AK169" s="165" t="s">
        <v>4272</v>
      </c>
      <c r="AL169" s="6" t="s">
        <v>4269</v>
      </c>
      <c r="AM169" s="167">
        <v>6886510</v>
      </c>
      <c r="AN169" s="170" t="s">
        <v>2010</v>
      </c>
      <c r="AO169" s="167" t="s">
        <v>3114</v>
      </c>
      <c r="AP169" s="245">
        <v>12000000</v>
      </c>
      <c r="AQ169" s="165" t="s">
        <v>166</v>
      </c>
      <c r="AR169" s="165"/>
      <c r="AS169" s="165"/>
      <c r="AT169" s="165" t="s">
        <v>4282</v>
      </c>
      <c r="AU169" s="6" t="s">
        <v>4269</v>
      </c>
      <c r="AV169" s="167">
        <v>6833033</v>
      </c>
      <c r="AW169" s="170" t="s">
        <v>2023</v>
      </c>
      <c r="AX169" s="167" t="s">
        <v>5544</v>
      </c>
      <c r="AY169" s="245">
        <v>12000000</v>
      </c>
      <c r="AZ169" s="165" t="s">
        <v>166</v>
      </c>
      <c r="BA169" s="165"/>
      <c r="BB169" s="165" t="s">
        <v>4282</v>
      </c>
      <c r="BC169" s="6" t="s">
        <v>4269</v>
      </c>
      <c r="BD169" s="167">
        <v>6833034</v>
      </c>
      <c r="BE169" s="170" t="s">
        <v>2022</v>
      </c>
      <c r="BF169" s="167" t="s">
        <v>4667</v>
      </c>
      <c r="BG169" s="245">
        <v>12000000</v>
      </c>
      <c r="BH169" s="165" t="s">
        <v>166</v>
      </c>
      <c r="BI169" s="165"/>
      <c r="BJ169" s="165" t="s">
        <v>4282</v>
      </c>
      <c r="BK169" s="6" t="s">
        <v>4269</v>
      </c>
      <c r="BL169" s="167"/>
      <c r="BM169" s="167"/>
      <c r="BN169" s="167"/>
      <c r="BO169" s="249"/>
      <c r="BP169" s="167"/>
      <c r="BQ169" s="167"/>
      <c r="BR169" s="167"/>
      <c r="BS169" s="167"/>
      <c r="BT169" s="167"/>
      <c r="BU169" s="167"/>
      <c r="BV169" s="249"/>
      <c r="BW169" s="167"/>
      <c r="BX169" s="167"/>
      <c r="BY169" s="167"/>
      <c r="BZ169" s="167"/>
      <c r="CA169" s="586" t="s">
        <v>3190</v>
      </c>
      <c r="CB169" s="8"/>
      <c r="CC169" s="171"/>
      <c r="CD169" s="167"/>
      <c r="CE169" s="167"/>
      <c r="CF169" s="167"/>
      <c r="CG169" s="167"/>
      <c r="CH169" s="167"/>
      <c r="CI169" s="167"/>
      <c r="CJ169" s="167"/>
      <c r="CK169" s="167"/>
      <c r="CL169" s="167"/>
      <c r="CM169" s="167"/>
      <c r="CN169" s="167"/>
      <c r="CO169" s="167"/>
      <c r="CP169" s="167"/>
      <c r="CQ169" s="167"/>
      <c r="CR169" s="167"/>
      <c r="CS169" s="167"/>
      <c r="CT169" s="167"/>
      <c r="CU169" s="167"/>
      <c r="CV169" s="167"/>
      <c r="CW169" s="167"/>
      <c r="CX169" s="167"/>
      <c r="CY169" s="147"/>
      <c r="CZ169" s="147"/>
      <c r="DA169" s="147"/>
    </row>
    <row r="170" spans="1:105" ht="36">
      <c r="A170" s="8">
        <v>6</v>
      </c>
      <c r="B170" s="143"/>
      <c r="C170" s="165"/>
      <c r="D170" s="166" t="s">
        <v>5632</v>
      </c>
      <c r="E170" s="165" t="s">
        <v>5633</v>
      </c>
      <c r="F170" s="135">
        <v>2025</v>
      </c>
      <c r="G170" s="135">
        <v>2025</v>
      </c>
      <c r="H170" s="135">
        <v>6</v>
      </c>
      <c r="I170" s="165" t="s">
        <v>5634</v>
      </c>
      <c r="J170" s="165" t="s">
        <v>5800</v>
      </c>
      <c r="K170" s="465">
        <v>10000000</v>
      </c>
      <c r="L170" s="465">
        <v>10000000</v>
      </c>
      <c r="M170" s="165" t="s">
        <v>4269</v>
      </c>
      <c r="N170" s="514">
        <v>3</v>
      </c>
      <c r="O170" s="165"/>
      <c r="P170" s="9" t="s">
        <v>3223</v>
      </c>
      <c r="Q170" s="135" t="s">
        <v>3215</v>
      </c>
      <c r="R170" s="135"/>
      <c r="S170" s="167">
        <v>6680612</v>
      </c>
      <c r="T170" s="171" t="s">
        <v>4341</v>
      </c>
      <c r="U170" s="168" t="s">
        <v>960</v>
      </c>
      <c r="V170" s="245">
        <v>10000000</v>
      </c>
      <c r="W170" s="165" t="s">
        <v>5624</v>
      </c>
      <c r="X170" s="165"/>
      <c r="Y170" s="165"/>
      <c r="Z170" s="6" t="s">
        <v>3224</v>
      </c>
      <c r="AA170" s="6" t="s">
        <v>4269</v>
      </c>
      <c r="AB170" s="15">
        <v>1093</v>
      </c>
      <c r="AC170" s="204" t="s">
        <v>4271</v>
      </c>
      <c r="AD170" s="167">
        <v>6853203</v>
      </c>
      <c r="AE170" s="170" t="s">
        <v>3905</v>
      </c>
      <c r="AF170" s="167" t="s">
        <v>4802</v>
      </c>
      <c r="AG170" s="245">
        <v>10000000</v>
      </c>
      <c r="AH170" s="165" t="s">
        <v>155</v>
      </c>
      <c r="AI170" s="165"/>
      <c r="AJ170" s="165"/>
      <c r="AK170" s="165" t="s">
        <v>3224</v>
      </c>
      <c r="AL170" s="165" t="s">
        <v>4269</v>
      </c>
      <c r="AM170" s="167">
        <v>6859016</v>
      </c>
      <c r="AN170" s="170" t="s">
        <v>2497</v>
      </c>
      <c r="AO170" s="167" t="s">
        <v>3126</v>
      </c>
      <c r="AP170" s="245">
        <v>10000000</v>
      </c>
      <c r="AQ170" s="165" t="s">
        <v>155</v>
      </c>
      <c r="AR170" s="165"/>
      <c r="AS170" s="165"/>
      <c r="AT170" s="165" t="s">
        <v>3224</v>
      </c>
      <c r="AU170" s="165" t="s">
        <v>4269</v>
      </c>
      <c r="AV170" s="167"/>
      <c r="AW170" s="167"/>
      <c r="AX170" s="167"/>
      <c r="AY170" s="249"/>
      <c r="AZ170" s="167"/>
      <c r="BA170" s="167"/>
      <c r="BB170" s="167"/>
      <c r="BC170" s="167"/>
      <c r="BD170" s="167"/>
      <c r="BE170" s="167"/>
      <c r="BF170" s="167"/>
      <c r="BG170" s="249"/>
      <c r="BH170" s="167"/>
      <c r="BI170" s="167"/>
      <c r="BJ170" s="167"/>
      <c r="BK170" s="167"/>
      <c r="BL170" s="167"/>
      <c r="BM170" s="167"/>
      <c r="BN170" s="167"/>
      <c r="BO170" s="249"/>
      <c r="BP170" s="167"/>
      <c r="BQ170" s="167"/>
      <c r="BR170" s="167"/>
      <c r="BS170" s="167"/>
      <c r="BT170" s="167"/>
      <c r="BU170" s="167"/>
      <c r="BV170" s="249"/>
      <c r="BW170" s="167"/>
      <c r="BX170" s="167"/>
      <c r="BY170" s="167"/>
      <c r="BZ170" s="167"/>
      <c r="CA170" s="586" t="s">
        <v>3190</v>
      </c>
      <c r="CB170" s="8"/>
      <c r="CC170" s="171"/>
      <c r="CD170" s="167"/>
      <c r="CE170" s="167"/>
      <c r="CF170" s="167"/>
      <c r="CG170" s="167"/>
      <c r="CH170" s="167"/>
      <c r="CI170" s="167"/>
      <c r="CJ170" s="167"/>
      <c r="CK170" s="167"/>
      <c r="CL170" s="167"/>
      <c r="CM170" s="167"/>
      <c r="CN170" s="167"/>
      <c r="CO170" s="167"/>
      <c r="CP170" s="167"/>
      <c r="CQ170" s="167"/>
      <c r="CR170" s="167"/>
      <c r="CS170" s="167"/>
      <c r="CT170" s="167"/>
      <c r="CU170" s="167"/>
      <c r="CV170" s="167"/>
      <c r="CW170" s="167"/>
      <c r="CX170" s="167"/>
      <c r="CY170" s="147"/>
      <c r="CZ170" s="147"/>
      <c r="DA170" s="147"/>
    </row>
    <row r="171" spans="1:105" ht="36">
      <c r="A171" s="8">
        <v>7</v>
      </c>
      <c r="B171" s="143"/>
      <c r="C171" s="165"/>
      <c r="D171" s="166" t="s">
        <v>5635</v>
      </c>
      <c r="E171" s="165" t="s">
        <v>5633</v>
      </c>
      <c r="F171" s="135">
        <v>2025</v>
      </c>
      <c r="G171" s="135">
        <v>2025</v>
      </c>
      <c r="H171" s="135">
        <v>6</v>
      </c>
      <c r="I171" s="165"/>
      <c r="J171" s="165" t="s">
        <v>5801</v>
      </c>
      <c r="K171" s="465">
        <v>10000000</v>
      </c>
      <c r="L171" s="465">
        <v>10000000</v>
      </c>
      <c r="M171" s="165"/>
      <c r="N171" s="514"/>
      <c r="O171" s="165"/>
      <c r="P171" s="9" t="s">
        <v>3223</v>
      </c>
      <c r="Q171" s="135"/>
      <c r="R171" s="135"/>
      <c r="S171" s="167"/>
      <c r="T171" s="171" t="s">
        <v>4381</v>
      </c>
      <c r="U171" s="168"/>
      <c r="V171" s="245"/>
      <c r="W171" s="165" t="s">
        <v>5636</v>
      </c>
      <c r="X171" s="165"/>
      <c r="Y171" s="165"/>
      <c r="Z171" s="6" t="s">
        <v>4449</v>
      </c>
      <c r="AA171" s="6" t="s">
        <v>4269</v>
      </c>
      <c r="AB171" s="15">
        <v>1093</v>
      </c>
      <c r="AC171" s="204" t="s">
        <v>4271</v>
      </c>
      <c r="AD171" s="167"/>
      <c r="AE171" s="170"/>
      <c r="AF171" s="167" t="s">
        <v>5637</v>
      </c>
      <c r="AG171" s="248">
        <v>10000000</v>
      </c>
      <c r="AH171" s="165"/>
      <c r="AI171" s="165"/>
      <c r="AJ171" s="165"/>
      <c r="AK171" s="165"/>
      <c r="AL171" s="165"/>
      <c r="AM171" s="167"/>
      <c r="AN171" s="170"/>
      <c r="AO171" s="167" t="s">
        <v>5638</v>
      </c>
      <c r="AP171" s="248">
        <v>10000000</v>
      </c>
      <c r="AQ171" s="165"/>
      <c r="AR171" s="165"/>
      <c r="AS171" s="165"/>
      <c r="AT171" s="165"/>
      <c r="AU171" s="165"/>
      <c r="AV171" s="167"/>
      <c r="AW171" s="167"/>
      <c r="AX171" s="167"/>
      <c r="AY171" s="249"/>
      <c r="AZ171" s="167"/>
      <c r="BA171" s="167"/>
      <c r="BB171" s="167"/>
      <c r="BC171" s="167"/>
      <c r="BD171" s="167"/>
      <c r="BE171" s="167"/>
      <c r="BF171" s="167"/>
      <c r="BG171" s="249"/>
      <c r="BH171" s="167"/>
      <c r="BI171" s="167"/>
      <c r="BJ171" s="167"/>
      <c r="BK171" s="167"/>
      <c r="BL171" s="167"/>
      <c r="BM171" s="167"/>
      <c r="BN171" s="167"/>
      <c r="BO171" s="249"/>
      <c r="BP171" s="167"/>
      <c r="BQ171" s="167"/>
      <c r="BR171" s="167"/>
      <c r="BS171" s="167"/>
      <c r="BT171" s="167"/>
      <c r="BU171" s="167"/>
      <c r="BV171" s="249"/>
      <c r="BW171" s="167"/>
      <c r="BX171" s="167"/>
      <c r="BY171" s="167"/>
      <c r="BZ171" s="167"/>
      <c r="CA171" s="586" t="s">
        <v>3190</v>
      </c>
      <c r="CB171" s="8"/>
      <c r="CC171" s="171"/>
      <c r="CD171" s="167"/>
      <c r="CE171" s="167"/>
      <c r="CF171" s="167"/>
      <c r="CG171" s="167"/>
      <c r="CH171" s="167"/>
      <c r="CI171" s="167"/>
      <c r="CJ171" s="167"/>
      <c r="CK171" s="167"/>
      <c r="CL171" s="167"/>
      <c r="CM171" s="167"/>
      <c r="CN171" s="167"/>
      <c r="CO171" s="167"/>
      <c r="CP171" s="167"/>
      <c r="CQ171" s="167"/>
      <c r="CR171" s="167"/>
      <c r="CS171" s="167"/>
      <c r="CT171" s="167"/>
      <c r="CU171" s="167"/>
      <c r="CV171" s="167"/>
      <c r="CW171" s="167"/>
      <c r="CX171" s="167"/>
      <c r="CY171" s="147"/>
      <c r="CZ171" s="147"/>
      <c r="DA171" s="147"/>
    </row>
    <row r="172" spans="1:105" ht="36">
      <c r="A172" s="8">
        <v>8</v>
      </c>
      <c r="B172" s="143"/>
      <c r="C172" s="165"/>
      <c r="D172" s="166" t="s">
        <v>5639</v>
      </c>
      <c r="E172" s="165" t="s">
        <v>5633</v>
      </c>
      <c r="F172" s="135">
        <v>2025</v>
      </c>
      <c r="G172" s="135">
        <v>2025</v>
      </c>
      <c r="H172" s="135">
        <v>6</v>
      </c>
      <c r="I172" s="165"/>
      <c r="J172" s="165" t="s">
        <v>5802</v>
      </c>
      <c r="K172" s="465">
        <v>10000000</v>
      </c>
      <c r="L172" s="465">
        <v>10000000</v>
      </c>
      <c r="M172" s="165"/>
      <c r="N172" s="514"/>
      <c r="O172" s="165"/>
      <c r="P172" s="9" t="s">
        <v>3223</v>
      </c>
      <c r="Q172" s="135"/>
      <c r="R172" s="135"/>
      <c r="S172" s="167"/>
      <c r="T172" s="171" t="s">
        <v>145</v>
      </c>
      <c r="U172" s="168"/>
      <c r="V172" s="245"/>
      <c r="W172" s="165" t="s">
        <v>5636</v>
      </c>
      <c r="X172" s="165"/>
      <c r="Y172" s="165"/>
      <c r="Z172" s="6" t="s">
        <v>4449</v>
      </c>
      <c r="AA172" s="6" t="s">
        <v>4269</v>
      </c>
      <c r="AB172" s="15">
        <v>1093</v>
      </c>
      <c r="AC172" s="204" t="s">
        <v>4271</v>
      </c>
      <c r="AD172" s="167"/>
      <c r="AE172" s="170"/>
      <c r="AF172" s="167" t="s">
        <v>5637</v>
      </c>
      <c r="AG172" s="248">
        <v>10000000</v>
      </c>
      <c r="AH172" s="165"/>
      <c r="AI172" s="165"/>
      <c r="AJ172" s="165"/>
      <c r="AK172" s="165"/>
      <c r="AL172" s="165"/>
      <c r="AM172" s="167"/>
      <c r="AN172" s="170" t="s">
        <v>5640</v>
      </c>
      <c r="AO172" s="167" t="s">
        <v>4875</v>
      </c>
      <c r="AP172" s="248">
        <v>10000000</v>
      </c>
      <c r="AQ172" s="165" t="s">
        <v>169</v>
      </c>
      <c r="AR172" s="165"/>
      <c r="AS172" s="165"/>
      <c r="AT172" s="165" t="s">
        <v>4449</v>
      </c>
      <c r="AU172" s="165" t="s">
        <v>4269</v>
      </c>
      <c r="AV172" s="167">
        <v>6898606</v>
      </c>
      <c r="AW172" s="170" t="s">
        <v>2460</v>
      </c>
      <c r="AX172" s="167" t="s">
        <v>3109</v>
      </c>
      <c r="AY172" s="248">
        <v>10000000</v>
      </c>
      <c r="AZ172" s="167" t="s">
        <v>151</v>
      </c>
      <c r="BA172" s="167"/>
      <c r="BB172" s="135" t="s">
        <v>3224</v>
      </c>
      <c r="BC172" s="6" t="s">
        <v>4269</v>
      </c>
      <c r="BD172" s="167"/>
      <c r="BE172" s="167"/>
      <c r="BF172" s="167"/>
      <c r="BG172" s="249"/>
      <c r="BH172" s="167"/>
      <c r="BI172" s="167"/>
      <c r="BJ172" s="167"/>
      <c r="BK172" s="167"/>
      <c r="BL172" s="167"/>
      <c r="BM172" s="167"/>
      <c r="BN172" s="167"/>
      <c r="BO172" s="249"/>
      <c r="BP172" s="167"/>
      <c r="BQ172" s="167"/>
      <c r="BR172" s="167"/>
      <c r="BS172" s="167"/>
      <c r="BT172" s="167"/>
      <c r="BU172" s="167"/>
      <c r="BV172" s="249"/>
      <c r="BW172" s="167"/>
      <c r="BX172" s="167"/>
      <c r="BY172" s="167"/>
      <c r="BZ172" s="167"/>
      <c r="CA172" s="586" t="s">
        <v>3190</v>
      </c>
      <c r="CB172" s="8"/>
      <c r="CC172" s="171"/>
      <c r="CD172" s="167"/>
      <c r="CE172" s="167"/>
      <c r="CF172" s="167"/>
      <c r="CG172" s="167"/>
      <c r="CH172" s="167"/>
      <c r="CI172" s="167"/>
      <c r="CJ172" s="167"/>
      <c r="CK172" s="167"/>
      <c r="CL172" s="167"/>
      <c r="CM172" s="167"/>
      <c r="CN172" s="167"/>
      <c r="CO172" s="167"/>
      <c r="CP172" s="167"/>
      <c r="CQ172" s="167"/>
      <c r="CR172" s="167"/>
      <c r="CS172" s="167"/>
      <c r="CT172" s="167"/>
      <c r="CU172" s="167"/>
      <c r="CV172" s="167"/>
      <c r="CW172" s="167"/>
      <c r="CX172" s="167"/>
      <c r="CY172" s="147"/>
      <c r="CZ172" s="147"/>
      <c r="DA172" s="147"/>
    </row>
    <row r="173" spans="1:105" ht="36">
      <c r="A173" s="8">
        <v>9</v>
      </c>
      <c r="B173" s="143"/>
      <c r="C173" s="165"/>
      <c r="D173" s="166" t="s">
        <v>5641</v>
      </c>
      <c r="E173" s="165" t="s">
        <v>5633</v>
      </c>
      <c r="F173" s="135">
        <v>2025</v>
      </c>
      <c r="G173" s="135">
        <v>2025</v>
      </c>
      <c r="H173" s="135">
        <v>6</v>
      </c>
      <c r="I173" s="165"/>
      <c r="J173" s="165" t="s">
        <v>5803</v>
      </c>
      <c r="K173" s="465">
        <v>10000000</v>
      </c>
      <c r="L173" s="465">
        <v>10000000</v>
      </c>
      <c r="M173" s="165"/>
      <c r="N173" s="514"/>
      <c r="O173" s="165"/>
      <c r="P173" s="9" t="s">
        <v>3223</v>
      </c>
      <c r="Q173" s="135"/>
      <c r="R173" s="135"/>
      <c r="S173" s="167"/>
      <c r="T173" s="171" t="s">
        <v>3081</v>
      </c>
      <c r="U173" s="168"/>
      <c r="V173" s="245"/>
      <c r="W173" s="165" t="s">
        <v>5642</v>
      </c>
      <c r="X173" s="165"/>
      <c r="Y173" s="165"/>
      <c r="Z173" s="6" t="s">
        <v>4272</v>
      </c>
      <c r="AA173" s="6" t="s">
        <v>4269</v>
      </c>
      <c r="AB173" s="15">
        <v>1093</v>
      </c>
      <c r="AC173" s="204" t="s">
        <v>4271</v>
      </c>
      <c r="AD173" s="167">
        <v>6787821</v>
      </c>
      <c r="AE173" s="170" t="s">
        <v>1756</v>
      </c>
      <c r="AF173" s="167" t="s">
        <v>4616</v>
      </c>
      <c r="AG173" s="248">
        <v>10000000</v>
      </c>
      <c r="AH173" s="165" t="s">
        <v>172</v>
      </c>
      <c r="AI173" s="165"/>
      <c r="AJ173" s="165"/>
      <c r="AK173" s="165" t="s">
        <v>4282</v>
      </c>
      <c r="AL173" s="165" t="s">
        <v>4269</v>
      </c>
      <c r="AM173" s="167">
        <v>6939282</v>
      </c>
      <c r="AN173" s="170"/>
      <c r="AO173" s="167" t="s">
        <v>4764</v>
      </c>
      <c r="AP173" s="248">
        <v>10000000</v>
      </c>
      <c r="AQ173" s="165" t="s">
        <v>175</v>
      </c>
      <c r="AR173" s="165"/>
      <c r="AS173" s="165"/>
      <c r="AT173" s="165" t="s">
        <v>4272</v>
      </c>
      <c r="AU173" s="6" t="s">
        <v>4269</v>
      </c>
      <c r="AV173" s="167"/>
      <c r="AW173" s="167"/>
      <c r="AX173" s="167" t="s">
        <v>136</v>
      </c>
      <c r="AY173" s="248">
        <v>10000000</v>
      </c>
      <c r="AZ173" s="167" t="s">
        <v>171</v>
      </c>
      <c r="BA173" s="167"/>
      <c r="BB173" s="135" t="s">
        <v>4272</v>
      </c>
      <c r="BC173" s="6" t="s">
        <v>4269</v>
      </c>
      <c r="BD173" s="167"/>
      <c r="BE173" s="167"/>
      <c r="BF173" s="167"/>
      <c r="BG173" s="249"/>
      <c r="BH173" s="167"/>
      <c r="BI173" s="167"/>
      <c r="BJ173" s="167"/>
      <c r="BK173" s="167"/>
      <c r="BL173" s="167"/>
      <c r="BM173" s="167"/>
      <c r="BN173" s="167"/>
      <c r="BO173" s="249"/>
      <c r="BP173" s="167"/>
      <c r="BQ173" s="167"/>
      <c r="BR173" s="167"/>
      <c r="BS173" s="167"/>
      <c r="BT173" s="167"/>
      <c r="BU173" s="167"/>
      <c r="BV173" s="249"/>
      <c r="BW173" s="167"/>
      <c r="BX173" s="167"/>
      <c r="BY173" s="167"/>
      <c r="BZ173" s="167"/>
      <c r="CA173" s="586" t="s">
        <v>3190</v>
      </c>
      <c r="CB173" s="8"/>
      <c r="CC173" s="171"/>
      <c r="CD173" s="167"/>
      <c r="CE173" s="167"/>
      <c r="CF173" s="167"/>
      <c r="CG173" s="167"/>
      <c r="CH173" s="167"/>
      <c r="CI173" s="167"/>
      <c r="CJ173" s="167"/>
      <c r="CK173" s="167"/>
      <c r="CL173" s="167"/>
      <c r="CM173" s="167"/>
      <c r="CN173" s="167"/>
      <c r="CO173" s="167"/>
      <c r="CP173" s="167"/>
      <c r="CQ173" s="167"/>
      <c r="CR173" s="167"/>
      <c r="CS173" s="167"/>
      <c r="CT173" s="167"/>
      <c r="CU173" s="167"/>
      <c r="CV173" s="167"/>
      <c r="CW173" s="167"/>
      <c r="CX173" s="167"/>
      <c r="CY173" s="147"/>
      <c r="CZ173" s="147"/>
      <c r="DA173" s="147"/>
    </row>
    <row r="174" spans="1:105" ht="36">
      <c r="A174" s="8">
        <v>10</v>
      </c>
      <c r="B174" s="143"/>
      <c r="C174" s="165"/>
      <c r="D174" s="166" t="s">
        <v>5643</v>
      </c>
      <c r="E174" s="165" t="s">
        <v>5633</v>
      </c>
      <c r="F174" s="135">
        <v>2025</v>
      </c>
      <c r="G174" s="135">
        <v>2025</v>
      </c>
      <c r="H174" s="135">
        <v>6</v>
      </c>
      <c r="I174" s="165"/>
      <c r="J174" s="165" t="s">
        <v>5804</v>
      </c>
      <c r="K174" s="465">
        <v>10000000</v>
      </c>
      <c r="L174" s="465">
        <v>10000000</v>
      </c>
      <c r="M174" s="165"/>
      <c r="N174" s="514"/>
      <c r="O174" s="165"/>
      <c r="P174" s="9" t="s">
        <v>3223</v>
      </c>
      <c r="Q174" s="135"/>
      <c r="R174" s="135"/>
      <c r="S174" s="167"/>
      <c r="T174" s="171" t="s">
        <v>4147</v>
      </c>
      <c r="U174" s="168"/>
      <c r="V174" s="245"/>
      <c r="W174" s="165" t="s">
        <v>5626</v>
      </c>
      <c r="X174" s="165"/>
      <c r="Y174" s="165"/>
      <c r="Z174" s="6" t="s">
        <v>4272</v>
      </c>
      <c r="AA174" s="6" t="s">
        <v>4269</v>
      </c>
      <c r="AB174" s="15">
        <v>1093</v>
      </c>
      <c r="AC174" s="204" t="s">
        <v>4271</v>
      </c>
      <c r="AD174" s="167"/>
      <c r="AE174" s="170"/>
      <c r="AF174" s="167" t="s">
        <v>4797</v>
      </c>
      <c r="AG174" s="248">
        <v>10000000</v>
      </c>
      <c r="AH174" s="165" t="s">
        <v>156</v>
      </c>
      <c r="AI174" s="165"/>
      <c r="AJ174" s="165"/>
      <c r="AK174" s="165" t="s">
        <v>4272</v>
      </c>
      <c r="AL174" s="6" t="s">
        <v>4269</v>
      </c>
      <c r="AM174" s="167"/>
      <c r="AN174" s="170"/>
      <c r="AO174" s="167" t="s">
        <v>4545</v>
      </c>
      <c r="AP174" s="248">
        <v>10000000</v>
      </c>
      <c r="AQ174" s="165" t="s">
        <v>156</v>
      </c>
      <c r="AR174" s="165"/>
      <c r="AS174" s="165"/>
      <c r="AT174" s="165" t="s">
        <v>4272</v>
      </c>
      <c r="AU174" s="6" t="s">
        <v>4269</v>
      </c>
      <c r="AV174" s="167"/>
      <c r="AW174" s="167"/>
      <c r="AX174" s="167" t="s">
        <v>117</v>
      </c>
      <c r="AY174" s="248">
        <v>10000000</v>
      </c>
      <c r="AZ174" s="165" t="s">
        <v>156</v>
      </c>
      <c r="BA174" s="165"/>
      <c r="BB174" s="165" t="s">
        <v>4272</v>
      </c>
      <c r="BC174" s="6" t="s">
        <v>4269</v>
      </c>
      <c r="BD174" s="167"/>
      <c r="BE174" s="167"/>
      <c r="BF174" s="167"/>
      <c r="BG174" s="249"/>
      <c r="BH174" s="167"/>
      <c r="BI174" s="167"/>
      <c r="BJ174" s="167"/>
      <c r="BK174" s="167"/>
      <c r="BL174" s="167"/>
      <c r="BM174" s="167"/>
      <c r="BN174" s="167"/>
      <c r="BO174" s="249"/>
      <c r="BP174" s="167"/>
      <c r="BQ174" s="167"/>
      <c r="BR174" s="167"/>
      <c r="BS174" s="167"/>
      <c r="BT174" s="167"/>
      <c r="BU174" s="167"/>
      <c r="BV174" s="249"/>
      <c r="BW174" s="167"/>
      <c r="BX174" s="167"/>
      <c r="BY174" s="167"/>
      <c r="BZ174" s="167"/>
      <c r="CA174" s="586" t="s">
        <v>3190</v>
      </c>
      <c r="CB174" s="8"/>
      <c r="CC174" s="171"/>
      <c r="CD174" s="167"/>
      <c r="CE174" s="167"/>
      <c r="CF174" s="167"/>
      <c r="CG174" s="167"/>
      <c r="CH174" s="167"/>
      <c r="CI174" s="167"/>
      <c r="CJ174" s="167"/>
      <c r="CK174" s="167"/>
      <c r="CL174" s="167"/>
      <c r="CM174" s="167"/>
      <c r="CN174" s="167"/>
      <c r="CO174" s="167"/>
      <c r="CP174" s="167"/>
      <c r="CQ174" s="167"/>
      <c r="CR174" s="167"/>
      <c r="CS174" s="167"/>
      <c r="CT174" s="167"/>
      <c r="CU174" s="167"/>
      <c r="CV174" s="167"/>
      <c r="CW174" s="167"/>
      <c r="CX174" s="167"/>
      <c r="CY174" s="147"/>
      <c r="CZ174" s="147"/>
      <c r="DA174" s="147"/>
    </row>
    <row r="175" spans="1:105" ht="36">
      <c r="A175" s="8">
        <v>11</v>
      </c>
      <c r="B175" s="143"/>
      <c r="C175" s="165"/>
      <c r="D175" s="166" t="s">
        <v>5644</v>
      </c>
      <c r="E175" s="165" t="s">
        <v>5633</v>
      </c>
      <c r="F175" s="135">
        <v>2025</v>
      </c>
      <c r="G175" s="135">
        <v>2025</v>
      </c>
      <c r="H175" s="135">
        <v>6</v>
      </c>
      <c r="I175" s="165"/>
      <c r="J175" s="165" t="s">
        <v>5805</v>
      </c>
      <c r="K175" s="465">
        <v>10000000</v>
      </c>
      <c r="L175" s="465">
        <v>10000000</v>
      </c>
      <c r="M175" s="165"/>
      <c r="N175" s="514"/>
      <c r="O175" s="165"/>
      <c r="P175" s="9" t="s">
        <v>3223</v>
      </c>
      <c r="Q175" s="135"/>
      <c r="R175" s="135"/>
      <c r="S175" s="167"/>
      <c r="T175" s="171" t="s">
        <v>143</v>
      </c>
      <c r="U175" s="168"/>
      <c r="V175" s="245"/>
      <c r="W175" s="165" t="s">
        <v>5642</v>
      </c>
      <c r="X175" s="165"/>
      <c r="Y175" s="165"/>
      <c r="Z175" s="6" t="s">
        <v>4272</v>
      </c>
      <c r="AA175" s="6" t="s">
        <v>4269</v>
      </c>
      <c r="AB175" s="15">
        <v>1093</v>
      </c>
      <c r="AC175" s="204" t="s">
        <v>4271</v>
      </c>
      <c r="AD175" s="167"/>
      <c r="AE175" s="170"/>
      <c r="AF175" s="167" t="s">
        <v>3124</v>
      </c>
      <c r="AG175" s="248">
        <v>10000000</v>
      </c>
      <c r="AH175" s="165" t="s">
        <v>156</v>
      </c>
      <c r="AI175" s="165"/>
      <c r="AJ175" s="165"/>
      <c r="AK175" s="165" t="s">
        <v>4272</v>
      </c>
      <c r="AL175" s="6" t="s">
        <v>4269</v>
      </c>
      <c r="AM175" s="167"/>
      <c r="AN175" s="170"/>
      <c r="AO175" s="167" t="s">
        <v>5544</v>
      </c>
      <c r="AP175" s="248">
        <v>10000000</v>
      </c>
      <c r="AQ175" s="165" t="s">
        <v>166</v>
      </c>
      <c r="AR175" s="165"/>
      <c r="AS175" s="165"/>
      <c r="AT175" s="165" t="s">
        <v>4282</v>
      </c>
      <c r="AU175" s="6" t="s">
        <v>4269</v>
      </c>
      <c r="AV175" s="167"/>
      <c r="AW175" s="167"/>
      <c r="AX175" s="167"/>
      <c r="AY175" s="249"/>
      <c r="AZ175" s="167"/>
      <c r="BA175" s="167"/>
      <c r="BB175" s="167"/>
      <c r="BC175" s="167"/>
      <c r="BD175" s="167"/>
      <c r="BE175" s="167"/>
      <c r="BF175" s="167"/>
      <c r="BG175" s="249"/>
      <c r="BH175" s="167"/>
      <c r="BI175" s="167"/>
      <c r="BJ175" s="167"/>
      <c r="BK175" s="167"/>
      <c r="BL175" s="167"/>
      <c r="BM175" s="167"/>
      <c r="BN175" s="167"/>
      <c r="BO175" s="249"/>
      <c r="BP175" s="167"/>
      <c r="BQ175" s="167"/>
      <c r="BR175" s="167"/>
      <c r="BS175" s="167"/>
      <c r="BT175" s="167"/>
      <c r="BU175" s="167"/>
      <c r="BV175" s="249"/>
      <c r="BW175" s="167"/>
      <c r="BX175" s="167"/>
      <c r="BY175" s="167"/>
      <c r="BZ175" s="167"/>
      <c r="CA175" s="586" t="s">
        <v>3190</v>
      </c>
      <c r="CB175" s="8"/>
      <c r="CC175" s="171"/>
      <c r="CD175" s="167"/>
      <c r="CE175" s="167"/>
      <c r="CF175" s="167"/>
      <c r="CG175" s="167"/>
      <c r="CH175" s="167"/>
      <c r="CI175" s="167"/>
      <c r="CJ175" s="167"/>
      <c r="CK175" s="167"/>
      <c r="CL175" s="167"/>
      <c r="CM175" s="167"/>
      <c r="CN175" s="167"/>
      <c r="CO175" s="167"/>
      <c r="CP175" s="167"/>
      <c r="CQ175" s="167"/>
      <c r="CR175" s="167"/>
      <c r="CS175" s="167"/>
      <c r="CT175" s="167"/>
      <c r="CU175" s="167"/>
      <c r="CV175" s="167"/>
      <c r="CW175" s="167"/>
      <c r="CX175" s="167"/>
      <c r="CY175" s="147"/>
      <c r="CZ175" s="147"/>
      <c r="DA175" s="147"/>
    </row>
    <row r="176" spans="1:105" ht="36">
      <c r="A176" s="8">
        <v>12</v>
      </c>
      <c r="B176" s="252"/>
      <c r="C176" s="587"/>
      <c r="D176" s="588" t="s">
        <v>5645</v>
      </c>
      <c r="E176" s="587" t="s">
        <v>5633</v>
      </c>
      <c r="F176" s="135">
        <v>2025</v>
      </c>
      <c r="G176" s="135">
        <v>2025</v>
      </c>
      <c r="H176" s="589">
        <v>6</v>
      </c>
      <c r="I176" s="587"/>
      <c r="J176" s="587" t="s">
        <v>5806</v>
      </c>
      <c r="K176" s="590">
        <v>10000000</v>
      </c>
      <c r="L176" s="590">
        <v>10000000</v>
      </c>
      <c r="M176" s="587"/>
      <c r="N176" s="591"/>
      <c r="O176" s="587"/>
      <c r="P176" s="9" t="s">
        <v>3223</v>
      </c>
      <c r="Q176" s="589"/>
      <c r="R176" s="589"/>
      <c r="S176" s="497"/>
      <c r="T176" s="592" t="s">
        <v>3112</v>
      </c>
      <c r="U176" s="593"/>
      <c r="V176" s="594"/>
      <c r="W176" s="587" t="s">
        <v>5624</v>
      </c>
      <c r="X176" s="587"/>
      <c r="Y176" s="587"/>
      <c r="Z176" s="6" t="s">
        <v>3224</v>
      </c>
      <c r="AA176" s="6" t="s">
        <v>4269</v>
      </c>
      <c r="AB176" s="15">
        <v>1093</v>
      </c>
      <c r="AC176" s="204" t="s">
        <v>4271</v>
      </c>
      <c r="AD176" s="497"/>
      <c r="AE176" s="595"/>
      <c r="AF176" s="497" t="s">
        <v>3126</v>
      </c>
      <c r="AG176" s="248">
        <v>10000000</v>
      </c>
      <c r="AH176" s="587" t="s">
        <v>155</v>
      </c>
      <c r="AI176" s="587"/>
      <c r="AJ176" s="587"/>
      <c r="AK176" s="165" t="s">
        <v>3224</v>
      </c>
      <c r="AL176" s="165" t="s">
        <v>4269</v>
      </c>
      <c r="AM176" s="497"/>
      <c r="AN176" s="595"/>
      <c r="AO176" s="497" t="s">
        <v>4666</v>
      </c>
      <c r="AP176" s="248">
        <v>10000000</v>
      </c>
      <c r="AQ176" s="165" t="s">
        <v>166</v>
      </c>
      <c r="AR176" s="165"/>
      <c r="AS176" s="165"/>
      <c r="AT176" s="165" t="s">
        <v>4282</v>
      </c>
      <c r="AU176" s="6" t="s">
        <v>4269</v>
      </c>
      <c r="AV176" s="497"/>
      <c r="AW176" s="497"/>
      <c r="AX176" s="497"/>
      <c r="AY176" s="596"/>
      <c r="AZ176" s="497"/>
      <c r="BA176" s="497"/>
      <c r="BB176" s="497"/>
      <c r="BC176" s="497"/>
      <c r="BD176" s="497"/>
      <c r="BE176" s="497"/>
      <c r="BF176" s="497"/>
      <c r="BG176" s="596"/>
      <c r="BH176" s="497"/>
      <c r="BI176" s="497"/>
      <c r="BJ176" s="497"/>
      <c r="BK176" s="497"/>
      <c r="BL176" s="497"/>
      <c r="BM176" s="497"/>
      <c r="BN176" s="497"/>
      <c r="BO176" s="596"/>
      <c r="BP176" s="497"/>
      <c r="BQ176" s="497"/>
      <c r="BR176" s="497"/>
      <c r="BS176" s="497"/>
      <c r="BT176" s="497"/>
      <c r="BU176" s="497"/>
      <c r="BV176" s="596"/>
      <c r="BW176" s="497"/>
      <c r="BX176" s="497"/>
      <c r="BY176" s="497"/>
      <c r="BZ176" s="497"/>
      <c r="CA176" s="586" t="s">
        <v>3190</v>
      </c>
      <c r="CB176" s="22"/>
      <c r="CC176" s="592"/>
      <c r="CD176" s="497"/>
      <c r="CE176" s="497"/>
      <c r="CF176" s="497"/>
      <c r="CG176" s="497"/>
      <c r="CH176" s="497"/>
      <c r="CI176" s="497"/>
      <c r="CJ176" s="497"/>
      <c r="CK176" s="497"/>
      <c r="CL176" s="497"/>
      <c r="CM176" s="497"/>
      <c r="CN176" s="497"/>
      <c r="CO176" s="497"/>
      <c r="CP176" s="497"/>
      <c r="CQ176" s="497"/>
      <c r="CR176" s="497"/>
      <c r="CS176" s="497"/>
      <c r="CT176" s="497"/>
      <c r="CU176" s="497"/>
      <c r="CV176" s="497"/>
      <c r="CW176" s="497"/>
      <c r="CX176" s="497"/>
    </row>
    <row r="177" spans="1:102" ht="36">
      <c r="A177" s="8">
        <v>13</v>
      </c>
      <c r="B177" s="143"/>
      <c r="C177" s="165"/>
      <c r="D177" s="166" t="s">
        <v>5646</v>
      </c>
      <c r="E177" s="165" t="s">
        <v>5633</v>
      </c>
      <c r="F177" s="135">
        <v>2025</v>
      </c>
      <c r="G177" s="135">
        <v>2025</v>
      </c>
      <c r="H177" s="135">
        <v>6</v>
      </c>
      <c r="I177" s="165"/>
      <c r="J177" s="165" t="s">
        <v>5807</v>
      </c>
      <c r="K177" s="465">
        <v>10000000</v>
      </c>
      <c r="L177" s="465">
        <v>10000000</v>
      </c>
      <c r="M177" s="165"/>
      <c r="N177" s="514"/>
      <c r="O177" s="165"/>
      <c r="P177" s="9" t="s">
        <v>3223</v>
      </c>
      <c r="Q177" s="135"/>
      <c r="R177" s="135"/>
      <c r="S177" s="167"/>
      <c r="T177" s="171" t="s">
        <v>4875</v>
      </c>
      <c r="U177" s="168"/>
      <c r="V177" s="245"/>
      <c r="W177" s="165" t="s">
        <v>5636</v>
      </c>
      <c r="X177" s="165"/>
      <c r="Y177" s="165"/>
      <c r="Z177" s="6" t="s">
        <v>4449</v>
      </c>
      <c r="AA177" s="6" t="s">
        <v>4269</v>
      </c>
      <c r="AB177" s="15">
        <v>1093</v>
      </c>
      <c r="AC177" s="204" t="s">
        <v>4271</v>
      </c>
      <c r="AD177" s="167"/>
      <c r="AE177" s="170"/>
      <c r="AF177" s="167" t="s">
        <v>5638</v>
      </c>
      <c r="AG177" s="248"/>
      <c r="AH177" s="165"/>
      <c r="AI177" s="165"/>
      <c r="AJ177" s="165"/>
      <c r="AK177" s="165"/>
      <c r="AL177" s="165"/>
      <c r="AM177" s="167"/>
      <c r="AN177" s="170"/>
      <c r="AO177" s="167" t="s">
        <v>145</v>
      </c>
      <c r="AP177" s="248">
        <v>10000000</v>
      </c>
      <c r="AQ177" s="165" t="s">
        <v>169</v>
      </c>
      <c r="AR177" s="165"/>
      <c r="AS177" s="165"/>
      <c r="AT177" s="165" t="s">
        <v>4449</v>
      </c>
      <c r="AU177" s="165" t="s">
        <v>4269</v>
      </c>
      <c r="AV177" s="167"/>
      <c r="AW177" s="167"/>
      <c r="AX177" s="167"/>
      <c r="AY177" s="249"/>
      <c r="AZ177" s="167"/>
      <c r="BA177" s="167"/>
      <c r="BB177" s="167"/>
      <c r="BC177" s="167"/>
      <c r="BD177" s="167"/>
      <c r="BE177" s="167"/>
      <c r="BF177" s="167"/>
      <c r="BG177" s="249"/>
      <c r="BH177" s="167"/>
      <c r="BI177" s="167"/>
      <c r="BJ177" s="167"/>
      <c r="BK177" s="167"/>
      <c r="BL177" s="167"/>
      <c r="BM177" s="167"/>
      <c r="BN177" s="167"/>
      <c r="BO177" s="249"/>
      <c r="BP177" s="167"/>
      <c r="BQ177" s="167"/>
      <c r="BR177" s="167"/>
      <c r="BS177" s="167"/>
      <c r="BT177" s="167"/>
      <c r="BU177" s="167"/>
      <c r="BV177" s="249"/>
      <c r="BW177" s="167"/>
      <c r="BX177" s="167"/>
      <c r="BY177" s="167"/>
      <c r="BZ177" s="167"/>
      <c r="CA177" s="586" t="s">
        <v>3190</v>
      </c>
      <c r="CB177" s="8"/>
      <c r="CC177" s="171"/>
      <c r="CD177" s="167"/>
      <c r="CE177" s="167"/>
      <c r="CF177" s="167"/>
      <c r="CG177" s="167"/>
      <c r="CH177" s="167"/>
      <c r="CI177" s="167"/>
      <c r="CJ177" s="167"/>
      <c r="CK177" s="167"/>
      <c r="CL177" s="167"/>
      <c r="CM177" s="167"/>
      <c r="CN177" s="167"/>
      <c r="CO177" s="167"/>
      <c r="CP177" s="167"/>
      <c r="CQ177" s="167"/>
      <c r="CR177" s="167"/>
      <c r="CS177" s="167"/>
      <c r="CT177" s="167"/>
      <c r="CU177" s="167"/>
      <c r="CV177" s="167"/>
      <c r="CW177" s="167"/>
      <c r="CX177" s="167"/>
    </row>
    <row r="178" spans="1:102" ht="36">
      <c r="A178" s="8">
        <v>14</v>
      </c>
      <c r="B178" s="143"/>
      <c r="C178" s="165"/>
      <c r="D178" s="166" t="s">
        <v>5647</v>
      </c>
      <c r="E178" s="165" t="s">
        <v>5633</v>
      </c>
      <c r="F178" s="135">
        <v>2025</v>
      </c>
      <c r="G178" s="135">
        <v>2025</v>
      </c>
      <c r="H178" s="135">
        <v>6</v>
      </c>
      <c r="I178" s="165"/>
      <c r="J178" s="165" t="s">
        <v>5808</v>
      </c>
      <c r="K178" s="465">
        <v>10000000</v>
      </c>
      <c r="L178" s="465">
        <v>10000000</v>
      </c>
      <c r="M178" s="165"/>
      <c r="N178" s="514"/>
      <c r="O178" s="165"/>
      <c r="P178" s="9" t="s">
        <v>3223</v>
      </c>
      <c r="Q178" s="135"/>
      <c r="R178" s="135"/>
      <c r="S178" s="167"/>
      <c r="T178" s="171" t="s">
        <v>4379</v>
      </c>
      <c r="U178" s="168"/>
      <c r="V178" s="245"/>
      <c r="W178" s="165" t="s">
        <v>5636</v>
      </c>
      <c r="X178" s="165" t="s">
        <v>166</v>
      </c>
      <c r="Y178" s="165"/>
      <c r="Z178" s="6" t="s">
        <v>4449</v>
      </c>
      <c r="AA178" s="6" t="s">
        <v>4269</v>
      </c>
      <c r="AB178" s="15">
        <v>1093</v>
      </c>
      <c r="AC178" s="204" t="s">
        <v>4271</v>
      </c>
      <c r="AD178" s="167"/>
      <c r="AE178" s="170"/>
      <c r="AF178" s="167" t="s">
        <v>5571</v>
      </c>
      <c r="AG178" s="248">
        <v>10000000</v>
      </c>
      <c r="AH178" s="165" t="s">
        <v>169</v>
      </c>
      <c r="AI178" s="165"/>
      <c r="AJ178" s="165"/>
      <c r="AK178" s="165" t="s">
        <v>4449</v>
      </c>
      <c r="AL178" s="165" t="s">
        <v>4269</v>
      </c>
      <c r="AM178" s="167"/>
      <c r="AN178" s="170"/>
      <c r="AO178" s="167" t="s">
        <v>4383</v>
      </c>
      <c r="AP178" s="248">
        <v>10000000</v>
      </c>
      <c r="AQ178" s="165" t="s">
        <v>166</v>
      </c>
      <c r="AR178" s="165"/>
      <c r="AS178" s="165"/>
      <c r="AT178" s="165" t="s">
        <v>4282</v>
      </c>
      <c r="AU178" s="6" t="s">
        <v>4269</v>
      </c>
      <c r="AV178" s="167"/>
      <c r="AW178" s="167"/>
      <c r="AX178" s="167" t="s">
        <v>4381</v>
      </c>
      <c r="AY178" s="248">
        <v>10000000</v>
      </c>
      <c r="AZ178" s="165" t="s">
        <v>169</v>
      </c>
      <c r="BA178" s="165"/>
      <c r="BB178" s="165" t="s">
        <v>4449</v>
      </c>
      <c r="BC178" s="165" t="s">
        <v>4269</v>
      </c>
      <c r="BD178" s="167"/>
      <c r="BE178" s="167"/>
      <c r="BF178" s="167"/>
      <c r="BG178" s="249"/>
      <c r="BH178" s="167"/>
      <c r="BI178" s="167"/>
      <c r="BJ178" s="167"/>
      <c r="BK178" s="167"/>
      <c r="BL178" s="167"/>
      <c r="BM178" s="167"/>
      <c r="BN178" s="167"/>
      <c r="BO178" s="249"/>
      <c r="BP178" s="167"/>
      <c r="BQ178" s="167"/>
      <c r="BR178" s="167"/>
      <c r="BS178" s="167"/>
      <c r="BT178" s="167"/>
      <c r="BU178" s="167"/>
      <c r="BV178" s="249"/>
      <c r="BW178" s="167"/>
      <c r="BX178" s="167"/>
      <c r="BY178" s="167"/>
      <c r="BZ178" s="167"/>
      <c r="CA178" s="586" t="s">
        <v>3190</v>
      </c>
      <c r="CB178" s="8"/>
      <c r="CC178" s="171"/>
      <c r="CD178" s="167"/>
      <c r="CE178" s="167"/>
      <c r="CF178" s="167"/>
      <c r="CG178" s="167"/>
      <c r="CH178" s="167"/>
      <c r="CI178" s="167"/>
      <c r="CJ178" s="167"/>
      <c r="CK178" s="167"/>
      <c r="CL178" s="167"/>
      <c r="CM178" s="167"/>
      <c r="CN178" s="167"/>
      <c r="CO178" s="167"/>
      <c r="CP178" s="167"/>
      <c r="CQ178" s="167"/>
      <c r="CR178" s="167"/>
      <c r="CS178" s="167"/>
      <c r="CT178" s="167"/>
      <c r="CU178" s="167"/>
      <c r="CV178" s="167"/>
      <c r="CW178" s="167"/>
      <c r="CX178" s="167"/>
    </row>
    <row r="179" spans="1:102" ht="36">
      <c r="A179" s="8">
        <v>15</v>
      </c>
      <c r="B179" s="143"/>
      <c r="C179" s="165"/>
      <c r="D179" s="166" t="s">
        <v>5648</v>
      </c>
      <c r="E179" s="165" t="s">
        <v>5633</v>
      </c>
      <c r="F179" s="135">
        <v>2025</v>
      </c>
      <c r="G179" s="135">
        <v>2025</v>
      </c>
      <c r="H179" s="135">
        <v>6</v>
      </c>
      <c r="I179" s="165"/>
      <c r="J179" s="165" t="s">
        <v>5809</v>
      </c>
      <c r="K179" s="465">
        <v>10000000</v>
      </c>
      <c r="L179" s="465">
        <v>10000000</v>
      </c>
      <c r="M179" s="165"/>
      <c r="N179" s="514"/>
      <c r="O179" s="165"/>
      <c r="P179" s="9" t="s">
        <v>3223</v>
      </c>
      <c r="Q179" s="135"/>
      <c r="R179" s="135"/>
      <c r="S179" s="167"/>
      <c r="T179" s="171" t="s">
        <v>5528</v>
      </c>
      <c r="U179" s="168"/>
      <c r="V179" s="245"/>
      <c r="W179" s="165" t="s">
        <v>5649</v>
      </c>
      <c r="X179" s="165"/>
      <c r="Y179" s="165"/>
      <c r="Z179" s="6" t="s">
        <v>4282</v>
      </c>
      <c r="AA179" s="6" t="s">
        <v>4269</v>
      </c>
      <c r="AB179" s="15">
        <v>1093</v>
      </c>
      <c r="AC179" s="204" t="s">
        <v>4271</v>
      </c>
      <c r="AD179" s="167"/>
      <c r="AE179" s="170"/>
      <c r="AF179" s="167" t="s">
        <v>3128</v>
      </c>
      <c r="AG179" s="248">
        <v>10000000</v>
      </c>
      <c r="AH179" s="165" t="s">
        <v>5649</v>
      </c>
      <c r="AI179" s="165"/>
      <c r="AJ179" s="165"/>
      <c r="AK179" s="6" t="s">
        <v>4282</v>
      </c>
      <c r="AL179" s="6" t="s">
        <v>4269</v>
      </c>
      <c r="AM179" s="167"/>
      <c r="AN179" s="170"/>
      <c r="AO179" s="167" t="s">
        <v>4545</v>
      </c>
      <c r="AP179" s="248">
        <v>10000000</v>
      </c>
      <c r="AQ179" s="165" t="s">
        <v>156</v>
      </c>
      <c r="AR179" s="165"/>
      <c r="AS179" s="165"/>
      <c r="AT179" s="165" t="s">
        <v>4272</v>
      </c>
      <c r="AU179" s="6" t="s">
        <v>4269</v>
      </c>
      <c r="AV179" s="167"/>
      <c r="AW179" s="167"/>
      <c r="AX179" s="167" t="s">
        <v>4839</v>
      </c>
      <c r="AY179" s="248">
        <v>10000000</v>
      </c>
      <c r="AZ179" s="165" t="s">
        <v>166</v>
      </c>
      <c r="BA179" s="165"/>
      <c r="BB179" s="165" t="s">
        <v>4282</v>
      </c>
      <c r="BC179" s="6" t="s">
        <v>4269</v>
      </c>
      <c r="BD179" s="167"/>
      <c r="BE179" s="167"/>
      <c r="BF179" s="167" t="s">
        <v>4694</v>
      </c>
      <c r="BG179" s="248">
        <v>10000000</v>
      </c>
      <c r="BH179" s="165" t="s">
        <v>166</v>
      </c>
      <c r="BI179" s="165"/>
      <c r="BJ179" s="165" t="s">
        <v>4282</v>
      </c>
      <c r="BK179" s="6" t="s">
        <v>4269</v>
      </c>
      <c r="BL179" s="167"/>
      <c r="BM179" s="167"/>
      <c r="BN179" s="167"/>
      <c r="BO179" s="249"/>
      <c r="BP179" s="167"/>
      <c r="BQ179" s="167"/>
      <c r="BR179" s="167"/>
      <c r="BS179" s="167"/>
      <c r="BT179" s="167"/>
      <c r="BU179" s="167"/>
      <c r="BV179" s="249"/>
      <c r="BW179" s="167"/>
      <c r="BX179" s="167"/>
      <c r="BY179" s="167"/>
      <c r="BZ179" s="167"/>
      <c r="CA179" s="586" t="s">
        <v>3190</v>
      </c>
      <c r="CB179" s="8"/>
      <c r="CC179" s="171"/>
      <c r="CD179" s="167"/>
      <c r="CE179" s="167"/>
      <c r="CF179" s="167"/>
      <c r="CG179" s="167"/>
      <c r="CH179" s="167"/>
      <c r="CI179" s="167"/>
      <c r="CJ179" s="167"/>
      <c r="CK179" s="167"/>
      <c r="CL179" s="167"/>
      <c r="CM179" s="167"/>
      <c r="CN179" s="167"/>
      <c r="CO179" s="167"/>
      <c r="CP179" s="167"/>
      <c r="CQ179" s="167"/>
      <c r="CR179" s="167"/>
      <c r="CS179" s="167"/>
      <c r="CT179" s="167"/>
      <c r="CU179" s="167"/>
      <c r="CV179" s="167"/>
      <c r="CW179" s="167"/>
      <c r="CX179" s="167"/>
    </row>
    <row r="180" spans="1:102" ht="36">
      <c r="A180" s="8">
        <v>16</v>
      </c>
      <c r="B180" s="143"/>
      <c r="C180" s="165"/>
      <c r="D180" s="166" t="s">
        <v>5650</v>
      </c>
      <c r="E180" s="165" t="s">
        <v>5633</v>
      </c>
      <c r="F180" s="135">
        <v>2025</v>
      </c>
      <c r="G180" s="135">
        <v>2025</v>
      </c>
      <c r="H180" s="135">
        <v>6</v>
      </c>
      <c r="I180" s="165"/>
      <c r="J180" s="165" t="s">
        <v>5810</v>
      </c>
      <c r="K180" s="465">
        <v>10000000</v>
      </c>
      <c r="L180" s="465">
        <v>10000000</v>
      </c>
      <c r="M180" s="165"/>
      <c r="N180" s="514"/>
      <c r="O180" s="165"/>
      <c r="P180" s="9" t="s">
        <v>3223</v>
      </c>
      <c r="Q180" s="135"/>
      <c r="R180" s="135"/>
      <c r="S180" s="167"/>
      <c r="T180" s="171" t="s">
        <v>2056</v>
      </c>
      <c r="U180" s="168"/>
      <c r="V180" s="245"/>
      <c r="W180" s="165" t="s">
        <v>5651</v>
      </c>
      <c r="X180" s="165"/>
      <c r="Y180" s="165"/>
      <c r="Z180" s="6" t="s">
        <v>4282</v>
      </c>
      <c r="AA180" s="6" t="s">
        <v>4269</v>
      </c>
      <c r="AB180" s="15">
        <v>1093</v>
      </c>
      <c r="AC180" s="204" t="s">
        <v>4271</v>
      </c>
      <c r="AD180" s="167"/>
      <c r="AE180" s="170"/>
      <c r="AF180" s="167" t="s">
        <v>4737</v>
      </c>
      <c r="AG180" s="248">
        <v>10000000</v>
      </c>
      <c r="AH180" s="165"/>
      <c r="AI180" s="165"/>
      <c r="AJ180" s="165"/>
      <c r="AK180" s="165"/>
      <c r="AL180" s="165"/>
      <c r="AM180" s="167"/>
      <c r="AN180" s="170"/>
      <c r="AO180" s="167" t="s">
        <v>4562</v>
      </c>
      <c r="AP180" s="248">
        <v>10000000</v>
      </c>
      <c r="AQ180" s="165" t="s">
        <v>160</v>
      </c>
      <c r="AR180" s="165"/>
      <c r="AS180" s="165"/>
      <c r="AT180" s="165" t="s">
        <v>4282</v>
      </c>
      <c r="AU180" s="6" t="s">
        <v>4269</v>
      </c>
      <c r="AV180" s="167"/>
      <c r="AW180" s="167"/>
      <c r="AX180" s="167"/>
      <c r="AY180" s="249"/>
      <c r="AZ180" s="167"/>
      <c r="BA180" s="167"/>
      <c r="BB180" s="167"/>
      <c r="BC180" s="167"/>
      <c r="BD180" s="167"/>
      <c r="BE180" s="167"/>
      <c r="BF180" s="167"/>
      <c r="BG180" s="249"/>
      <c r="BH180" s="167"/>
      <c r="BI180" s="167"/>
      <c r="BJ180" s="167"/>
      <c r="BK180" s="167"/>
      <c r="BL180" s="167"/>
      <c r="BM180" s="167"/>
      <c r="BN180" s="167"/>
      <c r="BO180" s="249"/>
      <c r="BP180" s="167"/>
      <c r="BQ180" s="167"/>
      <c r="BR180" s="167"/>
      <c r="BS180" s="167"/>
      <c r="BT180" s="167"/>
      <c r="BU180" s="167"/>
      <c r="BV180" s="249"/>
      <c r="BW180" s="167"/>
      <c r="BX180" s="167"/>
      <c r="BY180" s="167"/>
      <c r="BZ180" s="167"/>
      <c r="CA180" s="586" t="s">
        <v>3190</v>
      </c>
      <c r="CB180" s="8"/>
      <c r="CC180" s="171"/>
      <c r="CD180" s="167"/>
      <c r="CE180" s="167"/>
      <c r="CF180" s="167"/>
      <c r="CG180" s="167"/>
      <c r="CH180" s="167"/>
      <c r="CI180" s="167"/>
      <c r="CJ180" s="167"/>
      <c r="CK180" s="167"/>
      <c r="CL180" s="167"/>
      <c r="CM180" s="167"/>
      <c r="CN180" s="167"/>
      <c r="CO180" s="167"/>
      <c r="CP180" s="167"/>
      <c r="CQ180" s="167"/>
      <c r="CR180" s="167"/>
      <c r="CS180" s="167"/>
      <c r="CT180" s="167"/>
      <c r="CU180" s="167"/>
      <c r="CV180" s="167"/>
      <c r="CW180" s="167"/>
      <c r="CX180" s="167"/>
    </row>
    <row r="181" spans="1:102" ht="36">
      <c r="A181" s="8">
        <v>17</v>
      </c>
      <c r="B181" s="143"/>
      <c r="C181" s="165"/>
      <c r="D181" s="166" t="s">
        <v>5652</v>
      </c>
      <c r="E181" s="165" t="s">
        <v>5633</v>
      </c>
      <c r="F181" s="135">
        <v>2025</v>
      </c>
      <c r="G181" s="135">
        <v>2025</v>
      </c>
      <c r="H181" s="135">
        <v>6</v>
      </c>
      <c r="I181" s="165"/>
      <c r="J181" s="165" t="s">
        <v>5811</v>
      </c>
      <c r="K181" s="465">
        <v>10000000</v>
      </c>
      <c r="L181" s="465">
        <v>10000000</v>
      </c>
      <c r="M181" s="165"/>
      <c r="N181" s="514"/>
      <c r="O181" s="165"/>
      <c r="P181" s="9" t="s">
        <v>3223</v>
      </c>
      <c r="Q181" s="135"/>
      <c r="R181" s="135"/>
      <c r="S181" s="167"/>
      <c r="T181" s="171" t="s">
        <v>5571</v>
      </c>
      <c r="U181" s="168"/>
      <c r="V181" s="245"/>
      <c r="W181" s="165" t="s">
        <v>5636</v>
      </c>
      <c r="X181" s="165"/>
      <c r="Y181" s="165"/>
      <c r="Z181" s="6" t="s">
        <v>4449</v>
      </c>
      <c r="AA181" s="6" t="s">
        <v>4269</v>
      </c>
      <c r="AB181" s="15">
        <v>1093</v>
      </c>
      <c r="AC181" s="204" t="s">
        <v>4271</v>
      </c>
      <c r="AD181" s="167"/>
      <c r="AE181" s="170"/>
      <c r="AF181" s="167" t="s">
        <v>5569</v>
      </c>
      <c r="AG181" s="248">
        <v>10000000</v>
      </c>
      <c r="AH181" s="165" t="s">
        <v>169</v>
      </c>
      <c r="AI181" s="165"/>
      <c r="AJ181" s="165"/>
      <c r="AK181" s="165" t="s">
        <v>4449</v>
      </c>
      <c r="AL181" s="165" t="s">
        <v>4269</v>
      </c>
      <c r="AM181" s="167"/>
      <c r="AN181" s="170"/>
      <c r="AO181" s="167" t="s">
        <v>5518</v>
      </c>
      <c r="AP181" s="248">
        <v>10000000</v>
      </c>
      <c r="AQ181" s="165" t="s">
        <v>169</v>
      </c>
      <c r="AR181" s="165"/>
      <c r="AS181" s="165"/>
      <c r="AT181" s="165" t="s">
        <v>4449</v>
      </c>
      <c r="AU181" s="165" t="s">
        <v>4269</v>
      </c>
      <c r="AV181" s="167"/>
      <c r="AW181" s="167"/>
      <c r="AX181" s="167"/>
      <c r="AY181" s="249"/>
      <c r="AZ181" s="167"/>
      <c r="BA181" s="167"/>
      <c r="BB181" s="167"/>
      <c r="BC181" s="167"/>
      <c r="BD181" s="167"/>
      <c r="BE181" s="167"/>
      <c r="BF181" s="167"/>
      <c r="BG181" s="249"/>
      <c r="BH181" s="167"/>
      <c r="BI181" s="167"/>
      <c r="BJ181" s="167"/>
      <c r="BK181" s="167"/>
      <c r="BL181" s="167"/>
      <c r="BM181" s="167"/>
      <c r="BN181" s="167"/>
      <c r="BO181" s="249"/>
      <c r="BP181" s="167"/>
      <c r="BQ181" s="167"/>
      <c r="BR181" s="167"/>
      <c r="BS181" s="167"/>
      <c r="BT181" s="167"/>
      <c r="BU181" s="167"/>
      <c r="BV181" s="249"/>
      <c r="BW181" s="167"/>
      <c r="BX181" s="167"/>
      <c r="BY181" s="167"/>
      <c r="BZ181" s="167"/>
      <c r="CA181" s="586" t="s">
        <v>3190</v>
      </c>
      <c r="CB181" s="8"/>
      <c r="CC181" s="171"/>
      <c r="CD181" s="167"/>
      <c r="CE181" s="167"/>
      <c r="CF181" s="167"/>
      <c r="CG181" s="167"/>
      <c r="CH181" s="167"/>
      <c r="CI181" s="167"/>
      <c r="CJ181" s="167"/>
      <c r="CK181" s="167"/>
      <c r="CL181" s="167"/>
      <c r="CM181" s="167"/>
      <c r="CN181" s="167"/>
      <c r="CO181" s="167"/>
      <c r="CP181" s="167"/>
      <c r="CQ181" s="167"/>
      <c r="CR181" s="167"/>
      <c r="CS181" s="167"/>
      <c r="CT181" s="167"/>
      <c r="CU181" s="167"/>
      <c r="CV181" s="167"/>
      <c r="CW181" s="167"/>
      <c r="CX181" s="167"/>
    </row>
    <row r="182" spans="1:102" ht="36">
      <c r="A182" s="8">
        <v>18</v>
      </c>
      <c r="B182" s="143"/>
      <c r="C182" s="165"/>
      <c r="D182" s="166" t="s">
        <v>5653</v>
      </c>
      <c r="E182" s="165" t="s">
        <v>5633</v>
      </c>
      <c r="F182" s="135">
        <v>2025</v>
      </c>
      <c r="G182" s="135">
        <v>2025</v>
      </c>
      <c r="H182" s="135">
        <v>6</v>
      </c>
      <c r="I182" s="165"/>
      <c r="J182" s="165" t="s">
        <v>5812</v>
      </c>
      <c r="K182" s="465">
        <v>10000000</v>
      </c>
      <c r="L182" s="465">
        <v>10000000</v>
      </c>
      <c r="M182" s="165"/>
      <c r="N182" s="514"/>
      <c r="O182" s="165"/>
      <c r="P182" s="9" t="s">
        <v>3223</v>
      </c>
      <c r="Q182" s="135"/>
      <c r="R182" s="135"/>
      <c r="S182" s="167"/>
      <c r="T182" s="171" t="s">
        <v>4770</v>
      </c>
      <c r="U182" s="168"/>
      <c r="V182" s="245"/>
      <c r="W182" s="165" t="s">
        <v>5654</v>
      </c>
      <c r="X182" s="165" t="s">
        <v>160</v>
      </c>
      <c r="Y182" s="165"/>
      <c r="Z182" s="6" t="s">
        <v>4282</v>
      </c>
      <c r="AA182" s="6" t="s">
        <v>4269</v>
      </c>
      <c r="AB182" s="15">
        <v>1093</v>
      </c>
      <c r="AC182" s="204" t="s">
        <v>4271</v>
      </c>
      <c r="AD182" s="167"/>
      <c r="AE182" s="170"/>
      <c r="AF182" s="167" t="s">
        <v>4305</v>
      </c>
      <c r="AG182" s="248">
        <v>10000000</v>
      </c>
      <c r="AH182" s="165" t="s">
        <v>160</v>
      </c>
      <c r="AI182" s="165"/>
      <c r="AJ182" s="165"/>
      <c r="AK182" s="165" t="s">
        <v>4282</v>
      </c>
      <c r="AL182" s="6" t="s">
        <v>4269</v>
      </c>
      <c r="AM182" s="167"/>
      <c r="AN182" s="170"/>
      <c r="AO182" s="167" t="s">
        <v>141</v>
      </c>
      <c r="AP182" s="248">
        <v>10000000</v>
      </c>
      <c r="AQ182" s="165" t="s">
        <v>172</v>
      </c>
      <c r="AR182" s="165"/>
      <c r="AS182" s="165"/>
      <c r="AT182" s="165" t="s">
        <v>4282</v>
      </c>
      <c r="AU182" s="6" t="s">
        <v>4269</v>
      </c>
      <c r="AV182" s="167"/>
      <c r="AW182" s="167"/>
      <c r="AX182" s="167"/>
      <c r="AY182" s="249"/>
      <c r="AZ182" s="167"/>
      <c r="BA182" s="167"/>
      <c r="BB182" s="167"/>
      <c r="BC182" s="167"/>
      <c r="BD182" s="167"/>
      <c r="BE182" s="167"/>
      <c r="BF182" s="167"/>
      <c r="BG182" s="249"/>
      <c r="BH182" s="167"/>
      <c r="BI182" s="167"/>
      <c r="BJ182" s="167"/>
      <c r="BK182" s="167"/>
      <c r="BL182" s="167"/>
      <c r="BM182" s="167"/>
      <c r="BN182" s="167"/>
      <c r="BO182" s="249"/>
      <c r="BP182" s="167"/>
      <c r="BQ182" s="167"/>
      <c r="BR182" s="167"/>
      <c r="BS182" s="167"/>
      <c r="BT182" s="167"/>
      <c r="BU182" s="167"/>
      <c r="BV182" s="249"/>
      <c r="BW182" s="167"/>
      <c r="BX182" s="167"/>
      <c r="BY182" s="167"/>
      <c r="BZ182" s="167"/>
      <c r="CA182" s="586" t="s">
        <v>3190</v>
      </c>
      <c r="CB182" s="8"/>
      <c r="CC182" s="171"/>
      <c r="CD182" s="167"/>
      <c r="CE182" s="167"/>
      <c r="CF182" s="167"/>
      <c r="CG182" s="167"/>
      <c r="CH182" s="167"/>
      <c r="CI182" s="167"/>
      <c r="CJ182" s="167"/>
      <c r="CK182" s="167"/>
      <c r="CL182" s="167"/>
      <c r="CM182" s="167"/>
      <c r="CN182" s="167"/>
      <c r="CO182" s="167"/>
      <c r="CP182" s="167"/>
      <c r="CQ182" s="167"/>
      <c r="CR182" s="167"/>
      <c r="CS182" s="167"/>
      <c r="CT182" s="167"/>
      <c r="CU182" s="167"/>
      <c r="CV182" s="167"/>
      <c r="CW182" s="167"/>
      <c r="CX182" s="167"/>
    </row>
    <row r="183" spans="1:102" ht="36">
      <c r="A183" s="8">
        <v>19</v>
      </c>
      <c r="B183" s="143"/>
      <c r="C183" s="165"/>
      <c r="D183" s="166" t="s">
        <v>5655</v>
      </c>
      <c r="E183" s="165" t="s">
        <v>5633</v>
      </c>
      <c r="F183" s="135">
        <v>2025</v>
      </c>
      <c r="G183" s="135">
        <v>2025</v>
      </c>
      <c r="H183" s="135">
        <v>6</v>
      </c>
      <c r="I183" s="165"/>
      <c r="J183" s="165" t="s">
        <v>5813</v>
      </c>
      <c r="K183" s="465">
        <v>10000000</v>
      </c>
      <c r="L183" s="465">
        <v>10000000</v>
      </c>
      <c r="M183" s="165"/>
      <c r="N183" s="514"/>
      <c r="O183" s="165"/>
      <c r="P183" s="9" t="s">
        <v>3223</v>
      </c>
      <c r="Q183" s="135"/>
      <c r="R183" s="135"/>
      <c r="S183" s="167"/>
      <c r="T183" s="171" t="s">
        <v>4593</v>
      </c>
      <c r="U183" s="168"/>
      <c r="V183" s="245"/>
      <c r="W183" s="165" t="s">
        <v>5642</v>
      </c>
      <c r="X183" s="165"/>
      <c r="Y183" s="165"/>
      <c r="Z183" s="6" t="s">
        <v>4272</v>
      </c>
      <c r="AA183" s="6" t="s">
        <v>4269</v>
      </c>
      <c r="AB183" s="15">
        <v>1093</v>
      </c>
      <c r="AC183" s="204" t="s">
        <v>4271</v>
      </c>
      <c r="AD183" s="167"/>
      <c r="AE183" s="170"/>
      <c r="AF183" s="167" t="s">
        <v>4408</v>
      </c>
      <c r="AG183" s="248">
        <v>10000000</v>
      </c>
      <c r="AH183" s="165" t="s">
        <v>164</v>
      </c>
      <c r="AI183" s="165"/>
      <c r="AJ183" s="165"/>
      <c r="AK183" s="165" t="s">
        <v>4272</v>
      </c>
      <c r="AL183" s="6" t="s">
        <v>4269</v>
      </c>
      <c r="AM183" s="167"/>
      <c r="AN183" s="170"/>
      <c r="AO183" s="167" t="s">
        <v>4865</v>
      </c>
      <c r="AP183" s="248">
        <v>10000000</v>
      </c>
      <c r="AQ183" s="165" t="s">
        <v>164</v>
      </c>
      <c r="AR183" s="165"/>
      <c r="AS183" s="165"/>
      <c r="AT183" s="165" t="s">
        <v>4272</v>
      </c>
      <c r="AU183" s="6" t="s">
        <v>4269</v>
      </c>
      <c r="AV183" s="167"/>
      <c r="AW183" s="167"/>
      <c r="AX183" s="167"/>
      <c r="AY183" s="249"/>
      <c r="AZ183" s="167"/>
      <c r="BA183" s="167"/>
      <c r="BB183" s="167"/>
      <c r="BC183" s="167"/>
      <c r="BD183" s="167"/>
      <c r="BE183" s="167"/>
      <c r="BF183" s="167"/>
      <c r="BG183" s="249"/>
      <c r="BH183" s="167"/>
      <c r="BI183" s="167"/>
      <c r="BJ183" s="167"/>
      <c r="BK183" s="167"/>
      <c r="BL183" s="167"/>
      <c r="BM183" s="167"/>
      <c r="BN183" s="167"/>
      <c r="BO183" s="249"/>
      <c r="BP183" s="167"/>
      <c r="BQ183" s="167"/>
      <c r="BR183" s="167"/>
      <c r="BS183" s="167"/>
      <c r="BT183" s="167"/>
      <c r="BU183" s="167"/>
      <c r="BV183" s="249"/>
      <c r="BW183" s="167"/>
      <c r="BX183" s="167"/>
      <c r="BY183" s="167"/>
      <c r="BZ183" s="167"/>
      <c r="CA183" s="586" t="s">
        <v>3190</v>
      </c>
      <c r="CB183" s="8"/>
      <c r="CC183" s="171"/>
      <c r="CD183" s="167"/>
      <c r="CE183" s="167"/>
      <c r="CF183" s="167"/>
      <c r="CG183" s="167"/>
      <c r="CH183" s="167"/>
      <c r="CI183" s="167"/>
      <c r="CJ183" s="167"/>
      <c r="CK183" s="167"/>
      <c r="CL183" s="167"/>
      <c r="CM183" s="167"/>
      <c r="CN183" s="167"/>
      <c r="CO183" s="167"/>
      <c r="CP183" s="167"/>
      <c r="CQ183" s="167"/>
      <c r="CR183" s="167"/>
      <c r="CS183" s="167"/>
      <c r="CT183" s="167"/>
      <c r="CU183" s="167"/>
      <c r="CV183" s="167"/>
      <c r="CW183" s="167"/>
      <c r="CX183" s="167"/>
    </row>
    <row r="184" spans="1:102" ht="36">
      <c r="A184" s="8">
        <v>20</v>
      </c>
      <c r="B184" s="143"/>
      <c r="C184" s="165"/>
      <c r="D184" s="166" t="s">
        <v>5656</v>
      </c>
      <c r="E184" s="165" t="s">
        <v>5633</v>
      </c>
      <c r="F184" s="135">
        <v>2025</v>
      </c>
      <c r="G184" s="135">
        <v>2025</v>
      </c>
      <c r="H184" s="135">
        <v>6</v>
      </c>
      <c r="I184" s="165"/>
      <c r="J184" s="165" t="s">
        <v>5814</v>
      </c>
      <c r="K184" s="465">
        <v>10000000</v>
      </c>
      <c r="L184" s="465">
        <v>10000000</v>
      </c>
      <c r="M184" s="165"/>
      <c r="N184" s="514"/>
      <c r="O184" s="165"/>
      <c r="P184" s="9" t="s">
        <v>3223</v>
      </c>
      <c r="Q184" s="135"/>
      <c r="R184" s="135"/>
      <c r="S184" s="167"/>
      <c r="T184" s="171" t="s">
        <v>4280</v>
      </c>
      <c r="U184" s="168"/>
      <c r="V184" s="245"/>
      <c r="W184" s="165" t="s">
        <v>5624</v>
      </c>
      <c r="X184" s="165"/>
      <c r="Y184" s="165"/>
      <c r="Z184" s="6" t="s">
        <v>3224</v>
      </c>
      <c r="AA184" s="6" t="s">
        <v>4269</v>
      </c>
      <c r="AB184" s="15">
        <v>1093</v>
      </c>
      <c r="AC184" s="204" t="s">
        <v>4271</v>
      </c>
      <c r="AD184" s="167"/>
      <c r="AE184" s="170"/>
      <c r="AF184" s="167" t="s">
        <v>4911</v>
      </c>
      <c r="AG184" s="248">
        <v>10000000</v>
      </c>
      <c r="AH184" s="165" t="s">
        <v>154</v>
      </c>
      <c r="AI184" s="165"/>
      <c r="AJ184" s="165"/>
      <c r="AK184" s="165" t="s">
        <v>3224</v>
      </c>
      <c r="AL184" s="165" t="s">
        <v>4269</v>
      </c>
      <c r="AM184" s="167"/>
      <c r="AN184" s="170"/>
      <c r="AO184" s="167" t="s">
        <v>4524</v>
      </c>
      <c r="AP184" s="248">
        <v>10000000</v>
      </c>
      <c r="AQ184" s="165" t="s">
        <v>166</v>
      </c>
      <c r="AR184" s="165"/>
      <c r="AS184" s="165"/>
      <c r="AT184" s="165" t="s">
        <v>4282</v>
      </c>
      <c r="AU184" s="6" t="s">
        <v>4269</v>
      </c>
      <c r="AV184" s="167"/>
      <c r="AW184" s="167"/>
      <c r="AX184" s="167"/>
      <c r="AY184" s="249"/>
      <c r="AZ184" s="167"/>
      <c r="BA184" s="167"/>
      <c r="BB184" s="167"/>
      <c r="BC184" s="167"/>
      <c r="BD184" s="167"/>
      <c r="BE184" s="167"/>
      <c r="BF184" s="167"/>
      <c r="BG184" s="249"/>
      <c r="BH184" s="167"/>
      <c r="BI184" s="167"/>
      <c r="BJ184" s="167"/>
      <c r="BK184" s="167"/>
      <c r="BL184" s="167"/>
      <c r="BM184" s="167"/>
      <c r="BN184" s="167"/>
      <c r="BO184" s="249"/>
      <c r="BP184" s="167"/>
      <c r="BQ184" s="167"/>
      <c r="BR184" s="167"/>
      <c r="BS184" s="167"/>
      <c r="BT184" s="167"/>
      <c r="BU184" s="167"/>
      <c r="BV184" s="249"/>
      <c r="BW184" s="167"/>
      <c r="BX184" s="167"/>
      <c r="BY184" s="167"/>
      <c r="BZ184" s="167"/>
      <c r="CA184" s="586" t="s">
        <v>3190</v>
      </c>
      <c r="CB184" s="8"/>
      <c r="CC184" s="171"/>
      <c r="CD184" s="167"/>
      <c r="CE184" s="167"/>
      <c r="CF184" s="167"/>
      <c r="CG184" s="167"/>
      <c r="CH184" s="167"/>
      <c r="CI184" s="167"/>
      <c r="CJ184" s="167"/>
      <c r="CK184" s="167"/>
      <c r="CL184" s="167"/>
      <c r="CM184" s="167"/>
      <c r="CN184" s="167"/>
      <c r="CO184" s="167"/>
      <c r="CP184" s="167"/>
      <c r="CQ184" s="167"/>
      <c r="CR184" s="167"/>
      <c r="CS184" s="167"/>
      <c r="CT184" s="167"/>
      <c r="CU184" s="167"/>
      <c r="CV184" s="167"/>
      <c r="CW184" s="167"/>
      <c r="CX184" s="167"/>
    </row>
    <row r="185" spans="1:102" ht="36">
      <c r="A185" s="8">
        <v>21</v>
      </c>
      <c r="B185" s="143"/>
      <c r="C185" s="165"/>
      <c r="D185" s="166" t="s">
        <v>5657</v>
      </c>
      <c r="E185" s="165" t="s">
        <v>5633</v>
      </c>
      <c r="F185" s="135">
        <v>2025</v>
      </c>
      <c r="G185" s="135">
        <v>2025</v>
      </c>
      <c r="H185" s="135">
        <v>6</v>
      </c>
      <c r="I185" s="165"/>
      <c r="J185" s="165" t="s">
        <v>5815</v>
      </c>
      <c r="K185" s="465">
        <v>10000000</v>
      </c>
      <c r="L185" s="465">
        <v>10000000</v>
      </c>
      <c r="M185" s="165"/>
      <c r="N185" s="514"/>
      <c r="O185" s="165"/>
      <c r="P185" s="9" t="s">
        <v>3223</v>
      </c>
      <c r="Q185" s="135"/>
      <c r="R185" s="135"/>
      <c r="S185" s="167"/>
      <c r="T185" s="171" t="s">
        <v>123</v>
      </c>
      <c r="U185" s="168"/>
      <c r="V185" s="245"/>
      <c r="W185" s="165" t="s">
        <v>5649</v>
      </c>
      <c r="X185" s="165"/>
      <c r="Y185" s="165"/>
      <c r="Z185" s="6" t="s">
        <v>4282</v>
      </c>
      <c r="AA185" s="6" t="s">
        <v>4269</v>
      </c>
      <c r="AB185" s="15">
        <v>1093</v>
      </c>
      <c r="AC185" s="204" t="s">
        <v>4271</v>
      </c>
      <c r="AD185" s="167"/>
      <c r="AE185" s="170"/>
      <c r="AF185" s="167" t="s">
        <v>3128</v>
      </c>
      <c r="AG185" s="248">
        <v>10000000</v>
      </c>
      <c r="AH185" s="165" t="s">
        <v>166</v>
      </c>
      <c r="AI185" s="165"/>
      <c r="AJ185" s="165"/>
      <c r="AK185" s="165" t="s">
        <v>4282</v>
      </c>
      <c r="AL185" s="165" t="s">
        <v>4269</v>
      </c>
      <c r="AM185" s="167"/>
      <c r="AN185" s="170"/>
      <c r="AO185" s="167" t="s">
        <v>5547</v>
      </c>
      <c r="AP185" s="248">
        <v>10000000</v>
      </c>
      <c r="AQ185" s="165" t="s">
        <v>166</v>
      </c>
      <c r="AR185" s="165"/>
      <c r="AS185" s="165"/>
      <c r="AT185" s="165" t="s">
        <v>4282</v>
      </c>
      <c r="AU185" s="165" t="s">
        <v>4269</v>
      </c>
      <c r="AV185" s="167"/>
      <c r="AW185" s="167"/>
      <c r="AX185" s="167" t="s">
        <v>112</v>
      </c>
      <c r="AY185" s="248">
        <v>10000000</v>
      </c>
      <c r="AZ185" s="165" t="s">
        <v>166</v>
      </c>
      <c r="BA185" s="165"/>
      <c r="BB185" s="165" t="s">
        <v>4282</v>
      </c>
      <c r="BC185" s="165" t="s">
        <v>4269</v>
      </c>
      <c r="BD185" s="167"/>
      <c r="BE185" s="167"/>
      <c r="BF185" s="167" t="s">
        <v>3111</v>
      </c>
      <c r="BG185" s="248">
        <v>10000000</v>
      </c>
      <c r="BH185" s="165" t="s">
        <v>171</v>
      </c>
      <c r="BI185" s="165"/>
      <c r="BJ185" s="165" t="s">
        <v>4272</v>
      </c>
      <c r="BK185" s="165" t="s">
        <v>4269</v>
      </c>
      <c r="BL185" s="167"/>
      <c r="BM185" s="167"/>
      <c r="BN185" s="167" t="s">
        <v>3111</v>
      </c>
      <c r="BO185" s="248">
        <v>10000000</v>
      </c>
      <c r="BP185" s="165" t="s">
        <v>166</v>
      </c>
      <c r="BQ185" s="165" t="s">
        <v>4282</v>
      </c>
      <c r="BR185" s="165" t="s">
        <v>4269</v>
      </c>
      <c r="BS185" s="167"/>
      <c r="BT185" s="167"/>
      <c r="BU185" s="167"/>
      <c r="BV185" s="249"/>
      <c r="BW185" s="167"/>
      <c r="BX185" s="167"/>
      <c r="BY185" s="167"/>
      <c r="BZ185" s="167"/>
      <c r="CA185" s="586" t="s">
        <v>3190</v>
      </c>
      <c r="CB185" s="8"/>
      <c r="CC185" s="171"/>
      <c r="CD185" s="167"/>
      <c r="CE185" s="167"/>
      <c r="CF185" s="167"/>
      <c r="CG185" s="167"/>
      <c r="CH185" s="167"/>
      <c r="CI185" s="167"/>
      <c r="CJ185" s="167"/>
      <c r="CK185" s="167"/>
      <c r="CL185" s="167"/>
      <c r="CM185" s="167"/>
      <c r="CN185" s="167"/>
      <c r="CO185" s="167"/>
      <c r="CP185" s="167"/>
      <c r="CQ185" s="167"/>
      <c r="CR185" s="167"/>
      <c r="CS185" s="167"/>
      <c r="CT185" s="167"/>
      <c r="CU185" s="167"/>
      <c r="CV185" s="167"/>
      <c r="CW185" s="167"/>
      <c r="CX185" s="167"/>
    </row>
    <row r="186" spans="1:102" ht="36">
      <c r="A186" s="8">
        <v>22</v>
      </c>
      <c r="B186" s="143"/>
      <c r="C186" s="165"/>
      <c r="D186" s="166" t="s">
        <v>5658</v>
      </c>
      <c r="E186" s="165" t="s">
        <v>5633</v>
      </c>
      <c r="F186" s="135">
        <v>2025</v>
      </c>
      <c r="G186" s="135">
        <v>2025</v>
      </c>
      <c r="H186" s="135">
        <v>6</v>
      </c>
      <c r="I186" s="165"/>
      <c r="J186" s="165" t="s">
        <v>5816</v>
      </c>
      <c r="K186" s="465">
        <v>10000000</v>
      </c>
      <c r="L186" s="465">
        <v>10000000</v>
      </c>
      <c r="M186" s="165"/>
      <c r="N186" s="514"/>
      <c r="O186" s="165"/>
      <c r="P186" s="9" t="s">
        <v>3223</v>
      </c>
      <c r="Q186" s="135"/>
      <c r="R186" s="135"/>
      <c r="S186" s="167"/>
      <c r="T186" s="171" t="s">
        <v>4727</v>
      </c>
      <c r="U186" s="168"/>
      <c r="V186" s="245"/>
      <c r="W186" s="165" t="s">
        <v>5659</v>
      </c>
      <c r="X186" s="165"/>
      <c r="Y186" s="165"/>
      <c r="Z186" s="6" t="s">
        <v>4272</v>
      </c>
      <c r="AA186" s="6" t="s">
        <v>4269</v>
      </c>
      <c r="AB186" s="15">
        <v>1093</v>
      </c>
      <c r="AC186" s="204" t="s">
        <v>4271</v>
      </c>
      <c r="AD186" s="167"/>
      <c r="AE186" s="170"/>
      <c r="AF186" s="167" t="s">
        <v>5660</v>
      </c>
      <c r="AG186" s="248">
        <v>10000000</v>
      </c>
      <c r="AH186" s="165"/>
      <c r="AI186" s="165"/>
      <c r="AJ186" s="165"/>
      <c r="AK186" s="165"/>
      <c r="AL186" s="165"/>
      <c r="AM186" s="167"/>
      <c r="AN186" s="170"/>
      <c r="AO186" s="167" t="s">
        <v>141</v>
      </c>
      <c r="AP186" s="248">
        <v>10000000</v>
      </c>
      <c r="AQ186" s="165" t="s">
        <v>172</v>
      </c>
      <c r="AR186" s="165"/>
      <c r="AS186" s="165"/>
      <c r="AT186" s="165" t="s">
        <v>4282</v>
      </c>
      <c r="AU186" s="6" t="s">
        <v>4269</v>
      </c>
      <c r="AV186" s="167"/>
      <c r="AW186" s="167"/>
      <c r="AX186" s="167" t="s">
        <v>4619</v>
      </c>
      <c r="AY186" s="248">
        <v>10000000</v>
      </c>
      <c r="AZ186" s="165" t="s">
        <v>172</v>
      </c>
      <c r="BA186" s="165"/>
      <c r="BB186" s="165" t="s">
        <v>4282</v>
      </c>
      <c r="BC186" s="6" t="s">
        <v>4269</v>
      </c>
      <c r="BD186" s="167"/>
      <c r="BE186" s="167"/>
      <c r="BF186" s="167"/>
      <c r="BG186" s="249"/>
      <c r="BH186" s="167"/>
      <c r="BI186" s="167"/>
      <c r="BJ186" s="167"/>
      <c r="BK186" s="167"/>
      <c r="BL186" s="167"/>
      <c r="BM186" s="167"/>
      <c r="BN186" s="167"/>
      <c r="BO186" s="249"/>
      <c r="BP186" s="167"/>
      <c r="BQ186" s="167"/>
      <c r="BR186" s="167"/>
      <c r="BS186" s="167"/>
      <c r="BT186" s="167"/>
      <c r="BU186" s="167"/>
      <c r="BV186" s="249"/>
      <c r="BW186" s="167"/>
      <c r="BX186" s="167"/>
      <c r="BY186" s="167"/>
      <c r="BZ186" s="167"/>
      <c r="CA186" s="586" t="s">
        <v>3190</v>
      </c>
      <c r="CB186" s="8"/>
      <c r="CC186" s="171"/>
      <c r="CD186" s="167"/>
      <c r="CE186" s="167"/>
      <c r="CF186" s="167"/>
      <c r="CG186" s="167"/>
      <c r="CH186" s="167"/>
      <c r="CI186" s="167"/>
      <c r="CJ186" s="167"/>
      <c r="CK186" s="167"/>
      <c r="CL186" s="167"/>
      <c r="CM186" s="167"/>
      <c r="CN186" s="167"/>
      <c r="CO186" s="167"/>
      <c r="CP186" s="167"/>
      <c r="CQ186" s="167"/>
      <c r="CR186" s="167"/>
      <c r="CS186" s="167"/>
      <c r="CT186" s="167"/>
      <c r="CU186" s="167"/>
      <c r="CV186" s="167"/>
      <c r="CW186" s="167"/>
      <c r="CX186" s="167"/>
    </row>
    <row r="187" spans="1:102" ht="36">
      <c r="A187" s="8">
        <v>23</v>
      </c>
      <c r="B187" s="143"/>
      <c r="C187" s="165"/>
      <c r="D187" s="166" t="s">
        <v>5661</v>
      </c>
      <c r="E187" s="165" t="s">
        <v>5633</v>
      </c>
      <c r="F187" s="135">
        <v>2025</v>
      </c>
      <c r="G187" s="135">
        <v>2025</v>
      </c>
      <c r="H187" s="135">
        <v>6</v>
      </c>
      <c r="I187" s="165"/>
      <c r="J187" s="165" t="s">
        <v>5817</v>
      </c>
      <c r="K187" s="465">
        <v>9795000</v>
      </c>
      <c r="L187" s="465">
        <v>9795000</v>
      </c>
      <c r="M187" s="165"/>
      <c r="N187" s="514"/>
      <c r="O187" s="165"/>
      <c r="P187" s="9" t="s">
        <v>3223</v>
      </c>
      <c r="Q187" s="135"/>
      <c r="R187" s="135"/>
      <c r="S187" s="167"/>
      <c r="T187" s="171" t="s">
        <v>3124</v>
      </c>
      <c r="U187" s="168"/>
      <c r="V187" s="245"/>
      <c r="W187" s="165" t="s">
        <v>5626</v>
      </c>
      <c r="X187" s="165"/>
      <c r="Y187" s="165"/>
      <c r="Z187" s="6" t="s">
        <v>4272</v>
      </c>
      <c r="AA187" s="6" t="s">
        <v>4269</v>
      </c>
      <c r="AB187" s="15">
        <v>1093</v>
      </c>
      <c r="AC187" s="204" t="s">
        <v>4271</v>
      </c>
      <c r="AD187" s="167"/>
      <c r="AE187" s="170"/>
      <c r="AF187" s="167" t="s">
        <v>4898</v>
      </c>
      <c r="AG187" s="248">
        <v>9795000</v>
      </c>
      <c r="AH187" s="165" t="s">
        <v>151</v>
      </c>
      <c r="AI187" s="165"/>
      <c r="AJ187" s="165"/>
      <c r="AK187" s="165" t="s">
        <v>3224</v>
      </c>
      <c r="AL187" s="165" t="s">
        <v>4269</v>
      </c>
      <c r="AM187" s="167"/>
      <c r="AN187" s="170"/>
      <c r="AO187" s="167"/>
      <c r="AP187" s="248"/>
      <c r="AQ187" s="165"/>
      <c r="AR187" s="165"/>
      <c r="AS187" s="165"/>
      <c r="AT187" s="165"/>
      <c r="AU187" s="165"/>
      <c r="AV187" s="167"/>
      <c r="AW187" s="167"/>
      <c r="AX187" s="167"/>
      <c r="AY187" s="249"/>
      <c r="AZ187" s="167"/>
      <c r="BA187" s="167"/>
      <c r="BB187" s="167"/>
      <c r="BC187" s="167"/>
      <c r="BD187" s="167"/>
      <c r="BE187" s="167"/>
      <c r="BF187" s="167"/>
      <c r="BG187" s="249"/>
      <c r="BH187" s="167"/>
      <c r="BI187" s="167"/>
      <c r="BJ187" s="167"/>
      <c r="BK187" s="167"/>
      <c r="BL187" s="167"/>
      <c r="BM187" s="167"/>
      <c r="BN187" s="167"/>
      <c r="BO187" s="249"/>
      <c r="BP187" s="167"/>
      <c r="BQ187" s="167"/>
      <c r="BR187" s="167"/>
      <c r="BS187" s="167"/>
      <c r="BT187" s="167"/>
      <c r="BU187" s="167"/>
      <c r="BV187" s="249"/>
      <c r="BW187" s="167"/>
      <c r="BX187" s="167"/>
      <c r="BY187" s="167"/>
      <c r="BZ187" s="167"/>
      <c r="CA187" s="586" t="s">
        <v>3190</v>
      </c>
      <c r="CB187" s="8"/>
      <c r="CC187" s="171"/>
      <c r="CD187" s="167"/>
      <c r="CE187" s="167"/>
      <c r="CF187" s="167"/>
      <c r="CG187" s="167"/>
      <c r="CH187" s="167"/>
      <c r="CI187" s="167"/>
      <c r="CJ187" s="167"/>
      <c r="CK187" s="167"/>
      <c r="CL187" s="167"/>
      <c r="CM187" s="167"/>
      <c r="CN187" s="167"/>
      <c r="CO187" s="167"/>
      <c r="CP187" s="167"/>
      <c r="CQ187" s="167"/>
      <c r="CR187" s="167"/>
      <c r="CS187" s="167"/>
      <c r="CT187" s="167"/>
      <c r="CU187" s="167"/>
      <c r="CV187" s="167"/>
      <c r="CW187" s="167"/>
      <c r="CX187" s="167"/>
    </row>
    <row r="188" spans="1:102" ht="36">
      <c r="A188" s="8">
        <v>24</v>
      </c>
      <c r="B188" s="143"/>
      <c r="C188" s="165"/>
      <c r="D188" s="166" t="s">
        <v>5662</v>
      </c>
      <c r="E188" s="165" t="s">
        <v>5633</v>
      </c>
      <c r="F188" s="135">
        <v>2025</v>
      </c>
      <c r="G188" s="135">
        <v>2025</v>
      </c>
      <c r="H188" s="135">
        <v>6</v>
      </c>
      <c r="I188" s="165"/>
      <c r="J188" s="165" t="s">
        <v>5818</v>
      </c>
      <c r="K188" s="465">
        <v>8810000</v>
      </c>
      <c r="L188" s="465">
        <v>8810000</v>
      </c>
      <c r="M188" s="165"/>
      <c r="N188" s="514"/>
      <c r="O188" s="165"/>
      <c r="P188" s="9" t="s">
        <v>3223</v>
      </c>
      <c r="Q188" s="135"/>
      <c r="R188" s="135"/>
      <c r="S188" s="167"/>
      <c r="T188" s="171" t="s">
        <v>3116</v>
      </c>
      <c r="U188" s="168"/>
      <c r="V188" s="245"/>
      <c r="W188" s="165" t="s">
        <v>5659</v>
      </c>
      <c r="X188" s="165"/>
      <c r="Y188" s="165"/>
      <c r="Z188" s="6" t="s">
        <v>4272</v>
      </c>
      <c r="AA188" s="6" t="s">
        <v>4269</v>
      </c>
      <c r="AB188" s="15">
        <v>1093</v>
      </c>
      <c r="AC188" s="204" t="s">
        <v>4271</v>
      </c>
      <c r="AD188" s="167"/>
      <c r="AE188" s="170"/>
      <c r="AF188" s="167" t="s">
        <v>4363</v>
      </c>
      <c r="AG188" s="248">
        <v>8810000</v>
      </c>
      <c r="AH188" s="165" t="s">
        <v>171</v>
      </c>
      <c r="AI188" s="165"/>
      <c r="AJ188" s="165"/>
      <c r="AK188" s="165" t="s">
        <v>4272</v>
      </c>
      <c r="AL188" s="6" t="s">
        <v>4269</v>
      </c>
      <c r="AM188" s="167"/>
      <c r="AN188" s="170"/>
      <c r="AO188" s="167" t="s">
        <v>4616</v>
      </c>
      <c r="AP188" s="248">
        <v>8810000</v>
      </c>
      <c r="AQ188" s="165" t="s">
        <v>175</v>
      </c>
      <c r="AR188" s="165"/>
      <c r="AS188" s="165"/>
      <c r="AT188" s="165" t="s">
        <v>4272</v>
      </c>
      <c r="AU188" s="6" t="s">
        <v>4269</v>
      </c>
      <c r="AV188" s="167"/>
      <c r="AW188" s="167"/>
      <c r="AX188" s="167"/>
      <c r="AY188" s="249"/>
      <c r="AZ188" s="167"/>
      <c r="BA188" s="167"/>
      <c r="BB188" s="167"/>
      <c r="BC188" s="167"/>
      <c r="BD188" s="167"/>
      <c r="BE188" s="167"/>
      <c r="BF188" s="167"/>
      <c r="BG188" s="249"/>
      <c r="BH188" s="167"/>
      <c r="BI188" s="167"/>
      <c r="BJ188" s="167"/>
      <c r="BK188" s="167"/>
      <c r="BL188" s="167"/>
      <c r="BM188" s="167"/>
      <c r="BN188" s="167"/>
      <c r="BO188" s="249"/>
      <c r="BP188" s="167"/>
      <c r="BQ188" s="167"/>
      <c r="BR188" s="167"/>
      <c r="BS188" s="167"/>
      <c r="BT188" s="167"/>
      <c r="BU188" s="167"/>
      <c r="BV188" s="249"/>
      <c r="BW188" s="167"/>
      <c r="BX188" s="167"/>
      <c r="BY188" s="167"/>
      <c r="BZ188" s="167"/>
      <c r="CA188" s="586" t="s">
        <v>3190</v>
      </c>
      <c r="CB188" s="8"/>
      <c r="CC188" s="171"/>
      <c r="CD188" s="167"/>
      <c r="CE188" s="167"/>
      <c r="CF188" s="167"/>
      <c r="CG188" s="167"/>
      <c r="CH188" s="167"/>
      <c r="CI188" s="167"/>
      <c r="CJ188" s="167"/>
      <c r="CK188" s="167"/>
      <c r="CL188" s="167"/>
      <c r="CM188" s="167"/>
      <c r="CN188" s="167"/>
      <c r="CO188" s="167"/>
      <c r="CP188" s="167"/>
      <c r="CQ188" s="167"/>
      <c r="CR188" s="167"/>
      <c r="CS188" s="167"/>
      <c r="CT188" s="167"/>
      <c r="CU188" s="167"/>
      <c r="CV188" s="167"/>
      <c r="CW188" s="167"/>
      <c r="CX188" s="167"/>
    </row>
    <row r="189" spans="1:102" ht="36">
      <c r="A189" s="8">
        <v>25</v>
      </c>
      <c r="B189" s="143"/>
      <c r="C189" s="165"/>
      <c r="D189" s="166" t="s">
        <v>5663</v>
      </c>
      <c r="E189" s="165" t="s">
        <v>5664</v>
      </c>
      <c r="F189" s="135">
        <v>2025</v>
      </c>
      <c r="G189" s="135">
        <v>2025</v>
      </c>
      <c r="H189" s="135">
        <v>6</v>
      </c>
      <c r="I189" s="165" t="s">
        <v>5536</v>
      </c>
      <c r="J189" s="165" t="s">
        <v>5819</v>
      </c>
      <c r="K189" s="465">
        <v>4990000</v>
      </c>
      <c r="L189" s="465">
        <v>4990000</v>
      </c>
      <c r="M189" s="165" t="s">
        <v>4269</v>
      </c>
      <c r="N189" s="514">
        <v>2</v>
      </c>
      <c r="O189" s="165"/>
      <c r="P189" s="9" t="s">
        <v>3223</v>
      </c>
      <c r="Q189" s="135" t="s">
        <v>3215</v>
      </c>
      <c r="R189" s="135"/>
      <c r="S189" s="167">
        <v>6826743</v>
      </c>
      <c r="T189" s="171" t="s">
        <v>4600</v>
      </c>
      <c r="U189" s="168" t="s">
        <v>1880</v>
      </c>
      <c r="V189" s="245">
        <v>4990000</v>
      </c>
      <c r="W189" s="165" t="s">
        <v>5651</v>
      </c>
      <c r="X189" s="165"/>
      <c r="Y189" s="165"/>
      <c r="Z189" s="6" t="s">
        <v>4282</v>
      </c>
      <c r="AA189" s="6" t="s">
        <v>4269</v>
      </c>
      <c r="AB189" s="6">
        <v>1093</v>
      </c>
      <c r="AC189" s="11" t="s">
        <v>4271</v>
      </c>
      <c r="AD189" s="167">
        <v>6658545</v>
      </c>
      <c r="AE189" s="170" t="s">
        <v>984</v>
      </c>
      <c r="AF189" s="167" t="s">
        <v>4751</v>
      </c>
      <c r="AG189" s="245">
        <v>4990000</v>
      </c>
      <c r="AH189" s="165" t="s">
        <v>5651</v>
      </c>
      <c r="AI189" s="165"/>
      <c r="AJ189" s="165"/>
      <c r="AK189" s="6" t="s">
        <v>4282</v>
      </c>
      <c r="AL189" s="6" t="s">
        <v>4269</v>
      </c>
      <c r="AM189" s="167">
        <v>6892129</v>
      </c>
      <c r="AN189" s="170" t="s">
        <v>2557</v>
      </c>
      <c r="AO189" s="167" t="s">
        <v>115</v>
      </c>
      <c r="AP189" s="245">
        <v>4990000</v>
      </c>
      <c r="AQ189" s="165" t="s">
        <v>5651</v>
      </c>
      <c r="AR189" s="165"/>
      <c r="AS189" s="165"/>
      <c r="AT189" s="6" t="s">
        <v>4282</v>
      </c>
      <c r="AU189" s="6" t="s">
        <v>4269</v>
      </c>
      <c r="AV189" s="167"/>
      <c r="AW189" s="167"/>
      <c r="AX189" s="167"/>
      <c r="AY189" s="249"/>
      <c r="AZ189" s="167"/>
      <c r="BA189" s="167"/>
      <c r="BB189" s="167"/>
      <c r="BC189" s="167"/>
      <c r="BD189" s="167"/>
      <c r="BE189" s="167"/>
      <c r="BF189" s="167"/>
      <c r="BG189" s="249"/>
      <c r="BH189" s="167"/>
      <c r="BI189" s="167"/>
      <c r="BJ189" s="167"/>
      <c r="BK189" s="167"/>
      <c r="BL189" s="167"/>
      <c r="BM189" s="167"/>
      <c r="BN189" s="167"/>
      <c r="BO189" s="249"/>
      <c r="BP189" s="167"/>
      <c r="BQ189" s="167"/>
      <c r="BR189" s="167"/>
      <c r="BS189" s="167"/>
      <c r="BT189" s="167"/>
      <c r="BU189" s="167"/>
      <c r="BV189" s="249"/>
      <c r="BW189" s="167"/>
      <c r="BX189" s="167"/>
      <c r="BY189" s="167"/>
      <c r="BZ189" s="167"/>
      <c r="CA189" s="586" t="s">
        <v>3190</v>
      </c>
      <c r="CB189" s="8"/>
      <c r="CC189" s="171"/>
      <c r="CD189" s="167"/>
      <c r="CE189" s="167"/>
      <c r="CF189" s="167"/>
      <c r="CG189" s="167"/>
      <c r="CH189" s="167"/>
      <c r="CI189" s="167"/>
      <c r="CJ189" s="167"/>
      <c r="CK189" s="167"/>
      <c r="CL189" s="167"/>
      <c r="CM189" s="167"/>
      <c r="CN189" s="167"/>
      <c r="CO189" s="167"/>
      <c r="CP189" s="167"/>
      <c r="CQ189" s="167"/>
      <c r="CR189" s="167"/>
      <c r="CS189" s="167"/>
      <c r="CT189" s="167"/>
      <c r="CU189" s="167"/>
      <c r="CV189" s="167"/>
      <c r="CW189" s="167"/>
      <c r="CX189" s="167"/>
    </row>
    <row r="190" spans="1:102" ht="36">
      <c r="A190" s="8">
        <v>26</v>
      </c>
      <c r="B190" s="143"/>
      <c r="C190" s="165"/>
      <c r="D190" s="166" t="s">
        <v>5665</v>
      </c>
      <c r="E190" s="165" t="s">
        <v>5664</v>
      </c>
      <c r="F190" s="135">
        <v>2025</v>
      </c>
      <c r="G190" s="135">
        <v>2025</v>
      </c>
      <c r="H190" s="135">
        <v>6</v>
      </c>
      <c r="I190" s="165" t="s">
        <v>5524</v>
      </c>
      <c r="J190" s="165" t="s">
        <v>5819</v>
      </c>
      <c r="K190" s="465">
        <v>4950000</v>
      </c>
      <c r="L190" s="465">
        <v>4950000</v>
      </c>
      <c r="M190" s="165" t="s">
        <v>4269</v>
      </c>
      <c r="N190" s="514">
        <v>2</v>
      </c>
      <c r="O190" s="165"/>
      <c r="P190" s="9" t="s">
        <v>3223</v>
      </c>
      <c r="Q190" s="135" t="s">
        <v>3215</v>
      </c>
      <c r="R190" s="135"/>
      <c r="S190" s="167">
        <v>6680626</v>
      </c>
      <c r="T190" s="171" t="s">
        <v>3120</v>
      </c>
      <c r="U190" s="168" t="s">
        <v>1008</v>
      </c>
      <c r="V190" s="245">
        <v>4950000</v>
      </c>
      <c r="W190" s="165" t="s">
        <v>5659</v>
      </c>
      <c r="X190" s="165"/>
      <c r="Y190" s="165"/>
      <c r="Z190" s="6" t="s">
        <v>4272</v>
      </c>
      <c r="AA190" s="6" t="s">
        <v>4269</v>
      </c>
      <c r="AB190" s="6">
        <v>1093</v>
      </c>
      <c r="AC190" s="11" t="s">
        <v>4271</v>
      </c>
      <c r="AD190" s="167">
        <v>6803558</v>
      </c>
      <c r="AE190" s="170" t="s">
        <v>2699</v>
      </c>
      <c r="AF190" s="167" t="s">
        <v>135</v>
      </c>
      <c r="AG190" s="245">
        <v>4950000</v>
      </c>
      <c r="AH190" s="165" t="s">
        <v>171</v>
      </c>
      <c r="AI190" s="165"/>
      <c r="AJ190" s="165"/>
      <c r="AK190" s="165" t="s">
        <v>4272</v>
      </c>
      <c r="AL190" s="6" t="s">
        <v>4269</v>
      </c>
      <c r="AM190" s="167">
        <v>6773159</v>
      </c>
      <c r="AN190" s="170" t="s">
        <v>3683</v>
      </c>
      <c r="AO190" s="167" t="s">
        <v>4907</v>
      </c>
      <c r="AP190" s="245">
        <v>4950000</v>
      </c>
      <c r="AQ190" s="165" t="s">
        <v>171</v>
      </c>
      <c r="AR190" s="165"/>
      <c r="AS190" s="165"/>
      <c r="AT190" s="165" t="s">
        <v>4272</v>
      </c>
      <c r="AU190" s="6" t="s">
        <v>4269</v>
      </c>
      <c r="AV190" s="167"/>
      <c r="AW190" s="167"/>
      <c r="AX190" s="167"/>
      <c r="AY190" s="249"/>
      <c r="AZ190" s="167"/>
      <c r="BA190" s="167"/>
      <c r="BB190" s="167"/>
      <c r="BC190" s="167"/>
      <c r="BD190" s="167"/>
      <c r="BE190" s="167"/>
      <c r="BF190" s="167"/>
      <c r="BG190" s="249"/>
      <c r="BH190" s="167"/>
      <c r="BI190" s="167"/>
      <c r="BJ190" s="167"/>
      <c r="BK190" s="167"/>
      <c r="BL190" s="167"/>
      <c r="BM190" s="167"/>
      <c r="BN190" s="167"/>
      <c r="BO190" s="249"/>
      <c r="BP190" s="167"/>
      <c r="BQ190" s="167"/>
      <c r="BR190" s="167"/>
      <c r="BS190" s="167"/>
      <c r="BT190" s="167"/>
      <c r="BU190" s="167"/>
      <c r="BV190" s="249"/>
      <c r="BW190" s="167"/>
      <c r="BX190" s="167"/>
      <c r="BY190" s="167"/>
      <c r="BZ190" s="167"/>
      <c r="CA190" s="586" t="s">
        <v>3190</v>
      </c>
      <c r="CB190" s="8"/>
      <c r="CC190" s="171"/>
      <c r="CD190" s="167"/>
      <c r="CE190" s="167"/>
      <c r="CF190" s="167"/>
      <c r="CG190" s="167"/>
      <c r="CH190" s="167"/>
      <c r="CI190" s="167"/>
      <c r="CJ190" s="167"/>
      <c r="CK190" s="167"/>
      <c r="CL190" s="167"/>
      <c r="CM190" s="167"/>
      <c r="CN190" s="167"/>
      <c r="CO190" s="167"/>
      <c r="CP190" s="167"/>
      <c r="CQ190" s="167"/>
      <c r="CR190" s="167"/>
      <c r="CS190" s="167"/>
      <c r="CT190" s="167"/>
      <c r="CU190" s="167"/>
      <c r="CV190" s="167"/>
      <c r="CW190" s="167"/>
      <c r="CX190" s="167"/>
    </row>
    <row r="191" spans="1:102" ht="36">
      <c r="A191" s="8">
        <v>27</v>
      </c>
      <c r="B191" s="143"/>
      <c r="C191" s="165"/>
      <c r="D191" s="166" t="s">
        <v>5666</v>
      </c>
      <c r="E191" s="165" t="s">
        <v>5664</v>
      </c>
      <c r="F191" s="135">
        <v>2025</v>
      </c>
      <c r="G191" s="135">
        <v>2025</v>
      </c>
      <c r="H191" s="135">
        <v>6</v>
      </c>
      <c r="I191" s="165" t="s">
        <v>5524</v>
      </c>
      <c r="J191" s="165" t="s">
        <v>5820</v>
      </c>
      <c r="K191" s="465">
        <v>2480000</v>
      </c>
      <c r="L191" s="465">
        <v>2480000</v>
      </c>
      <c r="M191" s="165" t="s">
        <v>4269</v>
      </c>
      <c r="N191" s="514">
        <v>3</v>
      </c>
      <c r="O191" s="165"/>
      <c r="P191" s="9" t="s">
        <v>3223</v>
      </c>
      <c r="Q191" s="135" t="s">
        <v>3215</v>
      </c>
      <c r="R191" s="135"/>
      <c r="S191" s="167">
        <v>6806662</v>
      </c>
      <c r="T191" s="171" t="s">
        <v>4331</v>
      </c>
      <c r="U191" s="168" t="s">
        <v>1897</v>
      </c>
      <c r="V191" s="245">
        <v>2480000</v>
      </c>
      <c r="W191" s="165" t="s">
        <v>5642</v>
      </c>
      <c r="X191" s="165"/>
      <c r="Y191" s="165"/>
      <c r="Z191" s="6" t="s">
        <v>4272</v>
      </c>
      <c r="AA191" s="6" t="s">
        <v>4269</v>
      </c>
      <c r="AB191" s="6">
        <v>1093</v>
      </c>
      <c r="AC191" s="11" t="s">
        <v>4271</v>
      </c>
      <c r="AD191" s="167">
        <v>6760392</v>
      </c>
      <c r="AE191" s="170" t="s">
        <v>948</v>
      </c>
      <c r="AF191" s="167" t="s">
        <v>3081</v>
      </c>
      <c r="AG191" s="245">
        <v>2480000</v>
      </c>
      <c r="AH191" s="165" t="s">
        <v>175</v>
      </c>
      <c r="AI191" s="165"/>
      <c r="AJ191" s="165"/>
      <c r="AK191" s="165" t="s">
        <v>4272</v>
      </c>
      <c r="AL191" s="6" t="s">
        <v>4269</v>
      </c>
      <c r="AM191" s="167">
        <v>6793410</v>
      </c>
      <c r="AN191" s="170" t="s">
        <v>947</v>
      </c>
      <c r="AO191" s="167" t="s">
        <v>4316</v>
      </c>
      <c r="AP191" s="245">
        <v>2480000</v>
      </c>
      <c r="AQ191" s="165" t="s">
        <v>175</v>
      </c>
      <c r="AR191" s="165"/>
      <c r="AS191" s="165"/>
      <c r="AT191" s="165" t="s">
        <v>4272</v>
      </c>
      <c r="AU191" s="6" t="s">
        <v>4269</v>
      </c>
      <c r="AV191" s="167"/>
      <c r="AW191" s="167"/>
      <c r="AX191" s="167"/>
      <c r="AY191" s="249"/>
      <c r="AZ191" s="167"/>
      <c r="BA191" s="167"/>
      <c r="BB191" s="167"/>
      <c r="BC191" s="167"/>
      <c r="BD191" s="167"/>
      <c r="BE191" s="167"/>
      <c r="BF191" s="167"/>
      <c r="BG191" s="249"/>
      <c r="BH191" s="167"/>
      <c r="BI191" s="167"/>
      <c r="BJ191" s="167"/>
      <c r="BK191" s="167"/>
      <c r="BL191" s="167"/>
      <c r="BM191" s="167"/>
      <c r="BN191" s="167"/>
      <c r="BO191" s="249"/>
      <c r="BP191" s="167"/>
      <c r="BQ191" s="167"/>
      <c r="BR191" s="167"/>
      <c r="BS191" s="167"/>
      <c r="BT191" s="167"/>
      <c r="BU191" s="167"/>
      <c r="BV191" s="249"/>
      <c r="BW191" s="167"/>
      <c r="BX191" s="167"/>
      <c r="BY191" s="167"/>
      <c r="BZ191" s="167"/>
      <c r="CA191" s="586" t="s">
        <v>3190</v>
      </c>
      <c r="CB191" s="8"/>
      <c r="CC191" s="171"/>
      <c r="CD191" s="167"/>
      <c r="CE191" s="167"/>
      <c r="CF191" s="167"/>
      <c r="CG191" s="167"/>
      <c r="CH191" s="167"/>
      <c r="CI191" s="167"/>
      <c r="CJ191" s="167"/>
      <c r="CK191" s="167"/>
      <c r="CL191" s="167"/>
      <c r="CM191" s="167"/>
      <c r="CN191" s="167"/>
      <c r="CO191" s="167"/>
      <c r="CP191" s="167"/>
      <c r="CQ191" s="167"/>
      <c r="CR191" s="167"/>
      <c r="CS191" s="167"/>
      <c r="CT191" s="167"/>
      <c r="CU191" s="167"/>
      <c r="CV191" s="167"/>
      <c r="CW191" s="167"/>
      <c r="CX191" s="167"/>
    </row>
    <row r="192" spans="1:102">
      <c r="A192" s="8"/>
      <c r="B192" s="143"/>
      <c r="C192" s="165"/>
      <c r="D192" s="166"/>
      <c r="E192" s="165"/>
      <c r="F192" s="135"/>
      <c r="G192" s="135"/>
      <c r="H192" s="135"/>
      <c r="I192" s="165"/>
      <c r="J192" s="165"/>
      <c r="K192" s="465"/>
      <c r="L192" s="465"/>
      <c r="M192" s="165"/>
      <c r="N192" s="514"/>
      <c r="O192" s="165"/>
      <c r="P192" s="166"/>
      <c r="Q192" s="135"/>
      <c r="R192" s="135"/>
      <c r="S192" s="167"/>
      <c r="T192" s="171"/>
      <c r="U192" s="168"/>
      <c r="V192" s="245"/>
      <c r="W192" s="165"/>
      <c r="X192" s="165"/>
      <c r="Y192" s="165"/>
      <c r="Z192" s="6"/>
      <c r="AA192" s="6"/>
      <c r="AB192" s="135"/>
      <c r="AC192" s="135"/>
      <c r="AD192" s="167"/>
      <c r="AE192" s="170"/>
      <c r="AF192" s="167"/>
      <c r="AG192" s="248"/>
      <c r="AH192" s="165"/>
      <c r="AI192" s="165"/>
      <c r="AJ192" s="165"/>
      <c r="AK192" s="165"/>
      <c r="AL192" s="165"/>
      <c r="AM192" s="167"/>
      <c r="AN192" s="170"/>
      <c r="AO192" s="167"/>
      <c r="AP192" s="248"/>
      <c r="AQ192" s="165"/>
      <c r="AR192" s="165"/>
      <c r="AS192" s="165"/>
      <c r="AT192" s="165"/>
      <c r="AU192" s="165"/>
      <c r="AV192" s="167"/>
      <c r="AW192" s="167"/>
      <c r="AX192" s="167"/>
      <c r="AY192" s="249"/>
      <c r="AZ192" s="167"/>
      <c r="BA192" s="167"/>
      <c r="BB192" s="167"/>
      <c r="BC192" s="167"/>
      <c r="BD192" s="167"/>
      <c r="BE192" s="167"/>
      <c r="BF192" s="167"/>
      <c r="BG192" s="249"/>
      <c r="BH192" s="167"/>
      <c r="BI192" s="167"/>
      <c r="BJ192" s="167"/>
      <c r="BK192" s="167"/>
      <c r="BL192" s="167"/>
      <c r="BM192" s="167"/>
      <c r="BN192" s="167"/>
      <c r="BO192" s="249"/>
      <c r="BP192" s="167"/>
      <c r="BQ192" s="167"/>
      <c r="BR192" s="167"/>
      <c r="BS192" s="167"/>
      <c r="BT192" s="167"/>
      <c r="BU192" s="167"/>
      <c r="BV192" s="249"/>
      <c r="BW192" s="167"/>
      <c r="BX192" s="167"/>
      <c r="BY192" s="167"/>
      <c r="BZ192" s="167"/>
      <c r="CA192" s="160"/>
      <c r="CB192" s="8"/>
      <c r="CC192" s="171"/>
      <c r="CD192" s="167"/>
      <c r="CE192" s="167"/>
      <c r="CF192" s="167"/>
      <c r="CG192" s="167"/>
      <c r="CH192" s="167"/>
      <c r="CI192" s="167"/>
      <c r="CJ192" s="167"/>
      <c r="CK192" s="167"/>
      <c r="CL192" s="167"/>
      <c r="CM192" s="167"/>
      <c r="CN192" s="167"/>
      <c r="CO192" s="167"/>
      <c r="CP192" s="167"/>
      <c r="CQ192" s="167"/>
      <c r="CR192" s="167"/>
      <c r="CS192" s="167"/>
      <c r="CT192" s="167"/>
      <c r="CU192" s="167"/>
      <c r="CV192" s="167"/>
      <c r="CW192" s="167"/>
      <c r="CX192" s="167"/>
    </row>
    <row r="193" spans="1:102">
      <c r="A193" s="8"/>
      <c r="B193" s="143"/>
      <c r="C193" s="165"/>
      <c r="D193" s="166"/>
      <c r="E193" s="165"/>
      <c r="F193" s="135"/>
      <c r="G193" s="135"/>
      <c r="H193" s="135"/>
      <c r="I193" s="165"/>
      <c r="J193" s="165"/>
      <c r="K193" s="465"/>
      <c r="L193" s="465"/>
      <c r="M193" s="165"/>
      <c r="N193" s="514"/>
      <c r="O193" s="165"/>
      <c r="P193" s="166"/>
      <c r="Q193" s="135"/>
      <c r="R193" s="135"/>
      <c r="S193" s="167"/>
      <c r="T193" s="171"/>
      <c r="U193" s="168"/>
      <c r="V193" s="245"/>
      <c r="W193" s="165"/>
      <c r="X193" s="165"/>
      <c r="Y193" s="165"/>
      <c r="Z193" s="6"/>
      <c r="AA193" s="6"/>
      <c r="AB193" s="135"/>
      <c r="AC193" s="135"/>
      <c r="AD193" s="167"/>
      <c r="AE193" s="170"/>
      <c r="AF193" s="167"/>
      <c r="AG193" s="248"/>
      <c r="AH193" s="165"/>
      <c r="AI193" s="165"/>
      <c r="AJ193" s="165"/>
      <c r="AK193" s="165"/>
      <c r="AL193" s="165"/>
      <c r="AM193" s="167"/>
      <c r="AN193" s="170"/>
      <c r="AO193" s="167"/>
      <c r="AP193" s="248"/>
      <c r="AQ193" s="165"/>
      <c r="AR193" s="165"/>
      <c r="AS193" s="165"/>
      <c r="AT193" s="165"/>
      <c r="AU193" s="165"/>
      <c r="AV193" s="167"/>
      <c r="AW193" s="167"/>
      <c r="AX193" s="167"/>
      <c r="AY193" s="249"/>
      <c r="AZ193" s="167"/>
      <c r="BA193" s="167"/>
      <c r="BB193" s="167"/>
      <c r="BC193" s="167"/>
      <c r="BD193" s="167"/>
      <c r="BE193" s="167"/>
      <c r="BF193" s="167"/>
      <c r="BG193" s="249"/>
      <c r="BH193" s="167"/>
      <c r="BI193" s="167"/>
      <c r="BJ193" s="167"/>
      <c r="BK193" s="167"/>
      <c r="BL193" s="167"/>
      <c r="BM193" s="167"/>
      <c r="BN193" s="167"/>
      <c r="BO193" s="249"/>
      <c r="BP193" s="167"/>
      <c r="BQ193" s="167"/>
      <c r="BR193" s="167"/>
      <c r="BS193" s="167"/>
      <c r="BT193" s="167"/>
      <c r="BU193" s="167"/>
      <c r="BV193" s="249"/>
      <c r="BW193" s="167"/>
      <c r="BX193" s="167"/>
      <c r="BY193" s="167"/>
      <c r="BZ193" s="167"/>
      <c r="CA193" s="160"/>
      <c r="CB193" s="8"/>
      <c r="CC193" s="171"/>
      <c r="CD193" s="167"/>
      <c r="CE193" s="167"/>
      <c r="CF193" s="167"/>
      <c r="CG193" s="167"/>
      <c r="CH193" s="167"/>
      <c r="CI193" s="167"/>
      <c r="CJ193" s="167"/>
      <c r="CK193" s="167"/>
      <c r="CL193" s="167"/>
      <c r="CM193" s="167"/>
      <c r="CN193" s="167"/>
      <c r="CO193" s="167"/>
      <c r="CP193" s="167"/>
      <c r="CQ193" s="167"/>
      <c r="CR193" s="167"/>
      <c r="CS193" s="167"/>
      <c r="CT193" s="167"/>
      <c r="CU193" s="167"/>
      <c r="CV193" s="167"/>
      <c r="CW193" s="167"/>
      <c r="CX193" s="167"/>
    </row>
    <row r="194" spans="1:102">
      <c r="A194" s="8"/>
      <c r="B194" s="143"/>
      <c r="C194" s="165"/>
      <c r="D194" s="166"/>
      <c r="E194" s="165"/>
      <c r="F194" s="135"/>
      <c r="G194" s="135"/>
      <c r="H194" s="135"/>
      <c r="I194" s="165"/>
      <c r="J194" s="165"/>
      <c r="K194" s="465"/>
      <c r="L194" s="465"/>
      <c r="M194" s="165"/>
      <c r="N194" s="514"/>
      <c r="O194" s="165"/>
      <c r="P194" s="166"/>
      <c r="Q194" s="135"/>
      <c r="R194" s="135"/>
      <c r="S194" s="167"/>
      <c r="T194" s="171"/>
      <c r="U194" s="168"/>
      <c r="V194" s="245"/>
      <c r="W194" s="165"/>
      <c r="X194" s="165"/>
      <c r="Y194" s="165"/>
      <c r="Z194" s="6"/>
      <c r="AA194" s="6"/>
      <c r="AB194" s="135"/>
      <c r="AC194" s="135"/>
      <c r="AD194" s="167"/>
      <c r="AE194" s="170"/>
      <c r="AF194" s="167"/>
      <c r="AG194" s="248"/>
      <c r="AH194" s="165"/>
      <c r="AI194" s="165"/>
      <c r="AJ194" s="165"/>
      <c r="AK194" s="165"/>
      <c r="AL194" s="165"/>
      <c r="AM194" s="167"/>
      <c r="AN194" s="170"/>
      <c r="AO194" s="167"/>
      <c r="AP194" s="248"/>
      <c r="AQ194" s="165"/>
      <c r="AR194" s="165"/>
      <c r="AS194" s="165"/>
      <c r="AT194" s="165"/>
      <c r="AU194" s="165"/>
      <c r="AV194" s="167"/>
      <c r="AW194" s="167"/>
      <c r="AX194" s="167"/>
      <c r="AY194" s="249"/>
      <c r="AZ194" s="167"/>
      <c r="BA194" s="167"/>
      <c r="BB194" s="167"/>
      <c r="BC194" s="167"/>
      <c r="BD194" s="167"/>
      <c r="BE194" s="167"/>
      <c r="BF194" s="167"/>
      <c r="BG194" s="249"/>
      <c r="BH194" s="167"/>
      <c r="BI194" s="167"/>
      <c r="BJ194" s="167"/>
      <c r="BK194" s="167"/>
      <c r="BL194" s="167"/>
      <c r="BM194" s="167"/>
      <c r="BN194" s="167"/>
      <c r="BO194" s="249"/>
      <c r="BP194" s="167"/>
      <c r="BQ194" s="167"/>
      <c r="BR194" s="167"/>
      <c r="BS194" s="167"/>
      <c r="BT194" s="167"/>
      <c r="BU194" s="167"/>
      <c r="BV194" s="249"/>
      <c r="BW194" s="167"/>
      <c r="BX194" s="167"/>
      <c r="BY194" s="167"/>
      <c r="BZ194" s="167"/>
      <c r="CA194" s="160"/>
      <c r="CB194" s="8"/>
      <c r="CC194" s="171"/>
      <c r="CD194" s="167"/>
      <c r="CE194" s="167"/>
      <c r="CF194" s="167"/>
      <c r="CG194" s="167"/>
      <c r="CH194" s="167"/>
      <c r="CI194" s="167"/>
      <c r="CJ194" s="167"/>
      <c r="CK194" s="167"/>
      <c r="CL194" s="167"/>
      <c r="CM194" s="167"/>
      <c r="CN194" s="167"/>
      <c r="CO194" s="167"/>
      <c r="CP194" s="167"/>
      <c r="CQ194" s="167"/>
      <c r="CR194" s="167"/>
      <c r="CS194" s="167"/>
      <c r="CT194" s="167"/>
      <c r="CU194" s="167"/>
      <c r="CV194" s="167"/>
      <c r="CW194" s="167"/>
      <c r="CX194" s="167"/>
    </row>
    <row r="195" spans="1:102">
      <c r="A195" s="8"/>
      <c r="B195" s="143"/>
      <c r="C195" s="165"/>
      <c r="D195" s="166"/>
      <c r="E195" s="165"/>
      <c r="F195" s="135"/>
      <c r="G195" s="135"/>
      <c r="H195" s="135"/>
      <c r="I195" s="165"/>
      <c r="J195" s="165"/>
      <c r="K195" s="465"/>
      <c r="L195" s="465"/>
      <c r="M195" s="165"/>
      <c r="N195" s="514"/>
      <c r="O195" s="165"/>
      <c r="P195" s="166"/>
      <c r="Q195" s="135"/>
      <c r="R195" s="135"/>
      <c r="S195" s="167"/>
      <c r="T195" s="171"/>
      <c r="U195" s="168"/>
      <c r="V195" s="245"/>
      <c r="W195" s="165"/>
      <c r="X195" s="165"/>
      <c r="Y195" s="165"/>
      <c r="Z195" s="6"/>
      <c r="AA195" s="6"/>
      <c r="AB195" s="135"/>
      <c r="AC195" s="135"/>
      <c r="AD195" s="167"/>
      <c r="AE195" s="170"/>
      <c r="AF195" s="167"/>
      <c r="AG195" s="248"/>
      <c r="AH195" s="165"/>
      <c r="AI195" s="165"/>
      <c r="AJ195" s="165"/>
      <c r="AK195" s="165"/>
      <c r="AL195" s="165"/>
      <c r="AM195" s="167"/>
      <c r="AN195" s="170"/>
      <c r="AO195" s="167"/>
      <c r="AP195" s="248"/>
      <c r="AQ195" s="165"/>
      <c r="AR195" s="165"/>
      <c r="AS195" s="165"/>
      <c r="AT195" s="165"/>
      <c r="AU195" s="165"/>
      <c r="AV195" s="167"/>
      <c r="AW195" s="167"/>
      <c r="AX195" s="167"/>
      <c r="AY195" s="249"/>
      <c r="AZ195" s="167"/>
      <c r="BA195" s="167"/>
      <c r="BB195" s="167"/>
      <c r="BC195" s="167"/>
      <c r="BD195" s="167"/>
      <c r="BE195" s="167"/>
      <c r="BF195" s="167"/>
      <c r="BG195" s="249"/>
      <c r="BH195" s="167"/>
      <c r="BI195" s="167"/>
      <c r="BJ195" s="167"/>
      <c r="BK195" s="167"/>
      <c r="BL195" s="167"/>
      <c r="BM195" s="167"/>
      <c r="BN195" s="167"/>
      <c r="BO195" s="249"/>
      <c r="BP195" s="167"/>
      <c r="BQ195" s="167"/>
      <c r="BR195" s="167"/>
      <c r="BS195" s="167"/>
      <c r="BT195" s="167"/>
      <c r="BU195" s="167"/>
      <c r="BV195" s="249"/>
      <c r="BW195" s="167"/>
      <c r="BX195" s="167"/>
      <c r="BY195" s="167"/>
      <c r="BZ195" s="167"/>
      <c r="CA195" s="160"/>
      <c r="CB195" s="8"/>
      <c r="CC195" s="171"/>
      <c r="CD195" s="167"/>
      <c r="CE195" s="167"/>
      <c r="CF195" s="167"/>
      <c r="CG195" s="167"/>
      <c r="CH195" s="167"/>
      <c r="CI195" s="167"/>
      <c r="CJ195" s="167"/>
      <c r="CK195" s="167"/>
      <c r="CL195" s="167"/>
      <c r="CM195" s="167"/>
      <c r="CN195" s="167"/>
      <c r="CO195" s="167"/>
      <c r="CP195" s="167"/>
      <c r="CQ195" s="167"/>
      <c r="CR195" s="167"/>
      <c r="CS195" s="167"/>
      <c r="CT195" s="167"/>
      <c r="CU195" s="167"/>
      <c r="CV195" s="167"/>
      <c r="CW195" s="167"/>
      <c r="CX195" s="167"/>
    </row>
    <row r="196" spans="1:102">
      <c r="A196" s="8"/>
      <c r="B196" s="143"/>
      <c r="C196" s="165"/>
      <c r="D196" s="166"/>
      <c r="E196" s="165"/>
      <c r="F196" s="135"/>
      <c r="G196" s="135"/>
      <c r="H196" s="135"/>
      <c r="I196" s="165"/>
      <c r="J196" s="165"/>
      <c r="K196" s="465"/>
      <c r="L196" s="465"/>
      <c r="M196" s="165"/>
      <c r="N196" s="514"/>
      <c r="O196" s="165"/>
      <c r="P196" s="166"/>
      <c r="Q196" s="135"/>
      <c r="R196" s="135"/>
      <c r="S196" s="167"/>
      <c r="T196" s="171"/>
      <c r="U196" s="168"/>
      <c r="V196" s="245"/>
      <c r="W196" s="165"/>
      <c r="X196" s="165"/>
      <c r="Y196" s="165"/>
      <c r="Z196" s="6"/>
      <c r="AA196" s="6"/>
      <c r="AB196" s="135"/>
      <c r="AC196" s="135"/>
      <c r="AD196" s="167"/>
      <c r="AE196" s="170"/>
      <c r="AF196" s="167"/>
      <c r="AG196" s="248"/>
      <c r="AH196" s="165"/>
      <c r="AI196" s="165"/>
      <c r="AJ196" s="165"/>
      <c r="AK196" s="165"/>
      <c r="AL196" s="165"/>
      <c r="AM196" s="167"/>
      <c r="AN196" s="170"/>
      <c r="AO196" s="167"/>
      <c r="AP196" s="248"/>
      <c r="AQ196" s="165"/>
      <c r="AR196" s="165"/>
      <c r="AS196" s="165"/>
      <c r="AT196" s="165"/>
      <c r="AU196" s="165"/>
      <c r="AV196" s="167"/>
      <c r="AW196" s="167"/>
      <c r="AX196" s="167"/>
      <c r="AY196" s="249"/>
      <c r="AZ196" s="167"/>
      <c r="BA196" s="167"/>
      <c r="BB196" s="167"/>
      <c r="BC196" s="167"/>
      <c r="BD196" s="167"/>
      <c r="BE196" s="167"/>
      <c r="BF196" s="167"/>
      <c r="BG196" s="249"/>
      <c r="BH196" s="167"/>
      <c r="BI196" s="167"/>
      <c r="BJ196" s="167"/>
      <c r="BK196" s="167"/>
      <c r="BL196" s="167"/>
      <c r="BM196" s="167"/>
      <c r="BN196" s="167"/>
      <c r="BO196" s="249"/>
      <c r="BP196" s="167"/>
      <c r="BQ196" s="167"/>
      <c r="BR196" s="167"/>
      <c r="BS196" s="167"/>
      <c r="BT196" s="167"/>
      <c r="BU196" s="167"/>
      <c r="BV196" s="249"/>
      <c r="BW196" s="167"/>
      <c r="BX196" s="167"/>
      <c r="BY196" s="167"/>
      <c r="BZ196" s="167"/>
      <c r="CA196" s="160"/>
      <c r="CB196" s="8"/>
      <c r="CC196" s="171"/>
      <c r="CD196" s="167"/>
      <c r="CE196" s="167"/>
      <c r="CF196" s="167"/>
      <c r="CG196" s="167"/>
      <c r="CH196" s="167"/>
      <c r="CI196" s="167"/>
      <c r="CJ196" s="167"/>
      <c r="CK196" s="167"/>
      <c r="CL196" s="167"/>
      <c r="CM196" s="167"/>
      <c r="CN196" s="167"/>
      <c r="CO196" s="167"/>
      <c r="CP196" s="167"/>
      <c r="CQ196" s="167"/>
      <c r="CR196" s="167"/>
      <c r="CS196" s="167"/>
      <c r="CT196" s="167"/>
      <c r="CU196" s="167"/>
      <c r="CV196" s="167"/>
      <c r="CW196" s="167"/>
      <c r="CX196" s="167"/>
    </row>
    <row r="197" spans="1:102">
      <c r="A197" s="8"/>
      <c r="B197" s="143"/>
      <c r="C197" s="165"/>
      <c r="D197" s="166"/>
      <c r="E197" s="165"/>
      <c r="F197" s="135"/>
      <c r="G197" s="135"/>
      <c r="H197" s="135"/>
      <c r="I197" s="165"/>
      <c r="J197" s="165"/>
      <c r="K197" s="465"/>
      <c r="L197" s="465"/>
      <c r="M197" s="165"/>
      <c r="N197" s="514"/>
      <c r="O197" s="165"/>
      <c r="P197" s="166"/>
      <c r="Q197" s="135"/>
      <c r="R197" s="135"/>
      <c r="S197" s="167"/>
      <c r="T197" s="171"/>
      <c r="U197" s="168"/>
      <c r="V197" s="245"/>
      <c r="W197" s="165"/>
      <c r="X197" s="165"/>
      <c r="Y197" s="165"/>
      <c r="Z197" s="6"/>
      <c r="AA197" s="6"/>
      <c r="AB197" s="135"/>
      <c r="AC197" s="135"/>
      <c r="AD197" s="167"/>
      <c r="AE197" s="170"/>
      <c r="AF197" s="167"/>
      <c r="AG197" s="248"/>
      <c r="AH197" s="165"/>
      <c r="AI197" s="165"/>
      <c r="AJ197" s="165"/>
      <c r="AK197" s="165"/>
      <c r="AL197" s="165"/>
      <c r="AM197" s="167"/>
      <c r="AN197" s="170"/>
      <c r="AO197" s="167"/>
      <c r="AP197" s="248"/>
      <c r="AQ197" s="165"/>
      <c r="AR197" s="165"/>
      <c r="AS197" s="165"/>
      <c r="AT197" s="165"/>
      <c r="AU197" s="165"/>
      <c r="AV197" s="167"/>
      <c r="AW197" s="167"/>
      <c r="AX197" s="167"/>
      <c r="AY197" s="249"/>
      <c r="AZ197" s="167"/>
      <c r="BA197" s="167"/>
      <c r="BB197" s="167"/>
      <c r="BC197" s="167"/>
      <c r="BD197" s="167"/>
      <c r="BE197" s="167"/>
      <c r="BF197" s="167"/>
      <c r="BG197" s="249"/>
      <c r="BH197" s="167"/>
      <c r="BI197" s="167"/>
      <c r="BJ197" s="167"/>
      <c r="BK197" s="167"/>
      <c r="BL197" s="167"/>
      <c r="BM197" s="167"/>
      <c r="BN197" s="167"/>
      <c r="BO197" s="249"/>
      <c r="BP197" s="167"/>
      <c r="BQ197" s="167"/>
      <c r="BR197" s="167"/>
      <c r="BS197" s="167"/>
      <c r="BT197" s="167"/>
      <c r="BU197" s="167"/>
      <c r="BV197" s="249"/>
      <c r="BW197" s="167"/>
      <c r="BX197" s="167"/>
      <c r="BY197" s="167"/>
      <c r="BZ197" s="167"/>
      <c r="CA197" s="160"/>
      <c r="CB197" s="8"/>
      <c r="CC197" s="171"/>
      <c r="CD197" s="167"/>
      <c r="CE197" s="167"/>
      <c r="CF197" s="167"/>
      <c r="CG197" s="167"/>
      <c r="CH197" s="167"/>
      <c r="CI197" s="167"/>
      <c r="CJ197" s="167"/>
      <c r="CK197" s="167"/>
      <c r="CL197" s="167"/>
      <c r="CM197" s="167"/>
      <c r="CN197" s="167"/>
      <c r="CO197" s="167"/>
      <c r="CP197" s="167"/>
      <c r="CQ197" s="167"/>
      <c r="CR197" s="167"/>
      <c r="CS197" s="167"/>
      <c r="CT197" s="167"/>
      <c r="CU197" s="167"/>
      <c r="CV197" s="167"/>
      <c r="CW197" s="167"/>
      <c r="CX197" s="167"/>
    </row>
    <row r="198" spans="1:102">
      <c r="A198" s="8"/>
      <c r="B198" s="143"/>
      <c r="C198" s="165"/>
      <c r="D198" s="166"/>
      <c r="E198" s="165"/>
      <c r="F198" s="135"/>
      <c r="G198" s="135"/>
      <c r="H198" s="135"/>
      <c r="I198" s="165"/>
      <c r="J198" s="165"/>
      <c r="K198" s="465"/>
      <c r="L198" s="465"/>
      <c r="M198" s="165"/>
      <c r="N198" s="514"/>
      <c r="O198" s="165"/>
      <c r="P198" s="166"/>
      <c r="Q198" s="135"/>
      <c r="R198" s="135"/>
      <c r="S198" s="167"/>
      <c r="T198" s="171"/>
      <c r="U198" s="168"/>
      <c r="V198" s="245"/>
      <c r="W198" s="165"/>
      <c r="X198" s="165"/>
      <c r="Y198" s="165"/>
      <c r="Z198" s="6"/>
      <c r="AA198" s="6"/>
      <c r="AB198" s="135"/>
      <c r="AC198" s="135"/>
      <c r="AD198" s="167"/>
      <c r="AE198" s="170"/>
      <c r="AF198" s="167"/>
      <c r="AG198" s="248"/>
      <c r="AH198" s="165"/>
      <c r="AI198" s="165"/>
      <c r="AJ198" s="165"/>
      <c r="AK198" s="165"/>
      <c r="AL198" s="165"/>
      <c r="AM198" s="167"/>
      <c r="AN198" s="170"/>
      <c r="AO198" s="167"/>
      <c r="AP198" s="248"/>
      <c r="AQ198" s="165"/>
      <c r="AR198" s="165"/>
      <c r="AS198" s="165"/>
      <c r="AT198" s="165"/>
      <c r="AU198" s="165"/>
      <c r="AV198" s="167"/>
      <c r="AW198" s="167"/>
      <c r="AX198" s="167"/>
      <c r="AY198" s="249"/>
      <c r="AZ198" s="167"/>
      <c r="BA198" s="167"/>
      <c r="BB198" s="167"/>
      <c r="BC198" s="167"/>
      <c r="BD198" s="167"/>
      <c r="BE198" s="167"/>
      <c r="BF198" s="167"/>
      <c r="BG198" s="249"/>
      <c r="BH198" s="167"/>
      <c r="BI198" s="167"/>
      <c r="BJ198" s="167"/>
      <c r="BK198" s="167"/>
      <c r="BL198" s="167"/>
      <c r="BM198" s="167"/>
      <c r="BN198" s="167"/>
      <c r="BO198" s="249"/>
      <c r="BP198" s="167"/>
      <c r="BQ198" s="167"/>
      <c r="BR198" s="167"/>
      <c r="BS198" s="167"/>
      <c r="BT198" s="167"/>
      <c r="BU198" s="167"/>
      <c r="BV198" s="249"/>
      <c r="BW198" s="167"/>
      <c r="BX198" s="167"/>
      <c r="BY198" s="167"/>
      <c r="BZ198" s="167"/>
      <c r="CA198" s="160"/>
      <c r="CB198" s="8"/>
      <c r="CC198" s="171"/>
      <c r="CD198" s="167"/>
      <c r="CE198" s="167"/>
      <c r="CF198" s="167"/>
      <c r="CG198" s="167"/>
      <c r="CH198" s="167"/>
      <c r="CI198" s="167"/>
      <c r="CJ198" s="167"/>
      <c r="CK198" s="167"/>
      <c r="CL198" s="167"/>
      <c r="CM198" s="167"/>
      <c r="CN198" s="167"/>
      <c r="CO198" s="167"/>
      <c r="CP198" s="167"/>
      <c r="CQ198" s="167"/>
      <c r="CR198" s="167"/>
      <c r="CS198" s="167"/>
      <c r="CT198" s="167"/>
      <c r="CU198" s="167"/>
      <c r="CV198" s="167"/>
      <c r="CW198" s="167"/>
      <c r="CX198" s="167"/>
    </row>
    <row r="199" spans="1:102">
      <c r="A199" s="8"/>
      <c r="B199" s="143"/>
      <c r="C199" s="165"/>
      <c r="D199" s="166"/>
      <c r="E199" s="165"/>
      <c r="F199" s="135"/>
      <c r="G199" s="135"/>
      <c r="H199" s="135"/>
      <c r="I199" s="165"/>
      <c r="J199" s="165"/>
      <c r="K199" s="465"/>
      <c r="L199" s="465"/>
      <c r="M199" s="165"/>
      <c r="N199" s="514"/>
      <c r="O199" s="165"/>
      <c r="P199" s="166"/>
      <c r="Q199" s="135"/>
      <c r="R199" s="135"/>
      <c r="S199" s="167"/>
      <c r="T199" s="171"/>
      <c r="U199" s="168"/>
      <c r="V199" s="245"/>
      <c r="W199" s="165"/>
      <c r="X199" s="165"/>
      <c r="Y199" s="165"/>
      <c r="Z199" s="6"/>
      <c r="AA199" s="6"/>
      <c r="AB199" s="135"/>
      <c r="AC199" s="135"/>
      <c r="AD199" s="167"/>
      <c r="AE199" s="170"/>
      <c r="AF199" s="167"/>
      <c r="AG199" s="248"/>
      <c r="AH199" s="165"/>
      <c r="AI199" s="165"/>
      <c r="AJ199" s="165"/>
      <c r="AK199" s="165"/>
      <c r="AL199" s="165"/>
      <c r="AM199" s="167"/>
      <c r="AN199" s="170"/>
      <c r="AO199" s="167"/>
      <c r="AP199" s="248"/>
      <c r="AQ199" s="165"/>
      <c r="AR199" s="165"/>
      <c r="AS199" s="165"/>
      <c r="AT199" s="165"/>
      <c r="AU199" s="165"/>
      <c r="AV199" s="167"/>
      <c r="AW199" s="167"/>
      <c r="AX199" s="167"/>
      <c r="AY199" s="249"/>
      <c r="AZ199" s="167"/>
      <c r="BA199" s="167"/>
      <c r="BB199" s="167"/>
      <c r="BC199" s="167"/>
      <c r="BD199" s="167"/>
      <c r="BE199" s="167"/>
      <c r="BF199" s="167"/>
      <c r="BG199" s="249"/>
      <c r="BH199" s="167"/>
      <c r="BI199" s="167"/>
      <c r="BJ199" s="167"/>
      <c r="BK199" s="167"/>
      <c r="BL199" s="167"/>
      <c r="BM199" s="167"/>
      <c r="BN199" s="167"/>
      <c r="BO199" s="249"/>
      <c r="BP199" s="167"/>
      <c r="BQ199" s="167"/>
      <c r="BR199" s="167"/>
      <c r="BS199" s="167"/>
      <c r="BT199" s="167"/>
      <c r="BU199" s="167"/>
      <c r="BV199" s="249"/>
      <c r="BW199" s="167"/>
      <c r="BX199" s="167"/>
      <c r="BY199" s="167"/>
      <c r="BZ199" s="167"/>
      <c r="CA199" s="160"/>
      <c r="CB199" s="8"/>
      <c r="CC199" s="171"/>
      <c r="CD199" s="167"/>
      <c r="CE199" s="167"/>
      <c r="CF199" s="167"/>
      <c r="CG199" s="167"/>
      <c r="CH199" s="167"/>
      <c r="CI199" s="167"/>
      <c r="CJ199" s="167"/>
      <c r="CK199" s="167"/>
      <c r="CL199" s="167"/>
      <c r="CM199" s="167"/>
      <c r="CN199" s="167"/>
      <c r="CO199" s="167"/>
      <c r="CP199" s="167"/>
      <c r="CQ199" s="167"/>
      <c r="CR199" s="167"/>
      <c r="CS199" s="167"/>
      <c r="CT199" s="167"/>
      <c r="CU199" s="167"/>
      <c r="CV199" s="167"/>
      <c r="CW199" s="167"/>
      <c r="CX199" s="167"/>
    </row>
    <row r="200" spans="1:102">
      <c r="A200" s="8"/>
      <c r="B200" s="143"/>
      <c r="C200" s="165"/>
      <c r="D200" s="166"/>
      <c r="E200" s="165"/>
      <c r="F200" s="135"/>
      <c r="G200" s="135"/>
      <c r="H200" s="135"/>
      <c r="I200" s="165"/>
      <c r="J200" s="165"/>
      <c r="K200" s="465"/>
      <c r="L200" s="465"/>
      <c r="M200" s="165"/>
      <c r="N200" s="514"/>
      <c r="O200" s="165"/>
      <c r="P200" s="166"/>
      <c r="Q200" s="135"/>
      <c r="R200" s="135"/>
      <c r="S200" s="167"/>
      <c r="T200" s="171"/>
      <c r="U200" s="168"/>
      <c r="V200" s="245"/>
      <c r="W200" s="165"/>
      <c r="X200" s="165"/>
      <c r="Y200" s="165"/>
      <c r="Z200" s="6"/>
      <c r="AA200" s="6"/>
      <c r="AB200" s="135"/>
      <c r="AC200" s="135"/>
      <c r="AD200" s="167"/>
      <c r="AE200" s="170"/>
      <c r="AF200" s="167"/>
      <c r="AG200" s="248"/>
      <c r="AH200" s="165"/>
      <c r="AI200" s="165"/>
      <c r="AJ200" s="165"/>
      <c r="AK200" s="165"/>
      <c r="AL200" s="165"/>
      <c r="AM200" s="167"/>
      <c r="AN200" s="170"/>
      <c r="AO200" s="167"/>
      <c r="AP200" s="248"/>
      <c r="AQ200" s="165"/>
      <c r="AR200" s="165"/>
      <c r="AS200" s="165"/>
      <c r="AT200" s="165"/>
      <c r="AU200" s="165"/>
      <c r="AV200" s="167"/>
      <c r="AW200" s="167"/>
      <c r="AX200" s="167"/>
      <c r="AY200" s="249"/>
      <c r="AZ200" s="167"/>
      <c r="BA200" s="167"/>
      <c r="BB200" s="167"/>
      <c r="BC200" s="167"/>
      <c r="BD200" s="167"/>
      <c r="BE200" s="167"/>
      <c r="BF200" s="167"/>
      <c r="BG200" s="249"/>
      <c r="BH200" s="167"/>
      <c r="BI200" s="167"/>
      <c r="BJ200" s="167"/>
      <c r="BK200" s="167"/>
      <c r="BL200" s="167"/>
      <c r="BM200" s="167"/>
      <c r="BN200" s="167"/>
      <c r="BO200" s="249"/>
      <c r="BP200" s="167"/>
      <c r="BQ200" s="167"/>
      <c r="BR200" s="167"/>
      <c r="BS200" s="167"/>
      <c r="BT200" s="167"/>
      <c r="BU200" s="167"/>
      <c r="BV200" s="249"/>
      <c r="BW200" s="167"/>
      <c r="BX200" s="167"/>
      <c r="BY200" s="167"/>
      <c r="BZ200" s="167"/>
      <c r="CA200" s="160"/>
      <c r="CB200" s="8"/>
      <c r="CC200" s="171"/>
      <c r="CD200" s="167"/>
      <c r="CE200" s="167"/>
      <c r="CF200" s="167"/>
      <c r="CG200" s="167"/>
      <c r="CH200" s="167"/>
      <c r="CI200" s="167"/>
      <c r="CJ200" s="167"/>
      <c r="CK200" s="167"/>
      <c r="CL200" s="167"/>
      <c r="CM200" s="167"/>
      <c r="CN200" s="167"/>
      <c r="CO200" s="167"/>
      <c r="CP200" s="167"/>
      <c r="CQ200" s="167"/>
      <c r="CR200" s="167"/>
      <c r="CS200" s="167"/>
      <c r="CT200" s="167"/>
      <c r="CU200" s="167"/>
      <c r="CV200" s="167"/>
      <c r="CW200" s="167"/>
      <c r="CX200" s="167"/>
    </row>
    <row r="201" spans="1:102">
      <c r="A201" s="8"/>
      <c r="B201" s="143"/>
      <c r="C201" s="165"/>
      <c r="D201" s="166"/>
      <c r="E201" s="165"/>
      <c r="F201" s="135"/>
      <c r="G201" s="135"/>
      <c r="H201" s="135"/>
      <c r="I201" s="165"/>
      <c r="J201" s="165"/>
      <c r="K201" s="465"/>
      <c r="L201" s="465"/>
      <c r="M201" s="165"/>
      <c r="N201" s="514"/>
      <c r="O201" s="165"/>
      <c r="P201" s="166"/>
      <c r="Q201" s="135"/>
      <c r="R201" s="135"/>
      <c r="S201" s="167"/>
      <c r="T201" s="171"/>
      <c r="U201" s="168"/>
      <c r="V201" s="245"/>
      <c r="W201" s="165"/>
      <c r="X201" s="165"/>
      <c r="Y201" s="165"/>
      <c r="Z201" s="6"/>
      <c r="AA201" s="6"/>
      <c r="AB201" s="135"/>
      <c r="AC201" s="135"/>
      <c r="AD201" s="167"/>
      <c r="AE201" s="170"/>
      <c r="AF201" s="167"/>
      <c r="AG201" s="248"/>
      <c r="AH201" s="165"/>
      <c r="AI201" s="165"/>
      <c r="AJ201" s="165"/>
      <c r="AK201" s="165"/>
      <c r="AL201" s="165"/>
      <c r="AM201" s="167"/>
      <c r="AN201" s="170"/>
      <c r="AO201" s="167"/>
      <c r="AP201" s="248"/>
      <c r="AQ201" s="165"/>
      <c r="AR201" s="165"/>
      <c r="AS201" s="165"/>
      <c r="AT201" s="165"/>
      <c r="AU201" s="165"/>
      <c r="AV201" s="167"/>
      <c r="AW201" s="167"/>
      <c r="AX201" s="167"/>
      <c r="AY201" s="249"/>
      <c r="AZ201" s="167"/>
      <c r="BA201" s="167"/>
      <c r="BB201" s="167"/>
      <c r="BC201" s="167"/>
      <c r="BD201" s="167"/>
      <c r="BE201" s="167"/>
      <c r="BF201" s="167"/>
      <c r="BG201" s="249"/>
      <c r="BH201" s="167"/>
      <c r="BI201" s="167"/>
      <c r="BJ201" s="167"/>
      <c r="BK201" s="167"/>
      <c r="BL201" s="167"/>
      <c r="BM201" s="167"/>
      <c r="BN201" s="167"/>
      <c r="BO201" s="249"/>
      <c r="BP201" s="167"/>
      <c r="BQ201" s="167"/>
      <c r="BR201" s="167"/>
      <c r="BS201" s="167"/>
      <c r="BT201" s="167"/>
      <c r="BU201" s="167"/>
      <c r="BV201" s="249"/>
      <c r="BW201" s="167"/>
      <c r="BX201" s="167"/>
      <c r="BY201" s="167"/>
      <c r="BZ201" s="167"/>
      <c r="CA201" s="160"/>
      <c r="CB201" s="8"/>
      <c r="CC201" s="171"/>
      <c r="CD201" s="167"/>
      <c r="CE201" s="167"/>
      <c r="CF201" s="167"/>
      <c r="CG201" s="167"/>
      <c r="CH201" s="167"/>
      <c r="CI201" s="167"/>
      <c r="CJ201" s="167"/>
      <c r="CK201" s="167"/>
      <c r="CL201" s="167"/>
      <c r="CM201" s="167"/>
      <c r="CN201" s="167"/>
      <c r="CO201" s="167"/>
      <c r="CP201" s="167"/>
      <c r="CQ201" s="167"/>
      <c r="CR201" s="167"/>
      <c r="CS201" s="167"/>
      <c r="CT201" s="167"/>
      <c r="CU201" s="167"/>
      <c r="CV201" s="167"/>
      <c r="CW201" s="167"/>
      <c r="CX201" s="167"/>
    </row>
    <row r="202" spans="1:102">
      <c r="A202" s="8"/>
      <c r="B202" s="143"/>
      <c r="C202" s="165"/>
      <c r="D202" s="166"/>
      <c r="E202" s="165"/>
      <c r="F202" s="135"/>
      <c r="G202" s="135"/>
      <c r="H202" s="135"/>
      <c r="I202" s="165"/>
      <c r="J202" s="165"/>
      <c r="K202" s="465"/>
      <c r="L202" s="465"/>
      <c r="M202" s="165"/>
      <c r="N202" s="514"/>
      <c r="O202" s="165"/>
      <c r="P202" s="166"/>
      <c r="Q202" s="135"/>
      <c r="R202" s="135"/>
      <c r="S202" s="167"/>
      <c r="T202" s="171"/>
      <c r="U202" s="168"/>
      <c r="V202" s="245"/>
      <c r="W202" s="165"/>
      <c r="X202" s="165"/>
      <c r="Y202" s="165"/>
      <c r="Z202" s="6"/>
      <c r="AA202" s="6"/>
      <c r="AB202" s="135"/>
      <c r="AC202" s="135"/>
      <c r="AD202" s="167"/>
      <c r="AE202" s="170"/>
      <c r="AF202" s="167"/>
      <c r="AG202" s="248"/>
      <c r="AH202" s="165"/>
      <c r="AI202" s="165"/>
      <c r="AJ202" s="165"/>
      <c r="AK202" s="165"/>
      <c r="AL202" s="165"/>
      <c r="AM202" s="167"/>
      <c r="AN202" s="170"/>
      <c r="AO202" s="167"/>
      <c r="AP202" s="248"/>
      <c r="AQ202" s="165"/>
      <c r="AR202" s="165"/>
      <c r="AS202" s="165"/>
      <c r="AT202" s="165"/>
      <c r="AU202" s="165"/>
      <c r="AV202" s="167"/>
      <c r="AW202" s="167"/>
      <c r="AX202" s="167"/>
      <c r="AY202" s="249"/>
      <c r="AZ202" s="167"/>
      <c r="BA202" s="167"/>
      <c r="BB202" s="167"/>
      <c r="BC202" s="167"/>
      <c r="BD202" s="167"/>
      <c r="BE202" s="167"/>
      <c r="BF202" s="167"/>
      <c r="BG202" s="249"/>
      <c r="BH202" s="167"/>
      <c r="BI202" s="167"/>
      <c r="BJ202" s="167"/>
      <c r="BK202" s="167"/>
      <c r="BL202" s="167"/>
      <c r="BM202" s="167"/>
      <c r="BN202" s="167"/>
      <c r="BO202" s="249"/>
      <c r="BP202" s="167"/>
      <c r="BQ202" s="167"/>
      <c r="BR202" s="167"/>
      <c r="BS202" s="167"/>
      <c r="BT202" s="167"/>
      <c r="BU202" s="167"/>
      <c r="BV202" s="249"/>
      <c r="BW202" s="167"/>
      <c r="BX202" s="167"/>
      <c r="BY202" s="167"/>
      <c r="BZ202" s="167"/>
      <c r="CA202" s="160"/>
      <c r="CB202" s="8"/>
      <c r="CC202" s="171"/>
      <c r="CD202" s="167"/>
      <c r="CE202" s="167"/>
      <c r="CF202" s="167"/>
      <c r="CG202" s="167"/>
      <c r="CH202" s="167"/>
      <c r="CI202" s="167"/>
      <c r="CJ202" s="167"/>
      <c r="CK202" s="167"/>
      <c r="CL202" s="167"/>
      <c r="CM202" s="167"/>
      <c r="CN202" s="167"/>
      <c r="CO202" s="167"/>
      <c r="CP202" s="167"/>
      <c r="CQ202" s="167"/>
      <c r="CR202" s="167"/>
      <c r="CS202" s="167"/>
      <c r="CT202" s="167"/>
      <c r="CU202" s="167"/>
      <c r="CV202" s="167"/>
      <c r="CW202" s="167"/>
      <c r="CX202" s="167"/>
    </row>
    <row r="203" spans="1:102">
      <c r="A203" s="8"/>
      <c r="B203" s="143"/>
      <c r="C203" s="165"/>
      <c r="D203" s="166"/>
      <c r="E203" s="165"/>
      <c r="F203" s="135"/>
      <c r="G203" s="135"/>
      <c r="H203" s="135"/>
      <c r="I203" s="165"/>
      <c r="J203" s="165"/>
      <c r="K203" s="465"/>
      <c r="L203" s="465"/>
      <c r="M203" s="165"/>
      <c r="N203" s="514"/>
      <c r="O203" s="165"/>
      <c r="P203" s="166"/>
      <c r="Q203" s="135"/>
      <c r="R203" s="135"/>
      <c r="S203" s="167"/>
      <c r="T203" s="171"/>
      <c r="U203" s="168"/>
      <c r="V203" s="245"/>
      <c r="W203" s="165"/>
      <c r="X203" s="165"/>
      <c r="Y203" s="165"/>
      <c r="Z203" s="6"/>
      <c r="AA203" s="6"/>
      <c r="AB203" s="135"/>
      <c r="AC203" s="135"/>
      <c r="AD203" s="167"/>
      <c r="AE203" s="170"/>
      <c r="AF203" s="167"/>
      <c r="AG203" s="248"/>
      <c r="AH203" s="165"/>
      <c r="AI203" s="165"/>
      <c r="AJ203" s="165"/>
      <c r="AK203" s="165"/>
      <c r="AL203" s="165"/>
      <c r="AM203" s="167"/>
      <c r="AN203" s="170"/>
      <c r="AO203" s="167"/>
      <c r="AP203" s="248"/>
      <c r="AQ203" s="165"/>
      <c r="AR203" s="165"/>
      <c r="AS203" s="165"/>
      <c r="AT203" s="165"/>
      <c r="AU203" s="165"/>
      <c r="AV203" s="167"/>
      <c r="AW203" s="167"/>
      <c r="AX203" s="167"/>
      <c r="AY203" s="249"/>
      <c r="AZ203" s="167"/>
      <c r="BA203" s="167"/>
      <c r="BB203" s="167"/>
      <c r="BC203" s="167"/>
      <c r="BD203" s="167"/>
      <c r="BE203" s="167"/>
      <c r="BF203" s="167"/>
      <c r="BG203" s="249"/>
      <c r="BH203" s="167"/>
      <c r="BI203" s="167"/>
      <c r="BJ203" s="167"/>
      <c r="BK203" s="167"/>
      <c r="BL203" s="167"/>
      <c r="BM203" s="167"/>
      <c r="BN203" s="167"/>
      <c r="BO203" s="249"/>
      <c r="BP203" s="167"/>
      <c r="BQ203" s="167"/>
      <c r="BR203" s="167"/>
      <c r="BS203" s="167"/>
      <c r="BT203" s="167"/>
      <c r="BU203" s="167"/>
      <c r="BV203" s="249"/>
      <c r="BW203" s="167"/>
      <c r="BX203" s="167"/>
      <c r="BY203" s="167"/>
      <c r="BZ203" s="167"/>
      <c r="CA203" s="160"/>
      <c r="CB203" s="8"/>
      <c r="CC203" s="171"/>
      <c r="CD203" s="167"/>
      <c r="CE203" s="167"/>
      <c r="CF203" s="167"/>
      <c r="CG203" s="167"/>
      <c r="CH203" s="167"/>
      <c r="CI203" s="167"/>
      <c r="CJ203" s="167"/>
      <c r="CK203" s="167"/>
      <c r="CL203" s="167"/>
      <c r="CM203" s="167"/>
      <c r="CN203" s="167"/>
      <c r="CO203" s="167"/>
      <c r="CP203" s="167"/>
      <c r="CQ203" s="167"/>
      <c r="CR203" s="167"/>
      <c r="CS203" s="167"/>
      <c r="CT203" s="167"/>
      <c r="CU203" s="167"/>
      <c r="CV203" s="167"/>
      <c r="CW203" s="167"/>
      <c r="CX203" s="167"/>
    </row>
    <row r="204" spans="1:102">
      <c r="A204" s="8"/>
      <c r="B204" s="143"/>
      <c r="C204" s="165"/>
      <c r="D204" s="166"/>
      <c r="E204" s="165"/>
      <c r="F204" s="135"/>
      <c r="G204" s="135"/>
      <c r="H204" s="135"/>
      <c r="I204" s="165"/>
      <c r="J204" s="165"/>
      <c r="K204" s="465"/>
      <c r="L204" s="465"/>
      <c r="M204" s="165"/>
      <c r="N204" s="514"/>
      <c r="O204" s="165"/>
      <c r="P204" s="166"/>
      <c r="Q204" s="135"/>
      <c r="R204" s="135"/>
      <c r="S204" s="167"/>
      <c r="T204" s="171"/>
      <c r="U204" s="168"/>
      <c r="V204" s="245"/>
      <c r="W204" s="165"/>
      <c r="X204" s="165"/>
      <c r="Y204" s="165"/>
      <c r="Z204" s="6"/>
      <c r="AA204" s="6"/>
      <c r="AB204" s="135"/>
      <c r="AC204" s="135"/>
      <c r="AD204" s="167"/>
      <c r="AE204" s="170"/>
      <c r="AF204" s="167"/>
      <c r="AG204" s="248"/>
      <c r="AH204" s="165"/>
      <c r="AI204" s="165"/>
      <c r="AJ204" s="165"/>
      <c r="AK204" s="165"/>
      <c r="AL204" s="165"/>
      <c r="AM204" s="167"/>
      <c r="AN204" s="170"/>
      <c r="AO204" s="167"/>
      <c r="AP204" s="248"/>
      <c r="AQ204" s="165"/>
      <c r="AR204" s="165"/>
      <c r="AS204" s="165"/>
      <c r="AT204" s="165"/>
      <c r="AU204" s="165"/>
      <c r="AV204" s="167"/>
      <c r="AW204" s="167"/>
      <c r="AX204" s="167"/>
      <c r="AY204" s="249"/>
      <c r="AZ204" s="167"/>
      <c r="BA204" s="167"/>
      <c r="BB204" s="167"/>
      <c r="BC204" s="167"/>
      <c r="BD204" s="167"/>
      <c r="BE204" s="167"/>
      <c r="BF204" s="167"/>
      <c r="BG204" s="249"/>
      <c r="BH204" s="167"/>
      <c r="BI204" s="167"/>
      <c r="BJ204" s="167"/>
      <c r="BK204" s="167"/>
      <c r="BL204" s="167"/>
      <c r="BM204" s="167"/>
      <c r="BN204" s="167"/>
      <c r="BO204" s="249"/>
      <c r="BP204" s="167"/>
      <c r="BQ204" s="167"/>
      <c r="BR204" s="167"/>
      <c r="BS204" s="167"/>
      <c r="BT204" s="167"/>
      <c r="BU204" s="167"/>
      <c r="BV204" s="249"/>
      <c r="BW204" s="167"/>
      <c r="BX204" s="167"/>
      <c r="BY204" s="167"/>
      <c r="BZ204" s="167"/>
      <c r="CA204" s="160"/>
      <c r="CB204" s="8"/>
      <c r="CC204" s="171"/>
      <c r="CD204" s="167"/>
      <c r="CE204" s="167"/>
      <c r="CF204" s="167"/>
      <c r="CG204" s="167"/>
      <c r="CH204" s="167"/>
      <c r="CI204" s="167"/>
      <c r="CJ204" s="167"/>
      <c r="CK204" s="167"/>
      <c r="CL204" s="167"/>
      <c r="CM204" s="167"/>
      <c r="CN204" s="167"/>
      <c r="CO204" s="167"/>
      <c r="CP204" s="167"/>
      <c r="CQ204" s="167"/>
      <c r="CR204" s="167"/>
      <c r="CS204" s="167"/>
      <c r="CT204" s="167"/>
      <c r="CU204" s="167"/>
      <c r="CV204" s="167"/>
      <c r="CW204" s="167"/>
      <c r="CX204" s="167"/>
    </row>
    <row r="205" spans="1:102">
      <c r="A205" s="8"/>
      <c r="B205" s="143"/>
      <c r="C205" s="165"/>
      <c r="D205" s="166"/>
      <c r="E205" s="165"/>
      <c r="F205" s="135"/>
      <c r="G205" s="135"/>
      <c r="H205" s="135"/>
      <c r="I205" s="165"/>
      <c r="J205" s="165"/>
      <c r="K205" s="465"/>
      <c r="L205" s="465"/>
      <c r="M205" s="165"/>
      <c r="N205" s="514"/>
      <c r="O205" s="165"/>
      <c r="P205" s="166"/>
      <c r="Q205" s="135"/>
      <c r="R205" s="135"/>
      <c r="S205" s="167"/>
      <c r="T205" s="171"/>
      <c r="U205" s="168"/>
      <c r="V205" s="245"/>
      <c r="W205" s="165"/>
      <c r="X205" s="165"/>
      <c r="Y205" s="165"/>
      <c r="Z205" s="6"/>
      <c r="AA205" s="6"/>
      <c r="AB205" s="135"/>
      <c r="AC205" s="135"/>
      <c r="AD205" s="167"/>
      <c r="AE205" s="170"/>
      <c r="AF205" s="167"/>
      <c r="AG205" s="248"/>
      <c r="AH205" s="165"/>
      <c r="AI205" s="165"/>
      <c r="AJ205" s="165"/>
      <c r="AK205" s="165"/>
      <c r="AL205" s="165"/>
      <c r="AM205" s="167"/>
      <c r="AN205" s="170"/>
      <c r="AO205" s="167"/>
      <c r="AP205" s="248"/>
      <c r="AQ205" s="165"/>
      <c r="AR205" s="165"/>
      <c r="AS205" s="165"/>
      <c r="AT205" s="165"/>
      <c r="AU205" s="165"/>
      <c r="AV205" s="167"/>
      <c r="AW205" s="167"/>
      <c r="AX205" s="167"/>
      <c r="AY205" s="249"/>
      <c r="AZ205" s="167"/>
      <c r="BA205" s="167"/>
      <c r="BB205" s="167"/>
      <c r="BC205" s="167"/>
      <c r="BD205" s="167"/>
      <c r="BE205" s="167"/>
      <c r="BF205" s="167"/>
      <c r="BG205" s="249"/>
      <c r="BH205" s="167"/>
      <c r="BI205" s="167"/>
      <c r="BJ205" s="167"/>
      <c r="BK205" s="167"/>
      <c r="BL205" s="167"/>
      <c r="BM205" s="167"/>
      <c r="BN205" s="167"/>
      <c r="BO205" s="249"/>
      <c r="BP205" s="167"/>
      <c r="BQ205" s="167"/>
      <c r="BR205" s="167"/>
      <c r="BS205" s="167"/>
      <c r="BT205" s="167"/>
      <c r="BU205" s="167"/>
      <c r="BV205" s="249"/>
      <c r="BW205" s="167"/>
      <c r="BX205" s="167"/>
      <c r="BY205" s="167"/>
      <c r="BZ205" s="167"/>
      <c r="CA205" s="160"/>
      <c r="CB205" s="8"/>
      <c r="CC205" s="171"/>
      <c r="CD205" s="167"/>
      <c r="CE205" s="167"/>
      <c r="CF205" s="167"/>
      <c r="CG205" s="167"/>
      <c r="CH205" s="167"/>
      <c r="CI205" s="167"/>
      <c r="CJ205" s="167"/>
      <c r="CK205" s="167"/>
      <c r="CL205" s="167"/>
      <c r="CM205" s="167"/>
      <c r="CN205" s="167"/>
      <c r="CO205" s="167"/>
      <c r="CP205" s="167"/>
      <c r="CQ205" s="167"/>
      <c r="CR205" s="167"/>
      <c r="CS205" s="167"/>
      <c r="CT205" s="167"/>
      <c r="CU205" s="167"/>
      <c r="CV205" s="167"/>
      <c r="CW205" s="167"/>
      <c r="CX205" s="167"/>
    </row>
    <row r="206" spans="1:102">
      <c r="A206" s="8"/>
      <c r="B206" s="143"/>
      <c r="C206" s="165"/>
      <c r="D206" s="166"/>
      <c r="E206" s="165"/>
      <c r="F206" s="135"/>
      <c r="G206" s="135"/>
      <c r="H206" s="135"/>
      <c r="I206" s="165"/>
      <c r="J206" s="165"/>
      <c r="K206" s="465"/>
      <c r="L206" s="465"/>
      <c r="M206" s="165"/>
      <c r="N206" s="514"/>
      <c r="O206" s="165"/>
      <c r="P206" s="166"/>
      <c r="Q206" s="135"/>
      <c r="R206" s="135"/>
      <c r="S206" s="167"/>
      <c r="T206" s="171"/>
      <c r="U206" s="168"/>
      <c r="V206" s="245"/>
      <c r="W206" s="165"/>
      <c r="X206" s="165"/>
      <c r="Y206" s="165"/>
      <c r="Z206" s="6"/>
      <c r="AA206" s="6"/>
      <c r="AB206" s="135"/>
      <c r="AC206" s="135"/>
      <c r="AD206" s="167"/>
      <c r="AE206" s="170"/>
      <c r="AF206" s="167"/>
      <c r="AG206" s="248"/>
      <c r="AH206" s="165"/>
      <c r="AI206" s="165"/>
      <c r="AJ206" s="165"/>
      <c r="AK206" s="165"/>
      <c r="AL206" s="165"/>
      <c r="AM206" s="167"/>
      <c r="AN206" s="170"/>
      <c r="AO206" s="167"/>
      <c r="AP206" s="248"/>
      <c r="AQ206" s="165"/>
      <c r="AR206" s="165"/>
      <c r="AS206" s="165"/>
      <c r="AT206" s="165"/>
      <c r="AU206" s="165"/>
      <c r="AV206" s="167"/>
      <c r="AW206" s="167"/>
      <c r="AX206" s="167"/>
      <c r="AY206" s="249"/>
      <c r="AZ206" s="167"/>
      <c r="BA206" s="167"/>
      <c r="BB206" s="167"/>
      <c r="BC206" s="167"/>
      <c r="BD206" s="167"/>
      <c r="BE206" s="167"/>
      <c r="BF206" s="167"/>
      <c r="BG206" s="249"/>
      <c r="BH206" s="167"/>
      <c r="BI206" s="167"/>
      <c r="BJ206" s="167"/>
      <c r="BK206" s="167"/>
      <c r="BL206" s="167"/>
      <c r="BM206" s="167"/>
      <c r="BN206" s="167"/>
      <c r="BO206" s="249"/>
      <c r="BP206" s="167"/>
      <c r="BQ206" s="167"/>
      <c r="BR206" s="167"/>
      <c r="BS206" s="167"/>
      <c r="BT206" s="167"/>
      <c r="BU206" s="167"/>
      <c r="BV206" s="249"/>
      <c r="BW206" s="167"/>
      <c r="BX206" s="167"/>
      <c r="BY206" s="167"/>
      <c r="BZ206" s="167"/>
      <c r="CA206" s="160"/>
      <c r="CB206" s="8"/>
      <c r="CC206" s="171"/>
      <c r="CD206" s="167"/>
      <c r="CE206" s="167"/>
      <c r="CF206" s="167"/>
      <c r="CG206" s="167"/>
      <c r="CH206" s="167"/>
      <c r="CI206" s="167"/>
      <c r="CJ206" s="167"/>
      <c r="CK206" s="167"/>
      <c r="CL206" s="167"/>
      <c r="CM206" s="167"/>
      <c r="CN206" s="167"/>
      <c r="CO206" s="167"/>
      <c r="CP206" s="167"/>
      <c r="CQ206" s="167"/>
      <c r="CR206" s="167"/>
      <c r="CS206" s="167"/>
      <c r="CT206" s="167"/>
      <c r="CU206" s="167"/>
      <c r="CV206" s="167"/>
      <c r="CW206" s="167"/>
      <c r="CX206" s="167"/>
    </row>
  </sheetData>
  <phoneticPr fontId="7" type="noConversion"/>
  <hyperlinks>
    <hyperlink ref="B77" r:id="rId1" xr:uid="{00000000-0004-0000-0F00-000000000000}"/>
    <hyperlink ref="B78:B92" r:id="rId2" display="REK. 025/ABDI1/REK/II/2023" xr:uid="{00000000-0004-0000-0F00-000001000000}"/>
    <hyperlink ref="B93" r:id="rId3" xr:uid="{00000000-0004-0000-0F00-000002000000}"/>
    <hyperlink ref="B94" r:id="rId4" xr:uid="{00000000-0004-0000-0F00-000003000000}"/>
    <hyperlink ref="B95" r:id="rId5" xr:uid="{00000000-0004-0000-0F00-000004000000}"/>
    <hyperlink ref="B96" r:id="rId6" xr:uid="{00000000-0004-0000-0F00-000005000000}"/>
    <hyperlink ref="B97:B106" r:id="rId7" display="REK. 117/ABDI1/REK/VIII/2023" xr:uid="{00000000-0004-0000-0F00-000006000000}"/>
    <hyperlink ref="B107" r:id="rId8" xr:uid="{00000000-0004-0000-0F00-000007000000}"/>
    <hyperlink ref="B109" r:id="rId9" xr:uid="{00000000-0004-0000-0F00-000008000000}"/>
    <hyperlink ref="B39" r:id="rId10" xr:uid="{00000000-0004-0000-0F00-000009000000}"/>
    <hyperlink ref="B40:B55" r:id="rId11" display="REK.070/ABDI1/REK/II/2022" xr:uid="{00000000-0004-0000-0F00-00000A000000}"/>
    <hyperlink ref="B8" r:id="rId12" xr:uid="{00000000-0004-0000-0F00-00000B000000}"/>
    <hyperlink ref="B9:B18" r:id="rId13" display="REK.091/ABDI1/REK/III/2021" xr:uid="{00000000-0004-0000-0F00-00000C000000}"/>
    <hyperlink ref="B19" r:id="rId14" xr:uid="{00000000-0004-0000-0F00-00000D000000}"/>
    <hyperlink ref="B20" r:id="rId15" xr:uid="{00000000-0004-0000-0F00-00000E000000}"/>
    <hyperlink ref="B21:B24" r:id="rId16" display="REK.119/ABDI1/REK/V/2021" xr:uid="{00000000-0004-0000-0F00-00000F000000}"/>
    <hyperlink ref="B25" r:id="rId17" xr:uid="{00000000-0004-0000-0F00-000010000000}"/>
    <hyperlink ref="B26" r:id="rId18" xr:uid="{00000000-0004-0000-0F00-000011000000}"/>
    <hyperlink ref="B27:B35" r:id="rId19" display="REK.150/SAM4/REK/VIII/2021" xr:uid="{00000000-0004-0000-0F00-000012000000}"/>
    <hyperlink ref="B36" r:id="rId20" xr:uid="{00000000-0004-0000-0F00-000013000000}"/>
    <hyperlink ref="C77" r:id="rId21" xr:uid="{00000000-0004-0000-0F00-000014000000}"/>
    <hyperlink ref="C78" r:id="rId22" xr:uid="{00000000-0004-0000-0F00-000015000000}"/>
    <hyperlink ref="C79" r:id="rId23" xr:uid="{00000000-0004-0000-0F00-000016000000}"/>
    <hyperlink ref="C80" r:id="rId24" xr:uid="{00000000-0004-0000-0F00-000017000000}"/>
    <hyperlink ref="C81" r:id="rId25" xr:uid="{00000000-0004-0000-0F00-000018000000}"/>
    <hyperlink ref="C82" r:id="rId26" xr:uid="{00000000-0004-0000-0F00-000019000000}"/>
    <hyperlink ref="C83" r:id="rId27" xr:uid="{00000000-0004-0000-0F00-00001A000000}"/>
    <hyperlink ref="C84" r:id="rId28" xr:uid="{00000000-0004-0000-0F00-00001B000000}"/>
    <hyperlink ref="C85" r:id="rId29" xr:uid="{00000000-0004-0000-0F00-00001C000000}"/>
    <hyperlink ref="C86" r:id="rId30" xr:uid="{00000000-0004-0000-0F00-00001D000000}"/>
    <hyperlink ref="C87" r:id="rId31" xr:uid="{00000000-0004-0000-0F00-00001E000000}"/>
    <hyperlink ref="C88" r:id="rId32" xr:uid="{00000000-0004-0000-0F00-00001F000000}"/>
    <hyperlink ref="C89" r:id="rId33" xr:uid="{00000000-0004-0000-0F00-000020000000}"/>
    <hyperlink ref="C90" r:id="rId34" xr:uid="{00000000-0004-0000-0F00-000021000000}"/>
    <hyperlink ref="C91" r:id="rId35" xr:uid="{00000000-0004-0000-0F00-000022000000}"/>
    <hyperlink ref="C96" r:id="rId36" xr:uid="{00000000-0004-0000-0F00-000023000000}"/>
    <hyperlink ref="C97" r:id="rId37" xr:uid="{00000000-0004-0000-0F00-000024000000}"/>
    <hyperlink ref="C98" r:id="rId38" xr:uid="{00000000-0004-0000-0F00-000025000000}"/>
    <hyperlink ref="C99" r:id="rId39" xr:uid="{00000000-0004-0000-0F00-000026000000}"/>
    <hyperlink ref="C100" r:id="rId40" xr:uid="{00000000-0004-0000-0F00-000027000000}"/>
    <hyperlink ref="C101" r:id="rId41" xr:uid="{00000000-0004-0000-0F00-000028000000}"/>
    <hyperlink ref="C102" r:id="rId42" xr:uid="{00000000-0004-0000-0F00-000029000000}"/>
    <hyperlink ref="C103" r:id="rId43" xr:uid="{00000000-0004-0000-0F00-00002A000000}"/>
    <hyperlink ref="C104" r:id="rId44" xr:uid="{00000000-0004-0000-0F00-00002B000000}"/>
    <hyperlink ref="C105" r:id="rId45" xr:uid="{00000000-0004-0000-0F00-00002C000000}"/>
    <hyperlink ref="C92" r:id="rId46" xr:uid="{00000000-0004-0000-0F00-00002D000000}"/>
    <hyperlink ref="C106" r:id="rId47" xr:uid="{00000000-0004-0000-0F00-00002E000000}"/>
    <hyperlink ref="C107" r:id="rId48" xr:uid="{00000000-0004-0000-0F00-00002F000000}"/>
    <hyperlink ref="C40" r:id="rId49" xr:uid="{00000000-0004-0000-0F00-000030000000}"/>
    <hyperlink ref="C41" r:id="rId50" xr:uid="{00000000-0004-0000-0F00-000031000000}"/>
    <hyperlink ref="C42" r:id="rId51" xr:uid="{00000000-0004-0000-0F00-000032000000}"/>
    <hyperlink ref="C43" r:id="rId52" xr:uid="{00000000-0004-0000-0F00-000033000000}"/>
    <hyperlink ref="C44" r:id="rId53" xr:uid="{00000000-0004-0000-0F00-000034000000}"/>
    <hyperlink ref="C45" r:id="rId54" xr:uid="{00000000-0004-0000-0F00-000035000000}"/>
    <hyperlink ref="C46" r:id="rId55" xr:uid="{00000000-0004-0000-0F00-000036000000}"/>
    <hyperlink ref="C47" r:id="rId56" xr:uid="{00000000-0004-0000-0F00-000037000000}"/>
    <hyperlink ref="C48" r:id="rId57" xr:uid="{00000000-0004-0000-0F00-000038000000}"/>
    <hyperlink ref="C49" r:id="rId58" xr:uid="{00000000-0004-0000-0F00-000039000000}"/>
    <hyperlink ref="C50" r:id="rId59" xr:uid="{00000000-0004-0000-0F00-00003A000000}"/>
    <hyperlink ref="C51" r:id="rId60" xr:uid="{00000000-0004-0000-0F00-00003B000000}"/>
    <hyperlink ref="C52" r:id="rId61" xr:uid="{00000000-0004-0000-0F00-00003C000000}"/>
    <hyperlink ref="C53" r:id="rId62" xr:uid="{00000000-0004-0000-0F00-00003D000000}"/>
    <hyperlink ref="C55" r:id="rId63" xr:uid="{00000000-0004-0000-0F00-00003E000000}"/>
    <hyperlink ref="C56" r:id="rId64" xr:uid="{00000000-0004-0000-0F00-00003F000000}"/>
    <hyperlink ref="C57" r:id="rId65" xr:uid="{00000000-0004-0000-0F00-000040000000}"/>
    <hyperlink ref="C58" r:id="rId66" xr:uid="{00000000-0004-0000-0F00-000041000000}"/>
    <hyperlink ref="C59" r:id="rId67" xr:uid="{00000000-0004-0000-0F00-000042000000}"/>
    <hyperlink ref="C60" r:id="rId68" xr:uid="{00000000-0004-0000-0F00-000043000000}"/>
    <hyperlink ref="C61" r:id="rId69" xr:uid="{00000000-0004-0000-0F00-000044000000}"/>
    <hyperlink ref="C62" r:id="rId70" xr:uid="{00000000-0004-0000-0F00-000045000000}"/>
    <hyperlink ref="C65" r:id="rId71" xr:uid="{00000000-0004-0000-0F00-000046000000}"/>
    <hyperlink ref="C66" r:id="rId72" xr:uid="{00000000-0004-0000-0F00-000047000000}"/>
    <hyperlink ref="C8" r:id="rId73" xr:uid="{00000000-0004-0000-0F00-000048000000}"/>
    <hyperlink ref="C9" r:id="rId74" xr:uid="{00000000-0004-0000-0F00-000049000000}"/>
    <hyperlink ref="C10" r:id="rId75" xr:uid="{00000000-0004-0000-0F00-00004A000000}"/>
    <hyperlink ref="C11" r:id="rId76" xr:uid="{00000000-0004-0000-0F00-00004B000000}"/>
    <hyperlink ref="C12" r:id="rId77" xr:uid="{00000000-0004-0000-0F00-00004C000000}"/>
    <hyperlink ref="C13" r:id="rId78" xr:uid="{00000000-0004-0000-0F00-00004D000000}"/>
    <hyperlink ref="C14" r:id="rId79" xr:uid="{00000000-0004-0000-0F00-00004E000000}"/>
    <hyperlink ref="C15" r:id="rId80" xr:uid="{00000000-0004-0000-0F00-00004F000000}"/>
    <hyperlink ref="C16" r:id="rId81" xr:uid="{00000000-0004-0000-0F00-000050000000}"/>
    <hyperlink ref="C26" r:id="rId82" xr:uid="{00000000-0004-0000-0F00-000051000000}"/>
    <hyperlink ref="C27" r:id="rId83" xr:uid="{00000000-0004-0000-0F00-000052000000}"/>
    <hyperlink ref="C19" r:id="rId84" xr:uid="{00000000-0004-0000-0F00-000053000000}"/>
    <hyperlink ref="C20" r:id="rId85" xr:uid="{00000000-0004-0000-0F00-000054000000}"/>
    <hyperlink ref="C21" r:id="rId86" xr:uid="{00000000-0004-0000-0F00-000055000000}"/>
    <hyperlink ref="C22" r:id="rId87" xr:uid="{00000000-0004-0000-0F00-000056000000}"/>
    <hyperlink ref="C23" r:id="rId88" xr:uid="{00000000-0004-0000-0F00-000057000000}"/>
    <hyperlink ref="C17" r:id="rId89" xr:uid="{00000000-0004-0000-0F00-000058000000}"/>
    <hyperlink ref="C18" r:id="rId90" xr:uid="{00000000-0004-0000-0F00-000059000000}"/>
    <hyperlink ref="C93" r:id="rId91" xr:uid="{00000000-0004-0000-0F00-00005A000000}"/>
    <hyperlink ref="CA109" r:id="rId92" xr:uid="{00000000-0004-0000-0F00-00005B000000}"/>
    <hyperlink ref="CA107" r:id="rId93" xr:uid="{00000000-0004-0000-0F00-00005C000000}"/>
    <hyperlink ref="CB107" r:id="rId94" xr:uid="{00000000-0004-0000-0F00-00005D000000}"/>
    <hyperlink ref="CA106" r:id="rId95" xr:uid="{00000000-0004-0000-0F00-00005E000000}"/>
    <hyperlink ref="CA105" r:id="rId96" xr:uid="{00000000-0004-0000-0F00-00005F000000}"/>
    <hyperlink ref="CA104" r:id="rId97" xr:uid="{00000000-0004-0000-0F00-000060000000}"/>
    <hyperlink ref="CA103" r:id="rId98" xr:uid="{00000000-0004-0000-0F00-000061000000}"/>
    <hyperlink ref="CA102" r:id="rId99" xr:uid="{00000000-0004-0000-0F00-000062000000}"/>
    <hyperlink ref="CA101" r:id="rId100" xr:uid="{00000000-0004-0000-0F00-000063000000}"/>
    <hyperlink ref="CA100" r:id="rId101" xr:uid="{00000000-0004-0000-0F00-000064000000}"/>
    <hyperlink ref="CA99" r:id="rId102" xr:uid="{00000000-0004-0000-0F00-000065000000}"/>
    <hyperlink ref="CA98" r:id="rId103" xr:uid="{00000000-0004-0000-0F00-000066000000}"/>
    <hyperlink ref="CA97" r:id="rId104" xr:uid="{00000000-0004-0000-0F00-000067000000}"/>
    <hyperlink ref="CA96" r:id="rId105" xr:uid="{00000000-0004-0000-0F00-000068000000}"/>
    <hyperlink ref="CA92" r:id="rId106" xr:uid="{00000000-0004-0000-0F00-000069000000}"/>
    <hyperlink ref="CA91" r:id="rId107" xr:uid="{00000000-0004-0000-0F00-00006A000000}"/>
    <hyperlink ref="CB91" r:id="rId108" xr:uid="{00000000-0004-0000-0F00-00006B000000}"/>
    <hyperlink ref="CA90" r:id="rId109" xr:uid="{00000000-0004-0000-0F00-00006C000000}"/>
    <hyperlink ref="CB90" r:id="rId110" xr:uid="{00000000-0004-0000-0F00-00006D000000}"/>
    <hyperlink ref="CA89" r:id="rId111" xr:uid="{00000000-0004-0000-0F00-00006E000000}"/>
    <hyperlink ref="CB89" r:id="rId112" xr:uid="{00000000-0004-0000-0F00-00006F000000}"/>
    <hyperlink ref="CA88" r:id="rId113" xr:uid="{00000000-0004-0000-0F00-000070000000}"/>
    <hyperlink ref="CB88" r:id="rId114" xr:uid="{00000000-0004-0000-0F00-000071000000}"/>
    <hyperlink ref="CA87" r:id="rId115" xr:uid="{00000000-0004-0000-0F00-000072000000}"/>
    <hyperlink ref="CB87" r:id="rId116" xr:uid="{00000000-0004-0000-0F00-000073000000}"/>
    <hyperlink ref="CA86" r:id="rId117" xr:uid="{00000000-0004-0000-0F00-000074000000}"/>
    <hyperlink ref="CB86" r:id="rId118" xr:uid="{00000000-0004-0000-0F00-000075000000}"/>
    <hyperlink ref="CA85" r:id="rId119" xr:uid="{00000000-0004-0000-0F00-000076000000}"/>
    <hyperlink ref="CB85" r:id="rId120" xr:uid="{00000000-0004-0000-0F00-000077000000}"/>
    <hyperlink ref="CA84" r:id="rId121" xr:uid="{00000000-0004-0000-0F00-000078000000}"/>
    <hyperlink ref="CB84" r:id="rId122" xr:uid="{00000000-0004-0000-0F00-000079000000}"/>
    <hyperlink ref="CA83" r:id="rId123" xr:uid="{00000000-0004-0000-0F00-00007A000000}"/>
    <hyperlink ref="CB83" r:id="rId124" xr:uid="{00000000-0004-0000-0F00-00007B000000}"/>
    <hyperlink ref="CA82" r:id="rId125" xr:uid="{00000000-0004-0000-0F00-00007C000000}"/>
    <hyperlink ref="CB82" r:id="rId126" xr:uid="{00000000-0004-0000-0F00-00007D000000}"/>
    <hyperlink ref="CA81" r:id="rId127" xr:uid="{00000000-0004-0000-0F00-00007E000000}"/>
    <hyperlink ref="CB81" r:id="rId128" xr:uid="{00000000-0004-0000-0F00-00007F000000}"/>
    <hyperlink ref="CA80" r:id="rId129" xr:uid="{00000000-0004-0000-0F00-000080000000}"/>
    <hyperlink ref="CB80" r:id="rId130" xr:uid="{00000000-0004-0000-0F00-000081000000}"/>
    <hyperlink ref="CA79" r:id="rId131" xr:uid="{00000000-0004-0000-0F00-000082000000}"/>
    <hyperlink ref="CB79" r:id="rId132" xr:uid="{00000000-0004-0000-0F00-000083000000}"/>
    <hyperlink ref="CA78" r:id="rId133" xr:uid="{00000000-0004-0000-0F00-000084000000}"/>
    <hyperlink ref="CB78" r:id="rId134" xr:uid="{00000000-0004-0000-0F00-000085000000}"/>
    <hyperlink ref="CA77" r:id="rId135" xr:uid="{00000000-0004-0000-0F00-000086000000}"/>
    <hyperlink ref="CB77" r:id="rId136" xr:uid="{00000000-0004-0000-0F00-000087000000}"/>
    <hyperlink ref="CA66" r:id="rId137" xr:uid="{00000000-0004-0000-0F00-000088000000}"/>
    <hyperlink ref="CB66" r:id="rId138" xr:uid="{00000000-0004-0000-0F00-000089000000}"/>
    <hyperlink ref="CA65" r:id="rId139" xr:uid="{00000000-0004-0000-0F00-00008A000000}"/>
    <hyperlink ref="CB65" r:id="rId140" xr:uid="{00000000-0004-0000-0F00-00008B000000}"/>
    <hyperlink ref="CA62" r:id="rId141" xr:uid="{00000000-0004-0000-0F00-00008C000000}"/>
    <hyperlink ref="CB62" r:id="rId142" xr:uid="{00000000-0004-0000-0F00-00008D000000}"/>
    <hyperlink ref="CA61" r:id="rId143" xr:uid="{00000000-0004-0000-0F00-00008E000000}"/>
    <hyperlink ref="CB61" r:id="rId144" xr:uid="{00000000-0004-0000-0F00-00008F000000}"/>
    <hyperlink ref="CA60" r:id="rId145" xr:uid="{00000000-0004-0000-0F00-000090000000}"/>
    <hyperlink ref="CB60" r:id="rId146" xr:uid="{00000000-0004-0000-0F00-000091000000}"/>
    <hyperlink ref="CA59" r:id="rId147" xr:uid="{00000000-0004-0000-0F00-000092000000}"/>
    <hyperlink ref="CB59" r:id="rId148" xr:uid="{00000000-0004-0000-0F00-000093000000}"/>
    <hyperlink ref="CA58" r:id="rId149" xr:uid="{00000000-0004-0000-0F00-000094000000}"/>
    <hyperlink ref="CB58" r:id="rId150" xr:uid="{00000000-0004-0000-0F00-000095000000}"/>
    <hyperlink ref="CA57" r:id="rId151" xr:uid="{00000000-0004-0000-0F00-000096000000}"/>
    <hyperlink ref="CB57" r:id="rId152" xr:uid="{00000000-0004-0000-0F00-000097000000}"/>
    <hyperlink ref="CA56" r:id="rId153" xr:uid="{00000000-0004-0000-0F00-000098000000}"/>
    <hyperlink ref="CB56" r:id="rId154" xr:uid="{00000000-0004-0000-0F00-000099000000}"/>
    <hyperlink ref="CA55" r:id="rId155" xr:uid="{00000000-0004-0000-0F00-00009A000000}"/>
    <hyperlink ref="CB55" r:id="rId156" xr:uid="{00000000-0004-0000-0F00-00009B000000}"/>
    <hyperlink ref="CA54" r:id="rId157" xr:uid="{00000000-0004-0000-0F00-00009C000000}"/>
    <hyperlink ref="CB54" r:id="rId158" xr:uid="{00000000-0004-0000-0F00-00009D000000}"/>
    <hyperlink ref="CA53" r:id="rId159" xr:uid="{00000000-0004-0000-0F00-00009E000000}"/>
    <hyperlink ref="CB53" r:id="rId160" xr:uid="{00000000-0004-0000-0F00-00009F000000}"/>
    <hyperlink ref="CA52" r:id="rId161" xr:uid="{00000000-0004-0000-0F00-0000A0000000}"/>
    <hyperlink ref="CB52" r:id="rId162" xr:uid="{00000000-0004-0000-0F00-0000A1000000}"/>
    <hyperlink ref="CA51" r:id="rId163" xr:uid="{00000000-0004-0000-0F00-0000A2000000}"/>
    <hyperlink ref="CB51" r:id="rId164" xr:uid="{00000000-0004-0000-0F00-0000A3000000}"/>
    <hyperlink ref="CA50" r:id="rId165" xr:uid="{00000000-0004-0000-0F00-0000A4000000}"/>
    <hyperlink ref="CB50" r:id="rId166" xr:uid="{00000000-0004-0000-0F00-0000A5000000}"/>
    <hyperlink ref="CA49" r:id="rId167" xr:uid="{00000000-0004-0000-0F00-0000A6000000}"/>
    <hyperlink ref="CB49" r:id="rId168" xr:uid="{00000000-0004-0000-0F00-0000A7000000}"/>
    <hyperlink ref="CA48" r:id="rId169" xr:uid="{00000000-0004-0000-0F00-0000A8000000}"/>
    <hyperlink ref="CB48" r:id="rId170" xr:uid="{00000000-0004-0000-0F00-0000A9000000}"/>
    <hyperlink ref="CA47" r:id="rId171" xr:uid="{00000000-0004-0000-0F00-0000AA000000}"/>
    <hyperlink ref="CB47" r:id="rId172" xr:uid="{00000000-0004-0000-0F00-0000AB000000}"/>
    <hyperlink ref="CA46" r:id="rId173" xr:uid="{00000000-0004-0000-0F00-0000AC000000}"/>
    <hyperlink ref="CB46" r:id="rId174" xr:uid="{00000000-0004-0000-0F00-0000AD000000}"/>
    <hyperlink ref="CA45" r:id="rId175" xr:uid="{00000000-0004-0000-0F00-0000AE000000}"/>
    <hyperlink ref="CB45" r:id="rId176" xr:uid="{00000000-0004-0000-0F00-0000AF000000}"/>
    <hyperlink ref="CA44" r:id="rId177" xr:uid="{00000000-0004-0000-0F00-0000B0000000}"/>
    <hyperlink ref="CB44" r:id="rId178" xr:uid="{00000000-0004-0000-0F00-0000B1000000}"/>
    <hyperlink ref="CA43" r:id="rId179" xr:uid="{00000000-0004-0000-0F00-0000B2000000}"/>
    <hyperlink ref="CB43" r:id="rId180" xr:uid="{00000000-0004-0000-0F00-0000B3000000}"/>
    <hyperlink ref="CA42" r:id="rId181" xr:uid="{00000000-0004-0000-0F00-0000B4000000}"/>
    <hyperlink ref="CB42" r:id="rId182" xr:uid="{00000000-0004-0000-0F00-0000B5000000}"/>
    <hyperlink ref="CA41" r:id="rId183" xr:uid="{00000000-0004-0000-0F00-0000B6000000}"/>
    <hyperlink ref="CB41" r:id="rId184" xr:uid="{00000000-0004-0000-0F00-0000B7000000}"/>
    <hyperlink ref="CA40" r:id="rId185" xr:uid="{00000000-0004-0000-0F00-0000B8000000}"/>
    <hyperlink ref="CB40" r:id="rId186" xr:uid="{00000000-0004-0000-0F00-0000B9000000}"/>
    <hyperlink ref="CA68" r:id="rId187" xr:uid="{00000000-0004-0000-0F00-0000BA000000}"/>
    <hyperlink ref="CA35" r:id="rId188" xr:uid="{00000000-0004-0000-0F00-0000BB000000}"/>
    <hyperlink ref="CB35" r:id="rId189" xr:uid="{00000000-0004-0000-0F00-0000BC000000}"/>
    <hyperlink ref="CB34" r:id="rId190" xr:uid="{00000000-0004-0000-0F00-0000BD000000}"/>
    <hyperlink ref="CA34" r:id="rId191" xr:uid="{00000000-0004-0000-0F00-0000BE000000}"/>
    <hyperlink ref="CA33" r:id="rId192" xr:uid="{00000000-0004-0000-0F00-0000BF000000}"/>
    <hyperlink ref="CB33" r:id="rId193" xr:uid="{00000000-0004-0000-0F00-0000C0000000}"/>
    <hyperlink ref="CA32" r:id="rId194" xr:uid="{00000000-0004-0000-0F00-0000C1000000}"/>
    <hyperlink ref="CB32" r:id="rId195" xr:uid="{00000000-0004-0000-0F00-0000C2000000}"/>
    <hyperlink ref="CA31" r:id="rId196" xr:uid="{00000000-0004-0000-0F00-0000C3000000}"/>
    <hyperlink ref="CB31" r:id="rId197" xr:uid="{00000000-0004-0000-0F00-0000C4000000}"/>
    <hyperlink ref="CA30" r:id="rId198" xr:uid="{00000000-0004-0000-0F00-0000C5000000}"/>
    <hyperlink ref="CB30" r:id="rId199" xr:uid="{00000000-0004-0000-0F00-0000C6000000}"/>
    <hyperlink ref="CA29" r:id="rId200" xr:uid="{00000000-0004-0000-0F00-0000C7000000}"/>
    <hyperlink ref="CB29" r:id="rId201" xr:uid="{00000000-0004-0000-0F00-0000C8000000}"/>
    <hyperlink ref="CA28" r:id="rId202" xr:uid="{00000000-0004-0000-0F00-0000C9000000}"/>
    <hyperlink ref="CB28" r:id="rId203" xr:uid="{00000000-0004-0000-0F00-0000CA000000}"/>
    <hyperlink ref="CA27" r:id="rId204" xr:uid="{00000000-0004-0000-0F00-0000CB000000}"/>
    <hyperlink ref="CA26" r:id="rId205" xr:uid="{00000000-0004-0000-0F00-0000CC000000}"/>
    <hyperlink ref="CB26" r:id="rId206" xr:uid="{00000000-0004-0000-0F00-0000CD000000}"/>
    <hyperlink ref="CA24" r:id="rId207" xr:uid="{00000000-0004-0000-0F00-0000CE000000}"/>
    <hyperlink ref="CB24" r:id="rId208" xr:uid="{00000000-0004-0000-0F00-0000CF000000}"/>
    <hyperlink ref="CA23" r:id="rId209" xr:uid="{00000000-0004-0000-0F00-0000D0000000}"/>
    <hyperlink ref="CB23" r:id="rId210" xr:uid="{00000000-0004-0000-0F00-0000D1000000}"/>
    <hyperlink ref="CA22" r:id="rId211" xr:uid="{00000000-0004-0000-0F00-0000D2000000}"/>
    <hyperlink ref="CB22" r:id="rId212" xr:uid="{00000000-0004-0000-0F00-0000D3000000}"/>
    <hyperlink ref="CA21" r:id="rId213" xr:uid="{00000000-0004-0000-0F00-0000D4000000}"/>
    <hyperlink ref="CB21" r:id="rId214" xr:uid="{00000000-0004-0000-0F00-0000D5000000}"/>
    <hyperlink ref="CA20" r:id="rId215" xr:uid="{00000000-0004-0000-0F00-0000D6000000}"/>
    <hyperlink ref="CB20" r:id="rId216" xr:uid="{00000000-0004-0000-0F00-0000D7000000}"/>
    <hyperlink ref="CA19" r:id="rId217" xr:uid="{00000000-0004-0000-0F00-0000D8000000}"/>
    <hyperlink ref="CB19" r:id="rId218" xr:uid="{00000000-0004-0000-0F00-0000D9000000}"/>
    <hyperlink ref="CA18" r:id="rId219" xr:uid="{00000000-0004-0000-0F00-0000DA000000}"/>
    <hyperlink ref="CB18" r:id="rId220" xr:uid="{00000000-0004-0000-0F00-0000DB000000}"/>
    <hyperlink ref="CA17" r:id="rId221" xr:uid="{00000000-0004-0000-0F00-0000DC000000}"/>
    <hyperlink ref="CB17" r:id="rId222" xr:uid="{00000000-0004-0000-0F00-0000DD000000}"/>
    <hyperlink ref="CA16" r:id="rId223" xr:uid="{00000000-0004-0000-0F00-0000DE000000}"/>
    <hyperlink ref="CB16" r:id="rId224" xr:uid="{00000000-0004-0000-0F00-0000DF000000}"/>
    <hyperlink ref="CA15" r:id="rId225" xr:uid="{00000000-0004-0000-0F00-0000E0000000}"/>
    <hyperlink ref="CB15" r:id="rId226" xr:uid="{00000000-0004-0000-0F00-0000E1000000}"/>
    <hyperlink ref="CA14" r:id="rId227" xr:uid="{00000000-0004-0000-0F00-0000E2000000}"/>
    <hyperlink ref="CB14" r:id="rId228" xr:uid="{00000000-0004-0000-0F00-0000E3000000}"/>
    <hyperlink ref="CA13" r:id="rId229" xr:uid="{00000000-0004-0000-0F00-0000E4000000}"/>
    <hyperlink ref="CB13" r:id="rId230" xr:uid="{00000000-0004-0000-0F00-0000E5000000}"/>
    <hyperlink ref="CA12" r:id="rId231" xr:uid="{00000000-0004-0000-0F00-0000E6000000}"/>
    <hyperlink ref="CB12" r:id="rId232" xr:uid="{00000000-0004-0000-0F00-0000E7000000}"/>
    <hyperlink ref="CA11" r:id="rId233" xr:uid="{00000000-0004-0000-0F00-0000E8000000}"/>
    <hyperlink ref="CB11" r:id="rId234" xr:uid="{00000000-0004-0000-0F00-0000E9000000}"/>
    <hyperlink ref="CA10" r:id="rId235" xr:uid="{00000000-0004-0000-0F00-0000EA000000}"/>
    <hyperlink ref="CB10" r:id="rId236" xr:uid="{00000000-0004-0000-0F00-0000EB000000}"/>
    <hyperlink ref="CA9" r:id="rId237" xr:uid="{00000000-0004-0000-0F00-0000EC000000}"/>
    <hyperlink ref="CB9" r:id="rId238" xr:uid="{00000000-0004-0000-0F00-0000ED000000}"/>
    <hyperlink ref="CA8" r:id="rId239" xr:uid="{00000000-0004-0000-0F00-0000EE000000}"/>
    <hyperlink ref="CB8" r:id="rId240" xr:uid="{00000000-0004-0000-0F00-0000EF000000}"/>
    <hyperlink ref="CA6" r:id="rId241" xr:uid="{00000000-0004-0000-0F00-0000F0000000}"/>
    <hyperlink ref="CB6" r:id="rId242" xr:uid="{00000000-0004-0000-0F00-0000F1000000}"/>
    <hyperlink ref="CA5" r:id="rId243" xr:uid="{00000000-0004-0000-0F00-0000F2000000}"/>
    <hyperlink ref="CB5" r:id="rId244" xr:uid="{00000000-0004-0000-0F00-0000F3000000}"/>
    <hyperlink ref="CA4" r:id="rId245" xr:uid="{00000000-0004-0000-0F00-0000F4000000}"/>
    <hyperlink ref="CB4" r:id="rId246" xr:uid="{00000000-0004-0000-0F00-0000F5000000}"/>
    <hyperlink ref="CA2" r:id="rId247" xr:uid="{00000000-0004-0000-0F00-0000F6000000}"/>
    <hyperlink ref="CB2" r:id="rId248" xr:uid="{00000000-0004-0000-0F00-0000F7000000}"/>
    <hyperlink ref="CA3" r:id="rId249" xr:uid="{00000000-0004-0000-0F00-0000F8000000}"/>
    <hyperlink ref="CB3" r:id="rId250" xr:uid="{00000000-0004-0000-0F00-0000F9000000}"/>
    <hyperlink ref="B37" r:id="rId251" xr:uid="{00000000-0004-0000-0F00-0000FA000000}"/>
    <hyperlink ref="C39" r:id="rId252" xr:uid="{00000000-0004-0000-0F00-0000FB000000}"/>
    <hyperlink ref="CA39" r:id="rId253" xr:uid="{00000000-0004-0000-0F00-0000FC000000}"/>
    <hyperlink ref="CB39" r:id="rId254" xr:uid="{00000000-0004-0000-0F00-0000FD000000}"/>
    <hyperlink ref="B70" r:id="rId255" xr:uid="{00000000-0004-0000-0F00-0000FE000000}"/>
    <hyperlink ref="C34" r:id="rId256" xr:uid="{00000000-0004-0000-0F00-0000FF000000}"/>
    <hyperlink ref="C29" r:id="rId257" xr:uid="{00000000-0004-0000-0F00-000000010000}"/>
    <hyperlink ref="C30" r:id="rId258" xr:uid="{00000000-0004-0000-0F00-000001010000}"/>
    <hyperlink ref="C24" r:id="rId259" display="1821/ABDI1/LPPM/VIII/2021" xr:uid="{00000000-0004-0000-0F00-000002010000}"/>
    <hyperlink ref="C70" r:id="rId260" xr:uid="{00000000-0004-0000-0F00-000003010000}"/>
    <hyperlink ref="B72" r:id="rId261" xr:uid="{00000000-0004-0000-0F00-000004010000}"/>
    <hyperlink ref="C72" r:id="rId262" xr:uid="{00000000-0004-0000-0F00-000005010000}"/>
    <hyperlink ref="CB72" r:id="rId263" xr:uid="{00000000-0004-0000-0F00-000006010000}"/>
    <hyperlink ref="CA72" r:id="rId264" xr:uid="{00000000-0004-0000-0F00-000007010000}"/>
    <hyperlink ref="CB70" r:id="rId265" xr:uid="{00000000-0004-0000-0F00-000008010000}"/>
    <hyperlink ref="CA70" r:id="rId266" xr:uid="{00000000-0004-0000-0F00-000009010000}"/>
    <hyperlink ref="C94" r:id="rId267" xr:uid="{00000000-0004-0000-0F00-00000A010000}"/>
    <hyperlink ref="C95" r:id="rId268" xr:uid="{00000000-0004-0000-0F00-00000B010000}"/>
    <hyperlink ref="B108" r:id="rId269" xr:uid="{00000000-0004-0000-0F00-00000C010000}"/>
    <hyperlink ref="CA108" r:id="rId270" xr:uid="{00000000-0004-0000-0F00-00000D010000}"/>
    <hyperlink ref="CB108" r:id="rId271" xr:uid="{00000000-0004-0000-0F00-00000E010000}"/>
    <hyperlink ref="C108" r:id="rId272" xr:uid="{00000000-0004-0000-0F00-00000F010000}"/>
    <hyperlink ref="B122" r:id="rId273" display="https://yptorid-my.sharepoint.com/:b:/g/personal/lppm_ittelkom-sby_ac_id/EVmf0qXQaO1LvsHj6UcKHsMBOOYQB9GtgAeVzl_2orTDPg?e=9fZAvL" xr:uid="{00000000-0004-0000-0F00-000010010000}"/>
    <hyperlink ref="B123:B128" r:id="rId274" display="https://yptorid-my.sharepoint.com/:b:/g/personal/lppm_ittelkom-sby_ac_id/EVmf0qXQaO1LvsHj6UcKHsMBOOYQB9GtgAeVzl_2orTDPg?e=9fZAvL" xr:uid="{00000000-0004-0000-0F00-000011010000}"/>
    <hyperlink ref="CA126" r:id="rId275" xr:uid="{00000000-0004-0000-0F00-000012010000}"/>
    <hyperlink ref="CA128" r:id="rId276" xr:uid="{00000000-0004-0000-0F00-000013010000}"/>
    <hyperlink ref="CA123" r:id="rId277" xr:uid="{00000000-0004-0000-0F00-000014010000}"/>
    <hyperlink ref="CA122" r:id="rId278" xr:uid="{00000000-0004-0000-0F00-000015010000}"/>
    <hyperlink ref="CA124" r:id="rId279" xr:uid="{00000000-0004-0000-0F00-000016010000}"/>
    <hyperlink ref="CA125" r:id="rId280" xr:uid="{00000000-0004-0000-0F00-000017010000}"/>
    <hyperlink ref="CA127" r:id="rId281" xr:uid="{00000000-0004-0000-0F00-000018010000}"/>
    <hyperlink ref="CA129" r:id="rId282" xr:uid="{00000000-0004-0000-0F00-000019010000}"/>
    <hyperlink ref="CA130" r:id="rId283" xr:uid="{00000000-0004-0000-0F00-00001A010000}"/>
    <hyperlink ref="CA131" r:id="rId284" xr:uid="{00000000-0004-0000-0F00-00001B010000}"/>
    <hyperlink ref="C131" r:id="rId285" xr:uid="{00000000-0004-0000-0F00-00001C010000}"/>
    <hyperlink ref="C132" r:id="rId286" xr:uid="{00000000-0004-0000-0F00-00001D010000}"/>
    <hyperlink ref="CA132" r:id="rId287" xr:uid="{00000000-0004-0000-0F00-00001E010000}"/>
    <hyperlink ref="CA133" r:id="rId288" xr:uid="{00000000-0004-0000-0F00-00001F010000}"/>
    <hyperlink ref="CA134" r:id="rId289" xr:uid="{00000000-0004-0000-0F00-000020010000}"/>
    <hyperlink ref="CA135" r:id="rId290" xr:uid="{00000000-0004-0000-0F00-000021010000}"/>
    <hyperlink ref="CA136" r:id="rId291" xr:uid="{00000000-0004-0000-0F00-000022010000}"/>
    <hyperlink ref="C137" r:id="rId292" xr:uid="{00000000-0004-0000-0F00-000023010000}"/>
    <hyperlink ref="CA137" r:id="rId293" xr:uid="{00000000-0004-0000-0F00-000024010000}"/>
    <hyperlink ref="CA138" r:id="rId294" xr:uid="{00000000-0004-0000-0F00-000025010000}"/>
    <hyperlink ref="C139" r:id="rId295" xr:uid="{00000000-0004-0000-0F00-000026010000}"/>
    <hyperlink ref="CA139" r:id="rId296" xr:uid="{00000000-0004-0000-0F00-000027010000}"/>
    <hyperlink ref="CA140" r:id="rId297" xr:uid="{00000000-0004-0000-0F00-000028010000}"/>
    <hyperlink ref="C140" r:id="rId298" xr:uid="{00000000-0004-0000-0F00-000029010000}"/>
    <hyperlink ref="CA141" r:id="rId299" xr:uid="{00000000-0004-0000-0F00-00002A010000}"/>
    <hyperlink ref="CA142" r:id="rId300" xr:uid="{00000000-0004-0000-0F00-00002B010000}"/>
    <hyperlink ref="C142" r:id="rId301" xr:uid="{00000000-0004-0000-0F00-00002C010000}"/>
    <hyperlink ref="C143" r:id="rId302" xr:uid="{00000000-0004-0000-0F00-00002D010000}"/>
    <hyperlink ref="CA143" r:id="rId303" xr:uid="{00000000-0004-0000-0F00-00002E010000}"/>
    <hyperlink ref="CA144" r:id="rId304" xr:uid="{00000000-0004-0000-0F00-00002F010000}"/>
    <hyperlink ref="CA145" r:id="rId305" xr:uid="{00000000-0004-0000-0F00-000030010000}"/>
    <hyperlink ref="CA146" r:id="rId306" xr:uid="{00000000-0004-0000-0F00-000031010000}"/>
    <hyperlink ref="C147" r:id="rId307" xr:uid="{00000000-0004-0000-0F00-000032010000}"/>
    <hyperlink ref="CA147" r:id="rId308" xr:uid="{00000000-0004-0000-0F00-000033010000}"/>
    <hyperlink ref="CA148" r:id="rId309" xr:uid="{00000000-0004-0000-0F00-000034010000}"/>
    <hyperlink ref="CA149" r:id="rId310" xr:uid="{00000000-0004-0000-0F00-000035010000}"/>
    <hyperlink ref="C149" r:id="rId311" xr:uid="{00000000-0004-0000-0F00-000036010000}"/>
    <hyperlink ref="C129" r:id="rId312" xr:uid="{00000000-0004-0000-0F00-000037010000}"/>
    <hyperlink ref="C130" r:id="rId313" xr:uid="{00000000-0004-0000-0F00-000038010000}"/>
    <hyperlink ref="C133" r:id="rId314" xr:uid="{00000000-0004-0000-0F00-000039010000}"/>
    <hyperlink ref="C134" r:id="rId315" xr:uid="{00000000-0004-0000-0F00-00003A010000}"/>
    <hyperlink ref="C135" r:id="rId316" xr:uid="{00000000-0004-0000-0F00-00003B010000}"/>
    <hyperlink ref="C136" r:id="rId317" xr:uid="{00000000-0004-0000-0F00-00003C010000}"/>
    <hyperlink ref="C138" r:id="rId318" xr:uid="{00000000-0004-0000-0F00-00003D010000}"/>
    <hyperlink ref="C141" r:id="rId319" xr:uid="{00000000-0004-0000-0F00-00003E010000}"/>
    <hyperlink ref="C144" r:id="rId320" xr:uid="{00000000-0004-0000-0F00-00003F010000}"/>
    <hyperlink ref="C145" r:id="rId321" xr:uid="{00000000-0004-0000-0F00-000040010000}"/>
    <hyperlink ref="C146" r:id="rId322" xr:uid="{00000000-0004-0000-0F00-000041010000}"/>
    <hyperlink ref="C148" r:id="rId323" xr:uid="{00000000-0004-0000-0F00-000042010000}"/>
    <hyperlink ref="CA112" r:id="rId324" xr:uid="{00000000-0004-0000-0F00-000043010000}"/>
    <hyperlink ref="B112" r:id="rId325" xr:uid="{00000000-0004-0000-0F00-000044010000}"/>
    <hyperlink ref="CB111" r:id="rId326" xr:uid="{00000000-0004-0000-0F00-000045010000}"/>
    <hyperlink ref="CA111" r:id="rId327" xr:uid="{00000000-0004-0000-0F00-000046010000}"/>
    <hyperlink ref="CA110" r:id="rId328" xr:uid="{00000000-0004-0000-0F00-000047010000}"/>
    <hyperlink ref="CB110" r:id="rId329" xr:uid="{00000000-0004-0000-0F00-000048010000}"/>
    <hyperlink ref="C110" r:id="rId330" xr:uid="{00000000-0004-0000-0F00-000049010000}"/>
    <hyperlink ref="B111" r:id="rId331" xr:uid="{00000000-0004-0000-0F00-00004A010000}"/>
    <hyperlink ref="B110" r:id="rId332" xr:uid="{00000000-0004-0000-0F00-00004B010000}"/>
    <hyperlink ref="B114" r:id="rId333" xr:uid="{00000000-0004-0000-0F00-00004C010000}"/>
    <hyperlink ref="B115:B120" r:id="rId334" display="REK.259_ABDI1_REK_XII_2023" xr:uid="{00000000-0004-0000-0F00-00004D010000}"/>
    <hyperlink ref="CA150" r:id="rId335" xr:uid="{00000000-0004-0000-0F00-00004E010000}"/>
    <hyperlink ref="CA151" r:id="rId336" xr:uid="{00000000-0004-0000-0F00-00004F010000}"/>
    <hyperlink ref="CA152" r:id="rId337" xr:uid="{00000000-0004-0000-0F00-000050010000}"/>
    <hyperlink ref="CA153" r:id="rId338" xr:uid="{00000000-0004-0000-0F00-000051010000}"/>
    <hyperlink ref="CA154" r:id="rId339" xr:uid="{00000000-0004-0000-0F00-000052010000}"/>
    <hyperlink ref="B129" r:id="rId340" xr:uid="{00000000-0004-0000-0F00-000053010000}"/>
    <hyperlink ref="B130:B132" r:id="rId341" display="KWR4.063/ABD04/PPM-JPM/2024" xr:uid="{00000000-0004-0000-0F00-000054010000}"/>
    <hyperlink ref="B134" r:id="rId342" xr:uid="{00000000-0004-0000-0F00-000055010000}"/>
    <hyperlink ref="B137:B144" r:id="rId343" display="KWR4.063/ABD04/PPM-JPM/2024" xr:uid="{00000000-0004-0000-0F00-000056010000}"/>
    <hyperlink ref="B146" r:id="rId344" xr:uid="{00000000-0004-0000-0F00-000057010000}"/>
    <hyperlink ref="B147" r:id="rId345" xr:uid="{00000000-0004-0000-0F00-000058010000}"/>
    <hyperlink ref="B148" r:id="rId346" xr:uid="{00000000-0004-0000-0F00-000059010000}"/>
    <hyperlink ref="C150" r:id="rId347" xr:uid="{00000000-0004-0000-0F00-00005A010000}"/>
    <hyperlink ref="C151" r:id="rId348" xr:uid="{00000000-0004-0000-0F00-00005B010000}"/>
    <hyperlink ref="C152" r:id="rId349" xr:uid="{00000000-0004-0000-0F00-00005C010000}"/>
    <hyperlink ref="C153" r:id="rId350" xr:uid="{00000000-0004-0000-0F00-00005D010000}"/>
    <hyperlink ref="C154" r:id="rId351" xr:uid="{00000000-0004-0000-0F00-00005E010000}"/>
    <hyperlink ref="CA158" r:id="rId352" xr:uid="{00000000-0004-0000-0F00-00005F010000}"/>
    <hyperlink ref="CA159" r:id="rId353" xr:uid="{00000000-0004-0000-0F00-000060010000}"/>
    <hyperlink ref="CA160" r:id="rId354" xr:uid="{00000000-0004-0000-0F00-000061010000}"/>
    <hyperlink ref="CA161" r:id="rId355" xr:uid="{00000000-0004-0000-0F00-000062010000}"/>
    <hyperlink ref="CA162" r:id="rId356" xr:uid="{00000000-0004-0000-0F00-000063010000}"/>
    <hyperlink ref="CA163" r:id="rId357" xr:uid="{00000000-0004-0000-0F00-000064010000}"/>
    <hyperlink ref="CB158" r:id="rId358" xr:uid="{00000000-0004-0000-0F00-000065010000}"/>
    <hyperlink ref="CB159" r:id="rId359" xr:uid="{00000000-0004-0000-0F00-000066010000}"/>
    <hyperlink ref="C159" r:id="rId360" xr:uid="{00000000-0004-0000-0F00-000067010000}"/>
    <hyperlink ref="CB160" r:id="rId361" xr:uid="{00000000-0004-0000-0F00-000068010000}"/>
    <hyperlink ref="CB161" r:id="rId362" xr:uid="{00000000-0004-0000-0F00-000069010000}"/>
    <hyperlink ref="C161" r:id="rId363" xr:uid="{00000000-0004-0000-0F00-00006A010000}"/>
    <hyperlink ref="CB162" r:id="rId364" xr:uid="{00000000-0004-0000-0F00-00006B010000}"/>
    <hyperlink ref="C160" r:id="rId365" xr:uid="{00000000-0004-0000-0F00-00006C010000}"/>
    <hyperlink ref="C162" r:id="rId366" xr:uid="{00000000-0004-0000-0F00-00006D010000}"/>
    <hyperlink ref="C158" r:id="rId367" display=" 0387/ABD07/PPM-JPM/2024" xr:uid="{00000000-0004-0000-0F00-00006E010000}"/>
    <hyperlink ref="CB163" r:id="rId368" xr:uid="{00000000-0004-0000-0F00-00006F010000}"/>
    <hyperlink ref="C163" r:id="rId369" display="0392/ABD07/PPM-JPM/2024" xr:uid="{00000000-0004-0000-0F00-000070010000}"/>
    <hyperlink ref="CA171" r:id="rId370" xr:uid="{00000000-0004-0000-0F00-000071010000}"/>
    <hyperlink ref="CA172" r:id="rId371" xr:uid="{00000000-0004-0000-0F00-000072010000}"/>
    <hyperlink ref="CA173" r:id="rId372" xr:uid="{00000000-0004-0000-0F00-000073010000}"/>
    <hyperlink ref="CA174" r:id="rId373" xr:uid="{00000000-0004-0000-0F00-000074010000}"/>
    <hyperlink ref="CA176" r:id="rId374" xr:uid="{00000000-0004-0000-0F00-000075010000}"/>
    <hyperlink ref="CA175" r:id="rId375" xr:uid="{00000000-0004-0000-0F00-000076010000}"/>
    <hyperlink ref="CA177" r:id="rId376" xr:uid="{00000000-0004-0000-0F00-000077010000}"/>
    <hyperlink ref="CA178" r:id="rId377" xr:uid="{00000000-0004-0000-0F00-000078010000}"/>
    <hyperlink ref="CA180" r:id="rId378" xr:uid="{00000000-0004-0000-0F00-000079010000}"/>
    <hyperlink ref="CA179" r:id="rId379" xr:uid="{00000000-0004-0000-0F00-00007A010000}"/>
    <hyperlink ref="CA181" r:id="rId380" xr:uid="{00000000-0004-0000-0F00-00007B010000}"/>
    <hyperlink ref="CA182" r:id="rId381" xr:uid="{00000000-0004-0000-0F00-00007C010000}"/>
    <hyperlink ref="CA184" r:id="rId382" xr:uid="{00000000-0004-0000-0F00-00007D010000}"/>
    <hyperlink ref="CA183" r:id="rId383" xr:uid="{00000000-0004-0000-0F00-00007E010000}"/>
    <hyperlink ref="CA185" r:id="rId384" xr:uid="{00000000-0004-0000-0F00-00007F010000}"/>
    <hyperlink ref="CA186" r:id="rId385" xr:uid="{00000000-0004-0000-0F00-000080010000}"/>
    <hyperlink ref="CA187" r:id="rId386" xr:uid="{00000000-0004-0000-0F00-000081010000}"/>
    <hyperlink ref="CA188" r:id="rId387" xr:uid="{00000000-0004-0000-0F00-000082010000}"/>
    <hyperlink ref="CA189" r:id="rId388" xr:uid="{00000000-0004-0000-0F00-000083010000}"/>
    <hyperlink ref="CA190" r:id="rId389" xr:uid="{00000000-0004-0000-0F00-000084010000}"/>
    <hyperlink ref="CA191" r:id="rId390" xr:uid="{00000000-0004-0000-0F00-000085010000}"/>
    <hyperlink ref="CA165" r:id="rId391" xr:uid="{00000000-0004-0000-0F00-000086010000}"/>
    <hyperlink ref="CA166" r:id="rId392" xr:uid="{00000000-0004-0000-0F00-000087010000}"/>
    <hyperlink ref="CA167" r:id="rId393" xr:uid="{00000000-0004-0000-0F00-000088010000}"/>
    <hyperlink ref="CA168" r:id="rId394" xr:uid="{00000000-0004-0000-0F00-000089010000}"/>
    <hyperlink ref="CA169" r:id="rId395" xr:uid="{00000000-0004-0000-0F00-00008A010000}"/>
    <hyperlink ref="CA170" r:id="rId396" xr:uid="{00000000-0004-0000-0F00-00008B010000}"/>
    <hyperlink ref="CA64" r:id="rId397" xr:uid="{00000000-0004-0000-0F00-00008C010000}"/>
  </hyperlinks>
  <pageMargins left="0.7" right="0.7" top="0.75" bottom="0.75" header="0.3" footer="0.3"/>
  <pageSetup orientation="portrait" r:id="rId398"/>
  <legacyDrawing r:id="rId399"/>
  <tableParts count="1">
    <tablePart r:id="rId400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095BF"/>
  </sheetPr>
  <dimension ref="A1:AW133"/>
  <sheetViews>
    <sheetView topLeftCell="A108" workbookViewId="0">
      <selection activeCell="C122" sqref="C122"/>
    </sheetView>
  </sheetViews>
  <sheetFormatPr defaultColWidth="8.6640625" defaultRowHeight="13.2"/>
  <cols>
    <col min="1" max="1" width="17.109375" style="46" customWidth="1"/>
    <col min="2" max="2" width="34.109375" style="62" customWidth="1"/>
    <col min="3" max="5" width="16.44140625" style="62" customWidth="1"/>
    <col min="6" max="6" width="14.88671875" style="80" customWidth="1"/>
    <col min="7" max="7" width="16.5546875" style="62" bestFit="1" customWidth="1"/>
    <col min="8" max="8" width="14.88671875" style="80" customWidth="1"/>
    <col min="9" max="9" width="16.5546875" style="80" bestFit="1" customWidth="1"/>
    <col min="10" max="12" width="14.88671875" style="80" customWidth="1"/>
    <col min="13" max="13" width="16.33203125" style="80" bestFit="1" customWidth="1"/>
    <col min="14" max="14" width="14.88671875" style="80" customWidth="1"/>
    <col min="15" max="15" width="22.6640625" style="62" customWidth="1"/>
    <col min="16" max="16" width="4.109375" style="62" customWidth="1"/>
    <col min="17" max="17" width="15.5546875" style="62" customWidth="1"/>
    <col min="18" max="18" width="4.6640625" style="62" customWidth="1"/>
    <col min="19" max="19" width="29.5546875" style="62" customWidth="1"/>
    <col min="20" max="20" width="15.5546875" style="80" customWidth="1"/>
    <col min="21" max="21" width="16.44140625" style="62" customWidth="1"/>
    <col min="22" max="22" width="16.5546875" style="62" customWidth="1"/>
    <col min="23" max="23" width="15.88671875" style="80" customWidth="1"/>
    <col min="24" max="24" width="15.88671875" style="62" customWidth="1"/>
    <col min="25" max="25" width="15.88671875" style="80" customWidth="1"/>
    <col min="26" max="26" width="8.6640625" style="62" customWidth="1"/>
    <col min="27" max="27" width="4.88671875" style="46" customWidth="1"/>
    <col min="28" max="28" width="10.109375" style="62" customWidth="1"/>
    <col min="29" max="29" width="20.33203125" style="62" customWidth="1"/>
    <col min="30" max="30" width="16.44140625" style="80" customWidth="1"/>
    <col min="31" max="31" width="16.6640625" style="80" customWidth="1"/>
    <col min="32" max="33" width="16.88671875" style="80" customWidth="1"/>
    <col min="34" max="36" width="18.109375" style="62" customWidth="1"/>
    <col min="37" max="37" width="16.88671875" style="62" customWidth="1"/>
    <col min="38" max="38" width="8.6640625" style="62" customWidth="1"/>
    <col min="39" max="39" width="8.6640625" style="62"/>
    <col min="40" max="40" width="13.6640625" style="62" customWidth="1"/>
    <col min="41" max="41" width="20.109375" style="62" customWidth="1"/>
    <col min="42" max="49" width="16.109375" style="62" customWidth="1"/>
    <col min="50" max="16384" width="8.6640625" style="62"/>
  </cols>
  <sheetData>
    <row r="1" spans="1:49">
      <c r="A1" s="67" t="s">
        <v>5821</v>
      </c>
      <c r="B1" s="69"/>
      <c r="C1" s="69"/>
      <c r="D1" s="69"/>
      <c r="E1" s="69"/>
      <c r="F1" s="78"/>
      <c r="G1" s="69"/>
      <c r="H1" s="78"/>
      <c r="I1" s="78"/>
      <c r="J1" s="78"/>
      <c r="K1" s="78"/>
      <c r="L1" s="78"/>
      <c r="M1" s="78"/>
      <c r="N1" s="78"/>
      <c r="Q1" s="67" t="s">
        <v>5822</v>
      </c>
      <c r="R1" s="68"/>
      <c r="S1" s="69"/>
      <c r="T1" s="78"/>
      <c r="U1" s="69"/>
      <c r="V1" s="69"/>
      <c r="W1" s="78"/>
      <c r="X1" s="69"/>
      <c r="Y1" s="78"/>
      <c r="AA1" s="811" t="s">
        <v>5823</v>
      </c>
      <c r="AB1" s="811"/>
      <c r="AC1" s="811"/>
      <c r="AD1" s="811"/>
      <c r="AE1" s="811"/>
      <c r="AF1" s="811"/>
      <c r="AG1" s="811"/>
      <c r="AH1" s="811"/>
      <c r="AI1" s="811"/>
      <c r="AJ1" s="811"/>
      <c r="AK1" s="811"/>
      <c r="AM1" s="811" t="s">
        <v>5824</v>
      </c>
      <c r="AN1" s="811"/>
      <c r="AO1" s="811"/>
      <c r="AP1" s="811"/>
      <c r="AQ1" s="811"/>
      <c r="AR1" s="811"/>
      <c r="AS1" s="811"/>
      <c r="AT1" s="811"/>
      <c r="AU1" s="811"/>
      <c r="AV1" s="811"/>
      <c r="AW1" s="811"/>
    </row>
    <row r="2" spans="1:49" ht="14.4" customHeight="1">
      <c r="A2" s="807" t="s">
        <v>239</v>
      </c>
      <c r="B2" s="807" t="s">
        <v>5825</v>
      </c>
      <c r="C2" s="809">
        <v>2020</v>
      </c>
      <c r="D2" s="809"/>
      <c r="E2" s="810">
        <v>2021</v>
      </c>
      <c r="F2" s="806"/>
      <c r="G2" s="806">
        <v>2022</v>
      </c>
      <c r="H2" s="806"/>
      <c r="I2" s="806">
        <v>2023</v>
      </c>
      <c r="J2" s="806"/>
      <c r="K2" s="806">
        <v>2024</v>
      </c>
      <c r="L2" s="806"/>
      <c r="M2" s="806">
        <v>2025</v>
      </c>
      <c r="N2" s="806"/>
      <c r="Q2" s="809" t="s">
        <v>239</v>
      </c>
      <c r="R2" s="809" t="s">
        <v>149</v>
      </c>
      <c r="S2" s="809" t="s">
        <v>5825</v>
      </c>
      <c r="T2" s="806">
        <v>2021</v>
      </c>
      <c r="U2" s="806"/>
      <c r="V2" s="806">
        <v>2022</v>
      </c>
      <c r="W2" s="806"/>
      <c r="X2" s="806">
        <v>2023</v>
      </c>
      <c r="Y2" s="806"/>
      <c r="AA2" s="89"/>
      <c r="AB2" s="89"/>
      <c r="AC2" s="89"/>
      <c r="AD2" s="815" t="s">
        <v>2275</v>
      </c>
      <c r="AE2" s="816"/>
      <c r="AF2" s="816"/>
      <c r="AG2" s="816"/>
      <c r="AH2" s="817" t="s">
        <v>5826</v>
      </c>
      <c r="AI2" s="817"/>
      <c r="AJ2" s="817"/>
      <c r="AK2" s="817"/>
      <c r="AM2" s="89"/>
      <c r="AN2" s="89"/>
      <c r="AO2" s="89"/>
      <c r="AP2" s="815" t="s">
        <v>2275</v>
      </c>
      <c r="AQ2" s="816"/>
      <c r="AR2" s="816"/>
      <c r="AS2" s="816"/>
      <c r="AT2" s="817" t="s">
        <v>5826</v>
      </c>
      <c r="AU2" s="817"/>
      <c r="AV2" s="817"/>
      <c r="AW2" s="817"/>
    </row>
    <row r="3" spans="1:49" s="45" customFormat="1" ht="14.4" customHeight="1">
      <c r="A3" s="807"/>
      <c r="B3" s="807"/>
      <c r="C3" s="77" t="s">
        <v>2275</v>
      </c>
      <c r="D3" s="79" t="s">
        <v>5826</v>
      </c>
      <c r="E3" s="77" t="s">
        <v>2275</v>
      </c>
      <c r="F3" s="79" t="s">
        <v>5826</v>
      </c>
      <c r="G3" s="77" t="s">
        <v>2275</v>
      </c>
      <c r="H3" s="79" t="s">
        <v>5826</v>
      </c>
      <c r="I3" s="79" t="s">
        <v>2275</v>
      </c>
      <c r="J3" s="79" t="s">
        <v>5826</v>
      </c>
      <c r="K3" s="79" t="s">
        <v>2275</v>
      </c>
      <c r="L3" s="79" t="s">
        <v>5826</v>
      </c>
      <c r="M3" s="79" t="s">
        <v>2275</v>
      </c>
      <c r="N3" s="79" t="s">
        <v>5826</v>
      </c>
      <c r="Q3" s="809"/>
      <c r="R3" s="809"/>
      <c r="S3" s="809"/>
      <c r="T3" s="79" t="s">
        <v>2275</v>
      </c>
      <c r="U3" s="77" t="s">
        <v>5826</v>
      </c>
      <c r="V3" s="77" t="s">
        <v>2275</v>
      </c>
      <c r="W3" s="79" t="s">
        <v>5826</v>
      </c>
      <c r="X3" s="77" t="s">
        <v>2275</v>
      </c>
      <c r="Y3" s="79" t="s">
        <v>5826</v>
      </c>
      <c r="AA3" s="818" t="s">
        <v>149</v>
      </c>
      <c r="AB3" s="818" t="s">
        <v>3157</v>
      </c>
      <c r="AC3" s="818" t="s">
        <v>239</v>
      </c>
      <c r="AD3" s="820" t="s">
        <v>5827</v>
      </c>
      <c r="AE3" s="821"/>
      <c r="AF3" s="821"/>
      <c r="AG3" s="821"/>
      <c r="AH3" s="812" t="s">
        <v>5827</v>
      </c>
      <c r="AI3" s="812"/>
      <c r="AJ3" s="812"/>
      <c r="AK3" s="812"/>
      <c r="AM3" s="818" t="s">
        <v>149</v>
      </c>
      <c r="AN3" s="818" t="s">
        <v>3157</v>
      </c>
      <c r="AO3" s="818" t="s">
        <v>239</v>
      </c>
      <c r="AP3" s="820" t="s">
        <v>5827</v>
      </c>
      <c r="AQ3" s="821"/>
      <c r="AR3" s="821"/>
      <c r="AS3" s="821"/>
      <c r="AT3" s="812" t="s">
        <v>5827</v>
      </c>
      <c r="AU3" s="812"/>
      <c r="AV3" s="812"/>
      <c r="AW3" s="812"/>
    </row>
    <row r="4" spans="1:49" s="76" customFormat="1">
      <c r="A4" s="808"/>
      <c r="B4" s="808"/>
      <c r="C4" s="77" t="s">
        <v>5828</v>
      </c>
      <c r="D4" s="79" t="s">
        <v>5828</v>
      </c>
      <c r="E4" s="77" t="s">
        <v>5828</v>
      </c>
      <c r="F4" s="79" t="s">
        <v>5828</v>
      </c>
      <c r="G4" s="77" t="s">
        <v>5828</v>
      </c>
      <c r="H4" s="79" t="s">
        <v>5828</v>
      </c>
      <c r="I4" s="79" t="s">
        <v>5828</v>
      </c>
      <c r="J4" s="79" t="s">
        <v>5828</v>
      </c>
      <c r="K4" s="79" t="s">
        <v>5828</v>
      </c>
      <c r="L4" s="79" t="s">
        <v>5828</v>
      </c>
      <c r="M4" s="79" t="s">
        <v>5828</v>
      </c>
      <c r="N4" s="79" t="s">
        <v>5828</v>
      </c>
      <c r="Q4" s="809"/>
      <c r="R4" s="809"/>
      <c r="S4" s="809"/>
      <c r="T4" s="79" t="s">
        <v>5828</v>
      </c>
      <c r="U4" s="77" t="s">
        <v>5828</v>
      </c>
      <c r="V4" s="77" t="s">
        <v>5828</v>
      </c>
      <c r="W4" s="79" t="s">
        <v>5828</v>
      </c>
      <c r="X4" s="77" t="s">
        <v>5828</v>
      </c>
      <c r="Y4" s="79" t="s">
        <v>5828</v>
      </c>
      <c r="AA4" s="819"/>
      <c r="AB4" s="819"/>
      <c r="AC4" s="819"/>
      <c r="AD4" s="90">
        <v>2021</v>
      </c>
      <c r="AE4" s="86">
        <v>2022</v>
      </c>
      <c r="AF4" s="86">
        <v>2023</v>
      </c>
      <c r="AG4" s="90" t="s">
        <v>2</v>
      </c>
      <c r="AH4" s="92">
        <v>2021</v>
      </c>
      <c r="AI4" s="93">
        <v>2022</v>
      </c>
      <c r="AJ4" s="93">
        <v>2023</v>
      </c>
      <c r="AK4" s="91" t="s">
        <v>2</v>
      </c>
      <c r="AM4" s="819"/>
      <c r="AN4" s="819"/>
      <c r="AO4" s="819"/>
      <c r="AP4" s="90">
        <v>2021</v>
      </c>
      <c r="AQ4" s="86">
        <v>2022</v>
      </c>
      <c r="AR4" s="86">
        <v>2023</v>
      </c>
      <c r="AS4" s="90" t="s">
        <v>2</v>
      </c>
      <c r="AT4" s="92">
        <v>2021</v>
      </c>
      <c r="AU4" s="93">
        <v>2022</v>
      </c>
      <c r="AV4" s="93">
        <v>2023</v>
      </c>
      <c r="AW4" s="91" t="s">
        <v>2</v>
      </c>
    </row>
    <row r="5" spans="1:49">
      <c r="A5" s="740" t="s">
        <v>151</v>
      </c>
      <c r="B5" s="741" t="s">
        <v>27</v>
      </c>
      <c r="C5" s="11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D5" s="82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E5" s="81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F5" s="82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G5" s="82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H5" s="82" t="e">
        <f>SUMIF(#REF!, 'KEUANGAN INTERNAL AKRE 2025'!B5,#REF!)+
SUMIF(#REF!, 'KEUANGAN INTERNAL AKRE 2025'!B5,#REF!)+
SUMIF(#REF!, 'KEUANGAN INTERNAL AKRE 2025'!B5,#REF!)+
SUMIF(#REF!, 'KEUANGAN INTERNAL AKRE 2025'!B5,#REF!)</f>
        <v>#REF!</v>
      </c>
      <c r="I5" s="82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J5" s="82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</f>
        <v>#REF!</v>
      </c>
      <c r="K5" s="82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L5" s="82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2025'!B5,#REF!)+
SUMIF(#REF!,'KEUANGAN INTERNAL AKRE 2025'!B5,#REF!)</f>
        <v>#REF!</v>
      </c>
      <c r="M5" s="82" t="e">
        <f>SUMIF(#REF!, 'KEUANGAN INTERNAL AKRE 2025'!B5,#REF!)+
SUMIF(#REF!, 'KEUANGAN INTERNAL AKRE 2025'!B5,#REF!)+
SUMIF(#REF!, 'KEUANGAN INTERNAL AKRE 2025'!B5,#REF!)+
SUMIF(#REF!, 'KEUANGAN INTERNAL AKRE 2025'!B5,#REF!)+
SUMIF(#REF!, 'KEUANGAN INTERNAL AKRE 2025'!B5,#REF!)+
SUMIF(#REF!, 'KEUANGAN INTERNAL AKRE 2025'!B5,#REF!)</f>
        <v>#REF!</v>
      </c>
      <c r="N5" s="82" t="e">
        <f>SUMIF(#REF!, 'KEUANGAN INTERNAL AKRE 2025'!B5,#REF!)+
SUMIF(#REF!, 'KEUANGAN INTERNAL AKRE 2025'!B5,#REF!)+
SUMIF(#REF!, 'KEUANGAN INTERNAL AKRE 2025'!B5,#REF!)+
SUMIF(#REF!, 'KEUANGAN INTERNAL AKRE 2025'!B5,#REF!)+
SUMIF(#REF!,'KEUANGAN INTERNAL AKRE 2025'!B5,#REF!)+
SUMIF(#REF!,'KEUANGAN INTERNAL AKRE 2025'!B5,#REF!)+
SUMIF(#REF!,'KEUANGAN INTERNAL AKRE 2025'!B5,#REF!)</f>
        <v>#REF!</v>
      </c>
      <c r="O5" s="80" t="e">
        <f t="shared" ref="O5:O68" si="0">SUM(E5:L5)</f>
        <v>#REF!</v>
      </c>
      <c r="Q5" s="813" t="s">
        <v>172</v>
      </c>
      <c r="R5" s="70">
        <v>1</v>
      </c>
      <c r="S5" s="71" t="s">
        <v>8</v>
      </c>
      <c r="T5" s="82" t="e">
        <f>SUMIF(#REF!,VLOOKUP(S5,#REF!,1,FALSE),#REF!)+SUMIF(#REF!,VLOOKUP(S5,#REF!,1,FALSE),#REF!)+SUMIF(#REF!,VLOOKUP(S5,#REF!,1,FALSE),#REF!)+SUMIF(#REF!,VLOOKUP(S5,#REF!,1,FALSE),#REF!)+SUMIF(#REF!,VLOOKUP(S5,#REF!,1,FALSE),#REF!)</f>
        <v>#REF!</v>
      </c>
      <c r="U5" s="82" t="e">
        <f>SUMIF(#REF!,VLOOKUP(S5,#REF!,1,FALSE),#REF!)+SUMIF(#REF!,VLOOKUP(S5,#REF!,1,FALSE),#REF!)+SUMIF(#REF!,VLOOKUP(S5,#REF!,1,FALSE),#REF!)+SUMIF(#REF!,VLOOKUP('KEUANGAN INTERNAL AKRE 2025'!S5,#REF!,1,FALSE),#REF!)+SUMIF(#REF!,VLOOKUP(S5,#REF!,1,FALSE),#REF!)</f>
        <v>#REF!</v>
      </c>
      <c r="V5" s="82" t="e">
        <f>SUMIF(#REF!,VLOOKUP(S5,#REF!,1,FALSE),#REF!)+SUMIF(#REF!,VLOOKUP(S5,#REF!,1,FALSE),#REF!)+SUMIF(#REF!,VLOOKUP(S5,#REF!,1,FALSE),#REF!)+SUMIF(#REF!,VLOOKUP(S5,#REF!,1,FALSE),#REF!)+SUMIF(#REF!,VLOOKUP(S5,#REF!,1,FALSE),#REF!)</f>
        <v>#REF!</v>
      </c>
      <c r="W5" s="82" t="e">
        <f>SUMIF(#REF!,VLOOKUP(S5,#REF!,1,FALSE),#REF!)+SUMIF(#REF!,VLOOKUP(S5,#REF!,1,FALSE),#REF!)+SUMIF(#REF!,VLOOKUP(S5,#REF!,1,FALSE),#REF!)+SUMIF(#REF!,VLOOKUP('KEUANGAN INTERNAL AKRE 2025'!S5,#REF!,1,FALSE),#REF!)+SUMIF(#REF!,VLOOKUP(S5,#REF!,1,FALSE),#REF!)</f>
        <v>#REF!</v>
      </c>
      <c r="X5" s="82" t="e">
        <f>SUMIF(#REF!,VLOOKUP(S5,#REF!,1,FALSE),#REF!)+SUMIF(#REF!,VLOOKUP(S5,#REF!,1,FALSE),#REF!)+SUMIF(#REF!,VLOOKUP(S5,#REF!,1,FALSE),#REF!)+SUMIF(#REF!,VLOOKUP(S5,#REF!,1,FALSE),#REF!)+SUMIF(#REF!,VLOOKUP(S5,#REF!,1,FALSE),#REF!)</f>
        <v>#REF!</v>
      </c>
      <c r="Y5" s="82" t="e">
        <f>SUMIF(#REF!,VLOOKUP(S5,#REF!,1,FALSE),#REF!)+SUMIF(#REF!,VLOOKUP(S5,#REF!,1,FALSE),#REF!)+SUMIF(#REF!,VLOOKUP(#REF!,#REF!,1,FALSE),#REF!)+SUMIF(#REF!,VLOOKUP('KEUANGAN INTERNAL AKRE 2025'!S5,#REF!,1,FALSE),#REF!)+SUMIF(#REF!,VLOOKUP(S5,#REF!,1,FALSE),#REF!)</f>
        <v>#REF!</v>
      </c>
      <c r="AA5" s="84">
        <v>1</v>
      </c>
      <c r="AB5" s="85" t="s">
        <v>3286</v>
      </c>
      <c r="AC5" s="85" t="s">
        <v>166</v>
      </c>
      <c r="AD5" s="82" t="e">
        <f>SUM(E51:E72)</f>
        <v>#REF!</v>
      </c>
      <c r="AE5" s="82" t="e">
        <f>SUM(G51:G72)</f>
        <v>#REF!</v>
      </c>
      <c r="AF5" s="82" t="e">
        <f>SUM(J51:J72)</f>
        <v>#REF!</v>
      </c>
      <c r="AG5" s="82" t="e">
        <f t="shared" ref="AG5:AG13" si="1">SUM(AD5:AF5)</f>
        <v>#REF!</v>
      </c>
      <c r="AH5" s="82" t="e">
        <f>SUM(F51:F72)</f>
        <v>#REF!</v>
      </c>
      <c r="AI5" s="82" t="e">
        <f>SUM(H51:H72)</f>
        <v>#REF!</v>
      </c>
      <c r="AJ5" s="82" t="e">
        <f>SUM(J51:J72)</f>
        <v>#REF!</v>
      </c>
      <c r="AK5" s="82" t="e">
        <f t="shared" ref="AK5:AK13" si="2">SUM(AH5:AJ5)</f>
        <v>#REF!</v>
      </c>
      <c r="AM5" s="84">
        <v>1</v>
      </c>
      <c r="AN5" s="85" t="s">
        <v>3286</v>
      </c>
      <c r="AO5" s="85" t="s">
        <v>171</v>
      </c>
      <c r="AP5" s="82" t="e">
        <f>SUM(T13:T27)</f>
        <v>#REF!</v>
      </c>
      <c r="AQ5" s="82" t="e">
        <f>SUM(V13:V27)</f>
        <v>#REF!</v>
      </c>
      <c r="AR5" s="82" t="e">
        <f>SUM(X13:X27)</f>
        <v>#REF!</v>
      </c>
      <c r="AS5" s="82" t="e">
        <f>SUM(AP5:AR5)</f>
        <v>#REF!</v>
      </c>
      <c r="AT5" s="82" t="e">
        <f>SUM(U13:U27)</f>
        <v>#REF!</v>
      </c>
      <c r="AU5" s="82" t="e">
        <f>SUM(W13:W27)</f>
        <v>#REF!</v>
      </c>
      <c r="AV5" s="82" t="e">
        <f>SUM(Y13:Y27)</f>
        <v>#REF!</v>
      </c>
      <c r="AW5" s="82" t="e">
        <f>SUM(AT5:AV5)</f>
        <v>#REF!</v>
      </c>
    </row>
    <row r="6" spans="1:49">
      <c r="A6" s="740" t="s">
        <v>151</v>
      </c>
      <c r="B6" s="741" t="s">
        <v>92</v>
      </c>
      <c r="C6" s="11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D6" s="82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E6" s="81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F6" s="82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G6" s="82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H6" s="82" t="e">
        <f>SUMIF(#REF!, 'KEUANGAN INTERNAL AKRE 2025'!B6,#REF!)+
SUMIF(#REF!, 'KEUANGAN INTERNAL AKRE 2025'!B6,#REF!)+
SUMIF(#REF!, 'KEUANGAN INTERNAL AKRE 2025'!B6,#REF!)+
SUMIF(#REF!, 'KEUANGAN INTERNAL AKRE 2025'!B6,#REF!)</f>
        <v>#REF!</v>
      </c>
      <c r="I6" s="82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J6" s="82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</f>
        <v>#REF!</v>
      </c>
      <c r="K6" s="82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L6" s="82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2025'!B6,#REF!)+
SUMIF(#REF!,'KEUANGAN INTERNAL AKRE 2025'!B6,#REF!)</f>
        <v>#REF!</v>
      </c>
      <c r="M6" s="82" t="e">
        <f>SUMIF(#REF!, 'KEUANGAN INTERNAL AKRE 2025'!B6,#REF!)+
SUMIF(#REF!, 'KEUANGAN INTERNAL AKRE 2025'!B6,#REF!)+
SUMIF(#REF!, 'KEUANGAN INTERNAL AKRE 2025'!B6,#REF!)+
SUMIF(#REF!, 'KEUANGAN INTERNAL AKRE 2025'!B6,#REF!)+
SUMIF(#REF!, 'KEUANGAN INTERNAL AKRE 2025'!B6,#REF!)+
SUMIF(#REF!, 'KEUANGAN INTERNAL AKRE 2025'!B6,#REF!)</f>
        <v>#REF!</v>
      </c>
      <c r="N6" s="82" t="e">
        <f>SUMIF(#REF!, 'KEUANGAN INTERNAL AKRE 2025'!B6,#REF!)+
SUMIF(#REF!, 'KEUANGAN INTERNAL AKRE 2025'!B6,#REF!)+
SUMIF(#REF!, 'KEUANGAN INTERNAL AKRE 2025'!B6,#REF!)+
SUMIF(#REF!, 'KEUANGAN INTERNAL AKRE 2025'!B6,#REF!)+
SUMIF(#REF!,'KEUANGAN INTERNAL AKRE 2025'!B6,#REF!)+
SUMIF(#REF!,'KEUANGAN INTERNAL AKRE 2025'!B6,#REF!)+
SUMIF(#REF!,'KEUANGAN INTERNAL AKRE 2025'!B6,#REF!)</f>
        <v>#REF!</v>
      </c>
      <c r="O6" s="80" t="e">
        <f t="shared" si="0"/>
        <v>#REF!</v>
      </c>
      <c r="Q6" s="813"/>
      <c r="R6" s="70">
        <v>2</v>
      </c>
      <c r="S6" s="71" t="s">
        <v>44</v>
      </c>
      <c r="T6" s="82" t="e">
        <f>SUMIF(#REF!,VLOOKUP(S6,#REF!,1,FALSE),#REF!)+SUMIF(#REF!,VLOOKUP(S6,#REF!,1,FALSE),#REF!)+SUMIF(#REF!,VLOOKUP(S6,#REF!,1,FALSE),#REF!)+SUMIF(#REF!,VLOOKUP(S6,#REF!,1,FALSE),#REF!)+SUMIF(#REF!,VLOOKUP(S6,#REF!,1,FALSE),#REF!)</f>
        <v>#REF!</v>
      </c>
      <c r="U6" s="82" t="e">
        <f>SUMIF(#REF!,VLOOKUP(S6,#REF!,1,FALSE),#REF!)+SUMIF(#REF!,VLOOKUP(S6,#REF!,1,FALSE),#REF!)+SUMIF(#REF!,VLOOKUP(S6,#REF!,1,FALSE),#REF!)+SUMIF(#REF!,VLOOKUP('KEUANGAN INTERNAL AKRE 2025'!S6,#REF!,1,FALSE),#REF!)+SUMIF(#REF!,VLOOKUP(S6,#REF!,1,FALSE),#REF!)</f>
        <v>#REF!</v>
      </c>
      <c r="V6" s="82" t="e">
        <f>SUMIF(#REF!,VLOOKUP(S6,#REF!,1,FALSE),#REF!)+SUMIF(#REF!,VLOOKUP(S6,#REF!,1,FALSE),#REF!)+SUMIF(#REF!,VLOOKUP(S6,#REF!,1,FALSE),#REF!)+SUMIF(#REF!,VLOOKUP(S6,#REF!,1,FALSE),#REF!)+SUMIF(#REF!,VLOOKUP(S6,#REF!,1,FALSE),#REF!)</f>
        <v>#REF!</v>
      </c>
      <c r="W6" s="82" t="e">
        <f>SUMIF(#REF!,VLOOKUP(S6,#REF!,1,FALSE),#REF!)+SUMIF(#REF!,VLOOKUP(S6,#REF!,1,FALSE),#REF!)+SUMIF(#REF!,VLOOKUP(S6,#REF!,1,FALSE),#REF!)+SUMIF(#REF!,VLOOKUP('KEUANGAN INTERNAL AKRE 2025'!S6,#REF!,1,FALSE),#REF!)+SUMIF(#REF!,VLOOKUP(S6,#REF!,1,FALSE),#REF!)</f>
        <v>#REF!</v>
      </c>
      <c r="X6" s="82" t="e">
        <f>SUMIF(#REF!,VLOOKUP(S6,#REF!,1,FALSE),#REF!)+SUMIF(#REF!,VLOOKUP(S6,#REF!,1,FALSE),#REF!)+SUMIF(#REF!,VLOOKUP(S6,#REF!,1,FALSE),#REF!)+SUMIF(#REF!,VLOOKUP(S6,#REF!,1,FALSE),#REF!)+SUMIF(#REF!,VLOOKUP(S6,#REF!,1,FALSE),#REF!)</f>
        <v>#REF!</v>
      </c>
      <c r="Y6" s="82" t="e">
        <f>SUMIF(#REF!,VLOOKUP(S6,#REF!,1,FALSE),#REF!)+SUMIF(#REF!,VLOOKUP(S6,#REF!,1,FALSE),#REF!)+SUMIF(#REF!,VLOOKUP(B5,#REF!,1,FALSE),#REF!)+SUMIF(#REF!,VLOOKUP('KEUANGAN INTERNAL AKRE 2025'!S6,#REF!,1,FALSE),#REF!)+SUMIF(#REF!,VLOOKUP(S6,#REF!,1,FALSE),#REF!)</f>
        <v>#REF!</v>
      </c>
      <c r="AA6" s="75">
        <v>2</v>
      </c>
      <c r="AB6" s="83" t="s">
        <v>3286</v>
      </c>
      <c r="AC6" s="83" t="s">
        <v>156</v>
      </c>
      <c r="AD6" s="80" t="e">
        <f>SUM(E74:E84)</f>
        <v>#REF!</v>
      </c>
      <c r="AE6" s="82" t="e">
        <f>SUM(G74:G84)</f>
        <v>#REF!</v>
      </c>
      <c r="AF6" s="82" t="e">
        <f>SUM(I74:I84)</f>
        <v>#REF!</v>
      </c>
      <c r="AG6" s="82" t="e">
        <f t="shared" si="1"/>
        <v>#REF!</v>
      </c>
      <c r="AH6" s="98" t="e">
        <f>SUM(F74:F84)</f>
        <v>#REF!</v>
      </c>
      <c r="AI6" s="82" t="e">
        <f>SUM(H74:H84)</f>
        <v>#REF!</v>
      </c>
      <c r="AJ6" s="82" t="e">
        <f>SUM(J74:J84)</f>
        <v>#REF!</v>
      </c>
      <c r="AK6" s="82" t="e">
        <f t="shared" si="2"/>
        <v>#REF!</v>
      </c>
      <c r="AM6" s="75">
        <v>2</v>
      </c>
      <c r="AN6" s="83" t="s">
        <v>3286</v>
      </c>
      <c r="AO6" s="83" t="s">
        <v>175</v>
      </c>
      <c r="AP6" s="80" t="e">
        <f>SUM(T28:T35)</f>
        <v>#REF!</v>
      </c>
      <c r="AQ6" s="82" t="e">
        <f>SUM(V28:V35)</f>
        <v>#REF!</v>
      </c>
      <c r="AR6" s="82" t="e">
        <f>SUM(X28:X35)</f>
        <v>#REF!</v>
      </c>
      <c r="AS6" s="82" t="e">
        <f>SUM(AP6:AR6)</f>
        <v>#REF!</v>
      </c>
      <c r="AT6" s="80" t="e">
        <f>SUM(U28:U35)</f>
        <v>#REF!</v>
      </c>
      <c r="AU6" s="82" t="e">
        <f>SUM(W28:W35)</f>
        <v>#REF!</v>
      </c>
      <c r="AV6" s="82" t="e">
        <f>SUM(Y28:Y35)</f>
        <v>#REF!</v>
      </c>
      <c r="AW6" s="82" t="e">
        <f>SUM(AT6:AV6)</f>
        <v>#REF!</v>
      </c>
    </row>
    <row r="7" spans="1:49">
      <c r="A7" s="740" t="s">
        <v>151</v>
      </c>
      <c r="B7" s="741" t="s">
        <v>167</v>
      </c>
      <c r="C7" s="11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D7" s="82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E7" s="81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F7" s="82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G7" s="82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H7" s="82" t="e">
        <f>SUMIF(#REF!, 'KEUANGAN INTERNAL AKRE 2025'!B7,#REF!)+
SUMIF(#REF!, 'KEUANGAN INTERNAL AKRE 2025'!B7,#REF!)+
SUMIF(#REF!, 'KEUANGAN INTERNAL AKRE 2025'!B7,#REF!)+
SUMIF(#REF!, 'KEUANGAN INTERNAL AKRE 2025'!B7,#REF!)</f>
        <v>#REF!</v>
      </c>
      <c r="I7" s="82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J7" s="82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</f>
        <v>#REF!</v>
      </c>
      <c r="K7" s="82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L7" s="82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2025'!B7,#REF!)+
SUMIF(#REF!,'KEUANGAN INTERNAL AKRE 2025'!B7,#REF!)</f>
        <v>#REF!</v>
      </c>
      <c r="M7" s="82" t="e">
        <f>SUMIF(#REF!, 'KEUANGAN INTERNAL AKRE 2025'!B7,#REF!)+
SUMIF(#REF!, 'KEUANGAN INTERNAL AKRE 2025'!B7,#REF!)+
SUMIF(#REF!, 'KEUANGAN INTERNAL AKRE 2025'!B7,#REF!)+
SUMIF(#REF!, 'KEUANGAN INTERNAL AKRE 2025'!B7,#REF!)+
SUMIF(#REF!, 'KEUANGAN INTERNAL AKRE 2025'!B7,#REF!)+
SUMIF(#REF!, 'KEUANGAN INTERNAL AKRE 2025'!B7,#REF!)</f>
        <v>#REF!</v>
      </c>
      <c r="N7" s="82" t="e">
        <f>SUMIF(#REF!, 'KEUANGAN INTERNAL AKRE 2025'!B7,#REF!)+
SUMIF(#REF!, 'KEUANGAN INTERNAL AKRE 2025'!B7,#REF!)+
SUMIF(#REF!, 'KEUANGAN INTERNAL AKRE 2025'!B7,#REF!)+
SUMIF(#REF!, 'KEUANGAN INTERNAL AKRE 2025'!B7,#REF!)+
SUMIF(#REF!,'KEUANGAN INTERNAL AKRE 2025'!B7,#REF!)+
SUMIF(#REF!,'KEUANGAN INTERNAL AKRE 2025'!B7,#REF!)+
SUMIF(#REF!,'KEUANGAN INTERNAL AKRE 2025'!B7,#REF!)</f>
        <v>#REF!</v>
      </c>
      <c r="O7" s="80" t="e">
        <f t="shared" si="0"/>
        <v>#REF!</v>
      </c>
      <c r="Q7" s="813"/>
      <c r="R7" s="70">
        <v>3</v>
      </c>
      <c r="S7" s="71" t="s">
        <v>177</v>
      </c>
      <c r="T7" s="82" t="e">
        <f>SUMIF(#REF!,VLOOKUP(S7,#REF!,1,FALSE),#REF!)+SUMIF(#REF!,VLOOKUP(S7,#REF!,1,FALSE),#REF!)+SUMIF(#REF!,VLOOKUP(S7,#REF!,1,FALSE),#REF!)+SUMIF(#REF!,VLOOKUP(S7,#REF!,1,FALSE),#REF!)+SUMIF(#REF!,VLOOKUP(S7,#REF!,1,FALSE),#REF!)</f>
        <v>#REF!</v>
      </c>
      <c r="U7" s="82" t="e">
        <f>SUMIF(#REF!,VLOOKUP(S7,#REF!,1,FALSE),#REF!)+SUMIF(#REF!,VLOOKUP(S7,#REF!,1,FALSE),#REF!)+SUMIF(#REF!,VLOOKUP(S7,#REF!,1,FALSE),#REF!)+SUMIF(#REF!,VLOOKUP('KEUANGAN INTERNAL AKRE 2025'!S7,#REF!,1,FALSE),#REF!)+SUMIF(#REF!,VLOOKUP(S7,#REF!,1,FALSE),#REF!)</f>
        <v>#REF!</v>
      </c>
      <c r="V7" s="82" t="e">
        <f>SUMIF(#REF!,VLOOKUP(S7,#REF!,1,FALSE),#REF!)+SUMIF(#REF!,VLOOKUP(S7,#REF!,1,FALSE),#REF!)+SUMIF(#REF!,VLOOKUP(S7,#REF!,1,FALSE),#REF!)+SUMIF(#REF!,VLOOKUP(S7,#REF!,1,FALSE),#REF!)+SUMIF(#REF!,VLOOKUP(S7,#REF!,1,FALSE),#REF!)</f>
        <v>#REF!</v>
      </c>
      <c r="W7" s="82" t="e">
        <f>SUMIF(#REF!,VLOOKUP(S7,#REF!,1,FALSE),#REF!)+SUMIF(#REF!,VLOOKUP(S7,#REF!,1,FALSE),#REF!)+SUMIF(#REF!,VLOOKUP(S7,#REF!,1,FALSE),#REF!)+SUMIF(#REF!,VLOOKUP('KEUANGAN INTERNAL AKRE 2025'!S7,#REF!,1,FALSE),#REF!)+SUMIF(#REF!,VLOOKUP(S7,#REF!,1,FALSE),#REF!)</f>
        <v>#REF!</v>
      </c>
      <c r="X7" s="82" t="e">
        <f>SUMIF(#REF!,VLOOKUP(S7,#REF!,1,FALSE),#REF!)+SUMIF(#REF!,VLOOKUP(S7,#REF!,1,FALSE),#REF!)+SUMIF(#REF!,VLOOKUP(S7,#REF!,1,FALSE),#REF!)+SUMIF(#REF!,VLOOKUP(S7,#REF!,1,FALSE),#REF!)+SUMIF(#REF!,VLOOKUP(S7,#REF!,1,FALSE),#REF!)</f>
        <v>#REF!</v>
      </c>
      <c r="Y7" s="82" t="e">
        <f>SUMIF(#REF!,VLOOKUP(S7,#REF!,1,FALSE),#REF!)+SUMIF(#REF!,VLOOKUP(S7,#REF!,1,FALSE),#REF!)+SUMIF(#REF!,VLOOKUP(#REF!,#REF!,1,FALSE),#REF!)+SUMIF(#REF!,VLOOKUP('KEUANGAN INTERNAL AKRE 2025'!S7,#REF!,1,FALSE),#REF!)+SUMIF(#REF!,VLOOKUP(S7,#REF!,1,FALSE),#REF!)</f>
        <v>#REF!</v>
      </c>
      <c r="AA7" s="75">
        <v>3</v>
      </c>
      <c r="AB7" s="83" t="s">
        <v>3286</v>
      </c>
      <c r="AC7" s="83" t="s">
        <v>162</v>
      </c>
      <c r="AD7" s="82" t="e">
        <f>SUM(E86:E90)</f>
        <v>#REF!</v>
      </c>
      <c r="AE7" s="82" t="e">
        <f>SUM(G86:G90)</f>
        <v>#REF!</v>
      </c>
      <c r="AF7" s="82" t="e">
        <f>SUM(I86:I90)</f>
        <v>#REF!</v>
      </c>
      <c r="AG7" s="82" t="e">
        <f t="shared" si="1"/>
        <v>#REF!</v>
      </c>
      <c r="AH7" s="82" t="e">
        <f>SUM(F86:F90)</f>
        <v>#REF!</v>
      </c>
      <c r="AI7" s="82" t="e">
        <f>SUM(H86:H90)</f>
        <v>#REF!</v>
      </c>
      <c r="AJ7" s="82" t="e">
        <f>SUM(J86:J90)</f>
        <v>#REF!</v>
      </c>
      <c r="AK7" s="82" t="e">
        <f t="shared" si="2"/>
        <v>#REF!</v>
      </c>
      <c r="AM7" s="75">
        <v>3</v>
      </c>
      <c r="AN7" s="83" t="s">
        <v>3286</v>
      </c>
      <c r="AO7" s="83" t="s">
        <v>169</v>
      </c>
      <c r="AP7" s="82" t="e">
        <f>SUM(T36:T48)</f>
        <v>#REF!</v>
      </c>
      <c r="AQ7" s="82" t="e">
        <f>SUM(V36:V48)</f>
        <v>#REF!</v>
      </c>
      <c r="AR7" s="82" t="e">
        <f>SUM(X36:X48)</f>
        <v>#REF!</v>
      </c>
      <c r="AS7" s="82" t="e">
        <f>SUM(AP7:AR7)</f>
        <v>#REF!</v>
      </c>
      <c r="AT7" s="82" t="e">
        <f>SUM(U36:U48)</f>
        <v>#REF!</v>
      </c>
      <c r="AU7" s="82" t="e">
        <f>SUM(W36:W48)</f>
        <v>#REF!</v>
      </c>
      <c r="AV7" s="82" t="e">
        <f>SUM(Y36:Y48)</f>
        <v>#REF!</v>
      </c>
      <c r="AW7" s="82" t="e">
        <f>SUM(AT7:AV7)</f>
        <v>#REF!</v>
      </c>
    </row>
    <row r="8" spans="1:49">
      <c r="A8" s="740" t="s">
        <v>151</v>
      </c>
      <c r="B8" s="366" t="s">
        <v>94</v>
      </c>
      <c r="C8" s="11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D8" s="82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E8" s="81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F8" s="82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G8" s="82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H8" s="82" t="e">
        <f>SUMIF(#REF!, 'KEUANGAN INTERNAL AKRE 2025'!B8,#REF!)+
SUMIF(#REF!, 'KEUANGAN INTERNAL AKRE 2025'!B8,#REF!)+
SUMIF(#REF!, 'KEUANGAN INTERNAL AKRE 2025'!B8,#REF!)+
SUMIF(#REF!, 'KEUANGAN INTERNAL AKRE 2025'!B8,#REF!)</f>
        <v>#REF!</v>
      </c>
      <c r="I8" s="82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J8" s="82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</f>
        <v>#REF!</v>
      </c>
      <c r="K8" s="82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L8" s="82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2025'!B8,#REF!)+
SUMIF(#REF!,'KEUANGAN INTERNAL AKRE 2025'!B8,#REF!)</f>
        <v>#REF!</v>
      </c>
      <c r="M8" s="82" t="e">
        <f>SUMIF(#REF!, 'KEUANGAN INTERNAL AKRE 2025'!B8,#REF!)+
SUMIF(#REF!, 'KEUANGAN INTERNAL AKRE 2025'!B8,#REF!)+
SUMIF(#REF!, 'KEUANGAN INTERNAL AKRE 2025'!B8,#REF!)+
SUMIF(#REF!, 'KEUANGAN INTERNAL AKRE 2025'!B8,#REF!)+
SUMIF(#REF!, 'KEUANGAN INTERNAL AKRE 2025'!B8,#REF!)+
SUMIF(#REF!, 'KEUANGAN INTERNAL AKRE 2025'!B8,#REF!)</f>
        <v>#REF!</v>
      </c>
      <c r="N8" s="82" t="e">
        <f>SUMIF(#REF!, 'KEUANGAN INTERNAL AKRE 2025'!B8,#REF!)+
SUMIF(#REF!, 'KEUANGAN INTERNAL AKRE 2025'!B8,#REF!)+
SUMIF(#REF!, 'KEUANGAN INTERNAL AKRE 2025'!B8,#REF!)+
SUMIF(#REF!, 'KEUANGAN INTERNAL AKRE 2025'!B8,#REF!)+
SUMIF(#REF!,'KEUANGAN INTERNAL AKRE 2025'!B8,#REF!)+
SUMIF(#REF!,'KEUANGAN INTERNAL AKRE 2025'!B8,#REF!)+
SUMIF(#REF!,'KEUANGAN INTERNAL AKRE 2025'!B8,#REF!)</f>
        <v>#REF!</v>
      </c>
      <c r="O8" s="80" t="e">
        <f t="shared" si="0"/>
        <v>#REF!</v>
      </c>
      <c r="Q8" s="813"/>
      <c r="R8" s="70">
        <v>4</v>
      </c>
      <c r="S8" s="71" t="s">
        <v>43</v>
      </c>
      <c r="T8" s="82" t="e">
        <f>SUMIF(#REF!,VLOOKUP(S8,#REF!,1,FALSE),#REF!)+SUMIF(#REF!,VLOOKUP(S8,#REF!,1,FALSE),#REF!)+SUMIF(#REF!,VLOOKUP(S8,#REF!,1,FALSE),#REF!)+SUMIF(#REF!,VLOOKUP(S8,#REF!,1,FALSE),#REF!)+SUMIF(#REF!,VLOOKUP(S8,#REF!,1,FALSE),#REF!)</f>
        <v>#REF!</v>
      </c>
      <c r="U8" s="82" t="e">
        <f>SUMIF(#REF!,VLOOKUP(S8,#REF!,1,FALSE),#REF!)+SUMIF(#REF!,VLOOKUP(S8,#REF!,1,FALSE),#REF!)+SUMIF(#REF!,VLOOKUP(S8,#REF!,1,FALSE),#REF!)+SUMIF(#REF!,VLOOKUP('KEUANGAN INTERNAL AKRE 2025'!S8,#REF!,1,FALSE),#REF!)+SUMIF(#REF!,VLOOKUP(S8,#REF!,1,FALSE),#REF!)</f>
        <v>#REF!</v>
      </c>
      <c r="V8" s="82" t="e">
        <f>SUMIF(#REF!,VLOOKUP(S8,#REF!,1,FALSE),#REF!)+SUMIF(#REF!,VLOOKUP(S8,#REF!,1,FALSE),#REF!)+SUMIF(#REF!,VLOOKUP(S8,#REF!,1,FALSE),#REF!)+SUMIF(#REF!,VLOOKUP(S8,#REF!,1,FALSE),#REF!)+SUMIF(#REF!,VLOOKUP(S8,#REF!,1,FALSE),#REF!)</f>
        <v>#REF!</v>
      </c>
      <c r="W8" s="82" t="e">
        <f>SUMIF(#REF!,VLOOKUP(S8,#REF!,1,FALSE),#REF!)+SUMIF(#REF!,VLOOKUP(S8,#REF!,1,FALSE),#REF!)+SUMIF(#REF!,VLOOKUP(S8,#REF!,1,FALSE),#REF!)+SUMIF(#REF!,VLOOKUP('KEUANGAN INTERNAL AKRE 2025'!S8,#REF!,1,FALSE),#REF!)+SUMIF(#REF!,VLOOKUP(S8,#REF!,1,FALSE),#REF!)</f>
        <v>#REF!</v>
      </c>
      <c r="X8" s="82" t="e">
        <f>SUMIF(#REF!,VLOOKUP(S8,#REF!,1,FALSE),#REF!)+SUMIF(#REF!,VLOOKUP(S8,#REF!,1,FALSE),#REF!)+SUMIF(#REF!,VLOOKUP(S8,#REF!,1,FALSE),#REF!)+SUMIF(#REF!,VLOOKUP(S8,#REF!,1,FALSE),#REF!)+SUMIF(#REF!,VLOOKUP(S8,#REF!,1,FALSE),#REF!)</f>
        <v>#REF!</v>
      </c>
      <c r="Y8" s="82" t="e">
        <f>SUMIF(#REF!,VLOOKUP(S8,#REF!,1,FALSE),#REF!)+SUMIF(#REF!,VLOOKUP(S8,#REF!,1,FALSE),#REF!)+SUMIF(#REF!,VLOOKUP(B6,#REF!,1,FALSE),#REF!)+SUMIF(#REF!,VLOOKUP('KEUANGAN INTERNAL AKRE 2025'!S8,#REF!,1,FALSE),#REF!)+SUMIF(#REF!,VLOOKUP(S8,#REF!,1,FALSE),#REF!)</f>
        <v>#REF!</v>
      </c>
      <c r="AA8" s="75">
        <v>4</v>
      </c>
      <c r="AB8" s="83" t="s">
        <v>3286</v>
      </c>
      <c r="AC8" s="83" t="s">
        <v>171</v>
      </c>
      <c r="AD8" s="82" t="e">
        <f>SUM(E95:E101)</f>
        <v>#REF!</v>
      </c>
      <c r="AE8" s="82" t="e">
        <f>SUM(G95:G101)</f>
        <v>#REF!</v>
      </c>
      <c r="AF8" s="82" t="e">
        <f>SUM(I95:I101)</f>
        <v>#REF!</v>
      </c>
      <c r="AG8" s="82" t="e">
        <f t="shared" si="1"/>
        <v>#REF!</v>
      </c>
      <c r="AH8" s="82" t="e">
        <f>SUM(F95:F101)</f>
        <v>#REF!</v>
      </c>
      <c r="AI8" s="82" t="e">
        <f>SUM(H95:H101)</f>
        <v>#REF!</v>
      </c>
      <c r="AJ8" s="82" t="e">
        <f>SUM(J95:J101)</f>
        <v>#REF!</v>
      </c>
      <c r="AK8" s="82" t="e">
        <f t="shared" si="2"/>
        <v>#REF!</v>
      </c>
      <c r="AM8" s="75">
        <v>4</v>
      </c>
      <c r="AN8" s="83" t="s">
        <v>3281</v>
      </c>
      <c r="AO8" s="83" t="s">
        <v>172</v>
      </c>
      <c r="AP8" s="82" t="e">
        <f>SUM(T5:T12)</f>
        <v>#REF!</v>
      </c>
      <c r="AQ8" s="82" t="e">
        <f>SUM(V5:V12)</f>
        <v>#REF!</v>
      </c>
      <c r="AR8" s="82" t="e">
        <f>SUM(X5:X12)</f>
        <v>#REF!</v>
      </c>
      <c r="AS8" s="82" t="e">
        <f>SUM(AP8:AR8)</f>
        <v>#REF!</v>
      </c>
      <c r="AT8" s="82" t="e">
        <f>SUM(U5:U12)</f>
        <v>#REF!</v>
      </c>
      <c r="AU8" s="82" t="e">
        <f>SUM(W5:W12)</f>
        <v>#REF!</v>
      </c>
      <c r="AV8" s="82" t="e">
        <f>SUM(Y5:Y12)</f>
        <v>#REF!</v>
      </c>
      <c r="AW8" s="82" t="e">
        <f>SUM(AT8:AV8)</f>
        <v>#REF!</v>
      </c>
    </row>
    <row r="9" spans="1:49">
      <c r="A9" s="740" t="s">
        <v>151</v>
      </c>
      <c r="B9" s="366" t="s">
        <v>704</v>
      </c>
      <c r="C9" s="11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D9" s="82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E9" s="81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F9" s="82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G9" s="82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H9" s="82" t="e">
        <f>SUMIF(#REF!, 'KEUANGAN INTERNAL AKRE 2025'!B9,#REF!)+
SUMIF(#REF!, 'KEUANGAN INTERNAL AKRE 2025'!B9,#REF!)+
SUMIF(#REF!, 'KEUANGAN INTERNAL AKRE 2025'!B9,#REF!)+
SUMIF(#REF!, 'KEUANGAN INTERNAL AKRE 2025'!B9,#REF!)</f>
        <v>#REF!</v>
      </c>
      <c r="I9" s="82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J9" s="82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</f>
        <v>#REF!</v>
      </c>
      <c r="K9" s="82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L9" s="82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2025'!B9,#REF!)+
SUMIF(#REF!,'KEUANGAN INTERNAL AKRE 2025'!B9,#REF!)</f>
        <v>#REF!</v>
      </c>
      <c r="M9" s="82" t="e">
        <f>SUMIF(#REF!, 'KEUANGAN INTERNAL AKRE 2025'!B9,#REF!)+
SUMIF(#REF!, 'KEUANGAN INTERNAL AKRE 2025'!B9,#REF!)+
SUMIF(#REF!, 'KEUANGAN INTERNAL AKRE 2025'!B9,#REF!)+
SUMIF(#REF!, 'KEUANGAN INTERNAL AKRE 2025'!B9,#REF!)+
SUMIF(#REF!, 'KEUANGAN INTERNAL AKRE 2025'!B9,#REF!)+
SUMIF(#REF!, 'KEUANGAN INTERNAL AKRE 2025'!B9,#REF!)</f>
        <v>#REF!</v>
      </c>
      <c r="N9" s="82" t="e">
        <f>SUMIF(#REF!, 'KEUANGAN INTERNAL AKRE 2025'!B9,#REF!)+
SUMIF(#REF!, 'KEUANGAN INTERNAL AKRE 2025'!B9,#REF!)+
SUMIF(#REF!, 'KEUANGAN INTERNAL AKRE 2025'!B9,#REF!)+
SUMIF(#REF!, 'KEUANGAN INTERNAL AKRE 2025'!B9,#REF!)+
SUMIF(#REF!,'KEUANGAN INTERNAL AKRE 2025'!B9,#REF!)+
SUMIF(#REF!,'KEUANGAN INTERNAL AKRE 2025'!B9,#REF!)+
SUMIF(#REF!,'KEUANGAN INTERNAL AKRE 2025'!B9,#REF!)</f>
        <v>#REF!</v>
      </c>
      <c r="O9" s="80" t="e">
        <f t="shared" si="0"/>
        <v>#REF!</v>
      </c>
      <c r="Q9" s="813"/>
      <c r="R9" s="70">
        <v>5</v>
      </c>
      <c r="S9" s="71" t="s">
        <v>801</v>
      </c>
      <c r="T9" s="82" t="e">
        <f>SUMIF(#REF!,VLOOKUP(S9,#REF!,1,FALSE),#REF!)+SUMIF(#REF!,VLOOKUP(S9,#REF!,1,FALSE),#REF!)+SUMIF(#REF!,VLOOKUP(S9,#REF!,1,FALSE),#REF!)+SUMIF(#REF!,VLOOKUP(S9,#REF!,1,FALSE),#REF!)+SUMIF(#REF!,VLOOKUP(S9,#REF!,1,FALSE),#REF!)</f>
        <v>#REF!</v>
      </c>
      <c r="U9" s="82" t="e">
        <f>SUMIF(#REF!,VLOOKUP(S9,#REF!,1,FALSE),#REF!)+SUMIF(#REF!,VLOOKUP(S9,#REF!,1,FALSE),#REF!)+SUMIF(#REF!,VLOOKUP(S9,#REF!,1,FALSE),#REF!)+SUMIF(#REF!,VLOOKUP('KEUANGAN INTERNAL AKRE 2025'!S9,#REF!,1,FALSE),#REF!)+SUMIF(#REF!,VLOOKUP(S9,#REF!,1,FALSE),#REF!)</f>
        <v>#REF!</v>
      </c>
      <c r="V9" s="82" t="e">
        <f>SUMIF(#REF!,VLOOKUP(S9,#REF!,1,FALSE),#REF!)+SUMIF(#REF!,VLOOKUP(S9,#REF!,1,FALSE),#REF!)+SUMIF(#REF!,VLOOKUP(S9,#REF!,1,FALSE),#REF!)+SUMIF(#REF!,VLOOKUP(S9,#REF!,1,FALSE),#REF!)+SUMIF(#REF!,VLOOKUP(S9,#REF!,1,FALSE),#REF!)</f>
        <v>#REF!</v>
      </c>
      <c r="W9" s="82" t="e">
        <f>SUMIF(#REF!,VLOOKUP(S9,#REF!,1,FALSE),#REF!)+SUMIF(#REF!,VLOOKUP(S9,#REF!,1,FALSE),#REF!)+SUMIF(#REF!,VLOOKUP(S9,#REF!,1,FALSE),#REF!)+SUMIF(#REF!,VLOOKUP('KEUANGAN INTERNAL AKRE 2025'!S9,#REF!,1,FALSE),#REF!)+SUMIF(#REF!,VLOOKUP(S9,#REF!,1,FALSE),#REF!)</f>
        <v>#REF!</v>
      </c>
      <c r="X9" s="82" t="e">
        <f>SUMIF(#REF!,VLOOKUP(S9,#REF!,1,FALSE),#REF!)+SUMIF(#REF!,VLOOKUP(S9,#REF!,1,FALSE),#REF!)+SUMIF(#REF!,VLOOKUP(S9,#REF!,1,FALSE),#REF!)+SUMIF(#REF!,VLOOKUP(S9,#REF!,1,FALSE),#REF!)+SUMIF(#REF!,VLOOKUP(S9,#REF!,1,FALSE),#REF!)</f>
        <v>#REF!</v>
      </c>
      <c r="Y9" s="82" t="e">
        <f>SUMIF(#REF!,VLOOKUP(S9,#REF!,1,FALSE),#REF!)+SUMIF(#REF!,VLOOKUP(S9,#REF!,1,FALSE),#REF!)+SUMIF(#REF!,VLOOKUP(B7,#REF!,1,FALSE),#REF!)+SUMIF(#REF!,VLOOKUP('KEUANGAN INTERNAL AKRE 2025'!S9,#REF!,1,FALSE),#REF!)+SUMIF(#REF!,VLOOKUP(S9,#REF!,1,FALSE),#REF!)</f>
        <v>#REF!</v>
      </c>
      <c r="AA9" s="75">
        <v>5</v>
      </c>
      <c r="AB9" s="83" t="s">
        <v>3286</v>
      </c>
      <c r="AC9" s="83" t="s">
        <v>175</v>
      </c>
      <c r="AD9" s="82" t="e">
        <f>SUM(E107:E111)</f>
        <v>#REF!</v>
      </c>
      <c r="AE9" s="82" t="e">
        <f>SUM(G107:G111)</f>
        <v>#REF!</v>
      </c>
      <c r="AF9" s="82" t="e">
        <f>SUM(I107:I111)</f>
        <v>#REF!</v>
      </c>
      <c r="AG9" s="82" t="e">
        <f t="shared" si="1"/>
        <v>#REF!</v>
      </c>
      <c r="AH9" s="82" t="e">
        <f>SUM(F107:F111)</f>
        <v>#REF!</v>
      </c>
      <c r="AI9" s="82" t="e">
        <f>SUM(H107:H111)</f>
        <v>#REF!</v>
      </c>
      <c r="AJ9" s="82" t="e">
        <f>SUM(J107:J111)</f>
        <v>#REF!</v>
      </c>
      <c r="AK9" s="82" t="e">
        <f t="shared" si="2"/>
        <v>#REF!</v>
      </c>
    </row>
    <row r="10" spans="1:49">
      <c r="A10" s="740" t="s">
        <v>151</v>
      </c>
      <c r="B10" s="741" t="s">
        <v>97</v>
      </c>
      <c r="C10" s="11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D10" s="82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E10" s="81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F10" s="82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G10" s="82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H10" s="82" t="e">
        <f>SUMIF(#REF!, 'KEUANGAN INTERNAL AKRE 2025'!B10,#REF!)+
SUMIF(#REF!, 'KEUANGAN INTERNAL AKRE 2025'!B10,#REF!)+
SUMIF(#REF!, 'KEUANGAN INTERNAL AKRE 2025'!B10,#REF!)+
SUMIF(#REF!, 'KEUANGAN INTERNAL AKRE 2025'!B10,#REF!)</f>
        <v>#REF!</v>
      </c>
      <c r="I10" s="82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J10" s="82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</f>
        <v>#REF!</v>
      </c>
      <c r="K10" s="82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L10" s="82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2025'!B10,#REF!)+
SUMIF(#REF!,'KEUANGAN INTERNAL AKRE 2025'!B10,#REF!)</f>
        <v>#REF!</v>
      </c>
      <c r="M10" s="82" t="e">
        <f>SUMIF(#REF!, 'KEUANGAN INTERNAL AKRE 2025'!B10,#REF!)+
SUMIF(#REF!, 'KEUANGAN INTERNAL AKRE 2025'!B10,#REF!)+
SUMIF(#REF!, 'KEUANGAN INTERNAL AKRE 2025'!B10,#REF!)+
SUMIF(#REF!, 'KEUANGAN INTERNAL AKRE 2025'!B10,#REF!)+
SUMIF(#REF!, 'KEUANGAN INTERNAL AKRE 2025'!B10,#REF!)+
SUMIF(#REF!, 'KEUANGAN INTERNAL AKRE 2025'!B10,#REF!)</f>
        <v>#REF!</v>
      </c>
      <c r="N10" s="82" t="e">
        <f>SUMIF(#REF!, 'KEUANGAN INTERNAL AKRE 2025'!B10,#REF!)+
SUMIF(#REF!, 'KEUANGAN INTERNAL AKRE 2025'!B10,#REF!)+
SUMIF(#REF!, 'KEUANGAN INTERNAL AKRE 2025'!B10,#REF!)+
SUMIF(#REF!, 'KEUANGAN INTERNAL AKRE 2025'!B10,#REF!)+
SUMIF(#REF!,'KEUANGAN INTERNAL AKRE 2025'!B10,#REF!)+
SUMIF(#REF!,'KEUANGAN INTERNAL AKRE 2025'!B10,#REF!)+
SUMIF(#REF!,'KEUANGAN INTERNAL AKRE 2025'!B10,#REF!)</f>
        <v>#REF!</v>
      </c>
      <c r="O10" s="80" t="e">
        <f t="shared" si="0"/>
        <v>#REF!</v>
      </c>
      <c r="Q10" s="813"/>
      <c r="R10" s="70">
        <v>6</v>
      </c>
      <c r="S10" s="74" t="s">
        <v>761</v>
      </c>
      <c r="T10" s="82" t="e">
        <f>SUMIF(#REF!,VLOOKUP(S10,#REF!,1,FALSE),#REF!)+SUMIF(#REF!,VLOOKUP(S10,#REF!,1,FALSE),#REF!)+SUMIF(#REF!,VLOOKUP(S10,#REF!,1,FALSE),#REF!)+SUMIF(#REF!,VLOOKUP(S10,#REF!,1,FALSE),#REF!)+SUMIF(#REF!,VLOOKUP(S10,#REF!,1,FALSE),#REF!)</f>
        <v>#REF!</v>
      </c>
      <c r="U10" s="82" t="e">
        <f>SUMIF(#REF!,VLOOKUP(S10,#REF!,1,FALSE),#REF!)+SUMIF(#REF!,VLOOKUP(S10,#REF!,1,FALSE),#REF!)+SUMIF(#REF!,VLOOKUP(S10,#REF!,1,FALSE),#REF!)+SUMIF(#REF!,VLOOKUP('KEUANGAN INTERNAL AKRE 2025'!S10,#REF!,1,FALSE),#REF!)+SUMIF(#REF!,VLOOKUP(S10,#REF!,1,FALSE),#REF!)</f>
        <v>#REF!</v>
      </c>
      <c r="V10" s="82" t="e">
        <f>SUMIF(#REF!,VLOOKUP(S10,#REF!,1,FALSE),#REF!)+SUMIF(#REF!,VLOOKUP(S10,#REF!,1,FALSE),#REF!)+SUMIF(#REF!,VLOOKUP(S10,#REF!,1,FALSE),#REF!)+SUMIF(#REF!,VLOOKUP(S10,#REF!,1,FALSE),#REF!)+SUMIF(#REF!,VLOOKUP(S10,#REF!,1,FALSE),#REF!)</f>
        <v>#REF!</v>
      </c>
      <c r="W10" s="82" t="e">
        <f>SUMIF(#REF!,VLOOKUP(S10,#REF!,1,FALSE),#REF!)+SUMIF(#REF!,VLOOKUP(S10,#REF!,1,FALSE),#REF!)+SUMIF(#REF!,VLOOKUP(S10,#REF!,1,FALSE),#REF!)+SUMIF(#REF!,VLOOKUP('KEUANGAN INTERNAL AKRE 2025'!S10,#REF!,1,FALSE),#REF!)+SUMIF(#REF!,VLOOKUP(S10,#REF!,1,FALSE),#REF!)</f>
        <v>#REF!</v>
      </c>
      <c r="X10" s="82" t="e">
        <f>SUMIF(#REF!,VLOOKUP(S10,#REF!,1,FALSE),#REF!)+SUMIF(#REF!,VLOOKUP(S10,#REF!,1,FALSE),#REF!)+SUMIF(#REF!,VLOOKUP(S10,#REF!,1,FALSE),#REF!)+SUMIF(#REF!,VLOOKUP(S10,#REF!,1,FALSE),#REF!)+SUMIF(#REF!,VLOOKUP(S10,#REF!,1,FALSE),#REF!)</f>
        <v>#REF!</v>
      </c>
      <c r="Y10" s="82" t="e">
        <f>SUMIF(#REF!,VLOOKUP(S10,#REF!,1,FALSE),#REF!)+SUMIF(#REF!,VLOOKUP(S10,#REF!,1,FALSE),#REF!)+SUMIF(#REF!,VLOOKUP(B8,#REF!,1,FALSE),#REF!)+SUMIF(#REF!,VLOOKUP('KEUANGAN INTERNAL AKRE 2025'!S10,#REF!,1,FALSE),#REF!)+SUMIF(#REF!,VLOOKUP(S10,#REF!,1,FALSE),#REF!)</f>
        <v>#REF!</v>
      </c>
      <c r="AA10" s="75">
        <v>6</v>
      </c>
      <c r="AB10" s="83" t="s">
        <v>3286</v>
      </c>
      <c r="AC10" s="83" t="s">
        <v>169</v>
      </c>
      <c r="AD10" s="82" t="e">
        <f>SUM(E112:E119)</f>
        <v>#REF!</v>
      </c>
      <c r="AE10" s="82" t="e">
        <f>SUM(G112:G119)</f>
        <v>#REF!</v>
      </c>
      <c r="AF10" s="82" t="e">
        <f>SUM(I112:I119)</f>
        <v>#REF!</v>
      </c>
      <c r="AG10" s="82" t="e">
        <f t="shared" si="1"/>
        <v>#REF!</v>
      </c>
      <c r="AH10" s="82" t="e">
        <f>SUM(F112:F119)</f>
        <v>#REF!</v>
      </c>
      <c r="AI10" s="82" t="e">
        <f>SUM(H112:H119)</f>
        <v>#REF!</v>
      </c>
      <c r="AJ10" s="82" t="e">
        <f>SUM(J112:J119)</f>
        <v>#REF!</v>
      </c>
      <c r="AK10" s="82" t="e">
        <f t="shared" si="2"/>
        <v>#REF!</v>
      </c>
    </row>
    <row r="11" spans="1:49">
      <c r="A11" s="740" t="s">
        <v>151</v>
      </c>
      <c r="B11" s="741" t="s">
        <v>190</v>
      </c>
      <c r="C11" s="11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D11" s="82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E11" s="81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F11" s="82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G11" s="82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H11" s="82" t="e">
        <f>SUMIF(#REF!, 'KEUANGAN INTERNAL AKRE 2025'!B11,#REF!)+
SUMIF(#REF!, 'KEUANGAN INTERNAL AKRE 2025'!B11,#REF!)+
SUMIF(#REF!, 'KEUANGAN INTERNAL AKRE 2025'!B11,#REF!)+
SUMIF(#REF!, 'KEUANGAN INTERNAL AKRE 2025'!B11,#REF!)</f>
        <v>#REF!</v>
      </c>
      <c r="I11" s="82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J11" s="82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</f>
        <v>#REF!</v>
      </c>
      <c r="K11" s="82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L11" s="82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2025'!B11,#REF!)+
SUMIF(#REF!,'KEUANGAN INTERNAL AKRE 2025'!B11,#REF!)</f>
        <v>#REF!</v>
      </c>
      <c r="M11" s="82" t="e">
        <f>SUMIF(#REF!, 'KEUANGAN INTERNAL AKRE 2025'!B11,#REF!)+
SUMIF(#REF!, 'KEUANGAN INTERNAL AKRE 2025'!B11,#REF!)+
SUMIF(#REF!, 'KEUANGAN INTERNAL AKRE 2025'!B11,#REF!)+
SUMIF(#REF!, 'KEUANGAN INTERNAL AKRE 2025'!B11,#REF!)+
SUMIF(#REF!, 'KEUANGAN INTERNAL AKRE 2025'!B11,#REF!)+
SUMIF(#REF!, 'KEUANGAN INTERNAL AKRE 2025'!B11,#REF!)</f>
        <v>#REF!</v>
      </c>
      <c r="N11" s="82" t="e">
        <f>SUMIF(#REF!, 'KEUANGAN INTERNAL AKRE 2025'!B11,#REF!)+
SUMIF(#REF!, 'KEUANGAN INTERNAL AKRE 2025'!B11,#REF!)+
SUMIF(#REF!, 'KEUANGAN INTERNAL AKRE 2025'!B11,#REF!)+
SUMIF(#REF!, 'KEUANGAN INTERNAL AKRE 2025'!B11,#REF!)+
SUMIF(#REF!,'KEUANGAN INTERNAL AKRE 2025'!B11,#REF!)+
SUMIF(#REF!,'KEUANGAN INTERNAL AKRE 2025'!B11,#REF!)+
SUMIF(#REF!,'KEUANGAN INTERNAL AKRE 2025'!B11,#REF!)</f>
        <v>#REF!</v>
      </c>
      <c r="O11" s="80" t="e">
        <f t="shared" si="0"/>
        <v>#REF!</v>
      </c>
      <c r="Q11" s="813"/>
      <c r="R11" s="70">
        <v>7</v>
      </c>
      <c r="S11" s="74" t="s">
        <v>12</v>
      </c>
      <c r="T11" s="82" t="e">
        <f>SUMIF(#REF!,VLOOKUP(S11,#REF!,1,FALSE),#REF!)+SUMIF(#REF!,VLOOKUP(S11,#REF!,1,FALSE),#REF!)+SUMIF(#REF!,VLOOKUP(S11,#REF!,1,FALSE),#REF!)+SUMIF(#REF!,VLOOKUP(S11,#REF!,1,FALSE),#REF!)+SUMIF(#REF!,VLOOKUP(S11,#REF!,1,FALSE),#REF!)</f>
        <v>#REF!</v>
      </c>
      <c r="U11" s="82" t="e">
        <f>SUMIF(#REF!,VLOOKUP(S11,#REF!,1,FALSE),#REF!)+SUMIF(#REF!,VLOOKUP(S11,#REF!,1,FALSE),#REF!)+SUMIF(#REF!,VLOOKUP(S11,#REF!,1,FALSE),#REF!)+SUMIF(#REF!,VLOOKUP('KEUANGAN INTERNAL AKRE 2025'!S11,#REF!,1,FALSE),#REF!)+SUMIF(#REF!,VLOOKUP(S11,#REF!,1,FALSE),#REF!)</f>
        <v>#REF!</v>
      </c>
      <c r="V11" s="82" t="e">
        <f>SUMIF(#REF!,VLOOKUP(S11,#REF!,1,FALSE),#REF!)+SUMIF(#REF!,VLOOKUP(S11,#REF!,1,FALSE),#REF!)+SUMIF(#REF!,VLOOKUP(S11,#REF!,1,FALSE),#REF!)+SUMIF(#REF!,VLOOKUP(S11,#REF!,1,FALSE),#REF!)+SUMIF(#REF!,VLOOKUP(S11,#REF!,1,FALSE),#REF!)</f>
        <v>#REF!</v>
      </c>
      <c r="W11" s="82" t="e">
        <f>SUMIF(#REF!,VLOOKUP(S11,#REF!,1,FALSE),#REF!)+SUMIF(#REF!,VLOOKUP(S11,#REF!,1,FALSE),#REF!)+SUMIF(#REF!,VLOOKUP(S11,#REF!,1,FALSE),#REF!)+SUMIF(#REF!,VLOOKUP('KEUANGAN INTERNAL AKRE 2025'!S11,#REF!,1,FALSE),#REF!)+SUMIF(#REF!,VLOOKUP(S11,#REF!,1,FALSE),#REF!)</f>
        <v>#REF!</v>
      </c>
      <c r="X11" s="82" t="e">
        <f>SUMIF(#REF!,VLOOKUP(S11,#REF!,1,FALSE),#REF!)+SUMIF(#REF!,VLOOKUP(S11,#REF!,1,FALSE),#REF!)+SUMIF(#REF!,VLOOKUP(S11,#REF!,1,FALSE),#REF!)+SUMIF(#REF!,VLOOKUP(S11,#REF!,1,FALSE),#REF!)+SUMIF(#REF!,VLOOKUP(S11,#REF!,1,FALSE),#REF!)</f>
        <v>#REF!</v>
      </c>
      <c r="Y11" s="82" t="e">
        <f>SUMIF(#REF!,VLOOKUP(S11,#REF!,1,FALSE),#REF!)+SUMIF(#REF!,VLOOKUP(S11,#REF!,1,FALSE),#REF!)+SUMIF(#REF!,VLOOKUP(B9,#REF!,1,FALSE),#REF!)+SUMIF(#REF!,VLOOKUP('KEUANGAN INTERNAL AKRE 2025'!S11,#REF!,1,FALSE),#REF!)+SUMIF(#REF!,VLOOKUP(S11,#REF!,1,FALSE),#REF!)</f>
        <v>#REF!</v>
      </c>
      <c r="AA11" s="75">
        <v>7</v>
      </c>
      <c r="AB11" s="83" t="s">
        <v>3281</v>
      </c>
      <c r="AC11" s="83" t="s">
        <v>151</v>
      </c>
      <c r="AD11" s="82" t="e">
        <f>SUM(E5:E11)</f>
        <v>#REF!</v>
      </c>
      <c r="AE11" s="82" t="e">
        <f>SUM(G5:G11)</f>
        <v>#REF!</v>
      </c>
      <c r="AF11" s="82" t="e">
        <f>SUM(I5:I11)</f>
        <v>#REF!</v>
      </c>
      <c r="AG11" s="82" t="e">
        <f t="shared" si="1"/>
        <v>#REF!</v>
      </c>
      <c r="AH11" s="82" t="e">
        <f>SUM(F5:F11)</f>
        <v>#REF!</v>
      </c>
      <c r="AI11" s="82" t="e">
        <f>SUM(H5:H11)</f>
        <v>#REF!</v>
      </c>
      <c r="AJ11" s="82" t="e">
        <f>SUM(J5:J11)</f>
        <v>#REF!</v>
      </c>
      <c r="AK11" s="82" t="e">
        <f t="shared" si="2"/>
        <v>#REF!</v>
      </c>
    </row>
    <row r="12" spans="1:49">
      <c r="A12" s="740" t="s">
        <v>151</v>
      </c>
      <c r="B12" s="741" t="s">
        <v>198</v>
      </c>
      <c r="C12" s="11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D12" s="82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E12" s="81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F12" s="82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G12" s="82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H12" s="82" t="e">
        <f>SUMIF(#REF!, 'KEUANGAN INTERNAL AKRE 2025'!B12,#REF!)+
SUMIF(#REF!, 'KEUANGAN INTERNAL AKRE 2025'!B12,#REF!)+
SUMIF(#REF!, 'KEUANGAN INTERNAL AKRE 2025'!B12,#REF!)+
SUMIF(#REF!, 'KEUANGAN INTERNAL AKRE 2025'!B12,#REF!)</f>
        <v>#REF!</v>
      </c>
      <c r="I12" s="82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J12" s="82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</f>
        <v>#REF!</v>
      </c>
      <c r="K12" s="82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L12" s="82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2025'!B12,#REF!)+
SUMIF(#REF!,'KEUANGAN INTERNAL AKRE 2025'!B12,#REF!)</f>
        <v>#REF!</v>
      </c>
      <c r="M12" s="82" t="e">
        <f>SUMIF(#REF!, 'KEUANGAN INTERNAL AKRE 2025'!B12,#REF!)+
SUMIF(#REF!, 'KEUANGAN INTERNAL AKRE 2025'!B12,#REF!)+
SUMIF(#REF!, 'KEUANGAN INTERNAL AKRE 2025'!B12,#REF!)+
SUMIF(#REF!, 'KEUANGAN INTERNAL AKRE 2025'!B12,#REF!)+
SUMIF(#REF!, 'KEUANGAN INTERNAL AKRE 2025'!B12,#REF!)+
SUMIF(#REF!, 'KEUANGAN INTERNAL AKRE 2025'!B12,#REF!)</f>
        <v>#REF!</v>
      </c>
      <c r="N12" s="82" t="e">
        <f>SUMIF(#REF!, 'KEUANGAN INTERNAL AKRE 2025'!B12,#REF!)+
SUMIF(#REF!, 'KEUANGAN INTERNAL AKRE 2025'!B12,#REF!)+
SUMIF(#REF!, 'KEUANGAN INTERNAL AKRE 2025'!B12,#REF!)+
SUMIF(#REF!, 'KEUANGAN INTERNAL AKRE 2025'!B12,#REF!)+
SUMIF(#REF!,'KEUANGAN INTERNAL AKRE 2025'!B12,#REF!)+
SUMIF(#REF!,'KEUANGAN INTERNAL AKRE 2025'!B12,#REF!)+
SUMIF(#REF!,'KEUANGAN INTERNAL AKRE 2025'!B12,#REF!)</f>
        <v>#REF!</v>
      </c>
      <c r="O12" s="80" t="e">
        <f t="shared" si="0"/>
        <v>#REF!</v>
      </c>
      <c r="Q12" s="813"/>
      <c r="R12" s="70">
        <v>8</v>
      </c>
      <c r="S12" s="74" t="s">
        <v>56</v>
      </c>
      <c r="T12" s="82" t="e">
        <f>SUMIF(#REF!,VLOOKUP(S12,#REF!,1,FALSE),#REF!)+SUMIF(#REF!,VLOOKUP(S12,#REF!,1,FALSE),#REF!)+SUMIF(#REF!,VLOOKUP(S12,#REF!,1,FALSE),#REF!)+SUMIF(#REF!,VLOOKUP(S12,#REF!,1,FALSE),#REF!)+SUMIF(#REF!,VLOOKUP(S12,#REF!,1,FALSE),#REF!)</f>
        <v>#REF!</v>
      </c>
      <c r="U12" s="82" t="e">
        <f>SUMIF(#REF!,VLOOKUP(S12,#REF!,1,FALSE),#REF!)+SUMIF(#REF!,VLOOKUP(S12,#REF!,1,FALSE),#REF!)+SUMIF(#REF!,VLOOKUP(S12,#REF!,1,FALSE),#REF!)+SUMIF(#REF!,VLOOKUP('KEUANGAN INTERNAL AKRE 2025'!S12,#REF!,1,FALSE),#REF!)+SUMIF(#REF!,VLOOKUP(S12,#REF!,1,FALSE),#REF!)</f>
        <v>#REF!</v>
      </c>
      <c r="V12" s="82" t="e">
        <f>SUMIF(#REF!,VLOOKUP(S12,#REF!,1,FALSE),#REF!)+SUMIF(#REF!,VLOOKUP(S12,#REF!,1,FALSE),#REF!)+SUMIF(#REF!,VLOOKUP(S12,#REF!,1,FALSE),#REF!)+SUMIF(#REF!,VLOOKUP(S12,#REF!,1,FALSE),#REF!)+SUMIF(#REF!,VLOOKUP(S12,#REF!,1,FALSE),#REF!)</f>
        <v>#REF!</v>
      </c>
      <c r="W12" s="82" t="e">
        <f>SUMIF(#REF!,VLOOKUP(S12,#REF!,1,FALSE),#REF!)+SUMIF(#REF!,VLOOKUP(S12,#REF!,1,FALSE),#REF!)+SUMIF(#REF!,VLOOKUP(S12,#REF!,1,FALSE),#REF!)+SUMIF(#REF!,VLOOKUP('KEUANGAN INTERNAL AKRE 2025'!S12,#REF!,1,FALSE),#REF!)+SUMIF(#REF!,VLOOKUP(S12,#REF!,1,FALSE),#REF!)</f>
        <v>#REF!</v>
      </c>
      <c r="X12" s="82" t="e">
        <f>SUMIF(#REF!,VLOOKUP(S12,#REF!,1,FALSE),#REF!)+SUMIF(#REF!,VLOOKUP(S12,#REF!,1,FALSE),#REF!)+SUMIF(#REF!,VLOOKUP(S12,#REF!,1,FALSE),#REF!)+SUMIF(#REF!,VLOOKUP(S12,#REF!,1,FALSE),#REF!)+SUMIF(#REF!,VLOOKUP(S12,#REF!,1,FALSE),#REF!)</f>
        <v>#REF!</v>
      </c>
      <c r="Y12" s="82" t="e">
        <f>SUMIF(#REF!,VLOOKUP(S12,#REF!,1,FALSE),#REF!)+SUMIF(#REF!,VLOOKUP(S12,#REF!,1,FALSE),#REF!)+SUMIF(#REF!,VLOOKUP(B10,#REF!,1,FALSE),#REF!)+SUMIF(#REF!,VLOOKUP('KEUANGAN INTERNAL AKRE 2025'!S12,#REF!,1,FALSE),#REF!)+SUMIF(#REF!,VLOOKUP(S12,#REF!,1,FALSE),#REF!)</f>
        <v>#REF!</v>
      </c>
      <c r="AA12" s="75">
        <v>8</v>
      </c>
      <c r="AB12" s="83" t="s">
        <v>3281</v>
      </c>
      <c r="AC12" s="83" t="s">
        <v>155</v>
      </c>
      <c r="AD12" s="82" t="e">
        <f>SUM(E15:E21)</f>
        <v>#REF!</v>
      </c>
      <c r="AE12" s="82" t="e">
        <f>SUM(G15:G21)</f>
        <v>#REF!</v>
      </c>
      <c r="AF12" s="82" t="e">
        <f>SUM(I15:I21)</f>
        <v>#REF!</v>
      </c>
      <c r="AG12" s="82" t="e">
        <f t="shared" si="1"/>
        <v>#REF!</v>
      </c>
      <c r="AH12" s="82" t="e">
        <f>SUM(F15:F21)</f>
        <v>#REF!</v>
      </c>
      <c r="AI12" s="82" t="e">
        <f>SUM(H15:H21)</f>
        <v>#REF!</v>
      </c>
      <c r="AJ12" s="82" t="e">
        <f>SUM(J15:J21)</f>
        <v>#REF!</v>
      </c>
      <c r="AK12" s="82" t="e">
        <f t="shared" si="2"/>
        <v>#REF!</v>
      </c>
    </row>
    <row r="13" spans="1:49" ht="11.1" customHeight="1">
      <c r="A13" s="740" t="s">
        <v>151</v>
      </c>
      <c r="B13" s="741" t="s">
        <v>49</v>
      </c>
      <c r="C13" s="11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D13" s="82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E13" s="81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F13" s="82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G13" s="82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H13" s="82" t="e">
        <f>SUMIF(#REF!, 'KEUANGAN INTERNAL AKRE 2025'!B13,#REF!)+
SUMIF(#REF!, 'KEUANGAN INTERNAL AKRE 2025'!B13,#REF!)+
SUMIF(#REF!, 'KEUANGAN INTERNAL AKRE 2025'!B13,#REF!)+
SUMIF(#REF!, 'KEUANGAN INTERNAL AKRE 2025'!B13,#REF!)</f>
        <v>#REF!</v>
      </c>
      <c r="I13" s="82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J13" s="82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</f>
        <v>#REF!</v>
      </c>
      <c r="K13" s="82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L13" s="82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2025'!B13,#REF!)+
SUMIF(#REF!,'KEUANGAN INTERNAL AKRE 2025'!B13,#REF!)</f>
        <v>#REF!</v>
      </c>
      <c r="M13" s="82" t="e">
        <f>SUMIF(#REF!, 'KEUANGAN INTERNAL AKRE 2025'!B13,#REF!)+
SUMIF(#REF!, 'KEUANGAN INTERNAL AKRE 2025'!B13,#REF!)+
SUMIF(#REF!, 'KEUANGAN INTERNAL AKRE 2025'!B13,#REF!)+
SUMIF(#REF!, 'KEUANGAN INTERNAL AKRE 2025'!B13,#REF!)+
SUMIF(#REF!, 'KEUANGAN INTERNAL AKRE 2025'!B13,#REF!)+
SUMIF(#REF!, 'KEUANGAN INTERNAL AKRE 2025'!B13,#REF!)</f>
        <v>#REF!</v>
      </c>
      <c r="N13" s="82" t="e">
        <f>SUMIF(#REF!, 'KEUANGAN INTERNAL AKRE 2025'!B13,#REF!)+
SUMIF(#REF!, 'KEUANGAN INTERNAL AKRE 2025'!B13,#REF!)+
SUMIF(#REF!, 'KEUANGAN INTERNAL AKRE 2025'!B13,#REF!)+
SUMIF(#REF!, 'KEUANGAN INTERNAL AKRE 2025'!B13,#REF!)+
SUMIF(#REF!,'KEUANGAN INTERNAL AKRE 2025'!B13,#REF!)+
SUMIF(#REF!,'KEUANGAN INTERNAL AKRE 2025'!B13,#REF!)+
SUMIF(#REF!,'KEUANGAN INTERNAL AKRE 2025'!B13,#REF!)</f>
        <v>#REF!</v>
      </c>
      <c r="O13" s="80" t="e">
        <f t="shared" si="0"/>
        <v>#REF!</v>
      </c>
      <c r="Q13" s="814" t="s">
        <v>171</v>
      </c>
      <c r="R13" s="64">
        <v>1</v>
      </c>
      <c r="S13" s="65" t="s">
        <v>38</v>
      </c>
      <c r="T13" s="82" t="e">
        <f>SUMIF(#REF!,VLOOKUP(S13,#REF!,1,FALSE),#REF!)+SUMIF(#REF!,VLOOKUP(S13,#REF!,1,FALSE),#REF!)+SUMIF(#REF!,VLOOKUP(S13,#REF!,1,FALSE),#REF!)+SUMIF(#REF!,VLOOKUP(S13,#REF!,1,FALSE),#REF!)+SUMIF(#REF!,VLOOKUP(S13,#REF!,1,FALSE),#REF!)</f>
        <v>#REF!</v>
      </c>
      <c r="U13" s="82" t="e">
        <f>SUMIF(#REF!,VLOOKUP(S13,#REF!,1,FALSE),#REF!)+SUMIF(#REF!,VLOOKUP(S13,#REF!,1,FALSE),#REF!)+SUMIF(#REF!,VLOOKUP(S13,#REF!,1,FALSE),#REF!)+SUMIF(#REF!,VLOOKUP('KEUANGAN INTERNAL AKRE 2025'!S13,#REF!,1,FALSE),#REF!)+SUMIF(#REF!,VLOOKUP(S13,#REF!,1,FALSE),#REF!)</f>
        <v>#REF!</v>
      </c>
      <c r="V13" s="82" t="e">
        <f>SUMIF(#REF!,VLOOKUP(S13,#REF!,1,FALSE),#REF!)+SUMIF(#REF!,VLOOKUP(S13,#REF!,1,FALSE),#REF!)+SUMIF(#REF!,VLOOKUP(S13,#REF!,1,FALSE),#REF!)+SUMIF(#REF!,VLOOKUP(S13,#REF!,1,FALSE),#REF!)+SUMIF(#REF!,VLOOKUP(S13,#REF!,1,FALSE),#REF!)</f>
        <v>#REF!</v>
      </c>
      <c r="W13" s="82" t="e">
        <f>SUMIF(#REF!,VLOOKUP(S13,#REF!,1,FALSE),#REF!)+SUMIF(#REF!,VLOOKUP(S13,#REF!,1,FALSE),#REF!)+SUMIF(#REF!,VLOOKUP(S13,#REF!,1,FALSE),#REF!)+SUMIF(#REF!,VLOOKUP('KEUANGAN INTERNAL AKRE 2025'!S13,#REF!,1,FALSE),#REF!)+SUMIF(#REF!,VLOOKUP(S13,#REF!,1,FALSE),#REF!)</f>
        <v>#REF!</v>
      </c>
      <c r="X13" s="82" t="e">
        <f>SUMIF(#REF!,VLOOKUP(S13,#REF!,1,FALSE),#REF!)+SUMIF(#REF!,VLOOKUP(S13,#REF!,1,FALSE),#REF!)+SUMIF(#REF!,VLOOKUP(S13,#REF!,1,FALSE),#REF!)+SUMIF(#REF!,VLOOKUP(S13,#REF!,1,FALSE),#REF!)+SUMIF(#REF!,VLOOKUP(S13,#REF!,1,FALSE),#REF!)</f>
        <v>#REF!</v>
      </c>
      <c r="Y13" s="82" t="e">
        <f>SUMIF(#REF!,VLOOKUP(S13,#REF!,1,FALSE),#REF!)+SUMIF(#REF!,VLOOKUP(S13,#REF!,1,FALSE),#REF!)+SUMIF(#REF!,VLOOKUP(B11,#REF!,1,FALSE),#REF!)+SUMIF(#REF!,VLOOKUP('KEUANGAN INTERNAL AKRE 2025'!S13,#REF!,1,FALSE),#REF!)+SUMIF(#REF!,VLOOKUP(S13,#REF!,1,FALSE),#REF!)</f>
        <v>#REF!</v>
      </c>
      <c r="AA13" s="75">
        <v>9</v>
      </c>
      <c r="AB13" s="83" t="s">
        <v>3281</v>
      </c>
      <c r="AC13" s="83" t="s">
        <v>154</v>
      </c>
      <c r="AD13" s="82" t="e">
        <f>SUM(E24:E32)</f>
        <v>#REF!</v>
      </c>
      <c r="AE13" s="82" t="e">
        <f>SUM(G24:G32)</f>
        <v>#REF!</v>
      </c>
      <c r="AF13" s="82" t="e">
        <f>SUM(I24:I32)</f>
        <v>#REF!</v>
      </c>
      <c r="AG13" s="82" t="e">
        <f t="shared" si="1"/>
        <v>#REF!</v>
      </c>
      <c r="AH13" s="82" t="e">
        <f>SUM(F24:F32)</f>
        <v>#REF!</v>
      </c>
      <c r="AI13" s="82" t="e">
        <f>SUM(H24:H32)</f>
        <v>#REF!</v>
      </c>
      <c r="AJ13" s="82" t="e">
        <f>SUM(J24:J32)</f>
        <v>#REF!</v>
      </c>
      <c r="AK13" s="82" t="e">
        <f t="shared" si="2"/>
        <v>#REF!</v>
      </c>
    </row>
    <row r="14" spans="1:49" ht="11.1" customHeight="1">
      <c r="A14" s="740" t="s">
        <v>151</v>
      </c>
      <c r="B14" s="741" t="s">
        <v>60</v>
      </c>
      <c r="C14" s="11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D14" s="82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E14" s="81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F14" s="82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G14" s="82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H14" s="82" t="e">
        <f>SUMIF(#REF!, 'KEUANGAN INTERNAL AKRE 2025'!B14,#REF!)+
SUMIF(#REF!, 'KEUANGAN INTERNAL AKRE 2025'!B14,#REF!)+
SUMIF(#REF!, 'KEUANGAN INTERNAL AKRE 2025'!B14,#REF!)+
SUMIF(#REF!, 'KEUANGAN INTERNAL AKRE 2025'!B14,#REF!)</f>
        <v>#REF!</v>
      </c>
      <c r="I14" s="82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J14" s="82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</f>
        <v>#REF!</v>
      </c>
      <c r="K14" s="82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L14" s="82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2025'!B14,#REF!)+
SUMIF(#REF!,'KEUANGAN INTERNAL AKRE 2025'!B14,#REF!)</f>
        <v>#REF!</v>
      </c>
      <c r="M14" s="82" t="e">
        <f>SUMIF(#REF!, 'KEUANGAN INTERNAL AKRE 2025'!B14,#REF!)+
SUMIF(#REF!, 'KEUANGAN INTERNAL AKRE 2025'!B14,#REF!)+
SUMIF(#REF!, 'KEUANGAN INTERNAL AKRE 2025'!B14,#REF!)+
SUMIF(#REF!, 'KEUANGAN INTERNAL AKRE 2025'!B14,#REF!)+
SUMIF(#REF!, 'KEUANGAN INTERNAL AKRE 2025'!B14,#REF!)+
SUMIF(#REF!, 'KEUANGAN INTERNAL AKRE 2025'!B14,#REF!)</f>
        <v>#REF!</v>
      </c>
      <c r="N14" s="82" t="e">
        <f>SUMIF(#REF!, 'KEUANGAN INTERNAL AKRE 2025'!B14,#REF!)+
SUMIF(#REF!, 'KEUANGAN INTERNAL AKRE 2025'!B14,#REF!)+
SUMIF(#REF!, 'KEUANGAN INTERNAL AKRE 2025'!B14,#REF!)+
SUMIF(#REF!, 'KEUANGAN INTERNAL AKRE 2025'!B14,#REF!)+
SUMIF(#REF!,'KEUANGAN INTERNAL AKRE 2025'!B14,#REF!)+
SUMIF(#REF!,'KEUANGAN INTERNAL AKRE 2025'!B14,#REF!)+
SUMIF(#REF!,'KEUANGAN INTERNAL AKRE 2025'!B14,#REF!)</f>
        <v>#REF!</v>
      </c>
      <c r="O14" s="80" t="e">
        <f t="shared" si="0"/>
        <v>#REF!</v>
      </c>
      <c r="Q14" s="814"/>
      <c r="R14" s="64"/>
      <c r="S14" s="65"/>
      <c r="T14" s="82"/>
      <c r="U14" s="82"/>
      <c r="V14" s="82"/>
      <c r="W14" s="82"/>
      <c r="X14" s="82"/>
      <c r="Y14" s="82"/>
      <c r="AA14" s="75"/>
      <c r="AB14" s="83"/>
      <c r="AC14" s="83"/>
      <c r="AD14" s="82"/>
      <c r="AE14" s="82"/>
      <c r="AF14" s="82"/>
      <c r="AG14" s="82"/>
      <c r="AH14" s="82"/>
      <c r="AI14" s="82"/>
      <c r="AJ14" s="82"/>
      <c r="AK14" s="82"/>
    </row>
    <row r="15" spans="1:49" ht="11.1" customHeight="1">
      <c r="A15" s="742" t="s">
        <v>155</v>
      </c>
      <c r="B15" s="743" t="s">
        <v>21</v>
      </c>
      <c r="C15" s="11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D15" s="82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E15" s="81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F15" s="82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G15" s="82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H15" s="82" t="e">
        <f>SUMIF(#REF!, 'KEUANGAN INTERNAL AKRE 2025'!B15,#REF!)+
SUMIF(#REF!, 'KEUANGAN INTERNAL AKRE 2025'!B15,#REF!)+
SUMIF(#REF!, 'KEUANGAN INTERNAL AKRE 2025'!B15,#REF!)+
SUMIF(#REF!, 'KEUANGAN INTERNAL AKRE 2025'!B15,#REF!)</f>
        <v>#REF!</v>
      </c>
      <c r="I15" s="82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J15" s="82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</f>
        <v>#REF!</v>
      </c>
      <c r="K15" s="82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L15" s="82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2025'!B15,#REF!)+
SUMIF(#REF!,'KEUANGAN INTERNAL AKRE 2025'!B15,#REF!)</f>
        <v>#REF!</v>
      </c>
      <c r="M15" s="82" t="e">
        <f>SUMIF(#REF!, 'KEUANGAN INTERNAL AKRE 2025'!B15,#REF!)+
SUMIF(#REF!, 'KEUANGAN INTERNAL AKRE 2025'!B15,#REF!)+
SUMIF(#REF!, 'KEUANGAN INTERNAL AKRE 2025'!B15,#REF!)+
SUMIF(#REF!, 'KEUANGAN INTERNAL AKRE 2025'!B15,#REF!)+
SUMIF(#REF!, 'KEUANGAN INTERNAL AKRE 2025'!B15,#REF!)+
SUMIF(#REF!, 'KEUANGAN INTERNAL AKRE 2025'!B15,#REF!)</f>
        <v>#REF!</v>
      </c>
      <c r="N15" s="82" t="e">
        <f>SUMIF(#REF!, 'KEUANGAN INTERNAL AKRE 2025'!B15,#REF!)+
SUMIF(#REF!, 'KEUANGAN INTERNAL AKRE 2025'!B15,#REF!)+
SUMIF(#REF!, 'KEUANGAN INTERNAL AKRE 2025'!B15,#REF!)+
SUMIF(#REF!, 'KEUANGAN INTERNAL AKRE 2025'!B15,#REF!)+
SUMIF(#REF!,'KEUANGAN INTERNAL AKRE 2025'!B15,#REF!)+
SUMIF(#REF!,'KEUANGAN INTERNAL AKRE 2025'!B15,#REF!)+
SUMIF(#REF!,'KEUANGAN INTERNAL AKRE 2025'!B15,#REF!)</f>
        <v>#REF!</v>
      </c>
      <c r="O15" s="80" t="e">
        <f t="shared" si="0"/>
        <v>#REF!</v>
      </c>
      <c r="Q15" s="814"/>
      <c r="R15" s="64"/>
      <c r="S15" s="65"/>
      <c r="T15" s="82"/>
      <c r="U15" s="82"/>
      <c r="V15" s="82"/>
      <c r="W15" s="82"/>
      <c r="X15" s="82"/>
      <c r="Y15" s="82"/>
      <c r="AA15" s="75"/>
      <c r="AB15" s="83"/>
      <c r="AC15" s="83"/>
      <c r="AD15" s="82"/>
      <c r="AE15" s="82"/>
      <c r="AF15" s="82"/>
      <c r="AG15" s="82"/>
      <c r="AH15" s="82"/>
      <c r="AI15" s="82"/>
      <c r="AJ15" s="82"/>
      <c r="AK15" s="82"/>
    </row>
    <row r="16" spans="1:49" ht="11.1" customHeight="1">
      <c r="A16" s="742" t="s">
        <v>155</v>
      </c>
      <c r="B16" s="743" t="s">
        <v>12</v>
      </c>
      <c r="C16" s="11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D16" s="82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E16" s="81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F16" s="82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G16" s="82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H16" s="82" t="e">
        <f>SUMIF(#REF!, 'KEUANGAN INTERNAL AKRE 2025'!B16,#REF!)+
SUMIF(#REF!, 'KEUANGAN INTERNAL AKRE 2025'!B16,#REF!)+
SUMIF(#REF!, 'KEUANGAN INTERNAL AKRE 2025'!B16,#REF!)+
SUMIF(#REF!, 'KEUANGAN INTERNAL AKRE 2025'!B16,#REF!)</f>
        <v>#REF!</v>
      </c>
      <c r="I16" s="82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J16" s="82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</f>
        <v>#REF!</v>
      </c>
      <c r="K16" s="82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L16" s="82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2025'!B16,#REF!)+
SUMIF(#REF!,'KEUANGAN INTERNAL AKRE 2025'!B16,#REF!)</f>
        <v>#REF!</v>
      </c>
      <c r="M16" s="82" t="e">
        <f>SUMIF(#REF!, 'KEUANGAN INTERNAL AKRE 2025'!B16,#REF!)+
SUMIF(#REF!, 'KEUANGAN INTERNAL AKRE 2025'!B16,#REF!)+
SUMIF(#REF!, 'KEUANGAN INTERNAL AKRE 2025'!B16,#REF!)+
SUMIF(#REF!, 'KEUANGAN INTERNAL AKRE 2025'!B16,#REF!)+
SUMIF(#REF!, 'KEUANGAN INTERNAL AKRE 2025'!B16,#REF!)+
SUMIF(#REF!, 'KEUANGAN INTERNAL AKRE 2025'!B16,#REF!)</f>
        <v>#REF!</v>
      </c>
      <c r="N16" s="82" t="e">
        <f>SUMIF(#REF!, 'KEUANGAN INTERNAL AKRE 2025'!B16,#REF!)+
SUMIF(#REF!, 'KEUANGAN INTERNAL AKRE 2025'!B16,#REF!)+
SUMIF(#REF!, 'KEUANGAN INTERNAL AKRE 2025'!B16,#REF!)+
SUMIF(#REF!, 'KEUANGAN INTERNAL AKRE 2025'!B16,#REF!)+
SUMIF(#REF!,'KEUANGAN INTERNAL AKRE 2025'!B16,#REF!)+
SUMIF(#REF!,'KEUANGAN INTERNAL AKRE 2025'!B16,#REF!)+
SUMIF(#REF!,'KEUANGAN INTERNAL AKRE 2025'!B16,#REF!)</f>
        <v>#REF!</v>
      </c>
      <c r="O16" s="80" t="e">
        <f t="shared" si="0"/>
        <v>#REF!</v>
      </c>
      <c r="Q16" s="814"/>
      <c r="R16" s="64">
        <v>8</v>
      </c>
      <c r="S16" s="65" t="s">
        <v>18</v>
      </c>
      <c r="T16" s="82" t="e">
        <f>SUMIF(#REF!,VLOOKUP(S16,#REF!,1,FALSE),#REF!)+SUMIF(#REF!,VLOOKUP(S16,#REF!,1,FALSE),#REF!)+SUMIF(#REF!,VLOOKUP(S16,#REF!,1,FALSE),#REF!)+SUMIF(#REF!,VLOOKUP(S16,#REF!,1,FALSE),#REF!)+SUMIF(#REF!,VLOOKUP(S16,#REF!,1,FALSE),#REF!)</f>
        <v>#REF!</v>
      </c>
      <c r="U16" s="82" t="e">
        <f>SUMIF(#REF!,VLOOKUP(S16,#REF!,1,FALSE),#REF!)+SUMIF(#REF!,VLOOKUP(S16,#REF!,1,FALSE),#REF!)+SUMIF(#REF!,VLOOKUP(S16,#REF!,1,FALSE),#REF!)+SUMIF(#REF!,VLOOKUP('KEUANGAN INTERNAL AKRE 2025'!S16,#REF!,1,FALSE),#REF!)+SUMIF(#REF!,VLOOKUP(S16,#REF!,1,FALSE),#REF!)</f>
        <v>#REF!</v>
      </c>
      <c r="V16" s="82" t="e">
        <f>SUMIF(#REF!,VLOOKUP(S16,#REF!,1,FALSE),#REF!)+SUMIF(#REF!,VLOOKUP(S16,#REF!,1,FALSE),#REF!)+SUMIF(#REF!,VLOOKUP(S16,#REF!,1,FALSE),#REF!)+SUMIF(#REF!,VLOOKUP(S16,#REF!,1,FALSE),#REF!)+SUMIF(#REF!,VLOOKUP(S16,#REF!,1,FALSE),#REF!)</f>
        <v>#REF!</v>
      </c>
      <c r="W16" s="82" t="e">
        <f>SUMIF(#REF!,VLOOKUP(S16,#REF!,1,FALSE),#REF!)+SUMIF(#REF!,VLOOKUP(S16,#REF!,1,FALSE),#REF!)+SUMIF(#REF!,VLOOKUP(S16,#REF!,1,FALSE),#REF!)+SUMIF(#REF!,VLOOKUP('KEUANGAN INTERNAL AKRE 2025'!S16,#REF!,1,FALSE),#REF!)+SUMIF(#REF!,VLOOKUP(S16,#REF!,1,FALSE),#REF!)</f>
        <v>#REF!</v>
      </c>
      <c r="X16" s="82" t="e">
        <f>SUMIF(#REF!,VLOOKUP(S16,#REF!,1,FALSE),#REF!)+SUMIF(#REF!,VLOOKUP(S16,#REF!,1,FALSE),#REF!)+SUMIF(#REF!,VLOOKUP(S16,#REF!,1,FALSE),#REF!)+SUMIF(#REF!,VLOOKUP(S16,#REF!,1,FALSE),#REF!)+SUMIF(#REF!,VLOOKUP(S16,#REF!,1,FALSE),#REF!)</f>
        <v>#REF!</v>
      </c>
      <c r="Y16" s="82" t="e">
        <f>SUMIF(#REF!,VLOOKUP(S16,#REF!,1,FALSE),#REF!)+SUMIF(#REF!,VLOOKUP(S16,#REF!,1,FALSE),#REF!)+SUMIF(#REF!,VLOOKUP(B14,#REF!,1,FALSE),#REF!)+SUMIF(#REF!,VLOOKUP('KEUANGAN INTERNAL AKRE 2025'!S16,#REF!,1,FALSE),#REF!)+SUMIF(#REF!,VLOOKUP(S16,#REF!,1,FALSE),#REF!)</f>
        <v>#REF!</v>
      </c>
    </row>
    <row r="17" spans="1:37" ht="11.1" customHeight="1">
      <c r="A17" s="742" t="s">
        <v>155</v>
      </c>
      <c r="B17" s="743" t="s">
        <v>77</v>
      </c>
      <c r="C17" s="11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D17" s="82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E17" s="81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F17" s="82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G17" s="82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H17" s="82" t="e">
        <f>SUMIF(#REF!, 'KEUANGAN INTERNAL AKRE 2025'!B17,#REF!)+
SUMIF(#REF!, 'KEUANGAN INTERNAL AKRE 2025'!B17,#REF!)+
SUMIF(#REF!, 'KEUANGAN INTERNAL AKRE 2025'!B17,#REF!)+
SUMIF(#REF!, 'KEUANGAN INTERNAL AKRE 2025'!B17,#REF!)</f>
        <v>#REF!</v>
      </c>
      <c r="I17" s="82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J17" s="82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</f>
        <v>#REF!</v>
      </c>
      <c r="K17" s="82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L17" s="82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2025'!B17,#REF!)+
SUMIF(#REF!,'KEUANGAN INTERNAL AKRE 2025'!B17,#REF!)</f>
        <v>#REF!</v>
      </c>
      <c r="M17" s="82" t="e">
        <f>SUMIF(#REF!, 'KEUANGAN INTERNAL AKRE 2025'!B17,#REF!)+
SUMIF(#REF!, 'KEUANGAN INTERNAL AKRE 2025'!B17,#REF!)+
SUMIF(#REF!, 'KEUANGAN INTERNAL AKRE 2025'!B17,#REF!)+
SUMIF(#REF!, 'KEUANGAN INTERNAL AKRE 2025'!B17,#REF!)+
SUMIF(#REF!, 'KEUANGAN INTERNAL AKRE 2025'!B17,#REF!)+
SUMIF(#REF!, 'KEUANGAN INTERNAL AKRE 2025'!B17,#REF!)</f>
        <v>#REF!</v>
      </c>
      <c r="N17" s="82" t="e">
        <f>SUMIF(#REF!, 'KEUANGAN INTERNAL AKRE 2025'!B17,#REF!)+
SUMIF(#REF!, 'KEUANGAN INTERNAL AKRE 2025'!B17,#REF!)+
SUMIF(#REF!, 'KEUANGAN INTERNAL AKRE 2025'!B17,#REF!)+
SUMIF(#REF!, 'KEUANGAN INTERNAL AKRE 2025'!B17,#REF!)+
SUMIF(#REF!,'KEUANGAN INTERNAL AKRE 2025'!B17,#REF!)+
SUMIF(#REF!,'KEUANGAN INTERNAL AKRE 2025'!B17,#REF!)+
SUMIF(#REF!,'KEUANGAN INTERNAL AKRE 2025'!B17,#REF!)</f>
        <v>#REF!</v>
      </c>
      <c r="O17" s="80" t="e">
        <f t="shared" si="0"/>
        <v>#REF!</v>
      </c>
      <c r="Q17" s="814"/>
      <c r="R17" s="64">
        <v>2</v>
      </c>
      <c r="S17" s="65" t="s">
        <v>34</v>
      </c>
      <c r="T17" s="82" t="e">
        <f>SUMIF(#REF!,VLOOKUP(S17,#REF!,1,FALSE),#REF!)+SUMIF(#REF!,VLOOKUP(S17,#REF!,1,FALSE),#REF!)+SUMIF(#REF!,VLOOKUP(S17,#REF!,1,FALSE),#REF!)+SUMIF(#REF!,VLOOKUP(S17,#REF!,1,FALSE),#REF!)+SUMIF(#REF!,VLOOKUP(S17,#REF!,1,FALSE),#REF!)</f>
        <v>#REF!</v>
      </c>
      <c r="U17" s="82" t="e">
        <f>SUMIF(#REF!,VLOOKUP(S17,#REF!,1,FALSE),#REF!)+SUMIF(#REF!,VLOOKUP(S17,#REF!,1,FALSE),#REF!)+SUMIF(#REF!,VLOOKUP(S17,#REF!,1,FALSE),#REF!)+SUMIF(#REF!,VLOOKUP('KEUANGAN INTERNAL AKRE 2025'!S17,#REF!,1,FALSE),#REF!)+SUMIF(#REF!,VLOOKUP(S17,#REF!,1,FALSE),#REF!)</f>
        <v>#REF!</v>
      </c>
      <c r="V17" s="82" t="e">
        <f>SUMIF(#REF!,VLOOKUP(S17,#REF!,1,FALSE),#REF!)+SUMIF(#REF!,VLOOKUP(S17,#REF!,1,FALSE),#REF!)+SUMIF(#REF!,VLOOKUP(S17,#REF!,1,FALSE),#REF!)+SUMIF(#REF!,VLOOKUP(S17,#REF!,1,FALSE),#REF!)+SUMIF(#REF!,VLOOKUP(S17,#REF!,1,FALSE),#REF!)</f>
        <v>#REF!</v>
      </c>
      <c r="W17" s="82" t="e">
        <f>SUMIF(#REF!,VLOOKUP(S17,#REF!,1,FALSE),#REF!)+SUMIF(#REF!,VLOOKUP(S17,#REF!,1,FALSE),#REF!)+SUMIF(#REF!,VLOOKUP(S17,#REF!,1,FALSE),#REF!)+SUMIF(#REF!,VLOOKUP('KEUANGAN INTERNAL AKRE 2025'!S17,#REF!,1,FALSE),#REF!)+SUMIF(#REF!,VLOOKUP(S17,#REF!,1,FALSE),#REF!)</f>
        <v>#REF!</v>
      </c>
      <c r="X17" s="82" t="e">
        <f>SUMIF(#REF!,VLOOKUP(S17,#REF!,1,FALSE),#REF!)+SUMIF(#REF!,VLOOKUP(S17,#REF!,1,FALSE),#REF!)+SUMIF(#REF!,VLOOKUP(S17,#REF!,1,FALSE),#REF!)+SUMIF(#REF!,VLOOKUP(S17,#REF!,1,FALSE),#REF!)+SUMIF(#REF!,VLOOKUP(S17,#REF!,1,FALSE),#REF!)</f>
        <v>#REF!</v>
      </c>
      <c r="Y17" s="82" t="e">
        <f>SUMIF(#REF!,VLOOKUP(S17,#REF!,1,FALSE),#REF!)+SUMIF(#REF!,VLOOKUP(S17,#REF!,1,FALSE),#REF!)+SUMIF(#REF!,VLOOKUP(B15,#REF!,1,FALSE),#REF!)+SUMIF(#REF!,VLOOKUP('KEUANGAN INTERNAL AKRE 2025'!S17,#REF!,1,FALSE),#REF!)+SUMIF(#REF!,VLOOKUP(S17,#REF!,1,FALSE),#REF!)</f>
        <v>#REF!</v>
      </c>
      <c r="AA17" s="75">
        <v>10</v>
      </c>
      <c r="AB17" s="83" t="s">
        <v>3281</v>
      </c>
      <c r="AC17" s="83" t="s">
        <v>160</v>
      </c>
      <c r="AD17" s="82" t="e">
        <f>SUM(E33:E40)</f>
        <v>#REF!</v>
      </c>
      <c r="AE17" s="82" t="e">
        <f>SUM(G33:G40)</f>
        <v>#REF!</v>
      </c>
      <c r="AF17" s="82" t="e">
        <f>SUM(I33:I40)</f>
        <v>#REF!</v>
      </c>
      <c r="AG17" s="82" t="e">
        <f>SUM(AD17:AF17)</f>
        <v>#REF!</v>
      </c>
      <c r="AH17" s="82" t="e">
        <f>SUM(F33:F40)</f>
        <v>#REF!</v>
      </c>
      <c r="AI17" s="82" t="e">
        <f>SUM(H33:H40)</f>
        <v>#REF!</v>
      </c>
      <c r="AJ17" s="82" t="e">
        <f>SUM(J33:J40)</f>
        <v>#REF!</v>
      </c>
      <c r="AK17" s="82" t="e">
        <f>SUM(AH17:AJ17)</f>
        <v>#REF!</v>
      </c>
    </row>
    <row r="18" spans="1:37" ht="11.1" customHeight="1">
      <c r="A18" s="742" t="s">
        <v>155</v>
      </c>
      <c r="B18" s="743" t="s">
        <v>85</v>
      </c>
      <c r="C18" s="11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D18" s="82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E18" s="81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F18" s="82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G18" s="82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H18" s="82" t="e">
        <f>SUMIF(#REF!, 'KEUANGAN INTERNAL AKRE 2025'!B18,#REF!)+
SUMIF(#REF!, 'KEUANGAN INTERNAL AKRE 2025'!B18,#REF!)+
SUMIF(#REF!, 'KEUANGAN INTERNAL AKRE 2025'!B18,#REF!)+
SUMIF(#REF!, 'KEUANGAN INTERNAL AKRE 2025'!B18,#REF!)</f>
        <v>#REF!</v>
      </c>
      <c r="I18" s="82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J18" s="82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</f>
        <v>#REF!</v>
      </c>
      <c r="K18" s="82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L18" s="82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2025'!B18,#REF!)+
SUMIF(#REF!,'KEUANGAN INTERNAL AKRE 2025'!B18,#REF!)</f>
        <v>#REF!</v>
      </c>
      <c r="M18" s="82" t="e">
        <f>SUMIF(#REF!, 'KEUANGAN INTERNAL AKRE 2025'!B18,#REF!)+
SUMIF(#REF!, 'KEUANGAN INTERNAL AKRE 2025'!B18,#REF!)+
SUMIF(#REF!, 'KEUANGAN INTERNAL AKRE 2025'!B18,#REF!)+
SUMIF(#REF!, 'KEUANGAN INTERNAL AKRE 2025'!B18,#REF!)+
SUMIF(#REF!, 'KEUANGAN INTERNAL AKRE 2025'!B18,#REF!)+
SUMIF(#REF!, 'KEUANGAN INTERNAL AKRE 2025'!B18,#REF!)</f>
        <v>#REF!</v>
      </c>
      <c r="N18" s="82" t="e">
        <f>SUMIF(#REF!, 'KEUANGAN INTERNAL AKRE 2025'!B18,#REF!)+
SUMIF(#REF!, 'KEUANGAN INTERNAL AKRE 2025'!B18,#REF!)+
SUMIF(#REF!, 'KEUANGAN INTERNAL AKRE 2025'!B18,#REF!)+
SUMIF(#REF!, 'KEUANGAN INTERNAL AKRE 2025'!B18,#REF!)+
SUMIF(#REF!,'KEUANGAN INTERNAL AKRE 2025'!B18,#REF!)+
SUMIF(#REF!,'KEUANGAN INTERNAL AKRE 2025'!B18,#REF!)+
SUMIF(#REF!,'KEUANGAN INTERNAL AKRE 2025'!B18,#REF!)</f>
        <v>#REF!</v>
      </c>
      <c r="O18" s="80" t="e">
        <f t="shared" si="0"/>
        <v>#REF!</v>
      </c>
      <c r="Q18" s="814"/>
      <c r="R18" s="64">
        <v>3</v>
      </c>
      <c r="S18" s="65" t="s">
        <v>71</v>
      </c>
      <c r="T18" s="82" t="e">
        <f>SUMIF(#REF!,VLOOKUP(S18,#REF!,1,FALSE),#REF!)+SUMIF(#REF!,VLOOKUP(S18,#REF!,1,FALSE),#REF!)+SUMIF(#REF!,VLOOKUP(S18,#REF!,1,FALSE),#REF!)+SUMIF(#REF!,VLOOKUP(S18,#REF!,1,FALSE),#REF!)+SUMIF(#REF!,VLOOKUP(S18,#REF!,1,FALSE),#REF!)</f>
        <v>#REF!</v>
      </c>
      <c r="U18" s="82" t="e">
        <f>SUMIF(#REF!,VLOOKUP(S18,#REF!,1,FALSE),#REF!)+SUMIF(#REF!,VLOOKUP(S18,#REF!,1,FALSE),#REF!)+SUMIF(#REF!,VLOOKUP(S18,#REF!,1,FALSE),#REF!)+SUMIF(#REF!,VLOOKUP('KEUANGAN INTERNAL AKRE 2025'!S18,#REF!,1,FALSE),#REF!)+SUMIF(#REF!,VLOOKUP(S18,#REF!,1,FALSE),#REF!)</f>
        <v>#REF!</v>
      </c>
      <c r="V18" s="82" t="e">
        <f>SUMIF(#REF!,VLOOKUP(S18,#REF!,1,FALSE),#REF!)+SUMIF(#REF!,VLOOKUP(S18,#REF!,1,FALSE),#REF!)+SUMIF(#REF!,VLOOKUP(S18,#REF!,1,FALSE),#REF!)+SUMIF(#REF!,VLOOKUP(S18,#REF!,1,FALSE),#REF!)+SUMIF(#REF!,VLOOKUP(S18,#REF!,1,FALSE),#REF!)</f>
        <v>#REF!</v>
      </c>
      <c r="W18" s="82" t="e">
        <f>SUMIF(#REF!,VLOOKUP(S18,#REF!,1,FALSE),#REF!)+SUMIF(#REF!,VLOOKUP(S18,#REF!,1,FALSE),#REF!)+SUMIF(#REF!,VLOOKUP(S18,#REF!,1,FALSE),#REF!)+SUMIF(#REF!,VLOOKUP('KEUANGAN INTERNAL AKRE 2025'!S18,#REF!,1,FALSE),#REF!)+SUMIF(#REF!,VLOOKUP(S18,#REF!,1,FALSE),#REF!)</f>
        <v>#REF!</v>
      </c>
      <c r="X18" s="82" t="e">
        <f>SUMIF(#REF!,VLOOKUP(S18,#REF!,1,FALSE),#REF!)+SUMIF(#REF!,VLOOKUP(S18,#REF!,1,FALSE),#REF!)+SUMIF(#REF!,VLOOKUP(S18,#REF!,1,FALSE),#REF!)+SUMIF(#REF!,VLOOKUP(S18,#REF!,1,FALSE),#REF!)+SUMIF(#REF!,VLOOKUP(S18,#REF!,1,FALSE),#REF!)</f>
        <v>#REF!</v>
      </c>
      <c r="Y18" s="82" t="e">
        <f>SUMIF(#REF!,VLOOKUP(S18,#REF!,1,FALSE),#REF!)+SUMIF(#REF!,VLOOKUP(S18,#REF!,1,FALSE),#REF!)+SUMIF(#REF!,VLOOKUP(B16,#REF!,1,FALSE),#REF!)+SUMIF(#REF!,VLOOKUP('KEUANGAN INTERNAL AKRE 2025'!S18,#REF!,1,FALSE),#REF!)+SUMIF(#REF!,VLOOKUP(S18,#REF!,1,FALSE),#REF!)</f>
        <v>#REF!</v>
      </c>
      <c r="AA18" s="75">
        <v>11</v>
      </c>
      <c r="AB18" s="83" t="s">
        <v>3281</v>
      </c>
      <c r="AC18" s="83" t="s">
        <v>172</v>
      </c>
      <c r="AD18" s="82" t="e">
        <f>SUM(E45:E49)</f>
        <v>#REF!</v>
      </c>
      <c r="AE18" s="82" t="e">
        <f>SUM(G45:G49)</f>
        <v>#REF!</v>
      </c>
      <c r="AF18" s="82" t="e">
        <f>SUM(I45:I49)</f>
        <v>#REF!</v>
      </c>
      <c r="AG18" s="82" t="e">
        <f>SUM(AD18:AF18)</f>
        <v>#REF!</v>
      </c>
      <c r="AH18" s="82" t="e">
        <f>SUM(F45:F49)</f>
        <v>#REF!</v>
      </c>
      <c r="AI18" s="82" t="e">
        <f>SUM(H45:H49)</f>
        <v>#REF!</v>
      </c>
      <c r="AJ18" s="82" t="e">
        <f>SUM(J45:J49)</f>
        <v>#REF!</v>
      </c>
      <c r="AK18" s="82" t="e">
        <f>SUM(AH18:AJ18)</f>
        <v>#REF!</v>
      </c>
    </row>
    <row r="19" spans="1:37" ht="11.1" customHeight="1">
      <c r="A19" s="742" t="s">
        <v>155</v>
      </c>
      <c r="B19" s="743" t="s">
        <v>19</v>
      </c>
      <c r="C19" s="11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D19" s="82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E19" s="81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F19" s="82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G19" s="82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H19" s="82" t="e">
        <f>SUMIF(#REF!, 'KEUANGAN INTERNAL AKRE 2025'!B19,#REF!)+
SUMIF(#REF!, 'KEUANGAN INTERNAL AKRE 2025'!B19,#REF!)+
SUMIF(#REF!, 'KEUANGAN INTERNAL AKRE 2025'!B19,#REF!)+
SUMIF(#REF!, 'KEUANGAN INTERNAL AKRE 2025'!B19,#REF!)</f>
        <v>#REF!</v>
      </c>
      <c r="I19" s="82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J19" s="82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</f>
        <v>#REF!</v>
      </c>
      <c r="K19" s="82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L19" s="82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2025'!B19,#REF!)+
SUMIF(#REF!,'KEUANGAN INTERNAL AKRE 2025'!B19,#REF!)</f>
        <v>#REF!</v>
      </c>
      <c r="M19" s="82" t="e">
        <f>SUMIF(#REF!, 'KEUANGAN INTERNAL AKRE 2025'!B19,#REF!)+
SUMIF(#REF!, 'KEUANGAN INTERNAL AKRE 2025'!B19,#REF!)+
SUMIF(#REF!, 'KEUANGAN INTERNAL AKRE 2025'!B19,#REF!)+
SUMIF(#REF!, 'KEUANGAN INTERNAL AKRE 2025'!B19,#REF!)+
SUMIF(#REF!, 'KEUANGAN INTERNAL AKRE 2025'!B19,#REF!)+
SUMIF(#REF!, 'KEUANGAN INTERNAL AKRE 2025'!B19,#REF!)</f>
        <v>#REF!</v>
      </c>
      <c r="N19" s="82" t="e">
        <f>SUMIF(#REF!, 'KEUANGAN INTERNAL AKRE 2025'!B19,#REF!)+
SUMIF(#REF!, 'KEUANGAN INTERNAL AKRE 2025'!B19,#REF!)+
SUMIF(#REF!, 'KEUANGAN INTERNAL AKRE 2025'!B19,#REF!)+
SUMIF(#REF!, 'KEUANGAN INTERNAL AKRE 2025'!B19,#REF!)+
SUMIF(#REF!,'KEUANGAN INTERNAL AKRE 2025'!B19,#REF!)+
SUMIF(#REF!,'KEUANGAN INTERNAL AKRE 2025'!B19,#REF!)+
SUMIF(#REF!,'KEUANGAN INTERNAL AKRE 2025'!B19,#REF!)</f>
        <v>#REF!</v>
      </c>
      <c r="O19" s="80" t="e">
        <f t="shared" si="0"/>
        <v>#REF!</v>
      </c>
      <c r="Q19" s="814"/>
      <c r="R19" s="64">
        <v>4</v>
      </c>
      <c r="S19" s="65" t="s">
        <v>46</v>
      </c>
      <c r="T19" s="82" t="e">
        <f>SUMIF(#REF!,VLOOKUP(S19,#REF!,1,FALSE),#REF!)+SUMIF(#REF!,VLOOKUP(S19,#REF!,1,FALSE),#REF!)+SUMIF(#REF!,VLOOKUP(S19,#REF!,1,FALSE),#REF!)+SUMIF(#REF!,VLOOKUP(S19,#REF!,1,FALSE),#REF!)+SUMIF(#REF!,VLOOKUP(S19,#REF!,1,FALSE),#REF!)</f>
        <v>#REF!</v>
      </c>
      <c r="U19" s="82" t="e">
        <f>SUMIF(#REF!,VLOOKUP(S19,#REF!,1,FALSE),#REF!)+SUMIF(#REF!,VLOOKUP(S19,#REF!,1,FALSE),#REF!)+SUMIF(#REF!,VLOOKUP(S19,#REF!,1,FALSE),#REF!)+SUMIF(#REF!,VLOOKUP('KEUANGAN INTERNAL AKRE 2025'!S19,#REF!,1,FALSE),#REF!)+SUMIF(#REF!,VLOOKUP(S19,#REF!,1,FALSE),#REF!)</f>
        <v>#REF!</v>
      </c>
      <c r="V19" s="82" t="e">
        <f>SUMIF(#REF!,VLOOKUP(S19,#REF!,1,FALSE),#REF!)+SUMIF(#REF!,VLOOKUP(S19,#REF!,1,FALSE),#REF!)+SUMIF(#REF!,VLOOKUP(S19,#REF!,1,FALSE),#REF!)+SUMIF(#REF!,VLOOKUP(S19,#REF!,1,FALSE),#REF!)+SUMIF(#REF!,VLOOKUP(S19,#REF!,1,FALSE),#REF!)</f>
        <v>#REF!</v>
      </c>
      <c r="W19" s="82" t="e">
        <f>SUMIF(#REF!,VLOOKUP(S19,#REF!,1,FALSE),#REF!)+SUMIF(#REF!,VLOOKUP(S19,#REF!,1,FALSE),#REF!)+SUMIF(#REF!,VLOOKUP(S19,#REF!,1,FALSE),#REF!)+SUMIF(#REF!,VLOOKUP('KEUANGAN INTERNAL AKRE 2025'!S19,#REF!,1,FALSE),#REF!)+SUMIF(#REF!,VLOOKUP(S19,#REF!,1,FALSE),#REF!)</f>
        <v>#REF!</v>
      </c>
      <c r="X19" s="82" t="e">
        <f>SUMIF(#REF!,VLOOKUP(S19,#REF!,1,FALSE),#REF!)+SUMIF(#REF!,VLOOKUP(S19,#REF!,1,FALSE),#REF!)+SUMIF(#REF!,VLOOKUP(S19,#REF!,1,FALSE),#REF!)+SUMIF(#REF!,VLOOKUP(S19,#REF!,1,FALSE),#REF!)+SUMIF(#REF!,VLOOKUP(S19,#REF!,1,FALSE),#REF!)</f>
        <v>#REF!</v>
      </c>
      <c r="Y19" s="82" t="e">
        <f>SUMIF(#REF!,VLOOKUP(S19,#REF!,1,FALSE),#REF!)+SUMIF(#REF!,VLOOKUP(S19,#REF!,1,FALSE),#REF!)+SUMIF(#REF!,VLOOKUP(B17,#REF!,1,FALSE),#REF!)+SUMIF(#REF!,VLOOKUP('KEUANGAN INTERNAL AKRE 2025'!S19,#REF!,1,FALSE),#REF!)+SUMIF(#REF!,VLOOKUP(S19,#REF!,1,FALSE),#REF!)</f>
        <v>#REF!</v>
      </c>
    </row>
    <row r="20" spans="1:37" ht="11.1" customHeight="1">
      <c r="A20" s="742" t="s">
        <v>155</v>
      </c>
      <c r="B20" s="743" t="s">
        <v>191</v>
      </c>
      <c r="C20" s="11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D20" s="82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E20" s="81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F20" s="82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G20" s="82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H20" s="82" t="e">
        <f>SUMIF(#REF!, 'KEUANGAN INTERNAL AKRE 2025'!B20,#REF!)+
SUMIF(#REF!, 'KEUANGAN INTERNAL AKRE 2025'!B20,#REF!)+
SUMIF(#REF!, 'KEUANGAN INTERNAL AKRE 2025'!B20,#REF!)+
SUMIF(#REF!, 'KEUANGAN INTERNAL AKRE 2025'!B20,#REF!)</f>
        <v>#REF!</v>
      </c>
      <c r="I20" s="82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J20" s="82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</f>
        <v>#REF!</v>
      </c>
      <c r="K20" s="82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L20" s="82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2025'!B20,#REF!)+
SUMIF(#REF!,'KEUANGAN INTERNAL AKRE 2025'!B20,#REF!)</f>
        <v>#REF!</v>
      </c>
      <c r="M20" s="82" t="e">
        <f>SUMIF(#REF!, 'KEUANGAN INTERNAL AKRE 2025'!B20,#REF!)+
SUMIF(#REF!, 'KEUANGAN INTERNAL AKRE 2025'!B20,#REF!)+
SUMIF(#REF!, 'KEUANGAN INTERNAL AKRE 2025'!B20,#REF!)+
SUMIF(#REF!, 'KEUANGAN INTERNAL AKRE 2025'!B20,#REF!)+
SUMIF(#REF!, 'KEUANGAN INTERNAL AKRE 2025'!B20,#REF!)+
SUMIF(#REF!, 'KEUANGAN INTERNAL AKRE 2025'!B20,#REF!)</f>
        <v>#REF!</v>
      </c>
      <c r="N20" s="82" t="e">
        <f>SUMIF(#REF!, 'KEUANGAN INTERNAL AKRE 2025'!B20,#REF!)+
SUMIF(#REF!, 'KEUANGAN INTERNAL AKRE 2025'!B20,#REF!)+
SUMIF(#REF!, 'KEUANGAN INTERNAL AKRE 2025'!B20,#REF!)+
SUMIF(#REF!, 'KEUANGAN INTERNAL AKRE 2025'!B20,#REF!)+
SUMIF(#REF!,'KEUANGAN INTERNAL AKRE 2025'!B20,#REF!)+
SUMIF(#REF!,'KEUANGAN INTERNAL AKRE 2025'!B20,#REF!)+
SUMIF(#REF!,'KEUANGAN INTERNAL AKRE 2025'!B20,#REF!)</f>
        <v>#REF!</v>
      </c>
      <c r="O20" s="80" t="e">
        <f t="shared" si="0"/>
        <v>#REF!</v>
      </c>
      <c r="Q20" s="814"/>
      <c r="R20" s="64">
        <v>5</v>
      </c>
      <c r="S20" s="65" t="s">
        <v>53</v>
      </c>
      <c r="T20" s="82" t="e">
        <f>SUMIF(#REF!,VLOOKUP(S20,#REF!,1,FALSE),#REF!)+SUMIF(#REF!,VLOOKUP(S20,#REF!,1,FALSE),#REF!)+SUMIF(#REF!,VLOOKUP(S20,#REF!,1,FALSE),#REF!)+SUMIF(#REF!,VLOOKUP(S20,#REF!,1,FALSE),#REF!)+SUMIF(#REF!,VLOOKUP(S20,#REF!,1,FALSE),#REF!)</f>
        <v>#REF!</v>
      </c>
      <c r="U20" s="82" t="e">
        <f>SUMIF(#REF!,VLOOKUP(S20,#REF!,1,FALSE),#REF!)+SUMIF(#REF!,VLOOKUP(S20,#REF!,1,FALSE),#REF!)+SUMIF(#REF!,VLOOKUP(S20,#REF!,1,FALSE),#REF!)+SUMIF(#REF!,VLOOKUP('KEUANGAN INTERNAL AKRE 2025'!S20,#REF!,1,FALSE),#REF!)+SUMIF(#REF!,VLOOKUP(S20,#REF!,1,FALSE),#REF!)</f>
        <v>#REF!</v>
      </c>
      <c r="V20" s="82" t="e">
        <f>SUMIF(#REF!,VLOOKUP(S20,#REF!,1,FALSE),#REF!)+SUMIF(#REF!,VLOOKUP(S20,#REF!,1,FALSE),#REF!)+SUMIF(#REF!,VLOOKUP(S20,#REF!,1,FALSE),#REF!)+SUMIF(#REF!,VLOOKUP(S20,#REF!,1,FALSE),#REF!)+SUMIF(#REF!,VLOOKUP(S20,#REF!,1,FALSE),#REF!)</f>
        <v>#REF!</v>
      </c>
      <c r="W20" s="82" t="e">
        <f>SUMIF(#REF!,VLOOKUP(S20,#REF!,1,FALSE),#REF!)+SUMIF(#REF!,VLOOKUP(S20,#REF!,1,FALSE),#REF!)+SUMIF(#REF!,VLOOKUP(S20,#REF!,1,FALSE),#REF!)+SUMIF(#REF!,VLOOKUP('KEUANGAN INTERNAL AKRE 2025'!S20,#REF!,1,FALSE),#REF!)+SUMIF(#REF!,VLOOKUP(S20,#REF!,1,FALSE),#REF!)</f>
        <v>#REF!</v>
      </c>
      <c r="X20" s="82" t="e">
        <f>SUMIF(#REF!,VLOOKUP(S20,#REF!,1,FALSE),#REF!)+SUMIF(#REF!,VLOOKUP(S20,#REF!,1,FALSE),#REF!)+SUMIF(#REF!,VLOOKUP(S20,#REF!,1,FALSE),#REF!)+SUMIF(#REF!,VLOOKUP(S20,#REF!,1,FALSE),#REF!)+SUMIF(#REF!,VLOOKUP(S20,#REF!,1,FALSE),#REF!)</f>
        <v>#REF!</v>
      </c>
      <c r="Y20" s="82" t="e">
        <f>SUMIF(#REF!,VLOOKUP(S20,#REF!,1,FALSE),#REF!)+SUMIF(#REF!,VLOOKUP(S20,#REF!,1,FALSE),#REF!)+SUMIF(#REF!,VLOOKUP(B18,#REF!,1,FALSE),#REF!)+SUMIF(#REF!,VLOOKUP('KEUANGAN INTERNAL AKRE 2025'!S20,#REF!,1,FALSE),#REF!)+SUMIF(#REF!,VLOOKUP(S20,#REF!,1,FALSE),#REF!)</f>
        <v>#REF!</v>
      </c>
    </row>
    <row r="21" spans="1:37" ht="11.1" customHeight="1">
      <c r="A21" s="742" t="s">
        <v>155</v>
      </c>
      <c r="B21" s="743" t="s">
        <v>52</v>
      </c>
      <c r="C21" s="11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D21" s="82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E21" s="81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F21" s="82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G21" s="82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H21" s="82" t="e">
        <f>SUMIF(#REF!, 'KEUANGAN INTERNAL AKRE 2025'!B21,#REF!)+
SUMIF(#REF!, 'KEUANGAN INTERNAL AKRE 2025'!B21,#REF!)+
SUMIF(#REF!, 'KEUANGAN INTERNAL AKRE 2025'!B21,#REF!)+
SUMIF(#REF!, 'KEUANGAN INTERNAL AKRE 2025'!B21,#REF!)</f>
        <v>#REF!</v>
      </c>
      <c r="I21" s="82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J21" s="82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</f>
        <v>#REF!</v>
      </c>
      <c r="K21" s="82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L21" s="82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2025'!B21,#REF!)+
SUMIF(#REF!,'KEUANGAN INTERNAL AKRE 2025'!B21,#REF!)</f>
        <v>#REF!</v>
      </c>
      <c r="M21" s="82" t="e">
        <f>SUMIF(#REF!, 'KEUANGAN INTERNAL AKRE 2025'!B21,#REF!)+
SUMIF(#REF!, 'KEUANGAN INTERNAL AKRE 2025'!B21,#REF!)+
SUMIF(#REF!, 'KEUANGAN INTERNAL AKRE 2025'!B21,#REF!)+
SUMIF(#REF!, 'KEUANGAN INTERNAL AKRE 2025'!B21,#REF!)+
SUMIF(#REF!, 'KEUANGAN INTERNAL AKRE 2025'!B21,#REF!)+
SUMIF(#REF!, 'KEUANGAN INTERNAL AKRE 2025'!B21,#REF!)</f>
        <v>#REF!</v>
      </c>
      <c r="N21" s="82" t="e">
        <f>SUMIF(#REF!, 'KEUANGAN INTERNAL AKRE 2025'!B21,#REF!)+
SUMIF(#REF!, 'KEUANGAN INTERNAL AKRE 2025'!B21,#REF!)+
SUMIF(#REF!, 'KEUANGAN INTERNAL AKRE 2025'!B21,#REF!)+
SUMIF(#REF!, 'KEUANGAN INTERNAL AKRE 2025'!B21,#REF!)+
SUMIF(#REF!,'KEUANGAN INTERNAL AKRE 2025'!B21,#REF!)+
SUMIF(#REF!,'KEUANGAN INTERNAL AKRE 2025'!B21,#REF!)+
SUMIF(#REF!,'KEUANGAN INTERNAL AKRE 2025'!B21,#REF!)</f>
        <v>#REF!</v>
      </c>
      <c r="O21" s="80" t="e">
        <f t="shared" si="0"/>
        <v>#REF!</v>
      </c>
      <c r="Q21" s="814"/>
      <c r="R21" s="64">
        <v>6</v>
      </c>
      <c r="S21" s="65" t="s">
        <v>187</v>
      </c>
      <c r="T21" s="82" t="e">
        <f>SUMIF(#REF!,VLOOKUP(S21,#REF!,1,FALSE),#REF!)+SUMIF(#REF!,VLOOKUP(S21,#REF!,1,FALSE),#REF!)+SUMIF(#REF!,VLOOKUP(S21,#REF!,1,FALSE),#REF!)+SUMIF(#REF!,VLOOKUP(S21,#REF!,1,FALSE),#REF!)+SUMIF(#REF!,VLOOKUP(S21,#REF!,1,FALSE),#REF!)</f>
        <v>#REF!</v>
      </c>
      <c r="U21" s="82" t="e">
        <f>SUMIF(#REF!,VLOOKUP(S21,#REF!,1,FALSE),#REF!)+SUMIF(#REF!,VLOOKUP(S21,#REF!,1,FALSE),#REF!)+SUMIF(#REF!,VLOOKUP(S21,#REF!,1,FALSE),#REF!)+SUMIF(#REF!,VLOOKUP('KEUANGAN INTERNAL AKRE 2025'!S21,#REF!,1,FALSE),#REF!)+SUMIF(#REF!,VLOOKUP(S21,#REF!,1,FALSE),#REF!)</f>
        <v>#REF!</v>
      </c>
      <c r="V21" s="82" t="e">
        <f>SUMIF(#REF!,VLOOKUP(S21,#REF!,1,FALSE),#REF!)+SUMIF(#REF!,VLOOKUP(S21,#REF!,1,FALSE),#REF!)+SUMIF(#REF!,VLOOKUP(S21,#REF!,1,FALSE),#REF!)+SUMIF(#REF!,VLOOKUP(S21,#REF!,1,FALSE),#REF!)+SUMIF(#REF!,VLOOKUP(S21,#REF!,1,FALSE),#REF!)</f>
        <v>#REF!</v>
      </c>
      <c r="W21" s="82" t="e">
        <f>SUMIF(#REF!,VLOOKUP(S21,#REF!,1,FALSE),#REF!)+SUMIF(#REF!,VLOOKUP(S21,#REF!,1,FALSE),#REF!)+SUMIF(#REF!,VLOOKUP(S21,#REF!,1,FALSE),#REF!)+SUMIF(#REF!,VLOOKUP('KEUANGAN INTERNAL AKRE 2025'!S21,#REF!,1,FALSE),#REF!)+SUMIF(#REF!,VLOOKUP(S21,#REF!,1,FALSE),#REF!)</f>
        <v>#REF!</v>
      </c>
      <c r="X21" s="82" t="e">
        <f>SUMIF(#REF!,VLOOKUP(S21,#REF!,1,FALSE),#REF!)+SUMIF(#REF!,VLOOKUP(S21,#REF!,1,FALSE),#REF!)+SUMIF(#REF!,VLOOKUP(S21,#REF!,1,FALSE),#REF!)+SUMIF(#REF!,VLOOKUP(S21,#REF!,1,FALSE),#REF!)+SUMIF(#REF!,VLOOKUP(S21,#REF!,1,FALSE),#REF!)</f>
        <v>#REF!</v>
      </c>
      <c r="Y21" s="82" t="e">
        <f>SUMIF(#REF!,VLOOKUP(S21,#REF!,1,FALSE),#REF!)+SUMIF(#REF!,VLOOKUP(S21,#REF!,1,FALSE),#REF!)+SUMIF(#REF!,VLOOKUP(B19,#REF!,1,FALSE),#REF!)+SUMIF(#REF!,VLOOKUP('KEUANGAN INTERNAL AKRE 2025'!S21,#REF!,1,FALSE),#REF!)+SUMIF(#REF!,VLOOKUP(S21,#REF!,1,FALSE),#REF!)</f>
        <v>#REF!</v>
      </c>
      <c r="AC21" s="62" t="s">
        <v>3286</v>
      </c>
      <c r="AD21" s="80" t="e">
        <f>SUM(AD5:AD10)</f>
        <v>#REF!</v>
      </c>
      <c r="AE21" s="80" t="e">
        <f>SUM(AE5:AE10)</f>
        <v>#REF!</v>
      </c>
      <c r="AH21" s="80" t="e">
        <f>SUM(AH5:AH10)</f>
        <v>#REF!</v>
      </c>
      <c r="AI21" s="80" t="e">
        <f>SUM(AI5:AI10)</f>
        <v>#REF!</v>
      </c>
    </row>
    <row r="22" spans="1:37" ht="11.1" customHeight="1">
      <c r="A22" s="742" t="s">
        <v>155</v>
      </c>
      <c r="B22" s="743" t="s">
        <v>140</v>
      </c>
      <c r="C22" s="11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D22" s="82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E22" s="81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F22" s="82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G22" s="82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H22" s="82" t="e">
        <f>SUMIF(#REF!, 'KEUANGAN INTERNAL AKRE 2025'!B22,#REF!)+
SUMIF(#REF!, 'KEUANGAN INTERNAL AKRE 2025'!B22,#REF!)+
SUMIF(#REF!, 'KEUANGAN INTERNAL AKRE 2025'!B22,#REF!)+
SUMIF(#REF!, 'KEUANGAN INTERNAL AKRE 2025'!B22,#REF!)</f>
        <v>#REF!</v>
      </c>
      <c r="I22" s="82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J22" s="82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</f>
        <v>#REF!</v>
      </c>
      <c r="K22" s="82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L22" s="82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2025'!B22,#REF!)+
SUMIF(#REF!,'KEUANGAN INTERNAL AKRE 2025'!B22,#REF!)</f>
        <v>#REF!</v>
      </c>
      <c r="M22" s="82" t="e">
        <f>SUMIF(#REF!, 'KEUANGAN INTERNAL AKRE 2025'!B22,#REF!)+
SUMIF(#REF!, 'KEUANGAN INTERNAL AKRE 2025'!B22,#REF!)+
SUMIF(#REF!, 'KEUANGAN INTERNAL AKRE 2025'!B22,#REF!)+
SUMIF(#REF!, 'KEUANGAN INTERNAL AKRE 2025'!B22,#REF!)+
SUMIF(#REF!, 'KEUANGAN INTERNAL AKRE 2025'!B22,#REF!)+
SUMIF(#REF!, 'KEUANGAN INTERNAL AKRE 2025'!B22,#REF!)</f>
        <v>#REF!</v>
      </c>
      <c r="N22" s="82" t="e">
        <f>SUMIF(#REF!, 'KEUANGAN INTERNAL AKRE 2025'!B22,#REF!)+
SUMIF(#REF!, 'KEUANGAN INTERNAL AKRE 2025'!B22,#REF!)+
SUMIF(#REF!, 'KEUANGAN INTERNAL AKRE 2025'!B22,#REF!)+
SUMIF(#REF!, 'KEUANGAN INTERNAL AKRE 2025'!B22,#REF!)+
SUMIF(#REF!,'KEUANGAN INTERNAL AKRE 2025'!B22,#REF!)+
SUMIF(#REF!,'KEUANGAN INTERNAL AKRE 2025'!B22,#REF!)+
SUMIF(#REF!,'KEUANGAN INTERNAL AKRE 2025'!B22,#REF!)</f>
        <v>#REF!</v>
      </c>
      <c r="O22" s="80" t="e">
        <f t="shared" si="0"/>
        <v>#REF!</v>
      </c>
      <c r="Q22" s="814"/>
      <c r="R22" s="64">
        <v>7</v>
      </c>
      <c r="S22" s="65" t="s">
        <v>36</v>
      </c>
      <c r="T22" s="82" t="e">
        <f>SUMIF(#REF!,VLOOKUP(S22,#REF!,1,FALSE),#REF!)+SUMIF(#REF!,VLOOKUP(S22,#REF!,1,FALSE),#REF!)+SUMIF(#REF!,VLOOKUP(S22,#REF!,1,FALSE),#REF!)+SUMIF(#REF!,VLOOKUP(S22,#REF!,1,FALSE),#REF!)+SUMIF(#REF!,VLOOKUP(S22,#REF!,1,FALSE),#REF!)</f>
        <v>#REF!</v>
      </c>
      <c r="U22" s="82" t="e">
        <f>SUMIF(#REF!,VLOOKUP(S22,#REF!,1,FALSE),#REF!)+SUMIF(#REF!,VLOOKUP(S22,#REF!,1,FALSE),#REF!)+SUMIF(#REF!,VLOOKUP(S22,#REF!,1,FALSE),#REF!)+SUMIF(#REF!,VLOOKUP('KEUANGAN INTERNAL AKRE 2025'!S22,#REF!,1,FALSE),#REF!)+SUMIF(#REF!,VLOOKUP(S22,#REF!,1,FALSE),#REF!)</f>
        <v>#REF!</v>
      </c>
      <c r="V22" s="82" t="e">
        <f>SUMIF(#REF!,VLOOKUP(S22,#REF!,1,FALSE),#REF!)+SUMIF(#REF!,VLOOKUP(S22,#REF!,1,FALSE),#REF!)+SUMIF(#REF!,VLOOKUP(S22,#REF!,1,FALSE),#REF!)+SUMIF(#REF!,VLOOKUP(S22,#REF!,1,FALSE),#REF!)+SUMIF(#REF!,VLOOKUP(S22,#REF!,1,FALSE),#REF!)</f>
        <v>#REF!</v>
      </c>
      <c r="W22" s="82" t="e">
        <f>SUMIF(#REF!,VLOOKUP(S22,#REF!,1,FALSE),#REF!)+SUMIF(#REF!,VLOOKUP(S22,#REF!,1,FALSE),#REF!)+SUMIF(#REF!,VLOOKUP(S22,#REF!,1,FALSE),#REF!)+SUMIF(#REF!,VLOOKUP('KEUANGAN INTERNAL AKRE 2025'!S22,#REF!,1,FALSE),#REF!)+SUMIF(#REF!,VLOOKUP(S22,#REF!,1,FALSE),#REF!)</f>
        <v>#REF!</v>
      </c>
      <c r="X22" s="82" t="e">
        <f>SUMIF(#REF!,VLOOKUP(S22,#REF!,1,FALSE),#REF!)+SUMIF(#REF!,VLOOKUP(S22,#REF!,1,FALSE),#REF!)+SUMIF(#REF!,VLOOKUP(S22,#REF!,1,FALSE),#REF!)+SUMIF(#REF!,VLOOKUP(S22,#REF!,1,FALSE),#REF!)+SUMIF(#REF!,VLOOKUP(S22,#REF!,1,FALSE),#REF!)</f>
        <v>#REF!</v>
      </c>
      <c r="Y22" s="82" t="e">
        <f>SUMIF(#REF!,VLOOKUP(S22,#REF!,1,FALSE),#REF!)+SUMIF(#REF!,VLOOKUP(S22,#REF!,1,FALSE),#REF!)+SUMIF(#REF!,VLOOKUP(B20,#REF!,1,FALSE),#REF!)+SUMIF(#REF!,VLOOKUP('KEUANGAN INTERNAL AKRE 2025'!S22,#REF!,1,FALSE),#REF!)+SUMIF(#REF!,VLOOKUP(S22,#REF!,1,FALSE),#REF!)</f>
        <v>#REF!</v>
      </c>
      <c r="AC22" s="62" t="s">
        <v>3281</v>
      </c>
      <c r="AD22" s="80" t="e">
        <f>SUM(AD11:AD18)</f>
        <v>#REF!</v>
      </c>
      <c r="AE22" s="80" t="e">
        <f>SUM(AE11:AE18)</f>
        <v>#REF!</v>
      </c>
      <c r="AH22" s="80" t="e">
        <f>SUM(AH11:AH18)</f>
        <v>#REF!</v>
      </c>
      <c r="AI22" s="80" t="e">
        <f>SUM(AI11:AI18)</f>
        <v>#REF!</v>
      </c>
    </row>
    <row r="23" spans="1:37" ht="11.1" customHeight="1">
      <c r="A23" s="742" t="s">
        <v>155</v>
      </c>
      <c r="B23" s="743" t="s">
        <v>14</v>
      </c>
      <c r="C23" s="11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D23" s="82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E23" s="81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F23" s="82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G23" s="82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H23" s="82" t="e">
        <f>SUMIF(#REF!, 'KEUANGAN INTERNAL AKRE 2025'!B23,#REF!)+
SUMIF(#REF!, 'KEUANGAN INTERNAL AKRE 2025'!B23,#REF!)+
SUMIF(#REF!, 'KEUANGAN INTERNAL AKRE 2025'!B23,#REF!)+
SUMIF(#REF!, 'KEUANGAN INTERNAL AKRE 2025'!B23,#REF!)</f>
        <v>#REF!</v>
      </c>
      <c r="I23" s="82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J23" s="82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</f>
        <v>#REF!</v>
      </c>
      <c r="K23" s="82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L23" s="82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2025'!B23,#REF!)+
SUMIF(#REF!,'KEUANGAN INTERNAL AKRE 2025'!B23,#REF!)</f>
        <v>#REF!</v>
      </c>
      <c r="M23" s="82" t="e">
        <f>SUMIF(#REF!, 'KEUANGAN INTERNAL AKRE 2025'!B23,#REF!)+
SUMIF(#REF!, 'KEUANGAN INTERNAL AKRE 2025'!B23,#REF!)+
SUMIF(#REF!, 'KEUANGAN INTERNAL AKRE 2025'!B23,#REF!)+
SUMIF(#REF!, 'KEUANGAN INTERNAL AKRE 2025'!B23,#REF!)+
SUMIF(#REF!, 'KEUANGAN INTERNAL AKRE 2025'!B23,#REF!)+
SUMIF(#REF!, 'KEUANGAN INTERNAL AKRE 2025'!B23,#REF!)</f>
        <v>#REF!</v>
      </c>
      <c r="N23" s="82" t="e">
        <f>SUMIF(#REF!, 'KEUANGAN INTERNAL AKRE 2025'!B23,#REF!)+
SUMIF(#REF!, 'KEUANGAN INTERNAL AKRE 2025'!B23,#REF!)+
SUMIF(#REF!, 'KEUANGAN INTERNAL AKRE 2025'!B23,#REF!)+
SUMIF(#REF!, 'KEUANGAN INTERNAL AKRE 2025'!B23,#REF!)+
SUMIF(#REF!,'KEUANGAN INTERNAL AKRE 2025'!B23,#REF!)+
SUMIF(#REF!,'KEUANGAN INTERNAL AKRE 2025'!B23,#REF!)+
SUMIF(#REF!,'KEUANGAN INTERNAL AKRE 2025'!B23,#REF!)</f>
        <v>#REF!</v>
      </c>
      <c r="O23" s="80" t="e">
        <f t="shared" si="0"/>
        <v>#REF!</v>
      </c>
      <c r="Q23" s="814"/>
      <c r="R23" s="64">
        <v>9</v>
      </c>
      <c r="S23" s="65" t="s">
        <v>20</v>
      </c>
      <c r="T23" s="82" t="e">
        <f>SUMIF(#REF!,VLOOKUP(S23,#REF!,1,FALSE),#REF!)+SUMIF(#REF!,VLOOKUP(S23,#REF!,1,FALSE),#REF!)+SUMIF(#REF!,VLOOKUP(S23,#REF!,1,FALSE),#REF!)+SUMIF(#REF!,VLOOKUP(S23,#REF!,1,FALSE),#REF!)+SUMIF(#REF!,VLOOKUP(S23,#REF!,1,FALSE),#REF!)</f>
        <v>#REF!</v>
      </c>
      <c r="U23" s="82" t="e">
        <f>SUMIF(#REF!,VLOOKUP(S23,#REF!,1,FALSE),#REF!)+SUMIF(#REF!,VLOOKUP(S23,#REF!,1,FALSE),#REF!)+SUMIF(#REF!,VLOOKUP(S23,#REF!,1,FALSE),#REF!)+SUMIF(#REF!,VLOOKUP('KEUANGAN INTERNAL AKRE 2025'!S23,#REF!,1,FALSE),#REF!)+SUMIF(#REF!,VLOOKUP(S23,#REF!,1,FALSE),#REF!)</f>
        <v>#REF!</v>
      </c>
      <c r="V23" s="82" t="e">
        <f>SUMIF(#REF!,VLOOKUP(S23,#REF!,1,FALSE),#REF!)+SUMIF(#REF!,VLOOKUP(S23,#REF!,1,FALSE),#REF!)+SUMIF(#REF!,VLOOKUP(S23,#REF!,1,FALSE),#REF!)+SUMIF(#REF!,VLOOKUP(S23,#REF!,1,FALSE),#REF!)+SUMIF(#REF!,VLOOKUP(S23,#REF!,1,FALSE),#REF!)</f>
        <v>#REF!</v>
      </c>
      <c r="W23" s="82" t="e">
        <f>SUMIF(#REF!,VLOOKUP(S23,#REF!,1,FALSE),#REF!)+SUMIF(#REF!,VLOOKUP(S23,#REF!,1,FALSE),#REF!)+SUMIF(#REF!,VLOOKUP(S23,#REF!,1,FALSE),#REF!)+SUMIF(#REF!,VLOOKUP('KEUANGAN INTERNAL AKRE 2025'!S23,#REF!,1,FALSE),#REF!)+SUMIF(#REF!,VLOOKUP(S23,#REF!,1,FALSE),#REF!)</f>
        <v>#REF!</v>
      </c>
      <c r="X23" s="82" t="e">
        <f>SUMIF(#REF!,VLOOKUP(S23,#REF!,1,FALSE),#REF!)+SUMIF(#REF!,VLOOKUP(S23,#REF!,1,FALSE),#REF!)+SUMIF(#REF!,VLOOKUP(S23,#REF!,1,FALSE),#REF!)+SUMIF(#REF!,VLOOKUP(S23,#REF!,1,FALSE),#REF!)+SUMIF(#REF!,VLOOKUP(S23,#REF!,1,FALSE),#REF!)</f>
        <v>#REF!</v>
      </c>
      <c r="Y23" s="82" t="e">
        <f>SUMIF(#REF!,VLOOKUP(S23,#REF!,1,FALSE),#REF!)+SUMIF(#REF!,VLOOKUP(S23,#REF!,1,FALSE),#REF!)+SUMIF(#REF!,VLOOKUP(B21,#REF!,1,FALSE),#REF!)+SUMIF(#REF!,VLOOKUP('KEUANGAN INTERNAL AKRE 2025'!S23,#REF!,1,FALSE),#REF!)+SUMIF(#REF!,VLOOKUP(S23,#REF!,1,FALSE),#REF!)</f>
        <v>#REF!</v>
      </c>
    </row>
    <row r="24" spans="1:37" ht="11.1" customHeight="1">
      <c r="A24" s="744" t="s">
        <v>154</v>
      </c>
      <c r="B24" s="745" t="s">
        <v>153</v>
      </c>
      <c r="C24" s="11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D24" s="82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E24" s="81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F24" s="82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G24" s="82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H24" s="82" t="e">
        <f>SUMIF(#REF!, 'KEUANGAN INTERNAL AKRE 2025'!B24,#REF!)+
SUMIF(#REF!, 'KEUANGAN INTERNAL AKRE 2025'!B24,#REF!)+
SUMIF(#REF!, 'KEUANGAN INTERNAL AKRE 2025'!B24,#REF!)+
SUMIF(#REF!, 'KEUANGAN INTERNAL AKRE 2025'!B24,#REF!)</f>
        <v>#REF!</v>
      </c>
      <c r="I24" s="82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J24" s="82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</f>
        <v>#REF!</v>
      </c>
      <c r="K24" s="82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L24" s="82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2025'!B24,#REF!)+
SUMIF(#REF!,'KEUANGAN INTERNAL AKRE 2025'!B24,#REF!)</f>
        <v>#REF!</v>
      </c>
      <c r="M24" s="82" t="e">
        <f>SUMIF(#REF!, 'KEUANGAN INTERNAL AKRE 2025'!B24,#REF!)+
SUMIF(#REF!, 'KEUANGAN INTERNAL AKRE 2025'!B24,#REF!)+
SUMIF(#REF!, 'KEUANGAN INTERNAL AKRE 2025'!B24,#REF!)+
SUMIF(#REF!, 'KEUANGAN INTERNAL AKRE 2025'!B24,#REF!)+
SUMIF(#REF!, 'KEUANGAN INTERNAL AKRE 2025'!B24,#REF!)+
SUMIF(#REF!, 'KEUANGAN INTERNAL AKRE 2025'!B24,#REF!)</f>
        <v>#REF!</v>
      </c>
      <c r="N24" s="82" t="e">
        <f>SUMIF(#REF!, 'KEUANGAN INTERNAL AKRE 2025'!B24,#REF!)+
SUMIF(#REF!, 'KEUANGAN INTERNAL AKRE 2025'!B24,#REF!)+
SUMIF(#REF!, 'KEUANGAN INTERNAL AKRE 2025'!B24,#REF!)+
SUMIF(#REF!, 'KEUANGAN INTERNAL AKRE 2025'!B24,#REF!)+
SUMIF(#REF!,'KEUANGAN INTERNAL AKRE 2025'!B24,#REF!)+
SUMIF(#REF!,'KEUANGAN INTERNAL AKRE 2025'!B24,#REF!)+
SUMIF(#REF!,'KEUANGAN INTERNAL AKRE 2025'!B24,#REF!)</f>
        <v>#REF!</v>
      </c>
      <c r="O24" s="80" t="e">
        <f t="shared" si="0"/>
        <v>#REF!</v>
      </c>
      <c r="Q24" s="814"/>
      <c r="R24" s="64"/>
      <c r="S24" s="65"/>
      <c r="T24" s="82"/>
      <c r="U24" s="82"/>
      <c r="V24" s="82"/>
      <c r="W24" s="82"/>
      <c r="X24" s="82"/>
      <c r="Y24" s="82"/>
    </row>
    <row r="25" spans="1:37" ht="26.4">
      <c r="A25" s="744" t="s">
        <v>154</v>
      </c>
      <c r="B25" s="366" t="s">
        <v>16</v>
      </c>
      <c r="C25" s="11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D25" s="82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E25" s="81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F25" s="82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G25" s="82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H25" s="82" t="e">
        <f>SUMIF(#REF!, 'KEUANGAN INTERNAL AKRE 2025'!B25,#REF!)+
SUMIF(#REF!, 'KEUANGAN INTERNAL AKRE 2025'!B25,#REF!)+
SUMIF(#REF!, 'KEUANGAN INTERNAL AKRE 2025'!B25,#REF!)+
SUMIF(#REF!, 'KEUANGAN INTERNAL AKRE 2025'!B25,#REF!)</f>
        <v>#REF!</v>
      </c>
      <c r="I25" s="82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J25" s="82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</f>
        <v>#REF!</v>
      </c>
      <c r="K25" s="82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L25" s="82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2025'!B25,#REF!)+
SUMIF(#REF!,'KEUANGAN INTERNAL AKRE 2025'!B25,#REF!)</f>
        <v>#REF!</v>
      </c>
      <c r="M25" s="82" t="e">
        <f>SUMIF(#REF!, 'KEUANGAN INTERNAL AKRE 2025'!B25,#REF!)+
SUMIF(#REF!, 'KEUANGAN INTERNAL AKRE 2025'!B25,#REF!)+
SUMIF(#REF!, 'KEUANGAN INTERNAL AKRE 2025'!B25,#REF!)+
SUMIF(#REF!, 'KEUANGAN INTERNAL AKRE 2025'!B25,#REF!)+
SUMIF(#REF!, 'KEUANGAN INTERNAL AKRE 2025'!B25,#REF!)+
SUMIF(#REF!, 'KEUANGAN INTERNAL AKRE 2025'!B25,#REF!)</f>
        <v>#REF!</v>
      </c>
      <c r="N25" s="82" t="e">
        <f>SUMIF(#REF!, 'KEUANGAN INTERNAL AKRE 2025'!B25,#REF!)+
SUMIF(#REF!, 'KEUANGAN INTERNAL AKRE 2025'!B25,#REF!)+
SUMIF(#REF!, 'KEUANGAN INTERNAL AKRE 2025'!B25,#REF!)+
SUMIF(#REF!, 'KEUANGAN INTERNAL AKRE 2025'!B25,#REF!)+
SUMIF(#REF!,'KEUANGAN INTERNAL AKRE 2025'!B25,#REF!)+
SUMIF(#REF!,'KEUANGAN INTERNAL AKRE 2025'!B25,#REF!)+
SUMIF(#REF!,'KEUANGAN INTERNAL AKRE 2025'!B25,#REF!)</f>
        <v>#REF!</v>
      </c>
      <c r="O25" s="80" t="e">
        <f t="shared" si="0"/>
        <v>#REF!</v>
      </c>
      <c r="Q25" s="814"/>
      <c r="R25" s="64"/>
      <c r="S25" s="65"/>
      <c r="T25" s="82"/>
      <c r="U25" s="82"/>
      <c r="V25" s="82"/>
      <c r="W25" s="82"/>
      <c r="X25" s="82"/>
      <c r="Y25" s="82"/>
    </row>
    <row r="26" spans="1:37" ht="26.4">
      <c r="A26" s="744" t="s">
        <v>154</v>
      </c>
      <c r="B26" s="745" t="s">
        <v>83</v>
      </c>
      <c r="C26" s="11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D26" s="82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E26" s="81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F26" s="82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G26" s="82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H26" s="82" t="e">
        <f>SUMIF(#REF!, 'KEUANGAN INTERNAL AKRE 2025'!B26,#REF!)+
SUMIF(#REF!, 'KEUANGAN INTERNAL AKRE 2025'!B26,#REF!)+
SUMIF(#REF!, 'KEUANGAN INTERNAL AKRE 2025'!B26,#REF!)+
SUMIF(#REF!, 'KEUANGAN INTERNAL AKRE 2025'!B26,#REF!)</f>
        <v>#REF!</v>
      </c>
      <c r="I26" s="82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J26" s="82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</f>
        <v>#REF!</v>
      </c>
      <c r="K26" s="82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L26" s="82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2025'!B26,#REF!)+
SUMIF(#REF!,'KEUANGAN INTERNAL AKRE 2025'!B26,#REF!)</f>
        <v>#REF!</v>
      </c>
      <c r="M26" s="82" t="e">
        <f>SUMIF(#REF!, 'KEUANGAN INTERNAL AKRE 2025'!B26,#REF!)+
SUMIF(#REF!, 'KEUANGAN INTERNAL AKRE 2025'!B26,#REF!)+
SUMIF(#REF!, 'KEUANGAN INTERNAL AKRE 2025'!B26,#REF!)+
SUMIF(#REF!, 'KEUANGAN INTERNAL AKRE 2025'!B26,#REF!)+
SUMIF(#REF!, 'KEUANGAN INTERNAL AKRE 2025'!B26,#REF!)+
SUMIF(#REF!, 'KEUANGAN INTERNAL AKRE 2025'!B26,#REF!)</f>
        <v>#REF!</v>
      </c>
      <c r="N26" s="82" t="e">
        <f>SUMIF(#REF!, 'KEUANGAN INTERNAL AKRE 2025'!B26,#REF!)+
SUMIF(#REF!, 'KEUANGAN INTERNAL AKRE 2025'!B26,#REF!)+
SUMIF(#REF!, 'KEUANGAN INTERNAL AKRE 2025'!B26,#REF!)+
SUMIF(#REF!, 'KEUANGAN INTERNAL AKRE 2025'!B26,#REF!)+
SUMIF(#REF!,'KEUANGAN INTERNAL AKRE 2025'!B26,#REF!)+
SUMIF(#REF!,'KEUANGAN INTERNAL AKRE 2025'!B26,#REF!)+
SUMIF(#REF!,'KEUANGAN INTERNAL AKRE 2025'!B26,#REF!)</f>
        <v>#REF!</v>
      </c>
      <c r="O26" s="80" t="e">
        <f t="shared" si="0"/>
        <v>#REF!</v>
      </c>
      <c r="Q26" s="814"/>
      <c r="R26" s="64">
        <v>10</v>
      </c>
      <c r="S26" s="65" t="s">
        <v>79</v>
      </c>
      <c r="T26" s="82" t="e">
        <f>SUMIF(#REF!,VLOOKUP(S26,#REF!,1,FALSE),#REF!)+SUMIF(#REF!,VLOOKUP(S26,#REF!,1,FALSE),#REF!)+SUMIF(#REF!,VLOOKUP(S26,#REF!,1,FALSE),#REF!)+SUMIF(#REF!,VLOOKUP(S26,#REF!,1,FALSE),#REF!)+SUMIF(#REF!,VLOOKUP(S26,#REF!,1,FALSE),#REF!)</f>
        <v>#REF!</v>
      </c>
      <c r="U26" s="82" t="e">
        <f>SUMIF(#REF!,VLOOKUP(S26,#REF!,1,FALSE),#REF!)+SUMIF(#REF!,VLOOKUP(S26,#REF!,1,FALSE),#REF!)+SUMIF(#REF!,VLOOKUP(S26,#REF!,1,FALSE),#REF!)+SUMIF(#REF!,VLOOKUP('KEUANGAN INTERNAL AKRE 2025'!S26,#REF!,1,FALSE),#REF!)+SUMIF(#REF!,VLOOKUP(S26,#REF!,1,FALSE),#REF!)</f>
        <v>#REF!</v>
      </c>
      <c r="V26" s="82" t="e">
        <f>SUMIF(#REF!,VLOOKUP(S26,#REF!,1,FALSE),#REF!)+SUMIF(#REF!,VLOOKUP(S26,#REF!,1,FALSE),#REF!)+SUMIF(#REF!,VLOOKUP(S26,#REF!,1,FALSE),#REF!)+SUMIF(#REF!,VLOOKUP(S26,#REF!,1,FALSE),#REF!)+SUMIF(#REF!,VLOOKUP(S26,#REF!,1,FALSE),#REF!)</f>
        <v>#REF!</v>
      </c>
      <c r="W26" s="82" t="e">
        <f>SUMIF(#REF!,VLOOKUP(S26,#REF!,1,FALSE),#REF!)+SUMIF(#REF!,VLOOKUP(S26,#REF!,1,FALSE),#REF!)+SUMIF(#REF!,VLOOKUP(S26,#REF!,1,FALSE),#REF!)+SUMIF(#REF!,VLOOKUP('KEUANGAN INTERNAL AKRE 2025'!S26,#REF!,1,FALSE),#REF!)+SUMIF(#REF!,VLOOKUP(S26,#REF!,1,FALSE),#REF!)</f>
        <v>#REF!</v>
      </c>
      <c r="X26" s="82" t="e">
        <f>SUMIF(#REF!,VLOOKUP(S26,#REF!,1,FALSE),#REF!)+SUMIF(#REF!,VLOOKUP(S26,#REF!,1,FALSE),#REF!)+SUMIF(#REF!,VLOOKUP(S26,#REF!,1,FALSE),#REF!)+SUMIF(#REF!,VLOOKUP(S26,#REF!,1,FALSE),#REF!)+SUMIF(#REF!,VLOOKUP(S26,#REF!,1,FALSE),#REF!)</f>
        <v>#REF!</v>
      </c>
      <c r="Y26" s="82" t="e">
        <f>SUMIF(#REF!,VLOOKUP(S26,#REF!,1,FALSE),#REF!)+SUMIF(#REF!,VLOOKUP(S26,#REF!,1,FALSE),#REF!)+SUMIF(#REF!,VLOOKUP(B24,#REF!,1,FALSE),#REF!)+SUMIF(#REF!,VLOOKUP('KEUANGAN INTERNAL AKRE 2025'!S26,#REF!,1,FALSE),#REF!)+SUMIF(#REF!,VLOOKUP(S26,#REF!,1,FALSE),#REF!)</f>
        <v>#REF!</v>
      </c>
    </row>
    <row r="27" spans="1:37" ht="26.4">
      <c r="A27" s="744" t="s">
        <v>154</v>
      </c>
      <c r="B27" s="745" t="s">
        <v>22</v>
      </c>
      <c r="C27" s="11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D27" s="82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E27" s="81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F27" s="82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G27" s="82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H27" s="82" t="e">
        <f>SUMIF(#REF!, 'KEUANGAN INTERNAL AKRE 2025'!B27,#REF!)+
SUMIF(#REF!, 'KEUANGAN INTERNAL AKRE 2025'!B27,#REF!)+
SUMIF(#REF!, 'KEUANGAN INTERNAL AKRE 2025'!B27,#REF!)+
SUMIF(#REF!, 'KEUANGAN INTERNAL AKRE 2025'!B27,#REF!)</f>
        <v>#REF!</v>
      </c>
      <c r="I27" s="82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J27" s="82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</f>
        <v>#REF!</v>
      </c>
      <c r="K27" s="82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L27" s="82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2025'!B27,#REF!)+
SUMIF(#REF!,'KEUANGAN INTERNAL AKRE 2025'!B27,#REF!)</f>
        <v>#REF!</v>
      </c>
      <c r="M27" s="82" t="e">
        <f>SUMIF(#REF!, 'KEUANGAN INTERNAL AKRE 2025'!B27,#REF!)+
SUMIF(#REF!, 'KEUANGAN INTERNAL AKRE 2025'!B27,#REF!)+
SUMIF(#REF!, 'KEUANGAN INTERNAL AKRE 2025'!B27,#REF!)+
SUMIF(#REF!, 'KEUANGAN INTERNAL AKRE 2025'!B27,#REF!)+
SUMIF(#REF!, 'KEUANGAN INTERNAL AKRE 2025'!B27,#REF!)+
SUMIF(#REF!, 'KEUANGAN INTERNAL AKRE 2025'!B27,#REF!)</f>
        <v>#REF!</v>
      </c>
      <c r="N27" s="82" t="e">
        <f>SUMIF(#REF!, 'KEUANGAN INTERNAL AKRE 2025'!B27,#REF!)+
SUMIF(#REF!, 'KEUANGAN INTERNAL AKRE 2025'!B27,#REF!)+
SUMIF(#REF!, 'KEUANGAN INTERNAL AKRE 2025'!B27,#REF!)+
SUMIF(#REF!, 'KEUANGAN INTERNAL AKRE 2025'!B27,#REF!)+
SUMIF(#REF!,'KEUANGAN INTERNAL AKRE 2025'!B27,#REF!)+
SUMIF(#REF!,'KEUANGAN INTERNAL AKRE 2025'!B27,#REF!)+
SUMIF(#REF!,'KEUANGAN INTERNAL AKRE 2025'!B27,#REF!)</f>
        <v>#REF!</v>
      </c>
      <c r="O27" s="80" t="e">
        <f t="shared" si="0"/>
        <v>#REF!</v>
      </c>
      <c r="Q27" s="814"/>
      <c r="R27" s="64">
        <v>11</v>
      </c>
      <c r="S27" s="65" t="s">
        <v>176</v>
      </c>
      <c r="T27" s="82" t="e">
        <f>SUMIF(#REF!,VLOOKUP(S27,#REF!,1,FALSE),#REF!)+SUMIF(#REF!,VLOOKUP(S27,#REF!,1,FALSE),#REF!)+SUMIF(#REF!,VLOOKUP(S27,#REF!,1,FALSE),#REF!)+SUMIF(#REF!,VLOOKUP(S27,#REF!,1,FALSE),#REF!)+SUMIF(#REF!,VLOOKUP(S27,#REF!,1,FALSE),#REF!)</f>
        <v>#REF!</v>
      </c>
      <c r="U27" s="82" t="e">
        <f>SUMIF(#REF!,VLOOKUP(S27,#REF!,1,FALSE),#REF!)+SUMIF(#REF!,VLOOKUP(S27,#REF!,1,FALSE),#REF!)+SUMIF(#REF!,VLOOKUP(S27,#REF!,1,FALSE),#REF!)+SUMIF(#REF!,VLOOKUP('KEUANGAN INTERNAL AKRE 2025'!S27,#REF!,1,FALSE),#REF!)+SUMIF(#REF!,VLOOKUP(S27,#REF!,1,FALSE),#REF!)</f>
        <v>#REF!</v>
      </c>
      <c r="V27" s="82" t="e">
        <f>SUMIF(#REF!,VLOOKUP(S27,#REF!,1,FALSE),#REF!)+SUMIF(#REF!,VLOOKUP(S27,#REF!,1,FALSE),#REF!)+SUMIF(#REF!,VLOOKUP(S27,#REF!,1,FALSE),#REF!)+SUMIF(#REF!,VLOOKUP(S27,#REF!,1,FALSE),#REF!)+SUMIF(#REF!,VLOOKUP(S27,#REF!,1,FALSE),#REF!)</f>
        <v>#REF!</v>
      </c>
      <c r="W27" s="82" t="e">
        <f>SUMIF(#REF!,VLOOKUP(S27,#REF!,1,FALSE),#REF!)+SUMIF(#REF!,VLOOKUP(S27,#REF!,1,FALSE),#REF!)+SUMIF(#REF!,VLOOKUP(S27,#REF!,1,FALSE),#REF!)+SUMIF(#REF!,VLOOKUP('KEUANGAN INTERNAL AKRE 2025'!S27,#REF!,1,FALSE),#REF!)+SUMIF(#REF!,VLOOKUP(S27,#REF!,1,FALSE),#REF!)</f>
        <v>#REF!</v>
      </c>
      <c r="X27" s="82" t="e">
        <f>SUMIF(#REF!,VLOOKUP(S27,#REF!,1,FALSE),#REF!)+SUMIF(#REF!,VLOOKUP(S27,#REF!,1,FALSE),#REF!)+SUMIF(#REF!,VLOOKUP(S27,#REF!,1,FALSE),#REF!)+SUMIF(#REF!,VLOOKUP(S27,#REF!,1,FALSE),#REF!)+SUMIF(#REF!,VLOOKUP(S27,#REF!,1,FALSE),#REF!)</f>
        <v>#REF!</v>
      </c>
      <c r="Y27" s="82" t="e">
        <f>SUMIF(#REF!,VLOOKUP(S27,#REF!,1,FALSE),#REF!)+SUMIF(#REF!,VLOOKUP(S27,#REF!,1,FALSE),#REF!)+SUMIF(#REF!,VLOOKUP(B25,#REF!,1,FALSE),#REF!)+SUMIF(#REF!,VLOOKUP('KEUANGAN INTERNAL AKRE 2025'!S27,#REF!,1,FALSE),#REF!)+SUMIF(#REF!,VLOOKUP(S27,#REF!,1,FALSE),#REF!)</f>
        <v>#REF!</v>
      </c>
    </row>
    <row r="28" spans="1:37" ht="26.4">
      <c r="A28" s="744" t="s">
        <v>154</v>
      </c>
      <c r="B28" s="745" t="s">
        <v>23</v>
      </c>
      <c r="C28" s="11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D28" s="82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E28" s="81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F28" s="82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G28" s="82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H28" s="82" t="e">
        <f>SUMIF(#REF!, 'KEUANGAN INTERNAL AKRE 2025'!B28,#REF!)+
SUMIF(#REF!, 'KEUANGAN INTERNAL AKRE 2025'!B28,#REF!)+
SUMIF(#REF!, 'KEUANGAN INTERNAL AKRE 2025'!B28,#REF!)+
SUMIF(#REF!, 'KEUANGAN INTERNAL AKRE 2025'!B28,#REF!)</f>
        <v>#REF!</v>
      </c>
      <c r="I28" s="82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J28" s="82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</f>
        <v>#REF!</v>
      </c>
      <c r="K28" s="82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L28" s="82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2025'!B28,#REF!)+
SUMIF(#REF!,'KEUANGAN INTERNAL AKRE 2025'!B28,#REF!)</f>
        <v>#REF!</v>
      </c>
      <c r="M28" s="82" t="e">
        <f>SUMIF(#REF!, 'KEUANGAN INTERNAL AKRE 2025'!B28,#REF!)+
SUMIF(#REF!, 'KEUANGAN INTERNAL AKRE 2025'!B28,#REF!)+
SUMIF(#REF!, 'KEUANGAN INTERNAL AKRE 2025'!B28,#REF!)+
SUMIF(#REF!, 'KEUANGAN INTERNAL AKRE 2025'!B28,#REF!)+
SUMIF(#REF!, 'KEUANGAN INTERNAL AKRE 2025'!B28,#REF!)+
SUMIF(#REF!, 'KEUANGAN INTERNAL AKRE 2025'!B28,#REF!)</f>
        <v>#REF!</v>
      </c>
      <c r="N28" s="82" t="e">
        <f>SUMIF(#REF!, 'KEUANGAN INTERNAL AKRE 2025'!B28,#REF!)+
SUMIF(#REF!, 'KEUANGAN INTERNAL AKRE 2025'!B28,#REF!)+
SUMIF(#REF!, 'KEUANGAN INTERNAL AKRE 2025'!B28,#REF!)+
SUMIF(#REF!, 'KEUANGAN INTERNAL AKRE 2025'!B28,#REF!)+
SUMIF(#REF!,'KEUANGAN INTERNAL AKRE 2025'!B28,#REF!)+
SUMIF(#REF!,'KEUANGAN INTERNAL AKRE 2025'!B28,#REF!)+
SUMIF(#REF!,'KEUANGAN INTERNAL AKRE 2025'!B28,#REF!)</f>
        <v>#REF!</v>
      </c>
      <c r="O28" s="80" t="e">
        <f t="shared" si="0"/>
        <v>#REF!</v>
      </c>
      <c r="Q28" s="814" t="s">
        <v>175</v>
      </c>
      <c r="R28" s="64">
        <v>1</v>
      </c>
      <c r="S28" s="65" t="s">
        <v>75</v>
      </c>
      <c r="T28" s="82" t="e">
        <f>SUMIF(#REF!,VLOOKUP(S28,#REF!,1,FALSE),#REF!)+SUMIF(#REF!,VLOOKUP(S28,#REF!,1,FALSE),#REF!)+SUMIF(#REF!,VLOOKUP(S28,#REF!,1,FALSE),#REF!)+SUMIF(#REF!,VLOOKUP(S28,#REF!,1,FALSE),#REF!)+SUMIF(#REF!,VLOOKUP(S28,#REF!,1,FALSE),#REF!)</f>
        <v>#REF!</v>
      </c>
      <c r="U28" s="82" t="e">
        <f>SUMIF(#REF!,VLOOKUP(S28,#REF!,1,FALSE),#REF!)+SUMIF(#REF!,VLOOKUP(S28,#REF!,1,FALSE),#REF!)+SUMIF(#REF!,VLOOKUP(S28,#REF!,1,FALSE),#REF!)+SUMIF(#REF!,VLOOKUP('KEUANGAN INTERNAL AKRE 2025'!S28,#REF!,1,FALSE),#REF!)+SUMIF(#REF!,VLOOKUP(S28,#REF!,1,FALSE),#REF!)</f>
        <v>#REF!</v>
      </c>
      <c r="V28" s="82" t="e">
        <f>SUMIF(#REF!,VLOOKUP(S28,#REF!,1,FALSE),#REF!)+SUMIF(#REF!,VLOOKUP(S28,#REF!,1,FALSE),#REF!)+SUMIF(#REF!,VLOOKUP(S28,#REF!,1,FALSE),#REF!)+SUMIF(#REF!,VLOOKUP(S28,#REF!,1,FALSE),#REF!)+SUMIF(#REF!,VLOOKUP(S28,#REF!,1,FALSE),#REF!)</f>
        <v>#REF!</v>
      </c>
      <c r="W28" s="82" t="e">
        <f>SUMIF(#REF!,VLOOKUP(S28,#REF!,1,FALSE),#REF!)+SUMIF(#REF!,VLOOKUP(S28,#REF!,1,FALSE),#REF!)+SUMIF(#REF!,VLOOKUP(S28,#REF!,1,FALSE),#REF!)+SUMIF(#REF!,VLOOKUP('KEUANGAN INTERNAL AKRE 2025'!S28,#REF!,1,FALSE),#REF!)+SUMIF(#REF!,VLOOKUP(S28,#REF!,1,FALSE),#REF!)</f>
        <v>#REF!</v>
      </c>
      <c r="X28" s="82" t="e">
        <f>SUMIF(#REF!,VLOOKUP(S28,#REF!,1,FALSE),#REF!)+SUMIF(#REF!,VLOOKUP(S28,#REF!,1,FALSE),#REF!)+SUMIF(#REF!,VLOOKUP(S28,#REF!,1,FALSE),#REF!)+SUMIF(#REF!,VLOOKUP(S28,#REF!,1,FALSE),#REF!)+SUMIF(#REF!,VLOOKUP(S28,#REF!,1,FALSE),#REF!)</f>
        <v>#REF!</v>
      </c>
      <c r="Y28" s="82" t="e">
        <f>SUMIF(#REF!,VLOOKUP(S28,#REF!,1,FALSE),#REF!)+SUMIF(#REF!,VLOOKUP(S28,#REF!,1,FALSE),#REF!)+SUMIF(#REF!,VLOOKUP(B26,#REF!,1,FALSE),#REF!)+SUMIF(#REF!,VLOOKUP('KEUANGAN INTERNAL AKRE 2025'!S28,#REF!,1,FALSE),#REF!)+SUMIF(#REF!,VLOOKUP(S28,#REF!,1,FALSE),#REF!)</f>
        <v>#REF!</v>
      </c>
    </row>
    <row r="29" spans="1:37" ht="26.4">
      <c r="A29" s="744" t="s">
        <v>154</v>
      </c>
      <c r="B29" s="745" t="s">
        <v>108</v>
      </c>
      <c r="C29" s="11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D29" s="82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E29" s="81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F29" s="82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G29" s="82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H29" s="82" t="e">
        <f>SUMIF(#REF!, 'KEUANGAN INTERNAL AKRE 2025'!B29,#REF!)+
SUMIF(#REF!, 'KEUANGAN INTERNAL AKRE 2025'!B29,#REF!)+
SUMIF(#REF!, 'KEUANGAN INTERNAL AKRE 2025'!B29,#REF!)+
SUMIF(#REF!, 'KEUANGAN INTERNAL AKRE 2025'!B29,#REF!)</f>
        <v>#REF!</v>
      </c>
      <c r="I29" s="82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J29" s="82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</f>
        <v>#REF!</v>
      </c>
      <c r="K29" s="82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L29" s="82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2025'!B29,#REF!)+
SUMIF(#REF!,'KEUANGAN INTERNAL AKRE 2025'!B29,#REF!)</f>
        <v>#REF!</v>
      </c>
      <c r="M29" s="82" t="e">
        <f>SUMIF(#REF!, 'KEUANGAN INTERNAL AKRE 2025'!B29,#REF!)+
SUMIF(#REF!, 'KEUANGAN INTERNAL AKRE 2025'!B29,#REF!)+
SUMIF(#REF!, 'KEUANGAN INTERNAL AKRE 2025'!B29,#REF!)+
SUMIF(#REF!, 'KEUANGAN INTERNAL AKRE 2025'!B29,#REF!)+
SUMIF(#REF!, 'KEUANGAN INTERNAL AKRE 2025'!B29,#REF!)+
SUMIF(#REF!, 'KEUANGAN INTERNAL AKRE 2025'!B29,#REF!)</f>
        <v>#REF!</v>
      </c>
      <c r="N29" s="82" t="e">
        <f>SUMIF(#REF!, 'KEUANGAN INTERNAL AKRE 2025'!B29,#REF!)+
SUMIF(#REF!, 'KEUANGAN INTERNAL AKRE 2025'!B29,#REF!)+
SUMIF(#REF!, 'KEUANGAN INTERNAL AKRE 2025'!B29,#REF!)+
SUMIF(#REF!, 'KEUANGAN INTERNAL AKRE 2025'!B29,#REF!)+
SUMIF(#REF!,'KEUANGAN INTERNAL AKRE 2025'!B29,#REF!)+
SUMIF(#REF!,'KEUANGAN INTERNAL AKRE 2025'!B29,#REF!)+
SUMIF(#REF!,'KEUANGAN INTERNAL AKRE 2025'!B29,#REF!)</f>
        <v>#REF!</v>
      </c>
      <c r="O29" s="80" t="e">
        <f t="shared" si="0"/>
        <v>#REF!</v>
      </c>
      <c r="Q29" s="814"/>
      <c r="R29" s="64">
        <v>2</v>
      </c>
      <c r="S29" s="65" t="s">
        <v>79</v>
      </c>
      <c r="T29" s="82" t="e">
        <f>SUMIF(#REF!,VLOOKUP(S29,#REF!,1,FALSE),#REF!)+SUMIF(#REF!,VLOOKUP(S29,#REF!,1,FALSE),#REF!)+SUMIF(#REF!,VLOOKUP(S29,#REF!,1,FALSE),#REF!)+SUMIF(#REF!,VLOOKUP(S29,#REF!,1,FALSE),#REF!)+SUMIF(#REF!,VLOOKUP(S29,#REF!,1,FALSE),#REF!)</f>
        <v>#REF!</v>
      </c>
      <c r="U29" s="82" t="e">
        <f>SUMIF(#REF!,VLOOKUP(S29,#REF!,1,FALSE),#REF!)+SUMIF(#REF!,VLOOKUP(S29,#REF!,1,FALSE),#REF!)+SUMIF(#REF!,VLOOKUP(S29,#REF!,1,FALSE),#REF!)+SUMIF(#REF!,VLOOKUP('KEUANGAN INTERNAL AKRE 2025'!S29,#REF!,1,FALSE),#REF!)+SUMIF(#REF!,VLOOKUP(S29,#REF!,1,FALSE),#REF!)</f>
        <v>#REF!</v>
      </c>
      <c r="V29" s="82" t="e">
        <f>SUMIF(#REF!,VLOOKUP(S29,#REF!,1,FALSE),#REF!)+SUMIF(#REF!,VLOOKUP(S29,#REF!,1,FALSE),#REF!)+SUMIF(#REF!,VLOOKUP(S29,#REF!,1,FALSE),#REF!)+SUMIF(#REF!,VLOOKUP(S29,#REF!,1,FALSE),#REF!)+SUMIF(#REF!,VLOOKUP(S29,#REF!,1,FALSE),#REF!)</f>
        <v>#REF!</v>
      </c>
      <c r="W29" s="82" t="e">
        <f>SUMIF(#REF!,VLOOKUP(S29,#REF!,1,FALSE),#REF!)+SUMIF(#REF!,VLOOKUP(S29,#REF!,1,FALSE),#REF!)+SUMIF(#REF!,VLOOKUP(S29,#REF!,1,FALSE),#REF!)+SUMIF(#REF!,VLOOKUP('KEUANGAN INTERNAL AKRE 2025'!S29,#REF!,1,FALSE),#REF!)+SUMIF(#REF!,VLOOKUP(S29,#REF!,1,FALSE),#REF!)</f>
        <v>#REF!</v>
      </c>
      <c r="X29" s="82" t="e">
        <f>SUMIF(#REF!,VLOOKUP(S29,#REF!,1,FALSE),#REF!)+SUMIF(#REF!,VLOOKUP(S29,#REF!,1,FALSE),#REF!)+SUMIF(#REF!,VLOOKUP(S29,#REF!,1,FALSE),#REF!)+SUMIF(#REF!,VLOOKUP(S29,#REF!,1,FALSE),#REF!)+SUMIF(#REF!,VLOOKUP(S29,#REF!,1,FALSE),#REF!)</f>
        <v>#REF!</v>
      </c>
      <c r="Y29" s="82" t="e">
        <f>SUMIF(#REF!,VLOOKUP(S29,#REF!,1,FALSE),#REF!)+SUMIF(#REF!,VLOOKUP(S29,#REF!,1,FALSE),#REF!)+SUMIF(#REF!,VLOOKUP(B27,#REF!,1,FALSE),#REF!)+SUMIF(#REF!,VLOOKUP('KEUANGAN INTERNAL AKRE 2025'!S29,#REF!,1,FALSE),#REF!)+SUMIF(#REF!,VLOOKUP(S29,#REF!,1,FALSE),#REF!)</f>
        <v>#REF!</v>
      </c>
    </row>
    <row r="30" spans="1:37" ht="26.4">
      <c r="A30" s="744" t="s">
        <v>154</v>
      </c>
      <c r="B30" s="745" t="s">
        <v>173</v>
      </c>
      <c r="C30" s="11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D30" s="82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E30" s="81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F30" s="82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G30" s="82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H30" s="82" t="e">
        <f>SUMIF(#REF!, 'KEUANGAN INTERNAL AKRE 2025'!B30,#REF!)+
SUMIF(#REF!, 'KEUANGAN INTERNAL AKRE 2025'!B30,#REF!)+
SUMIF(#REF!, 'KEUANGAN INTERNAL AKRE 2025'!B30,#REF!)+
SUMIF(#REF!, 'KEUANGAN INTERNAL AKRE 2025'!B30,#REF!)</f>
        <v>#REF!</v>
      </c>
      <c r="I30" s="82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J30" s="82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</f>
        <v>#REF!</v>
      </c>
      <c r="K30" s="82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L30" s="82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2025'!B30,#REF!)+
SUMIF(#REF!,'KEUANGAN INTERNAL AKRE 2025'!B30,#REF!)</f>
        <v>#REF!</v>
      </c>
      <c r="M30" s="82" t="e">
        <f>SUMIF(#REF!, 'KEUANGAN INTERNAL AKRE 2025'!B30,#REF!)+
SUMIF(#REF!, 'KEUANGAN INTERNAL AKRE 2025'!B30,#REF!)+
SUMIF(#REF!, 'KEUANGAN INTERNAL AKRE 2025'!B30,#REF!)+
SUMIF(#REF!, 'KEUANGAN INTERNAL AKRE 2025'!B30,#REF!)+
SUMIF(#REF!, 'KEUANGAN INTERNAL AKRE 2025'!B30,#REF!)+
SUMIF(#REF!, 'KEUANGAN INTERNAL AKRE 2025'!B30,#REF!)</f>
        <v>#REF!</v>
      </c>
      <c r="N30" s="82" t="e">
        <f>SUMIF(#REF!, 'KEUANGAN INTERNAL AKRE 2025'!B30,#REF!)+
SUMIF(#REF!, 'KEUANGAN INTERNAL AKRE 2025'!B30,#REF!)+
SUMIF(#REF!, 'KEUANGAN INTERNAL AKRE 2025'!B30,#REF!)+
SUMIF(#REF!, 'KEUANGAN INTERNAL AKRE 2025'!B30,#REF!)+
SUMIF(#REF!,'KEUANGAN INTERNAL AKRE 2025'!B30,#REF!)+
SUMIF(#REF!,'KEUANGAN INTERNAL AKRE 2025'!B30,#REF!)+
SUMIF(#REF!,'KEUANGAN INTERNAL AKRE 2025'!B30,#REF!)</f>
        <v>#REF!</v>
      </c>
      <c r="O30" s="80" t="e">
        <f t="shared" si="0"/>
        <v>#REF!</v>
      </c>
      <c r="Q30" s="814"/>
      <c r="R30" s="64">
        <v>3</v>
      </c>
      <c r="S30" s="65" t="s">
        <v>176</v>
      </c>
      <c r="T30" s="82" t="e">
        <f>SUMIF(#REF!,VLOOKUP(S30,#REF!,1,FALSE),#REF!)+SUMIF(#REF!,VLOOKUP(S30,#REF!,1,FALSE),#REF!)+SUMIF(#REF!,VLOOKUP(S30,#REF!,1,FALSE),#REF!)+SUMIF(#REF!,VLOOKUP(S30,#REF!,1,FALSE),#REF!)+SUMIF(#REF!,VLOOKUP(S30,#REF!,1,FALSE),#REF!)</f>
        <v>#REF!</v>
      </c>
      <c r="U30" s="82" t="e">
        <f>SUMIF(#REF!,VLOOKUP(S30,#REF!,1,FALSE),#REF!)+SUMIF(#REF!,VLOOKUP(S30,#REF!,1,FALSE),#REF!)+SUMIF(#REF!,VLOOKUP(S30,#REF!,1,FALSE),#REF!)+SUMIF(#REF!,VLOOKUP('KEUANGAN INTERNAL AKRE 2025'!S30,#REF!,1,FALSE),#REF!)+SUMIF(#REF!,VLOOKUP(S30,#REF!,1,FALSE),#REF!)</f>
        <v>#REF!</v>
      </c>
      <c r="V30" s="82" t="e">
        <f>SUMIF(#REF!,VLOOKUP(S30,#REF!,1,FALSE),#REF!)+SUMIF(#REF!,VLOOKUP(S30,#REF!,1,FALSE),#REF!)+SUMIF(#REF!,VLOOKUP(S30,#REF!,1,FALSE),#REF!)+SUMIF(#REF!,VLOOKUP(S30,#REF!,1,FALSE),#REF!)+SUMIF(#REF!,VLOOKUP(S30,#REF!,1,FALSE),#REF!)</f>
        <v>#REF!</v>
      </c>
      <c r="W30" s="82" t="e">
        <f>SUMIF(#REF!,VLOOKUP(S30,#REF!,1,FALSE),#REF!)+SUMIF(#REF!,VLOOKUP(S30,#REF!,1,FALSE),#REF!)+SUMIF(#REF!,VLOOKUP(S30,#REF!,1,FALSE),#REF!)+SUMIF(#REF!,VLOOKUP('KEUANGAN INTERNAL AKRE 2025'!S30,#REF!,1,FALSE),#REF!)+SUMIF(#REF!,VLOOKUP(S30,#REF!,1,FALSE),#REF!)</f>
        <v>#REF!</v>
      </c>
      <c r="X30" s="82" t="e">
        <f>SUMIF(#REF!,VLOOKUP(S30,#REF!,1,FALSE),#REF!)+SUMIF(#REF!,VLOOKUP(S30,#REF!,1,FALSE),#REF!)+SUMIF(#REF!,VLOOKUP(S30,#REF!,1,FALSE),#REF!)+SUMIF(#REF!,VLOOKUP(S30,#REF!,1,FALSE),#REF!)+SUMIF(#REF!,VLOOKUP(S30,#REF!,1,FALSE),#REF!)</f>
        <v>#REF!</v>
      </c>
      <c r="Y30" s="82" t="e">
        <f>SUMIF(#REF!,VLOOKUP(S30,#REF!,1,FALSE),#REF!)+SUMIF(#REF!,VLOOKUP(S30,#REF!,1,FALSE),#REF!)+SUMIF(#REF!,VLOOKUP(B28,#REF!,1,FALSE),#REF!)+SUMIF(#REF!,VLOOKUP('KEUANGAN INTERNAL AKRE 2025'!S30,#REF!,1,FALSE),#REF!)+SUMIF(#REF!,VLOOKUP(S30,#REF!,1,FALSE),#REF!)</f>
        <v>#REF!</v>
      </c>
    </row>
    <row r="31" spans="1:37" ht="26.4">
      <c r="A31" s="744" t="s">
        <v>154</v>
      </c>
      <c r="B31" s="745" t="s">
        <v>5829</v>
      </c>
      <c r="C31" s="11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D31" s="82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E31" s="81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F31" s="82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G31" s="82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H31" s="82" t="e">
        <f>SUMIF(#REF!, 'KEUANGAN INTERNAL AKRE 2025'!B31,#REF!)+
SUMIF(#REF!, 'KEUANGAN INTERNAL AKRE 2025'!B31,#REF!)+
SUMIF(#REF!, 'KEUANGAN INTERNAL AKRE 2025'!B31,#REF!)+
SUMIF(#REF!, 'KEUANGAN INTERNAL AKRE 2025'!B31,#REF!)</f>
        <v>#REF!</v>
      </c>
      <c r="I31" s="82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J31" s="82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</f>
        <v>#REF!</v>
      </c>
      <c r="K31" s="82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L31" s="82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2025'!B31,#REF!)+
SUMIF(#REF!,'KEUANGAN INTERNAL AKRE 2025'!B31,#REF!)</f>
        <v>#REF!</v>
      </c>
      <c r="M31" s="82" t="e">
        <f>SUMIF(#REF!, 'KEUANGAN INTERNAL AKRE 2025'!B31,#REF!)+
SUMIF(#REF!, 'KEUANGAN INTERNAL AKRE 2025'!B31,#REF!)+
SUMIF(#REF!, 'KEUANGAN INTERNAL AKRE 2025'!B31,#REF!)+
SUMIF(#REF!, 'KEUANGAN INTERNAL AKRE 2025'!B31,#REF!)+
SUMIF(#REF!, 'KEUANGAN INTERNAL AKRE 2025'!B31,#REF!)+
SUMIF(#REF!, 'KEUANGAN INTERNAL AKRE 2025'!B31,#REF!)</f>
        <v>#REF!</v>
      </c>
      <c r="N31" s="82" t="e">
        <f>SUMIF(#REF!, 'KEUANGAN INTERNAL AKRE 2025'!B31,#REF!)+
SUMIF(#REF!, 'KEUANGAN INTERNAL AKRE 2025'!B31,#REF!)+
SUMIF(#REF!, 'KEUANGAN INTERNAL AKRE 2025'!B31,#REF!)+
SUMIF(#REF!, 'KEUANGAN INTERNAL AKRE 2025'!B31,#REF!)+
SUMIF(#REF!,'KEUANGAN INTERNAL AKRE 2025'!B31,#REF!)+
SUMIF(#REF!,'KEUANGAN INTERNAL AKRE 2025'!B31,#REF!)+
SUMIF(#REF!,'KEUANGAN INTERNAL AKRE 2025'!B31,#REF!)</f>
        <v>#REF!</v>
      </c>
      <c r="O31" s="80" t="e">
        <f t="shared" si="0"/>
        <v>#REF!</v>
      </c>
      <c r="Q31" s="814"/>
      <c r="R31" s="64">
        <v>4</v>
      </c>
      <c r="S31" s="65" t="s">
        <v>121</v>
      </c>
      <c r="T31" s="82" t="e">
        <f>SUMIF(#REF!,VLOOKUP(S31,#REF!,1,FALSE),#REF!)+SUMIF(#REF!,VLOOKUP(S31,#REF!,1,FALSE),#REF!)+SUMIF(#REF!,VLOOKUP(S31,#REF!,1,FALSE),#REF!)+SUMIF(#REF!,VLOOKUP(S31,#REF!,1,FALSE),#REF!)+SUMIF(#REF!,VLOOKUP(S31,#REF!,1,FALSE),#REF!)</f>
        <v>#REF!</v>
      </c>
      <c r="U31" s="82" t="e">
        <f>SUMIF(#REF!,VLOOKUP(S31,#REF!,1,FALSE),#REF!)+SUMIF(#REF!,VLOOKUP(S31,#REF!,1,FALSE),#REF!)+SUMIF(#REF!,VLOOKUP(S31,#REF!,1,FALSE),#REF!)+SUMIF(#REF!,VLOOKUP('KEUANGAN INTERNAL AKRE 2025'!S31,#REF!,1,FALSE),#REF!)+SUMIF(#REF!,VLOOKUP(S31,#REF!,1,FALSE),#REF!)</f>
        <v>#REF!</v>
      </c>
      <c r="V31" s="82" t="e">
        <f>SUMIF(#REF!,VLOOKUP(S31,#REF!,1,FALSE),#REF!)+SUMIF(#REF!,VLOOKUP(S31,#REF!,1,FALSE),#REF!)+SUMIF(#REF!,VLOOKUP(S31,#REF!,1,FALSE),#REF!)+SUMIF(#REF!,VLOOKUP(S31,#REF!,1,FALSE),#REF!)+SUMIF(#REF!,VLOOKUP(S31,#REF!,1,FALSE),#REF!)</f>
        <v>#REF!</v>
      </c>
      <c r="W31" s="82" t="e">
        <f>SUMIF(#REF!,VLOOKUP(S31,#REF!,1,FALSE),#REF!)+SUMIF(#REF!,VLOOKUP(S31,#REF!,1,FALSE),#REF!)+SUMIF(#REF!,VLOOKUP(S31,#REF!,1,FALSE),#REF!)+SUMIF(#REF!,VLOOKUP('KEUANGAN INTERNAL AKRE 2025'!S31,#REF!,1,FALSE),#REF!)+SUMIF(#REF!,VLOOKUP(S31,#REF!,1,FALSE),#REF!)</f>
        <v>#REF!</v>
      </c>
      <c r="X31" s="82" t="e">
        <f>SUMIF(#REF!,VLOOKUP(S31,#REF!,1,FALSE),#REF!)+SUMIF(#REF!,VLOOKUP(S31,#REF!,1,FALSE),#REF!)+SUMIF(#REF!,VLOOKUP(S31,#REF!,1,FALSE),#REF!)+SUMIF(#REF!,VLOOKUP(S31,#REF!,1,FALSE),#REF!)+SUMIF(#REF!,VLOOKUP(S31,#REF!,1,FALSE),#REF!)</f>
        <v>#REF!</v>
      </c>
      <c r="Y31" s="82" t="e">
        <f>SUMIF(#REF!,VLOOKUP(S31,#REF!,1,FALSE),#REF!)+SUMIF(#REF!,VLOOKUP(S31,#REF!,1,FALSE),#REF!)+SUMIF(#REF!,VLOOKUP(B29,#REF!,1,FALSE),#REF!)+SUMIF(#REF!,VLOOKUP('KEUANGAN INTERNAL AKRE 2025'!S31,#REF!,1,FALSE),#REF!)+SUMIF(#REF!,VLOOKUP(S31,#REF!,1,FALSE),#REF!)</f>
        <v>#REF!</v>
      </c>
    </row>
    <row r="32" spans="1:37" ht="26.4">
      <c r="A32" s="744" t="s">
        <v>154</v>
      </c>
      <c r="B32" s="745" t="s">
        <v>87</v>
      </c>
      <c r="C32" s="11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D32" s="82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E32" s="81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F32" s="82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G32" s="82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H32" s="82" t="e">
        <f>SUMIF(#REF!, 'KEUANGAN INTERNAL AKRE 2025'!B32,#REF!)+
SUMIF(#REF!, 'KEUANGAN INTERNAL AKRE 2025'!B32,#REF!)+
SUMIF(#REF!, 'KEUANGAN INTERNAL AKRE 2025'!B32,#REF!)+
SUMIF(#REF!, 'KEUANGAN INTERNAL AKRE 2025'!B32,#REF!)</f>
        <v>#REF!</v>
      </c>
      <c r="I32" s="82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J32" s="82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</f>
        <v>#REF!</v>
      </c>
      <c r="K32" s="82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L32" s="82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2025'!B32,#REF!)+
SUMIF(#REF!,'KEUANGAN INTERNAL AKRE 2025'!B32,#REF!)</f>
        <v>#REF!</v>
      </c>
      <c r="M32" s="82" t="e">
        <f>SUMIF(#REF!, 'KEUANGAN INTERNAL AKRE 2025'!B32,#REF!)+
SUMIF(#REF!, 'KEUANGAN INTERNAL AKRE 2025'!B32,#REF!)+
SUMIF(#REF!, 'KEUANGAN INTERNAL AKRE 2025'!B32,#REF!)+
SUMIF(#REF!, 'KEUANGAN INTERNAL AKRE 2025'!B32,#REF!)+
SUMIF(#REF!, 'KEUANGAN INTERNAL AKRE 2025'!B32,#REF!)+
SUMIF(#REF!, 'KEUANGAN INTERNAL AKRE 2025'!B32,#REF!)</f>
        <v>#REF!</v>
      </c>
      <c r="N32" s="82" t="e">
        <f>SUMIF(#REF!, 'KEUANGAN INTERNAL AKRE 2025'!B32,#REF!)+
SUMIF(#REF!, 'KEUANGAN INTERNAL AKRE 2025'!B32,#REF!)+
SUMIF(#REF!, 'KEUANGAN INTERNAL AKRE 2025'!B32,#REF!)+
SUMIF(#REF!, 'KEUANGAN INTERNAL AKRE 2025'!B32,#REF!)+
SUMIF(#REF!,'KEUANGAN INTERNAL AKRE 2025'!B32,#REF!)+
SUMIF(#REF!,'KEUANGAN INTERNAL AKRE 2025'!B32,#REF!)+
SUMIF(#REF!,'KEUANGAN INTERNAL AKRE 2025'!B32,#REF!)</f>
        <v>#REF!</v>
      </c>
      <c r="O32" s="80" t="e">
        <f t="shared" si="0"/>
        <v>#REF!</v>
      </c>
      <c r="Q32" s="814"/>
      <c r="R32" s="64">
        <v>5</v>
      </c>
      <c r="S32" s="65" t="s">
        <v>51</v>
      </c>
      <c r="T32" s="82" t="e">
        <f>SUMIF(#REF!,VLOOKUP(S32,#REF!,1,FALSE),#REF!)+SUMIF(#REF!,VLOOKUP(S32,#REF!,1,FALSE),#REF!)+SUMIF(#REF!,VLOOKUP(S32,#REF!,1,FALSE),#REF!)+SUMIF(#REF!,VLOOKUP(S32,#REF!,1,FALSE),#REF!)+SUMIF(#REF!,VLOOKUP(S32,#REF!,1,FALSE),#REF!)</f>
        <v>#REF!</v>
      </c>
      <c r="U32" s="82" t="e">
        <f>SUMIF(#REF!,VLOOKUP(S32,#REF!,1,FALSE),#REF!)+SUMIF(#REF!,VLOOKUP(S32,#REF!,1,FALSE),#REF!)+SUMIF(#REF!,VLOOKUP(S32,#REF!,1,FALSE),#REF!)+SUMIF(#REF!,VLOOKUP('KEUANGAN INTERNAL AKRE 2025'!S32,#REF!,1,FALSE),#REF!)+SUMIF(#REF!,VLOOKUP(S32,#REF!,1,FALSE),#REF!)</f>
        <v>#REF!</v>
      </c>
      <c r="V32" s="82" t="e">
        <f>SUMIF(#REF!,VLOOKUP(S32,#REF!,1,FALSE),#REF!)+SUMIF(#REF!,VLOOKUP(S32,#REF!,1,FALSE),#REF!)+SUMIF(#REF!,VLOOKUP(S32,#REF!,1,FALSE),#REF!)+SUMIF(#REF!,VLOOKUP(S32,#REF!,1,FALSE),#REF!)+SUMIF(#REF!,VLOOKUP(S32,#REF!,1,FALSE),#REF!)</f>
        <v>#REF!</v>
      </c>
      <c r="W32" s="82" t="e">
        <f>SUMIF(#REF!,VLOOKUP(S32,#REF!,1,FALSE),#REF!)+SUMIF(#REF!,VLOOKUP(S32,#REF!,1,FALSE),#REF!)+SUMIF(#REF!,VLOOKUP(S32,#REF!,1,FALSE),#REF!)+SUMIF(#REF!,VLOOKUP('KEUANGAN INTERNAL AKRE 2025'!S32,#REF!,1,FALSE),#REF!)+SUMIF(#REF!,VLOOKUP(S32,#REF!,1,FALSE),#REF!)</f>
        <v>#REF!</v>
      </c>
      <c r="X32" s="82" t="e">
        <f>SUMIF(#REF!,VLOOKUP(S32,#REF!,1,FALSE),#REF!)+SUMIF(#REF!,VLOOKUP(S32,#REF!,1,FALSE),#REF!)+SUMIF(#REF!,VLOOKUP(S32,#REF!,1,FALSE),#REF!)+SUMIF(#REF!,VLOOKUP(S32,#REF!,1,FALSE),#REF!)+SUMIF(#REF!,VLOOKUP(S32,#REF!,1,FALSE),#REF!)</f>
        <v>#REF!</v>
      </c>
      <c r="Y32" s="82" t="e">
        <f>SUMIF(#REF!,VLOOKUP(S32,#REF!,1,FALSE),#REF!)+SUMIF(#REF!,VLOOKUP(S32,#REF!,1,FALSE),#REF!)+SUMIF(#REF!,VLOOKUP(B30,#REF!,1,FALSE),#REF!)+SUMIF(#REF!,VLOOKUP('KEUANGAN INTERNAL AKRE 2025'!S32,#REF!,1,FALSE),#REF!)+SUMIF(#REF!,VLOOKUP(S32,#REF!,1,FALSE),#REF!)</f>
        <v>#REF!</v>
      </c>
    </row>
    <row r="33" spans="1:25">
      <c r="A33" s="746" t="s">
        <v>160</v>
      </c>
      <c r="B33" s="747" t="s">
        <v>24</v>
      </c>
      <c r="C33" s="11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D33" s="82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E33" s="81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F33" s="82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G33" s="82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H33" s="82" t="e">
        <f>SUMIF(#REF!, 'KEUANGAN INTERNAL AKRE 2025'!B33,#REF!)+
SUMIF(#REF!, 'KEUANGAN INTERNAL AKRE 2025'!B33,#REF!)+
SUMIF(#REF!, 'KEUANGAN INTERNAL AKRE 2025'!B33,#REF!)+
SUMIF(#REF!, 'KEUANGAN INTERNAL AKRE 2025'!B33,#REF!)</f>
        <v>#REF!</v>
      </c>
      <c r="I33" s="82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J33" s="82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</f>
        <v>#REF!</v>
      </c>
      <c r="K33" s="82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L33" s="82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2025'!B33,#REF!)+
SUMIF(#REF!,'KEUANGAN INTERNAL AKRE 2025'!B33,#REF!)</f>
        <v>#REF!</v>
      </c>
      <c r="M33" s="82" t="e">
        <f>SUMIF(#REF!, 'KEUANGAN INTERNAL AKRE 2025'!B33,#REF!)+
SUMIF(#REF!, 'KEUANGAN INTERNAL AKRE 2025'!B33,#REF!)+
SUMIF(#REF!, 'KEUANGAN INTERNAL AKRE 2025'!B33,#REF!)+
SUMIF(#REF!, 'KEUANGAN INTERNAL AKRE 2025'!B33,#REF!)+
SUMIF(#REF!, 'KEUANGAN INTERNAL AKRE 2025'!B33,#REF!)+
SUMIF(#REF!, 'KEUANGAN INTERNAL AKRE 2025'!B33,#REF!)</f>
        <v>#REF!</v>
      </c>
      <c r="N33" s="82" t="e">
        <f>SUMIF(#REF!, 'KEUANGAN INTERNAL AKRE 2025'!B33,#REF!)+
SUMIF(#REF!, 'KEUANGAN INTERNAL AKRE 2025'!B33,#REF!)+
SUMIF(#REF!, 'KEUANGAN INTERNAL AKRE 2025'!B33,#REF!)+
SUMIF(#REF!, 'KEUANGAN INTERNAL AKRE 2025'!B33,#REF!)+
SUMIF(#REF!,'KEUANGAN INTERNAL AKRE 2025'!B33,#REF!)+
SUMIF(#REF!,'KEUANGAN INTERNAL AKRE 2025'!B33,#REF!)+
SUMIF(#REF!,'KEUANGAN INTERNAL AKRE 2025'!B33,#REF!)</f>
        <v>#REF!</v>
      </c>
      <c r="O33" s="80" t="e">
        <f t="shared" si="0"/>
        <v>#REF!</v>
      </c>
      <c r="Q33" s="814"/>
      <c r="R33" s="64">
        <v>6</v>
      </c>
      <c r="S33" s="65" t="s">
        <v>18</v>
      </c>
      <c r="T33" s="82" t="e">
        <f>SUMIF(#REF!,VLOOKUP(S33,#REF!,1,FALSE),#REF!)+SUMIF(#REF!,VLOOKUP(S33,#REF!,1,FALSE),#REF!)+SUMIF(#REF!,VLOOKUP(S33,#REF!,1,FALSE),#REF!)+SUMIF(#REF!,VLOOKUP(S33,#REF!,1,FALSE),#REF!)+SUMIF(#REF!,VLOOKUP(S33,#REF!,1,FALSE),#REF!)</f>
        <v>#REF!</v>
      </c>
      <c r="U33" s="82" t="e">
        <f>SUMIF(#REF!,VLOOKUP(S33,#REF!,1,FALSE),#REF!)+SUMIF(#REF!,VLOOKUP(S33,#REF!,1,FALSE),#REF!)+SUMIF(#REF!,VLOOKUP(S33,#REF!,1,FALSE),#REF!)+SUMIF(#REF!,VLOOKUP('KEUANGAN INTERNAL AKRE 2025'!S33,#REF!,1,FALSE),#REF!)+SUMIF(#REF!,VLOOKUP(S33,#REF!,1,FALSE),#REF!)</f>
        <v>#REF!</v>
      </c>
      <c r="V33" s="82" t="e">
        <f>SUMIF(#REF!,VLOOKUP(S33,#REF!,1,FALSE),#REF!)+SUMIF(#REF!,VLOOKUP(S33,#REF!,1,FALSE),#REF!)+SUMIF(#REF!,VLOOKUP(S33,#REF!,1,FALSE),#REF!)+SUMIF(#REF!,VLOOKUP(S33,#REF!,1,FALSE),#REF!)+SUMIF(#REF!,VLOOKUP(S33,#REF!,1,FALSE),#REF!)</f>
        <v>#REF!</v>
      </c>
      <c r="W33" s="82" t="e">
        <f>SUMIF(#REF!,VLOOKUP(S33,#REF!,1,FALSE),#REF!)+SUMIF(#REF!,VLOOKUP(S33,#REF!,1,FALSE),#REF!)+SUMIF(#REF!,VLOOKUP(S33,#REF!,1,FALSE),#REF!)+SUMIF(#REF!,VLOOKUP('KEUANGAN INTERNAL AKRE 2025'!S33,#REF!,1,FALSE),#REF!)+SUMIF(#REF!,VLOOKUP(S33,#REF!,1,FALSE),#REF!)</f>
        <v>#REF!</v>
      </c>
      <c r="X33" s="82" t="e">
        <f>SUMIF(#REF!,VLOOKUP(S33,#REF!,1,FALSE),#REF!)+SUMIF(#REF!,VLOOKUP(S33,#REF!,1,FALSE),#REF!)+SUMIF(#REF!,VLOOKUP(S33,#REF!,1,FALSE),#REF!)+SUMIF(#REF!,VLOOKUP(S33,#REF!,1,FALSE),#REF!)+SUMIF(#REF!,VLOOKUP(S33,#REF!,1,FALSE),#REF!)</f>
        <v>#REF!</v>
      </c>
      <c r="Y33" s="82" t="e">
        <f>SUMIF(#REF!,VLOOKUP(S33,#REF!,1,FALSE),#REF!)+SUMIF(#REF!,VLOOKUP(S33,#REF!,1,FALSE),#REF!)+SUMIF(#REF!,VLOOKUP(B31,#REF!,1,FALSE),#REF!)+SUMIF(#REF!,VLOOKUP('KEUANGAN INTERNAL AKRE 2025'!S33,#REF!,1,FALSE),#REF!)+SUMIF(#REF!,VLOOKUP(S33,#REF!,1,FALSE),#REF!)</f>
        <v>#REF!</v>
      </c>
    </row>
    <row r="34" spans="1:25" ht="12.6" customHeight="1">
      <c r="A34" s="746" t="s">
        <v>160</v>
      </c>
      <c r="B34" s="748" t="s">
        <v>88</v>
      </c>
      <c r="C34" s="11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D34" s="82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E34" s="81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F34" s="82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G34" s="82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H34" s="82" t="e">
        <f>SUMIF(#REF!, 'KEUANGAN INTERNAL AKRE 2025'!B34,#REF!)+
SUMIF(#REF!, 'KEUANGAN INTERNAL AKRE 2025'!B34,#REF!)+
SUMIF(#REF!, 'KEUANGAN INTERNAL AKRE 2025'!B34,#REF!)+
SUMIF(#REF!, 'KEUANGAN INTERNAL AKRE 2025'!B34,#REF!)</f>
        <v>#REF!</v>
      </c>
      <c r="I34" s="82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J34" s="82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</f>
        <v>#REF!</v>
      </c>
      <c r="K34" s="82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L34" s="82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2025'!B34,#REF!)+
SUMIF(#REF!,'KEUANGAN INTERNAL AKRE 2025'!B34,#REF!)</f>
        <v>#REF!</v>
      </c>
      <c r="M34" s="82" t="e">
        <f>SUMIF(#REF!, 'KEUANGAN INTERNAL AKRE 2025'!B34,#REF!)+
SUMIF(#REF!, 'KEUANGAN INTERNAL AKRE 2025'!B34,#REF!)+
SUMIF(#REF!, 'KEUANGAN INTERNAL AKRE 2025'!B34,#REF!)+
SUMIF(#REF!, 'KEUANGAN INTERNAL AKRE 2025'!B34,#REF!)+
SUMIF(#REF!, 'KEUANGAN INTERNAL AKRE 2025'!B34,#REF!)+
SUMIF(#REF!, 'KEUANGAN INTERNAL AKRE 2025'!B34,#REF!)</f>
        <v>#REF!</v>
      </c>
      <c r="N34" s="82" t="e">
        <f>SUMIF(#REF!, 'KEUANGAN INTERNAL AKRE 2025'!B34,#REF!)+
SUMIF(#REF!, 'KEUANGAN INTERNAL AKRE 2025'!B34,#REF!)+
SUMIF(#REF!, 'KEUANGAN INTERNAL AKRE 2025'!B34,#REF!)+
SUMIF(#REF!, 'KEUANGAN INTERNAL AKRE 2025'!B34,#REF!)+
SUMIF(#REF!,'KEUANGAN INTERNAL AKRE 2025'!B34,#REF!)+
SUMIF(#REF!,'KEUANGAN INTERNAL AKRE 2025'!B34,#REF!)+
SUMIF(#REF!,'KEUANGAN INTERNAL AKRE 2025'!B34,#REF!)</f>
        <v>#REF!</v>
      </c>
      <c r="O34" s="80" t="e">
        <f t="shared" si="0"/>
        <v>#REF!</v>
      </c>
      <c r="Q34" s="814"/>
      <c r="R34" s="64">
        <v>7</v>
      </c>
      <c r="S34" s="65" t="s">
        <v>20</v>
      </c>
      <c r="T34" s="82" t="e">
        <f>SUMIF(#REF!,VLOOKUP(S34,#REF!,1,FALSE),#REF!)+SUMIF(#REF!,VLOOKUP(S34,#REF!,1,FALSE),#REF!)+SUMIF(#REF!,VLOOKUP(S34,#REF!,1,FALSE),#REF!)+SUMIF(#REF!,VLOOKUP(S34,#REF!,1,FALSE),#REF!)+SUMIF(#REF!,VLOOKUP(S34,#REF!,1,FALSE),#REF!)</f>
        <v>#REF!</v>
      </c>
      <c r="U34" s="82" t="e">
        <f>SUMIF(#REF!,VLOOKUP(S34,#REF!,1,FALSE),#REF!)+SUMIF(#REF!,VLOOKUP(S34,#REF!,1,FALSE),#REF!)+SUMIF(#REF!,VLOOKUP(S34,#REF!,1,FALSE),#REF!)+SUMIF(#REF!,VLOOKUP('KEUANGAN INTERNAL AKRE 2025'!S34,#REF!,1,FALSE),#REF!)+SUMIF(#REF!,VLOOKUP(S34,#REF!,1,FALSE),#REF!)</f>
        <v>#REF!</v>
      </c>
      <c r="V34" s="82" t="e">
        <f>SUMIF(#REF!,VLOOKUP(S34,#REF!,1,FALSE),#REF!)+SUMIF(#REF!,VLOOKUP(S34,#REF!,1,FALSE),#REF!)+SUMIF(#REF!,VLOOKUP(S34,#REF!,1,FALSE),#REF!)+SUMIF(#REF!,VLOOKUP(S34,#REF!,1,FALSE),#REF!)+SUMIF(#REF!,VLOOKUP(S34,#REF!,1,FALSE),#REF!)</f>
        <v>#REF!</v>
      </c>
      <c r="W34" s="82" t="e">
        <f>SUMIF(#REF!,VLOOKUP(S34,#REF!,1,FALSE),#REF!)+SUMIF(#REF!,VLOOKUP(S34,#REF!,1,FALSE),#REF!)+SUMIF(#REF!,VLOOKUP(S34,#REF!,1,FALSE),#REF!)+SUMIF(#REF!,VLOOKUP('KEUANGAN INTERNAL AKRE 2025'!S34,#REF!,1,FALSE),#REF!)+SUMIF(#REF!,VLOOKUP(S34,#REF!,1,FALSE),#REF!)</f>
        <v>#REF!</v>
      </c>
      <c r="X34" s="82" t="e">
        <f>SUMIF(#REF!,VLOOKUP(S34,#REF!,1,FALSE),#REF!)+SUMIF(#REF!,VLOOKUP(S34,#REF!,1,FALSE),#REF!)+SUMIF(#REF!,VLOOKUP(S34,#REF!,1,FALSE),#REF!)+SUMIF(#REF!,VLOOKUP(S34,#REF!,1,FALSE),#REF!)+SUMIF(#REF!,VLOOKUP(S34,#REF!,1,FALSE),#REF!)</f>
        <v>#REF!</v>
      </c>
      <c r="Y34" s="82" t="e">
        <f>SUMIF(#REF!,VLOOKUP(S34,#REF!,1,FALSE),#REF!)+SUMIF(#REF!,VLOOKUP(S34,#REF!,1,FALSE),#REF!)+SUMIF(#REF!,VLOOKUP(B32,#REF!,1,FALSE),#REF!)+SUMIF(#REF!,VLOOKUP('KEUANGAN INTERNAL AKRE 2025'!S34,#REF!,1,FALSE),#REF!)+SUMIF(#REF!,VLOOKUP(S34,#REF!,1,FALSE),#REF!)</f>
        <v>#REF!</v>
      </c>
    </row>
    <row r="35" spans="1:25" ht="12.6" customHeight="1">
      <c r="A35" s="746" t="s">
        <v>160</v>
      </c>
      <c r="B35" s="748" t="s">
        <v>6</v>
      </c>
      <c r="C35" s="11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D35" s="82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E35" s="81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F35" s="82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G35" s="82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H35" s="82" t="e">
        <f>SUMIF(#REF!, 'KEUANGAN INTERNAL AKRE 2025'!B35,#REF!)+
SUMIF(#REF!, 'KEUANGAN INTERNAL AKRE 2025'!B35,#REF!)+
SUMIF(#REF!, 'KEUANGAN INTERNAL AKRE 2025'!B35,#REF!)+
SUMIF(#REF!, 'KEUANGAN INTERNAL AKRE 2025'!B35,#REF!)</f>
        <v>#REF!</v>
      </c>
      <c r="I35" s="82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J35" s="82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</f>
        <v>#REF!</v>
      </c>
      <c r="K35" s="82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L35" s="82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2025'!B35,#REF!)+
SUMIF(#REF!,'KEUANGAN INTERNAL AKRE 2025'!B35,#REF!)</f>
        <v>#REF!</v>
      </c>
      <c r="M35" s="82" t="e">
        <f>SUMIF(#REF!, 'KEUANGAN INTERNAL AKRE 2025'!B35,#REF!)+
SUMIF(#REF!, 'KEUANGAN INTERNAL AKRE 2025'!B35,#REF!)+
SUMIF(#REF!, 'KEUANGAN INTERNAL AKRE 2025'!B35,#REF!)+
SUMIF(#REF!, 'KEUANGAN INTERNAL AKRE 2025'!B35,#REF!)+
SUMIF(#REF!, 'KEUANGAN INTERNAL AKRE 2025'!B35,#REF!)+
SUMIF(#REF!, 'KEUANGAN INTERNAL AKRE 2025'!B35,#REF!)</f>
        <v>#REF!</v>
      </c>
      <c r="N35" s="82" t="e">
        <f>SUMIF(#REF!, 'KEUANGAN INTERNAL AKRE 2025'!B35,#REF!)+
SUMIF(#REF!, 'KEUANGAN INTERNAL AKRE 2025'!B35,#REF!)+
SUMIF(#REF!, 'KEUANGAN INTERNAL AKRE 2025'!B35,#REF!)+
SUMIF(#REF!, 'KEUANGAN INTERNAL AKRE 2025'!B35,#REF!)+
SUMIF(#REF!,'KEUANGAN INTERNAL AKRE 2025'!B35,#REF!)+
SUMIF(#REF!,'KEUANGAN INTERNAL AKRE 2025'!B35,#REF!)+
SUMIF(#REF!,'KEUANGAN INTERNAL AKRE 2025'!B35,#REF!)</f>
        <v>#REF!</v>
      </c>
      <c r="O35" s="80" t="e">
        <f t="shared" si="0"/>
        <v>#REF!</v>
      </c>
      <c r="Q35" s="814"/>
      <c r="R35" s="64">
        <v>8</v>
      </c>
      <c r="S35" s="65" t="s">
        <v>73</v>
      </c>
      <c r="T35" s="82" t="e">
        <f>SUMIF(#REF!,VLOOKUP(S35,#REF!,1,FALSE),#REF!)+SUMIF(#REF!,VLOOKUP(S35,#REF!,1,FALSE),#REF!)+SUMIF(#REF!,VLOOKUP(S35,#REF!,1,FALSE),#REF!)+SUMIF(#REF!,VLOOKUP(S35,#REF!,1,FALSE),#REF!)+SUMIF(#REF!,VLOOKUP(S35,#REF!,1,FALSE),#REF!)</f>
        <v>#REF!</v>
      </c>
      <c r="U35" s="82" t="e">
        <f>SUMIF(#REF!,VLOOKUP(S35,#REF!,1,FALSE),#REF!)+SUMIF(#REF!,VLOOKUP(S35,#REF!,1,FALSE),#REF!)+SUMIF(#REF!,VLOOKUP(S35,#REF!,1,FALSE),#REF!)+SUMIF(#REF!,VLOOKUP('KEUANGAN INTERNAL AKRE 2025'!S35,#REF!,1,FALSE),#REF!)+SUMIF(#REF!,VLOOKUP(S35,#REF!,1,FALSE),#REF!)</f>
        <v>#REF!</v>
      </c>
      <c r="V35" s="82" t="e">
        <f>SUMIF(#REF!,VLOOKUP(S35,#REF!,1,FALSE),#REF!)+SUMIF(#REF!,VLOOKUP(S35,#REF!,1,FALSE),#REF!)+SUMIF(#REF!,VLOOKUP(S35,#REF!,1,FALSE),#REF!)+SUMIF(#REF!,VLOOKUP(S35,#REF!,1,FALSE),#REF!)+SUMIF(#REF!,VLOOKUP(S35,#REF!,1,FALSE),#REF!)</f>
        <v>#REF!</v>
      </c>
      <c r="W35" s="82" t="e">
        <f>SUMIF(#REF!,VLOOKUP(S35,#REF!,1,FALSE),#REF!)+SUMIF(#REF!,VLOOKUP(S35,#REF!,1,FALSE),#REF!)+SUMIF(#REF!,VLOOKUP(S35,#REF!,1,FALSE),#REF!)+SUMIF(#REF!,VLOOKUP('KEUANGAN INTERNAL AKRE 2025'!S35,#REF!,1,FALSE),#REF!)+SUMIF(#REF!,VLOOKUP(S35,#REF!,1,FALSE),#REF!)</f>
        <v>#REF!</v>
      </c>
      <c r="X35" s="82" t="e">
        <f>SUMIF(#REF!,VLOOKUP(S35,#REF!,1,FALSE),#REF!)+SUMIF(#REF!,VLOOKUP(S35,#REF!,1,FALSE),#REF!)+SUMIF(#REF!,VLOOKUP(S35,#REF!,1,FALSE),#REF!)+SUMIF(#REF!,VLOOKUP(S35,#REF!,1,FALSE),#REF!)+SUMIF(#REF!,VLOOKUP(S35,#REF!,1,FALSE),#REF!)</f>
        <v>#REF!</v>
      </c>
      <c r="Y35" s="82" t="e">
        <f>SUMIF(#REF!,VLOOKUP(S35,#REF!,1,FALSE),#REF!)+SUMIF(#REF!,VLOOKUP(S35,#REF!,1,FALSE),#REF!)+SUMIF(#REF!,VLOOKUP(B33,#REF!,1,FALSE),#REF!)+SUMIF(#REF!,VLOOKUP('KEUANGAN INTERNAL AKRE 2025'!S35,#REF!,1,FALSE),#REF!)+SUMIF(#REF!,VLOOKUP(S35,#REF!,1,FALSE),#REF!)</f>
        <v>#REF!</v>
      </c>
    </row>
    <row r="36" spans="1:25" ht="14.1" customHeight="1">
      <c r="A36" s="746" t="s">
        <v>160</v>
      </c>
      <c r="B36" s="748" t="s">
        <v>29</v>
      </c>
      <c r="C36" s="11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D36" s="82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E36" s="81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F36" s="82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G36" s="82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H36" s="82" t="e">
        <f>SUMIF(#REF!, 'KEUANGAN INTERNAL AKRE 2025'!B36,#REF!)+
SUMIF(#REF!, 'KEUANGAN INTERNAL AKRE 2025'!B36,#REF!)+
SUMIF(#REF!, 'KEUANGAN INTERNAL AKRE 2025'!B36,#REF!)+
SUMIF(#REF!, 'KEUANGAN INTERNAL AKRE 2025'!B36,#REF!)</f>
        <v>#REF!</v>
      </c>
      <c r="I36" s="82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J36" s="82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</f>
        <v>#REF!</v>
      </c>
      <c r="K36" s="82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L36" s="82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2025'!B36,#REF!)+
SUMIF(#REF!,'KEUANGAN INTERNAL AKRE 2025'!B36,#REF!)</f>
        <v>#REF!</v>
      </c>
      <c r="M36" s="82" t="e">
        <f>SUMIF(#REF!, 'KEUANGAN INTERNAL AKRE 2025'!B36,#REF!)+
SUMIF(#REF!, 'KEUANGAN INTERNAL AKRE 2025'!B36,#REF!)+
SUMIF(#REF!, 'KEUANGAN INTERNAL AKRE 2025'!B36,#REF!)+
SUMIF(#REF!, 'KEUANGAN INTERNAL AKRE 2025'!B36,#REF!)+
SUMIF(#REF!, 'KEUANGAN INTERNAL AKRE 2025'!B36,#REF!)+
SUMIF(#REF!, 'KEUANGAN INTERNAL AKRE 2025'!B36,#REF!)</f>
        <v>#REF!</v>
      </c>
      <c r="N36" s="82" t="e">
        <f>SUMIF(#REF!, 'KEUANGAN INTERNAL AKRE 2025'!B36,#REF!)+
SUMIF(#REF!, 'KEUANGAN INTERNAL AKRE 2025'!B36,#REF!)+
SUMIF(#REF!, 'KEUANGAN INTERNAL AKRE 2025'!B36,#REF!)+
SUMIF(#REF!, 'KEUANGAN INTERNAL AKRE 2025'!B36,#REF!)+
SUMIF(#REF!,'KEUANGAN INTERNAL AKRE 2025'!B36,#REF!)+
SUMIF(#REF!,'KEUANGAN INTERNAL AKRE 2025'!B36,#REF!)+
SUMIF(#REF!,'KEUANGAN INTERNAL AKRE 2025'!B36,#REF!)</f>
        <v>#REF!</v>
      </c>
      <c r="O36" s="80" t="e">
        <f t="shared" si="0"/>
        <v>#REF!</v>
      </c>
      <c r="Q36" s="814" t="s">
        <v>169</v>
      </c>
      <c r="R36" s="64">
        <v>1</v>
      </c>
      <c r="S36" s="65" t="s">
        <v>13</v>
      </c>
      <c r="T36" s="82" t="e">
        <f>SUMIF(#REF!,VLOOKUP(S36,#REF!,1,FALSE),#REF!)+SUMIF(#REF!,VLOOKUP(S36,#REF!,1,FALSE),#REF!)+SUMIF(#REF!,VLOOKUP(S36,#REF!,1,FALSE),#REF!)+SUMIF(#REF!,VLOOKUP(S36,#REF!,1,FALSE),#REF!)+SUMIF(#REF!,VLOOKUP(S36,#REF!,1,FALSE),#REF!)</f>
        <v>#REF!</v>
      </c>
      <c r="U36" s="82" t="e">
        <f>SUMIF(#REF!,VLOOKUP(S36,#REF!,1,FALSE),#REF!)+SUMIF(#REF!,VLOOKUP(S36,#REF!,1,FALSE),#REF!)+SUMIF(#REF!,VLOOKUP(S36,#REF!,1,FALSE),#REF!)+SUMIF(#REF!,VLOOKUP('KEUANGAN INTERNAL AKRE 2025'!S36,#REF!,1,FALSE),#REF!)+SUMIF(#REF!,VLOOKUP(S36,#REF!,1,FALSE),#REF!)</f>
        <v>#REF!</v>
      </c>
      <c r="V36" s="82" t="e">
        <f>SUMIF(#REF!,VLOOKUP(S36,#REF!,1,FALSE),#REF!)+SUMIF(#REF!,VLOOKUP(S36,#REF!,1,FALSE),#REF!)+SUMIF(#REF!,VLOOKUP(S36,#REF!,1,FALSE),#REF!)+SUMIF(#REF!,VLOOKUP(S36,#REF!,1,FALSE),#REF!)+SUMIF(#REF!,VLOOKUP(S36,#REF!,1,FALSE),#REF!)</f>
        <v>#REF!</v>
      </c>
      <c r="W36" s="82" t="e">
        <f>SUMIF(#REF!,VLOOKUP(S36,#REF!,1,FALSE),#REF!)+SUMIF(#REF!,VLOOKUP(S36,#REF!,1,FALSE),#REF!)+SUMIF(#REF!,VLOOKUP(S36,#REF!,1,FALSE),#REF!)+SUMIF(#REF!,VLOOKUP('KEUANGAN INTERNAL AKRE 2025'!S36,#REF!,1,FALSE),#REF!)+SUMIF(#REF!,VLOOKUP(S36,#REF!,1,FALSE),#REF!)</f>
        <v>#REF!</v>
      </c>
      <c r="X36" s="82" t="e">
        <f>SUMIF(#REF!,VLOOKUP(S36,#REF!,1,FALSE),#REF!)+SUMIF(#REF!,VLOOKUP(S36,#REF!,1,FALSE),#REF!)+SUMIF(#REF!,VLOOKUP(S36,#REF!,1,FALSE),#REF!)+SUMIF(#REF!,VLOOKUP(S36,#REF!,1,FALSE),#REF!)+SUMIF(#REF!,VLOOKUP(S36,#REF!,1,FALSE),#REF!)</f>
        <v>#REF!</v>
      </c>
      <c r="Y36" s="82" t="e">
        <f>SUMIF(#REF!,VLOOKUP(S36,#REF!,1,FALSE),#REF!)+SUMIF(#REF!,VLOOKUP(S36,#REF!,1,FALSE),#REF!)+SUMIF(#REF!,VLOOKUP(B34,#REF!,1,FALSE),#REF!)+SUMIF(#REF!,VLOOKUP('KEUANGAN INTERNAL AKRE 2025'!S36,#REF!,1,FALSE),#REF!)+SUMIF(#REF!,VLOOKUP(S36,#REF!,1,FALSE),#REF!)</f>
        <v>#REF!</v>
      </c>
    </row>
    <row r="37" spans="1:25" ht="14.1" customHeight="1">
      <c r="A37" s="746" t="s">
        <v>160</v>
      </c>
      <c r="B37" s="748" t="s">
        <v>40</v>
      </c>
      <c r="C37" s="11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D37" s="82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E37" s="81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F37" s="82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G37" s="82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H37" s="82" t="e">
        <f>SUMIF(#REF!, 'KEUANGAN INTERNAL AKRE 2025'!B37,#REF!)+
SUMIF(#REF!, 'KEUANGAN INTERNAL AKRE 2025'!B37,#REF!)+
SUMIF(#REF!, 'KEUANGAN INTERNAL AKRE 2025'!B37,#REF!)+
SUMIF(#REF!, 'KEUANGAN INTERNAL AKRE 2025'!B37,#REF!)</f>
        <v>#REF!</v>
      </c>
      <c r="I37" s="82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J37" s="82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</f>
        <v>#REF!</v>
      </c>
      <c r="K37" s="82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L37" s="82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2025'!B37,#REF!)+
SUMIF(#REF!,'KEUANGAN INTERNAL AKRE 2025'!B37,#REF!)</f>
        <v>#REF!</v>
      </c>
      <c r="M37" s="82" t="e">
        <f>SUMIF(#REF!, 'KEUANGAN INTERNAL AKRE 2025'!B37,#REF!)+
SUMIF(#REF!, 'KEUANGAN INTERNAL AKRE 2025'!B37,#REF!)+
SUMIF(#REF!, 'KEUANGAN INTERNAL AKRE 2025'!B37,#REF!)+
SUMIF(#REF!, 'KEUANGAN INTERNAL AKRE 2025'!B37,#REF!)+
SUMIF(#REF!, 'KEUANGAN INTERNAL AKRE 2025'!B37,#REF!)+
SUMIF(#REF!, 'KEUANGAN INTERNAL AKRE 2025'!B37,#REF!)</f>
        <v>#REF!</v>
      </c>
      <c r="N37" s="82" t="e">
        <f>SUMIF(#REF!, 'KEUANGAN INTERNAL AKRE 2025'!B37,#REF!)+
SUMIF(#REF!, 'KEUANGAN INTERNAL AKRE 2025'!B37,#REF!)+
SUMIF(#REF!, 'KEUANGAN INTERNAL AKRE 2025'!B37,#REF!)+
SUMIF(#REF!, 'KEUANGAN INTERNAL AKRE 2025'!B37,#REF!)+
SUMIF(#REF!,'KEUANGAN INTERNAL AKRE 2025'!B37,#REF!)+
SUMIF(#REF!,'KEUANGAN INTERNAL AKRE 2025'!B37,#REF!)+
SUMIF(#REF!,'KEUANGAN INTERNAL AKRE 2025'!B37,#REF!)</f>
        <v>#REF!</v>
      </c>
      <c r="O37" s="80" t="e">
        <f t="shared" si="0"/>
        <v>#REF!</v>
      </c>
      <c r="Q37" s="814"/>
      <c r="R37" s="64">
        <v>2</v>
      </c>
      <c r="S37" s="65" t="s">
        <v>26</v>
      </c>
      <c r="T37" s="82" t="e">
        <f>SUMIF(#REF!,VLOOKUP(S37,#REF!,1,FALSE),#REF!)+SUMIF(#REF!,VLOOKUP(S37,#REF!,1,FALSE),#REF!)+SUMIF(#REF!,VLOOKUP(S37,#REF!,1,FALSE),#REF!)+SUMIF(#REF!,VLOOKUP(S37,#REF!,1,FALSE),#REF!)+SUMIF(#REF!,VLOOKUP(S37,#REF!,1,FALSE),#REF!)</f>
        <v>#REF!</v>
      </c>
      <c r="U37" s="82" t="e">
        <f>SUMIF(#REF!,VLOOKUP(S37,#REF!,1,FALSE),#REF!)+SUMIF(#REF!,VLOOKUP(S37,#REF!,1,FALSE),#REF!)+SUMIF(#REF!,VLOOKUP(S37,#REF!,1,FALSE),#REF!)+SUMIF(#REF!,VLOOKUP('KEUANGAN INTERNAL AKRE 2025'!S37,#REF!,1,FALSE),#REF!)+SUMIF(#REF!,VLOOKUP(S37,#REF!,1,FALSE),#REF!)</f>
        <v>#REF!</v>
      </c>
      <c r="V37" s="82" t="e">
        <f>SUMIF(#REF!,VLOOKUP(S37,#REF!,1,FALSE),#REF!)+SUMIF(#REF!,VLOOKUP(S37,#REF!,1,FALSE),#REF!)+SUMIF(#REF!,VLOOKUP(S37,#REF!,1,FALSE),#REF!)+SUMIF(#REF!,VLOOKUP(S37,#REF!,1,FALSE),#REF!)+SUMIF(#REF!,VLOOKUP(S37,#REF!,1,FALSE),#REF!)</f>
        <v>#REF!</v>
      </c>
      <c r="W37" s="82" t="e">
        <f>SUMIF(#REF!,VLOOKUP(S37,#REF!,1,FALSE),#REF!)+SUMIF(#REF!,VLOOKUP(S37,#REF!,1,FALSE),#REF!)+SUMIF(#REF!,VLOOKUP(S37,#REF!,1,FALSE),#REF!)+SUMIF(#REF!,VLOOKUP('KEUANGAN INTERNAL AKRE 2025'!S37,#REF!,1,FALSE),#REF!)+SUMIF(#REF!,VLOOKUP(S37,#REF!,1,FALSE),#REF!)</f>
        <v>#REF!</v>
      </c>
      <c r="X37" s="82" t="e">
        <f>SUMIF(#REF!,VLOOKUP(S37,#REF!,1,FALSE),#REF!)+SUMIF(#REF!,VLOOKUP(S37,#REF!,1,FALSE),#REF!)+SUMIF(#REF!,VLOOKUP(S37,#REF!,1,FALSE),#REF!)+SUMIF(#REF!,VLOOKUP(S37,#REF!,1,FALSE),#REF!)+SUMIF(#REF!,VLOOKUP(S37,#REF!,1,FALSE),#REF!)</f>
        <v>#REF!</v>
      </c>
      <c r="Y37" s="82" t="e">
        <f>SUMIF(#REF!,VLOOKUP(S37,#REF!,1,FALSE),#REF!)+SUMIF(#REF!,VLOOKUP(S37,#REF!,1,FALSE),#REF!)+SUMIF(#REF!,VLOOKUP(B35,#REF!,1,FALSE),#REF!)+SUMIF(#REF!,VLOOKUP('KEUANGAN INTERNAL AKRE 2025'!S37,#REF!,1,FALSE),#REF!)+SUMIF(#REF!,VLOOKUP(S37,#REF!,1,FALSE),#REF!)</f>
        <v>#REF!</v>
      </c>
    </row>
    <row r="38" spans="1:25" ht="14.1" customHeight="1">
      <c r="A38" s="746" t="s">
        <v>160</v>
      </c>
      <c r="B38" s="748" t="s">
        <v>56</v>
      </c>
      <c r="C38" s="11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D38" s="82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E38" s="81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F38" s="82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G38" s="82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H38" s="82" t="e">
        <f>SUMIF(#REF!, 'KEUANGAN INTERNAL AKRE 2025'!B38,#REF!)+
SUMIF(#REF!, 'KEUANGAN INTERNAL AKRE 2025'!B38,#REF!)+
SUMIF(#REF!, 'KEUANGAN INTERNAL AKRE 2025'!B38,#REF!)+
SUMIF(#REF!, 'KEUANGAN INTERNAL AKRE 2025'!B38,#REF!)</f>
        <v>#REF!</v>
      </c>
      <c r="I38" s="82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J38" s="82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</f>
        <v>#REF!</v>
      </c>
      <c r="K38" s="82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L38" s="82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2025'!B38,#REF!)+
SUMIF(#REF!,'KEUANGAN INTERNAL AKRE 2025'!B38,#REF!)</f>
        <v>#REF!</v>
      </c>
      <c r="M38" s="82" t="e">
        <f>SUMIF(#REF!, 'KEUANGAN INTERNAL AKRE 2025'!B38,#REF!)+
SUMIF(#REF!, 'KEUANGAN INTERNAL AKRE 2025'!B38,#REF!)+
SUMIF(#REF!, 'KEUANGAN INTERNAL AKRE 2025'!B38,#REF!)+
SUMIF(#REF!, 'KEUANGAN INTERNAL AKRE 2025'!B38,#REF!)+
SUMIF(#REF!, 'KEUANGAN INTERNAL AKRE 2025'!B38,#REF!)+
SUMIF(#REF!, 'KEUANGAN INTERNAL AKRE 2025'!B38,#REF!)</f>
        <v>#REF!</v>
      </c>
      <c r="N38" s="82" t="e">
        <f>SUMIF(#REF!, 'KEUANGAN INTERNAL AKRE 2025'!B38,#REF!)+
SUMIF(#REF!, 'KEUANGAN INTERNAL AKRE 2025'!B38,#REF!)+
SUMIF(#REF!, 'KEUANGAN INTERNAL AKRE 2025'!B38,#REF!)+
SUMIF(#REF!, 'KEUANGAN INTERNAL AKRE 2025'!B38,#REF!)+
SUMIF(#REF!,'KEUANGAN INTERNAL AKRE 2025'!B38,#REF!)+
SUMIF(#REF!,'KEUANGAN INTERNAL AKRE 2025'!B38,#REF!)+
SUMIF(#REF!,'KEUANGAN INTERNAL AKRE 2025'!B38,#REF!)</f>
        <v>#REF!</v>
      </c>
      <c r="O38" s="80" t="e">
        <f t="shared" si="0"/>
        <v>#REF!</v>
      </c>
      <c r="Q38" s="814"/>
      <c r="R38" s="64">
        <v>3</v>
      </c>
      <c r="S38" s="66" t="s">
        <v>174</v>
      </c>
      <c r="T38" s="82" t="e">
        <f>SUMIF(#REF!,VLOOKUP(S38,#REF!,1,FALSE),#REF!)+SUMIF(#REF!,VLOOKUP(S38,#REF!,1,FALSE),#REF!)+SUMIF(#REF!,VLOOKUP(S38,#REF!,1,FALSE),#REF!)+SUMIF(#REF!,VLOOKUP(S38,#REF!,1,FALSE),#REF!)+SUMIF(#REF!,VLOOKUP(S38,#REF!,1,FALSE),#REF!)</f>
        <v>#REF!</v>
      </c>
      <c r="U38" s="82" t="e">
        <f>SUMIF(#REF!,VLOOKUP(S38,#REF!,1,FALSE),#REF!)+SUMIF(#REF!,VLOOKUP(S38,#REF!,1,FALSE),#REF!)+SUMIF(#REF!,VLOOKUP(S38,#REF!,1,FALSE),#REF!)+SUMIF(#REF!,VLOOKUP('KEUANGAN INTERNAL AKRE 2025'!S38,#REF!,1,FALSE),#REF!)+SUMIF(#REF!,VLOOKUP(S38,#REF!,1,FALSE),#REF!)</f>
        <v>#REF!</v>
      </c>
      <c r="V38" s="82" t="e">
        <f>SUMIF(#REF!,VLOOKUP(S38,#REF!,1,FALSE),#REF!)+SUMIF(#REF!,VLOOKUP(S38,#REF!,1,FALSE),#REF!)+SUMIF(#REF!,VLOOKUP(S38,#REF!,1,FALSE),#REF!)+SUMIF(#REF!,VLOOKUP(S38,#REF!,1,FALSE),#REF!)+SUMIF(#REF!,VLOOKUP(S38,#REF!,1,FALSE),#REF!)</f>
        <v>#REF!</v>
      </c>
      <c r="W38" s="82" t="e">
        <f>SUMIF(#REF!,VLOOKUP(S38,#REF!,1,FALSE),#REF!)+SUMIF(#REF!,VLOOKUP(S38,#REF!,1,FALSE),#REF!)+SUMIF(#REF!,VLOOKUP(S38,#REF!,1,FALSE),#REF!)+SUMIF(#REF!,VLOOKUP('KEUANGAN INTERNAL AKRE 2025'!S38,#REF!,1,FALSE),#REF!)+SUMIF(#REF!,VLOOKUP(S38,#REF!,1,FALSE),#REF!)</f>
        <v>#REF!</v>
      </c>
      <c r="X38" s="82" t="e">
        <f>SUMIF(#REF!,VLOOKUP(S38,#REF!,1,FALSE),#REF!)+SUMIF(#REF!,VLOOKUP(S38,#REF!,1,FALSE),#REF!)+SUMIF(#REF!,VLOOKUP(S38,#REF!,1,FALSE),#REF!)+SUMIF(#REF!,VLOOKUP(S38,#REF!,1,FALSE),#REF!)+SUMIF(#REF!,VLOOKUP(S38,#REF!,1,FALSE),#REF!)</f>
        <v>#REF!</v>
      </c>
      <c r="Y38" s="82" t="e">
        <f>SUMIF(#REF!,VLOOKUP(S38,#REF!,1,FALSE),#REF!)+SUMIF(#REF!,VLOOKUP(S38,#REF!,1,FALSE),#REF!)+SUMIF(#REF!,VLOOKUP(B36,#REF!,1,FALSE),#REF!)+SUMIF(#REF!,VLOOKUP('KEUANGAN INTERNAL AKRE 2025'!S38,#REF!,1,FALSE),#REF!)+SUMIF(#REF!,VLOOKUP(S38,#REF!,1,FALSE),#REF!)</f>
        <v>#REF!</v>
      </c>
    </row>
    <row r="39" spans="1:25" ht="14.1" customHeight="1">
      <c r="A39" s="746" t="s">
        <v>160</v>
      </c>
      <c r="B39" s="751" t="s">
        <v>50</v>
      </c>
      <c r="C39" s="11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D39" s="82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E39" s="81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F39" s="82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G39" s="82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H39" s="82" t="e">
        <f>SUMIF(#REF!, 'KEUANGAN INTERNAL AKRE 2025'!B39,#REF!)+
SUMIF(#REF!, 'KEUANGAN INTERNAL AKRE 2025'!B39,#REF!)+
SUMIF(#REF!, 'KEUANGAN INTERNAL AKRE 2025'!B39,#REF!)+
SUMIF(#REF!, 'KEUANGAN INTERNAL AKRE 2025'!B39,#REF!)</f>
        <v>#REF!</v>
      </c>
      <c r="I39" s="82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J39" s="82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</f>
        <v>#REF!</v>
      </c>
      <c r="K39" s="82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L39" s="82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2025'!B39,#REF!)+
SUMIF(#REF!,'KEUANGAN INTERNAL AKRE 2025'!B39,#REF!)</f>
        <v>#REF!</v>
      </c>
      <c r="M39" s="82" t="e">
        <f>SUMIF(#REF!, 'KEUANGAN INTERNAL AKRE 2025'!B39,#REF!)+
SUMIF(#REF!, 'KEUANGAN INTERNAL AKRE 2025'!B39,#REF!)+
SUMIF(#REF!, 'KEUANGAN INTERNAL AKRE 2025'!B39,#REF!)+
SUMIF(#REF!, 'KEUANGAN INTERNAL AKRE 2025'!B39,#REF!)+
SUMIF(#REF!, 'KEUANGAN INTERNAL AKRE 2025'!B39,#REF!)+
SUMIF(#REF!, 'KEUANGAN INTERNAL AKRE 2025'!B39,#REF!)</f>
        <v>#REF!</v>
      </c>
      <c r="N39" s="82" t="e">
        <f>SUMIF(#REF!, 'KEUANGAN INTERNAL AKRE 2025'!B39,#REF!)+
SUMIF(#REF!, 'KEUANGAN INTERNAL AKRE 2025'!B39,#REF!)+
SUMIF(#REF!, 'KEUANGAN INTERNAL AKRE 2025'!B39,#REF!)+
SUMIF(#REF!, 'KEUANGAN INTERNAL AKRE 2025'!B39,#REF!)+
SUMIF(#REF!,'KEUANGAN INTERNAL AKRE 2025'!B39,#REF!)+
SUMIF(#REF!,'KEUANGAN INTERNAL AKRE 2025'!B39,#REF!)+
SUMIF(#REF!,'KEUANGAN INTERNAL AKRE 2025'!B39,#REF!)</f>
        <v>#REF!</v>
      </c>
      <c r="O39" s="80" t="e">
        <f t="shared" si="0"/>
        <v>#REF!</v>
      </c>
      <c r="Q39" s="814"/>
      <c r="R39" s="64">
        <v>4</v>
      </c>
      <c r="S39" s="65" t="s">
        <v>775</v>
      </c>
      <c r="T39" s="82" t="e">
        <f>SUMIF(#REF!,VLOOKUP(S39,#REF!,1,FALSE),#REF!)+SUMIF(#REF!,VLOOKUP(S39,#REF!,1,FALSE),#REF!)+SUMIF(#REF!,VLOOKUP(S39,#REF!,1,FALSE),#REF!)+SUMIF(#REF!,VLOOKUP(S39,#REF!,1,FALSE),#REF!)+SUMIF(#REF!,VLOOKUP(S39,#REF!,1,FALSE),#REF!)</f>
        <v>#REF!</v>
      </c>
      <c r="U39" s="82" t="e">
        <f>SUMIF(#REF!,VLOOKUP(S39,#REF!,1,FALSE),#REF!)+SUMIF(#REF!,VLOOKUP(S39,#REF!,1,FALSE),#REF!)+SUMIF(#REF!,VLOOKUP(S39,#REF!,1,FALSE),#REF!)+SUMIF(#REF!,VLOOKUP('KEUANGAN INTERNAL AKRE 2025'!S39,#REF!,1,FALSE),#REF!)+SUMIF(#REF!,VLOOKUP(S39,#REF!,1,FALSE),#REF!)</f>
        <v>#REF!</v>
      </c>
      <c r="V39" s="82" t="e">
        <f>SUMIF(#REF!,VLOOKUP(S39,#REF!,1,FALSE),#REF!)+SUMIF(#REF!,VLOOKUP(S39,#REF!,1,FALSE),#REF!)+SUMIF(#REF!,VLOOKUP(S39,#REF!,1,FALSE),#REF!)+SUMIF(#REF!,VLOOKUP(S39,#REF!,1,FALSE),#REF!)+SUMIF(#REF!,VLOOKUP(S39,#REF!,1,FALSE),#REF!)</f>
        <v>#REF!</v>
      </c>
      <c r="W39" s="82" t="e">
        <f>SUMIF(#REF!,VLOOKUP(S39,#REF!,1,FALSE),#REF!)+SUMIF(#REF!,VLOOKUP(S39,#REF!,1,FALSE),#REF!)+SUMIF(#REF!,VLOOKUP(S39,#REF!,1,FALSE),#REF!)+SUMIF(#REF!,VLOOKUP('KEUANGAN INTERNAL AKRE 2025'!S39,#REF!,1,FALSE),#REF!)+SUMIF(#REF!,VLOOKUP(S39,#REF!,1,FALSE),#REF!)</f>
        <v>#REF!</v>
      </c>
      <c r="X39" s="82" t="e">
        <f>SUMIF(#REF!,VLOOKUP(S39,#REF!,1,FALSE),#REF!)+SUMIF(#REF!,VLOOKUP(S39,#REF!,1,FALSE),#REF!)+SUMIF(#REF!,VLOOKUP(S39,#REF!,1,FALSE),#REF!)+SUMIF(#REF!,VLOOKUP(S39,#REF!,1,FALSE),#REF!)+SUMIF(#REF!,VLOOKUP(S39,#REF!,1,FALSE),#REF!)</f>
        <v>#REF!</v>
      </c>
      <c r="Y39" s="82" t="e">
        <f>SUMIF(#REF!,VLOOKUP(S39,#REF!,1,FALSE),#REF!)+SUMIF(#REF!,VLOOKUP(S39,#REF!,1,FALSE),#REF!)+SUMIF(#REF!,VLOOKUP(B37,#REF!,1,FALSE),#REF!)+SUMIF(#REF!,VLOOKUP('KEUANGAN INTERNAL AKRE 2025'!S39,#REF!,1,FALSE),#REF!)+SUMIF(#REF!,VLOOKUP(S39,#REF!,1,FALSE),#REF!)</f>
        <v>#REF!</v>
      </c>
    </row>
    <row r="40" spans="1:25" ht="14.1" customHeight="1">
      <c r="A40" s="746" t="s">
        <v>160</v>
      </c>
      <c r="B40" s="749" t="s">
        <v>45</v>
      </c>
      <c r="C40" s="11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D40" s="82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E40" s="81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F40" s="82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G40" s="82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H40" s="82" t="e">
        <f>SUMIF(#REF!, 'KEUANGAN INTERNAL AKRE 2025'!B40,#REF!)+
SUMIF(#REF!, 'KEUANGAN INTERNAL AKRE 2025'!B40,#REF!)+
SUMIF(#REF!, 'KEUANGAN INTERNAL AKRE 2025'!B40,#REF!)+
SUMIF(#REF!, 'KEUANGAN INTERNAL AKRE 2025'!B40,#REF!)</f>
        <v>#REF!</v>
      </c>
      <c r="I40" s="82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J40" s="82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</f>
        <v>#REF!</v>
      </c>
      <c r="K40" s="82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L40" s="82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2025'!B40,#REF!)+
SUMIF(#REF!,'KEUANGAN INTERNAL AKRE 2025'!B40,#REF!)</f>
        <v>#REF!</v>
      </c>
      <c r="M40" s="82" t="e">
        <f>SUMIF(#REF!, 'KEUANGAN INTERNAL AKRE 2025'!B40,#REF!)+
SUMIF(#REF!, 'KEUANGAN INTERNAL AKRE 2025'!B40,#REF!)+
SUMIF(#REF!, 'KEUANGAN INTERNAL AKRE 2025'!B40,#REF!)+
SUMIF(#REF!, 'KEUANGAN INTERNAL AKRE 2025'!B40,#REF!)+
SUMIF(#REF!, 'KEUANGAN INTERNAL AKRE 2025'!B40,#REF!)+
SUMIF(#REF!, 'KEUANGAN INTERNAL AKRE 2025'!B40,#REF!)</f>
        <v>#REF!</v>
      </c>
      <c r="N40" s="82" t="e">
        <f>SUMIF(#REF!, 'KEUANGAN INTERNAL AKRE 2025'!B40,#REF!)+
SUMIF(#REF!, 'KEUANGAN INTERNAL AKRE 2025'!B40,#REF!)+
SUMIF(#REF!, 'KEUANGAN INTERNAL AKRE 2025'!B40,#REF!)+
SUMIF(#REF!, 'KEUANGAN INTERNAL AKRE 2025'!B40,#REF!)+
SUMIF(#REF!,'KEUANGAN INTERNAL AKRE 2025'!B40,#REF!)+
SUMIF(#REF!,'KEUANGAN INTERNAL AKRE 2025'!B40,#REF!)+
SUMIF(#REF!,'KEUANGAN INTERNAL AKRE 2025'!B40,#REF!)</f>
        <v>#REF!</v>
      </c>
      <c r="O40" s="80" t="e">
        <f t="shared" si="0"/>
        <v>#REF!</v>
      </c>
      <c r="Q40" s="814"/>
      <c r="R40" s="64">
        <v>5</v>
      </c>
      <c r="S40" s="65" t="s">
        <v>42</v>
      </c>
      <c r="T40" s="82" t="e">
        <f>SUMIF(#REF!,VLOOKUP(S40,#REF!,1,FALSE),#REF!)+SUMIF(#REF!,VLOOKUP(S40,#REF!,1,FALSE),#REF!)+SUMIF(#REF!,VLOOKUP(S40,#REF!,1,FALSE),#REF!)+SUMIF(#REF!,VLOOKUP(S40,#REF!,1,FALSE),#REF!)+SUMIF(#REF!,VLOOKUP(S40,#REF!,1,FALSE),#REF!)</f>
        <v>#REF!</v>
      </c>
      <c r="U40" s="82" t="e">
        <f>SUMIF(#REF!,VLOOKUP(S40,#REF!,1,FALSE),#REF!)+SUMIF(#REF!,VLOOKUP(S40,#REF!,1,FALSE),#REF!)+SUMIF(#REF!,VLOOKUP(S40,#REF!,1,FALSE),#REF!)+SUMIF(#REF!,VLOOKUP('KEUANGAN INTERNAL AKRE 2025'!S40,#REF!,1,FALSE),#REF!)+SUMIF(#REF!,VLOOKUP(S40,#REF!,1,FALSE),#REF!)</f>
        <v>#REF!</v>
      </c>
      <c r="V40" s="82" t="e">
        <f>SUMIF(#REF!,VLOOKUP(S40,#REF!,1,FALSE),#REF!)+SUMIF(#REF!,VLOOKUP(S40,#REF!,1,FALSE),#REF!)+SUMIF(#REF!,VLOOKUP(S40,#REF!,1,FALSE),#REF!)+SUMIF(#REF!,VLOOKUP(S40,#REF!,1,FALSE),#REF!)+SUMIF(#REF!,VLOOKUP(S40,#REF!,1,FALSE),#REF!)</f>
        <v>#REF!</v>
      </c>
      <c r="W40" s="82" t="e">
        <f>SUMIF(#REF!,VLOOKUP(S40,#REF!,1,FALSE),#REF!)+SUMIF(#REF!,VLOOKUP(S40,#REF!,1,FALSE),#REF!)+SUMIF(#REF!,VLOOKUP(S40,#REF!,1,FALSE),#REF!)+SUMIF(#REF!,VLOOKUP('KEUANGAN INTERNAL AKRE 2025'!S40,#REF!,1,FALSE),#REF!)+SUMIF(#REF!,VLOOKUP(S40,#REF!,1,FALSE),#REF!)</f>
        <v>#REF!</v>
      </c>
      <c r="X40" s="82" t="e">
        <f>SUMIF(#REF!,VLOOKUP(S40,#REF!,1,FALSE),#REF!)+SUMIF(#REF!,VLOOKUP(S40,#REF!,1,FALSE),#REF!)+SUMIF(#REF!,VLOOKUP(S40,#REF!,1,FALSE),#REF!)+SUMIF(#REF!,VLOOKUP(S40,#REF!,1,FALSE),#REF!)+SUMIF(#REF!,VLOOKUP(S40,#REF!,1,FALSE),#REF!)</f>
        <v>#REF!</v>
      </c>
      <c r="Y40" s="82" t="e">
        <f>SUMIF(#REF!,VLOOKUP(S40,#REF!,1,FALSE),#REF!)+SUMIF(#REF!,VLOOKUP(S40,#REF!,1,FALSE),#REF!)+SUMIF(#REF!,VLOOKUP(B38,#REF!,1,FALSE),#REF!)+SUMIF(#REF!,VLOOKUP('KEUANGAN INTERNAL AKRE 2025'!S40,#REF!,1,FALSE),#REF!)+SUMIF(#REF!,VLOOKUP(S40,#REF!,1,FALSE),#REF!)</f>
        <v>#REF!</v>
      </c>
    </row>
    <row r="41" spans="1:25" ht="14.1" customHeight="1">
      <c r="A41" s="746" t="s">
        <v>160</v>
      </c>
      <c r="B41" s="750" t="s">
        <v>203</v>
      </c>
      <c r="C41" s="11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D41" s="82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E41" s="81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F41" s="82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G41" s="82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H41" s="82" t="e">
        <f>SUMIF(#REF!, 'KEUANGAN INTERNAL AKRE 2025'!B41,#REF!)+
SUMIF(#REF!, 'KEUANGAN INTERNAL AKRE 2025'!B41,#REF!)+
SUMIF(#REF!, 'KEUANGAN INTERNAL AKRE 2025'!B41,#REF!)+
SUMIF(#REF!, 'KEUANGAN INTERNAL AKRE 2025'!B41,#REF!)</f>
        <v>#REF!</v>
      </c>
      <c r="I41" s="82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J41" s="82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</f>
        <v>#REF!</v>
      </c>
      <c r="K41" s="82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L41" s="82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2025'!B41,#REF!)+
SUMIF(#REF!,'KEUANGAN INTERNAL AKRE 2025'!B41,#REF!)</f>
        <v>#REF!</v>
      </c>
      <c r="M41" s="82" t="e">
        <f>SUMIF(#REF!, 'KEUANGAN INTERNAL AKRE 2025'!B41,#REF!)+
SUMIF(#REF!, 'KEUANGAN INTERNAL AKRE 2025'!B41,#REF!)+
SUMIF(#REF!, 'KEUANGAN INTERNAL AKRE 2025'!B41,#REF!)+
SUMIF(#REF!, 'KEUANGAN INTERNAL AKRE 2025'!B41,#REF!)+
SUMIF(#REF!, 'KEUANGAN INTERNAL AKRE 2025'!B41,#REF!)+
SUMIF(#REF!, 'KEUANGAN INTERNAL AKRE 2025'!B41,#REF!)</f>
        <v>#REF!</v>
      </c>
      <c r="N41" s="82" t="e">
        <f>SUMIF(#REF!, 'KEUANGAN INTERNAL AKRE 2025'!B41,#REF!)+
SUMIF(#REF!, 'KEUANGAN INTERNAL AKRE 2025'!B41,#REF!)+
SUMIF(#REF!, 'KEUANGAN INTERNAL AKRE 2025'!B41,#REF!)+
SUMIF(#REF!, 'KEUANGAN INTERNAL AKRE 2025'!B41,#REF!)+
SUMIF(#REF!,'KEUANGAN INTERNAL AKRE 2025'!B41,#REF!)+
SUMIF(#REF!,'KEUANGAN INTERNAL AKRE 2025'!B41,#REF!)+
SUMIF(#REF!,'KEUANGAN INTERNAL AKRE 2025'!B41,#REF!)</f>
        <v>#REF!</v>
      </c>
      <c r="O41" s="80" t="e">
        <f t="shared" si="0"/>
        <v>#REF!</v>
      </c>
      <c r="Q41" s="814"/>
      <c r="R41" s="64">
        <v>6</v>
      </c>
      <c r="S41" s="65" t="s">
        <v>96</v>
      </c>
      <c r="T41" s="82" t="e">
        <f>SUMIF(#REF!,VLOOKUP(S41,#REF!,1,FALSE),#REF!)+SUMIF(#REF!,VLOOKUP(S41,#REF!,1,FALSE),#REF!)+SUMIF(#REF!,VLOOKUP(S41,#REF!,1,FALSE),#REF!)+SUMIF(#REF!,VLOOKUP(S41,#REF!,1,FALSE),#REF!)+SUMIF(#REF!,VLOOKUP(S41,#REF!,1,FALSE),#REF!)</f>
        <v>#REF!</v>
      </c>
      <c r="U41" s="82" t="e">
        <f>SUMIF(#REF!,VLOOKUP(S41,#REF!,1,FALSE),#REF!)+SUMIF(#REF!,VLOOKUP(S41,#REF!,1,FALSE),#REF!)+SUMIF(#REF!,VLOOKUP(S41,#REF!,1,FALSE),#REF!)+SUMIF(#REF!,VLOOKUP('KEUANGAN INTERNAL AKRE 2025'!S41,#REF!,1,FALSE),#REF!)+SUMIF(#REF!,VLOOKUP(S41,#REF!,1,FALSE),#REF!)</f>
        <v>#REF!</v>
      </c>
      <c r="V41" s="82" t="e">
        <f>SUMIF(#REF!,VLOOKUP(S41,#REF!,1,FALSE),#REF!)+SUMIF(#REF!,VLOOKUP(S41,#REF!,1,FALSE),#REF!)+SUMIF(#REF!,VLOOKUP(S41,#REF!,1,FALSE),#REF!)+SUMIF(#REF!,VLOOKUP(S41,#REF!,1,FALSE),#REF!)+SUMIF(#REF!,VLOOKUP(S41,#REF!,1,FALSE),#REF!)</f>
        <v>#REF!</v>
      </c>
      <c r="W41" s="82" t="e">
        <f>SUMIF(#REF!,VLOOKUP(S41,#REF!,1,FALSE),#REF!)+SUMIF(#REF!,VLOOKUP(S41,#REF!,1,FALSE),#REF!)+SUMIF(#REF!,VLOOKUP(S41,#REF!,1,FALSE),#REF!)+SUMIF(#REF!,VLOOKUP('KEUANGAN INTERNAL AKRE 2025'!S41,#REF!,1,FALSE),#REF!)+SUMIF(#REF!,VLOOKUP(S41,#REF!,1,FALSE),#REF!)</f>
        <v>#REF!</v>
      </c>
      <c r="X41" s="82" t="e">
        <f>SUMIF(#REF!,VLOOKUP(S41,#REF!,1,FALSE),#REF!)+SUMIF(#REF!,VLOOKUP(S41,#REF!,1,FALSE),#REF!)+SUMIF(#REF!,VLOOKUP(S41,#REF!,1,FALSE),#REF!)+SUMIF(#REF!,VLOOKUP(S41,#REF!,1,FALSE),#REF!)+SUMIF(#REF!,VLOOKUP(S41,#REF!,1,FALSE),#REF!)</f>
        <v>#REF!</v>
      </c>
      <c r="Y41" s="82" t="e">
        <f>SUMIF(#REF!,VLOOKUP(S41,#REF!,1,FALSE),#REF!)+SUMIF(#REF!,VLOOKUP(S41,#REF!,1,FALSE),#REF!)+SUMIF(#REF!,VLOOKUP(B39,#REF!,1,FALSE),#REF!)+SUMIF(#REF!,VLOOKUP('KEUANGAN INTERNAL AKRE 2025'!S41,#REF!,1,FALSE),#REF!)+SUMIF(#REF!,VLOOKUP(S41,#REF!,1,FALSE),#REF!)</f>
        <v>#REF!</v>
      </c>
    </row>
    <row r="42" spans="1:25" ht="14.1" customHeight="1">
      <c r="A42" s="746" t="s">
        <v>160</v>
      </c>
      <c r="B42" s="750" t="s">
        <v>192</v>
      </c>
      <c r="C42" s="11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D42" s="82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E42" s="81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F42" s="82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G42" s="82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H42" s="82" t="e">
        <f>SUMIF(#REF!, 'KEUANGAN INTERNAL AKRE 2025'!B42,#REF!)+
SUMIF(#REF!, 'KEUANGAN INTERNAL AKRE 2025'!B42,#REF!)+
SUMIF(#REF!, 'KEUANGAN INTERNAL AKRE 2025'!B42,#REF!)+
SUMIF(#REF!, 'KEUANGAN INTERNAL AKRE 2025'!B42,#REF!)</f>
        <v>#REF!</v>
      </c>
      <c r="I42" s="82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J42" s="82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</f>
        <v>#REF!</v>
      </c>
      <c r="K42" s="82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L42" s="82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2025'!B42,#REF!)+
SUMIF(#REF!,'KEUANGAN INTERNAL AKRE 2025'!B42,#REF!)</f>
        <v>#REF!</v>
      </c>
      <c r="M42" s="82" t="e">
        <f>SUMIF(#REF!, 'KEUANGAN INTERNAL AKRE 2025'!B42,#REF!)+
SUMIF(#REF!, 'KEUANGAN INTERNAL AKRE 2025'!B42,#REF!)+
SUMIF(#REF!, 'KEUANGAN INTERNAL AKRE 2025'!B42,#REF!)+
SUMIF(#REF!, 'KEUANGAN INTERNAL AKRE 2025'!B42,#REF!)+
SUMIF(#REF!, 'KEUANGAN INTERNAL AKRE 2025'!B42,#REF!)+
SUMIF(#REF!, 'KEUANGAN INTERNAL AKRE 2025'!B42,#REF!)</f>
        <v>#REF!</v>
      </c>
      <c r="N42" s="82" t="e">
        <f>SUMIF(#REF!, 'KEUANGAN INTERNAL AKRE 2025'!B42,#REF!)+
SUMIF(#REF!, 'KEUANGAN INTERNAL AKRE 2025'!B42,#REF!)+
SUMIF(#REF!, 'KEUANGAN INTERNAL AKRE 2025'!B42,#REF!)+
SUMIF(#REF!, 'KEUANGAN INTERNAL AKRE 2025'!B42,#REF!)+
SUMIF(#REF!,'KEUANGAN INTERNAL AKRE 2025'!B42,#REF!)+
SUMIF(#REF!,'KEUANGAN INTERNAL AKRE 2025'!B42,#REF!)+
SUMIF(#REF!,'KEUANGAN INTERNAL AKRE 2025'!B42,#REF!)</f>
        <v>#REF!</v>
      </c>
      <c r="O42" s="80" t="e">
        <f t="shared" si="0"/>
        <v>#REF!</v>
      </c>
      <c r="Q42" s="814"/>
      <c r="R42" s="64">
        <v>7</v>
      </c>
      <c r="S42" s="65" t="s">
        <v>139</v>
      </c>
      <c r="T42" s="82" t="e">
        <f>SUMIF(#REF!,VLOOKUP(S42,#REF!,1,FALSE),#REF!)+SUMIF(#REF!,VLOOKUP(S42,#REF!,1,FALSE),#REF!)+SUMIF(#REF!,VLOOKUP(S42,#REF!,1,FALSE),#REF!)+SUMIF(#REF!,VLOOKUP(S42,#REF!,1,FALSE),#REF!)+SUMIF(#REF!,VLOOKUP(S42,#REF!,1,FALSE),#REF!)</f>
        <v>#REF!</v>
      </c>
      <c r="U42" s="82" t="e">
        <f>SUMIF(#REF!,VLOOKUP(S42,#REF!,1,FALSE),#REF!)+SUMIF(#REF!,VLOOKUP(S42,#REF!,1,FALSE),#REF!)+SUMIF(#REF!,VLOOKUP(S42,#REF!,1,FALSE),#REF!)+SUMIF(#REF!,VLOOKUP('KEUANGAN INTERNAL AKRE 2025'!S42,#REF!,1,FALSE),#REF!)+SUMIF(#REF!,VLOOKUP(S42,#REF!,1,FALSE),#REF!)</f>
        <v>#REF!</v>
      </c>
      <c r="V42" s="82" t="e">
        <f>SUMIF(#REF!,VLOOKUP(S42,#REF!,1,FALSE),#REF!)+SUMIF(#REF!,VLOOKUP(S42,#REF!,1,FALSE),#REF!)+SUMIF(#REF!,VLOOKUP(S42,#REF!,1,FALSE),#REF!)+SUMIF(#REF!,VLOOKUP(S42,#REF!,1,FALSE),#REF!)+SUMIF(#REF!,VLOOKUP(S42,#REF!,1,FALSE),#REF!)</f>
        <v>#REF!</v>
      </c>
      <c r="W42" s="82" t="e">
        <f>SUMIF(#REF!,VLOOKUP(S42,#REF!,1,FALSE),#REF!)+SUMIF(#REF!,VLOOKUP(S42,#REF!,1,FALSE),#REF!)+SUMIF(#REF!,VLOOKUP(S42,#REF!,1,FALSE),#REF!)+SUMIF(#REF!,VLOOKUP('KEUANGAN INTERNAL AKRE 2025'!S42,#REF!,1,FALSE),#REF!)+SUMIF(#REF!,VLOOKUP(S42,#REF!,1,FALSE),#REF!)</f>
        <v>#REF!</v>
      </c>
      <c r="X42" s="82" t="e">
        <f>SUMIF(#REF!,VLOOKUP(S42,#REF!,1,FALSE),#REF!)+SUMIF(#REF!,VLOOKUP(S42,#REF!,1,FALSE),#REF!)+SUMIF(#REF!,VLOOKUP(S42,#REF!,1,FALSE),#REF!)+SUMIF(#REF!,VLOOKUP(S42,#REF!,1,FALSE),#REF!)+SUMIF(#REF!,VLOOKUP(S42,#REF!,1,FALSE),#REF!)</f>
        <v>#REF!</v>
      </c>
      <c r="Y42" s="82" t="e">
        <f>SUMIF(#REF!,VLOOKUP(S42,#REF!,1,FALSE),#REF!)+SUMIF(#REF!,VLOOKUP(S42,#REF!,1,FALSE),#REF!)+SUMIF(#REF!,VLOOKUP(B40,#REF!,1,FALSE),#REF!)+SUMIF(#REF!,VLOOKUP('KEUANGAN INTERNAL AKRE 2025'!S42,#REF!,1,FALSE),#REF!)+SUMIF(#REF!,VLOOKUP(S42,#REF!,1,FALSE),#REF!)</f>
        <v>#REF!</v>
      </c>
    </row>
    <row r="43" spans="1:25" ht="14.1" customHeight="1">
      <c r="A43" s="746" t="s">
        <v>160</v>
      </c>
      <c r="B43" s="750" t="s">
        <v>206</v>
      </c>
      <c r="C43" s="11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D43" s="82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E43" s="81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F43" s="82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G43" s="82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H43" s="82" t="e">
        <f>SUMIF(#REF!, 'KEUANGAN INTERNAL AKRE 2025'!B43,#REF!)+
SUMIF(#REF!, 'KEUANGAN INTERNAL AKRE 2025'!B43,#REF!)+
SUMIF(#REF!, 'KEUANGAN INTERNAL AKRE 2025'!B43,#REF!)+
SUMIF(#REF!, 'KEUANGAN INTERNAL AKRE 2025'!B43,#REF!)</f>
        <v>#REF!</v>
      </c>
      <c r="I43" s="82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J43" s="82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</f>
        <v>#REF!</v>
      </c>
      <c r="K43" s="82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L43" s="82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2025'!B43,#REF!)+
SUMIF(#REF!,'KEUANGAN INTERNAL AKRE 2025'!B43,#REF!)</f>
        <v>#REF!</v>
      </c>
      <c r="M43" s="82" t="e">
        <f>SUMIF(#REF!, 'KEUANGAN INTERNAL AKRE 2025'!B43,#REF!)+
SUMIF(#REF!, 'KEUANGAN INTERNAL AKRE 2025'!B43,#REF!)+
SUMIF(#REF!, 'KEUANGAN INTERNAL AKRE 2025'!B43,#REF!)+
SUMIF(#REF!, 'KEUANGAN INTERNAL AKRE 2025'!B43,#REF!)+
SUMIF(#REF!, 'KEUANGAN INTERNAL AKRE 2025'!B43,#REF!)+
SUMIF(#REF!, 'KEUANGAN INTERNAL AKRE 2025'!B43,#REF!)</f>
        <v>#REF!</v>
      </c>
      <c r="N43" s="82" t="e">
        <f>SUMIF(#REF!, 'KEUANGAN INTERNAL AKRE 2025'!B43,#REF!)+
SUMIF(#REF!, 'KEUANGAN INTERNAL AKRE 2025'!B43,#REF!)+
SUMIF(#REF!, 'KEUANGAN INTERNAL AKRE 2025'!B43,#REF!)+
SUMIF(#REF!, 'KEUANGAN INTERNAL AKRE 2025'!B43,#REF!)+
SUMIF(#REF!,'KEUANGAN INTERNAL AKRE 2025'!B43,#REF!)+
SUMIF(#REF!,'KEUANGAN INTERNAL AKRE 2025'!B43,#REF!)+
SUMIF(#REF!,'KEUANGAN INTERNAL AKRE 2025'!B43,#REF!)</f>
        <v>#REF!</v>
      </c>
      <c r="O43" s="80" t="e">
        <f t="shared" si="0"/>
        <v>#REF!</v>
      </c>
      <c r="Q43" s="814"/>
      <c r="R43" s="64"/>
      <c r="S43" s="65"/>
      <c r="T43" s="82"/>
      <c r="U43" s="82"/>
      <c r="V43" s="82"/>
      <c r="W43" s="82"/>
      <c r="X43" s="82"/>
      <c r="Y43" s="82"/>
    </row>
    <row r="44" spans="1:25" ht="14.1" customHeight="1">
      <c r="A44" s="746" t="s">
        <v>160</v>
      </c>
      <c r="B44" s="71" t="s">
        <v>8</v>
      </c>
      <c r="C44" s="11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D44" s="82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E44" s="81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F44" s="82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G44" s="82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H44" s="82" t="e">
        <f>SUMIF(#REF!, 'KEUANGAN INTERNAL AKRE 2025'!B44,#REF!)+
SUMIF(#REF!, 'KEUANGAN INTERNAL AKRE 2025'!B44,#REF!)+
SUMIF(#REF!, 'KEUANGAN INTERNAL AKRE 2025'!B44,#REF!)+
SUMIF(#REF!, 'KEUANGAN INTERNAL AKRE 2025'!B44,#REF!)</f>
        <v>#REF!</v>
      </c>
      <c r="I44" s="82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J44" s="82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</f>
        <v>#REF!</v>
      </c>
      <c r="K44" s="82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L44" s="82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2025'!B44,#REF!)+
SUMIF(#REF!,'KEUANGAN INTERNAL AKRE 2025'!B44,#REF!)</f>
        <v>#REF!</v>
      </c>
      <c r="M44" s="82" t="e">
        <f>SUMIF(#REF!, 'KEUANGAN INTERNAL AKRE 2025'!B44,#REF!)+
SUMIF(#REF!, 'KEUANGAN INTERNAL AKRE 2025'!B44,#REF!)+
SUMIF(#REF!, 'KEUANGAN INTERNAL AKRE 2025'!B44,#REF!)+
SUMIF(#REF!, 'KEUANGAN INTERNAL AKRE 2025'!B44,#REF!)+
SUMIF(#REF!, 'KEUANGAN INTERNAL AKRE 2025'!B44,#REF!)+
SUMIF(#REF!, 'KEUANGAN INTERNAL AKRE 2025'!B44,#REF!)</f>
        <v>#REF!</v>
      </c>
      <c r="N44" s="82" t="e">
        <f>SUMIF(#REF!, 'KEUANGAN INTERNAL AKRE 2025'!B44,#REF!)+
SUMIF(#REF!, 'KEUANGAN INTERNAL AKRE 2025'!B44,#REF!)+
SUMIF(#REF!, 'KEUANGAN INTERNAL AKRE 2025'!B44,#REF!)+
SUMIF(#REF!, 'KEUANGAN INTERNAL AKRE 2025'!B44,#REF!)+
SUMIF(#REF!,'KEUANGAN INTERNAL AKRE 2025'!B44,#REF!)+
SUMIF(#REF!,'KEUANGAN INTERNAL AKRE 2025'!B44,#REF!)+
SUMIF(#REF!,'KEUANGAN INTERNAL AKRE 2025'!B44,#REF!)</f>
        <v>#REF!</v>
      </c>
      <c r="O44" s="80" t="e">
        <f t="shared" si="0"/>
        <v>#REF!</v>
      </c>
      <c r="Q44" s="814"/>
      <c r="R44" s="64"/>
      <c r="S44" s="65"/>
      <c r="T44" s="82"/>
      <c r="U44" s="82"/>
      <c r="V44" s="82"/>
      <c r="W44" s="82"/>
      <c r="X44" s="82"/>
      <c r="Y44" s="82"/>
    </row>
    <row r="45" spans="1:25" ht="14.1" customHeight="1">
      <c r="A45" s="528" t="s">
        <v>172</v>
      </c>
      <c r="B45" s="63" t="s">
        <v>8</v>
      </c>
      <c r="C45" s="11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D45" s="82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E45" s="81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F45" s="82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G45" s="82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H45" s="82" t="e">
        <f>SUMIF(#REF!, 'KEUANGAN INTERNAL AKRE 2025'!B45,#REF!)+
SUMIF(#REF!, 'KEUANGAN INTERNAL AKRE 2025'!B45,#REF!)+
SUMIF(#REF!, 'KEUANGAN INTERNAL AKRE 2025'!B45,#REF!)+
SUMIF(#REF!, 'KEUANGAN INTERNAL AKRE 2025'!B45,#REF!)</f>
        <v>#REF!</v>
      </c>
      <c r="I45" s="82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J45" s="82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</f>
        <v>#REF!</v>
      </c>
      <c r="K45" s="82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L45" s="82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2025'!B45,#REF!)+
SUMIF(#REF!,'KEUANGAN INTERNAL AKRE 2025'!B45,#REF!)</f>
        <v>#REF!</v>
      </c>
      <c r="M45" s="82" t="e">
        <f>SUMIF(#REF!, 'KEUANGAN INTERNAL AKRE 2025'!B45,#REF!)+
SUMIF(#REF!, 'KEUANGAN INTERNAL AKRE 2025'!B45,#REF!)+
SUMIF(#REF!, 'KEUANGAN INTERNAL AKRE 2025'!B45,#REF!)+
SUMIF(#REF!, 'KEUANGAN INTERNAL AKRE 2025'!B45,#REF!)+
SUMIF(#REF!, 'KEUANGAN INTERNAL AKRE 2025'!B45,#REF!)+
SUMIF(#REF!, 'KEUANGAN INTERNAL AKRE 2025'!B45,#REF!)</f>
        <v>#REF!</v>
      </c>
      <c r="N45" s="82" t="e">
        <f>SUMIF(#REF!, 'KEUANGAN INTERNAL AKRE 2025'!B45,#REF!)+
SUMIF(#REF!, 'KEUANGAN INTERNAL AKRE 2025'!B45,#REF!)+
SUMIF(#REF!, 'KEUANGAN INTERNAL AKRE 2025'!B45,#REF!)+
SUMIF(#REF!, 'KEUANGAN INTERNAL AKRE 2025'!B45,#REF!)+
SUMIF(#REF!,'KEUANGAN INTERNAL AKRE 2025'!B45,#REF!)+
SUMIF(#REF!,'KEUANGAN INTERNAL AKRE 2025'!B45,#REF!)+
SUMIF(#REF!,'KEUANGAN INTERNAL AKRE 2025'!B45,#REF!)</f>
        <v>#REF!</v>
      </c>
      <c r="O45" s="80" t="e">
        <f t="shared" si="0"/>
        <v>#REF!</v>
      </c>
      <c r="Q45" s="814"/>
      <c r="R45" s="64"/>
      <c r="S45" s="65"/>
      <c r="T45" s="82"/>
      <c r="U45" s="82"/>
      <c r="V45" s="82"/>
      <c r="W45" s="82"/>
      <c r="X45" s="82"/>
      <c r="Y45" s="82"/>
    </row>
    <row r="46" spans="1:25" ht="14.1" customHeight="1">
      <c r="A46" s="528" t="s">
        <v>172</v>
      </c>
      <c r="B46" s="63" t="s">
        <v>44</v>
      </c>
      <c r="C46" s="11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D46" s="82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E46" s="81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F46" s="82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G46" s="82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H46" s="82" t="e">
        <f>SUMIF(#REF!, 'KEUANGAN INTERNAL AKRE 2025'!B46,#REF!)+
SUMIF(#REF!, 'KEUANGAN INTERNAL AKRE 2025'!B46,#REF!)+
SUMIF(#REF!, 'KEUANGAN INTERNAL AKRE 2025'!B46,#REF!)+
SUMIF(#REF!, 'KEUANGAN INTERNAL AKRE 2025'!B46,#REF!)</f>
        <v>#REF!</v>
      </c>
      <c r="I46" s="82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J46" s="82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</f>
        <v>#REF!</v>
      </c>
      <c r="K46" s="82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L46" s="82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2025'!B46,#REF!)+
SUMIF(#REF!,'KEUANGAN INTERNAL AKRE 2025'!B46,#REF!)</f>
        <v>#REF!</v>
      </c>
      <c r="M46" s="82" t="e">
        <f>SUMIF(#REF!, 'KEUANGAN INTERNAL AKRE 2025'!B46,#REF!)+
SUMIF(#REF!, 'KEUANGAN INTERNAL AKRE 2025'!B46,#REF!)+
SUMIF(#REF!, 'KEUANGAN INTERNAL AKRE 2025'!B46,#REF!)+
SUMIF(#REF!, 'KEUANGAN INTERNAL AKRE 2025'!B46,#REF!)+
SUMIF(#REF!, 'KEUANGAN INTERNAL AKRE 2025'!B46,#REF!)+
SUMIF(#REF!, 'KEUANGAN INTERNAL AKRE 2025'!B46,#REF!)</f>
        <v>#REF!</v>
      </c>
      <c r="N46" s="82" t="e">
        <f>SUMIF(#REF!, 'KEUANGAN INTERNAL AKRE 2025'!B46,#REF!)+
SUMIF(#REF!, 'KEUANGAN INTERNAL AKRE 2025'!B46,#REF!)+
SUMIF(#REF!, 'KEUANGAN INTERNAL AKRE 2025'!B46,#REF!)+
SUMIF(#REF!, 'KEUANGAN INTERNAL AKRE 2025'!B46,#REF!)+
SUMIF(#REF!,'KEUANGAN INTERNAL AKRE 2025'!B46,#REF!)+
SUMIF(#REF!,'KEUANGAN INTERNAL AKRE 2025'!B46,#REF!)+
SUMIF(#REF!,'KEUANGAN INTERNAL AKRE 2025'!B46,#REF!)</f>
        <v>#REF!</v>
      </c>
      <c r="O46" s="80" t="e">
        <f t="shared" si="0"/>
        <v>#REF!</v>
      </c>
      <c r="Q46" s="814"/>
      <c r="R46" s="64"/>
      <c r="S46" s="65"/>
      <c r="T46" s="82"/>
      <c r="U46" s="82"/>
      <c r="V46" s="82"/>
      <c r="W46" s="82"/>
      <c r="X46" s="82"/>
      <c r="Y46" s="82"/>
    </row>
    <row r="47" spans="1:25" ht="14.1" customHeight="1">
      <c r="A47" s="528" t="s">
        <v>172</v>
      </c>
      <c r="B47" s="63" t="s">
        <v>177</v>
      </c>
      <c r="C47" s="11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D47" s="82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E47" s="81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F47" s="82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G47" s="82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H47" s="82" t="e">
        <f>SUMIF(#REF!, 'KEUANGAN INTERNAL AKRE 2025'!B47,#REF!)+
SUMIF(#REF!, 'KEUANGAN INTERNAL AKRE 2025'!B47,#REF!)+
SUMIF(#REF!, 'KEUANGAN INTERNAL AKRE 2025'!B47,#REF!)+
SUMIF(#REF!, 'KEUANGAN INTERNAL AKRE 2025'!B47,#REF!)</f>
        <v>#REF!</v>
      </c>
      <c r="I47" s="82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J47" s="82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</f>
        <v>#REF!</v>
      </c>
      <c r="K47" s="82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L47" s="82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2025'!B47,#REF!)+
SUMIF(#REF!,'KEUANGAN INTERNAL AKRE 2025'!B47,#REF!)</f>
        <v>#REF!</v>
      </c>
      <c r="M47" s="82" t="e">
        <f>SUMIF(#REF!, 'KEUANGAN INTERNAL AKRE 2025'!B47,#REF!)+
SUMIF(#REF!, 'KEUANGAN INTERNAL AKRE 2025'!B47,#REF!)+
SUMIF(#REF!, 'KEUANGAN INTERNAL AKRE 2025'!B47,#REF!)+
SUMIF(#REF!, 'KEUANGAN INTERNAL AKRE 2025'!B47,#REF!)+
SUMIF(#REF!, 'KEUANGAN INTERNAL AKRE 2025'!B47,#REF!)+
SUMIF(#REF!, 'KEUANGAN INTERNAL AKRE 2025'!B47,#REF!)</f>
        <v>#REF!</v>
      </c>
      <c r="N47" s="82" t="e">
        <f>SUMIF(#REF!, 'KEUANGAN INTERNAL AKRE 2025'!B47,#REF!)+
SUMIF(#REF!, 'KEUANGAN INTERNAL AKRE 2025'!B47,#REF!)+
SUMIF(#REF!, 'KEUANGAN INTERNAL AKRE 2025'!B47,#REF!)+
SUMIF(#REF!, 'KEUANGAN INTERNAL AKRE 2025'!B47,#REF!)+
SUMIF(#REF!,'KEUANGAN INTERNAL AKRE 2025'!B47,#REF!)+
SUMIF(#REF!,'KEUANGAN INTERNAL AKRE 2025'!B47,#REF!)+
SUMIF(#REF!,'KEUANGAN INTERNAL AKRE 2025'!B47,#REF!)</f>
        <v>#REF!</v>
      </c>
      <c r="O47" s="80" t="e">
        <f t="shared" si="0"/>
        <v>#REF!</v>
      </c>
      <c r="Q47" s="814"/>
      <c r="R47" s="64">
        <v>8</v>
      </c>
      <c r="S47" s="65" t="s">
        <v>18</v>
      </c>
      <c r="T47" s="82" t="e">
        <f>SUMIF(#REF!,VLOOKUP(S47,#REF!,1,FALSE),#REF!)+SUMIF(#REF!,VLOOKUP(S47,#REF!,1,FALSE),#REF!)+SUMIF(#REF!,VLOOKUP(S47,#REF!,1,FALSE),#REF!)+SUMIF(#REF!,VLOOKUP(S47,#REF!,1,FALSE),#REF!)+SUMIF(#REF!,VLOOKUP(S47,#REF!,1,FALSE),#REF!)</f>
        <v>#REF!</v>
      </c>
      <c r="U47" s="82" t="e">
        <f>SUMIF(#REF!,VLOOKUP(S47,#REF!,1,FALSE),#REF!)+SUMIF(#REF!,VLOOKUP(S47,#REF!,1,FALSE),#REF!)+SUMIF(#REF!,VLOOKUP(S47,#REF!,1,FALSE),#REF!)+SUMIF(#REF!,VLOOKUP('KEUANGAN INTERNAL AKRE 2025'!S47,#REF!,1,FALSE),#REF!)+SUMIF(#REF!,VLOOKUP(S47,#REF!,1,FALSE),#REF!)</f>
        <v>#REF!</v>
      </c>
      <c r="V47" s="82" t="e">
        <f>SUMIF(#REF!,VLOOKUP(S47,#REF!,1,FALSE),#REF!)+SUMIF(#REF!,VLOOKUP(S47,#REF!,1,FALSE),#REF!)+SUMIF(#REF!,VLOOKUP(S47,#REF!,1,FALSE),#REF!)+SUMIF(#REF!,VLOOKUP(S47,#REF!,1,FALSE),#REF!)+SUMIF(#REF!,VLOOKUP(S47,#REF!,1,FALSE),#REF!)</f>
        <v>#REF!</v>
      </c>
      <c r="W47" s="82" t="e">
        <f>SUMIF(#REF!,VLOOKUP(S47,#REF!,1,FALSE),#REF!)+SUMIF(#REF!,VLOOKUP(S47,#REF!,1,FALSE),#REF!)+SUMIF(#REF!,VLOOKUP(S47,#REF!,1,FALSE),#REF!)+SUMIF(#REF!,VLOOKUP('KEUANGAN INTERNAL AKRE 2025'!S47,#REF!,1,FALSE),#REF!)+SUMIF(#REF!,VLOOKUP(S47,#REF!,1,FALSE),#REF!)</f>
        <v>#REF!</v>
      </c>
      <c r="X47" s="82" t="e">
        <f>SUMIF(#REF!,VLOOKUP(S47,#REF!,1,FALSE),#REF!)+SUMIF(#REF!,VLOOKUP(S47,#REF!,1,FALSE),#REF!)+SUMIF(#REF!,VLOOKUP(S47,#REF!,1,FALSE),#REF!)+SUMIF(#REF!,VLOOKUP(S47,#REF!,1,FALSE),#REF!)+SUMIF(#REF!,VLOOKUP(S47,#REF!,1,FALSE),#REF!)</f>
        <v>#REF!</v>
      </c>
      <c r="Y47" s="82" t="e">
        <f>SUMIF(#REF!,VLOOKUP(S47,#REF!,1,FALSE),#REF!)+SUMIF(#REF!,VLOOKUP(S47,#REF!,1,FALSE),#REF!)+SUMIF(#REF!,VLOOKUP(B45,#REF!,1,FALSE),#REF!)+SUMIF(#REF!,VLOOKUP('KEUANGAN INTERNAL AKRE 2025'!S47,#REF!,1,FALSE),#REF!)+SUMIF(#REF!,VLOOKUP(S47,#REF!,1,FALSE),#REF!)</f>
        <v>#REF!</v>
      </c>
    </row>
    <row r="48" spans="1:25">
      <c r="A48" s="528" t="s">
        <v>172</v>
      </c>
      <c r="B48" s="63" t="s">
        <v>43</v>
      </c>
      <c r="C48" s="11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D48" s="82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E48" s="81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F48" s="82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G48" s="82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H48" s="82" t="e">
        <f>SUMIF(#REF!, 'KEUANGAN INTERNAL AKRE 2025'!B48,#REF!)+
SUMIF(#REF!, 'KEUANGAN INTERNAL AKRE 2025'!B48,#REF!)+
SUMIF(#REF!, 'KEUANGAN INTERNAL AKRE 2025'!B48,#REF!)+
SUMIF(#REF!, 'KEUANGAN INTERNAL AKRE 2025'!B48,#REF!)</f>
        <v>#REF!</v>
      </c>
      <c r="I48" s="82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J48" s="82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</f>
        <v>#REF!</v>
      </c>
      <c r="K48" s="82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L48" s="82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2025'!B48,#REF!)+
SUMIF(#REF!,'KEUANGAN INTERNAL AKRE 2025'!B48,#REF!)</f>
        <v>#REF!</v>
      </c>
      <c r="M48" s="82" t="e">
        <f>SUMIF(#REF!, 'KEUANGAN INTERNAL AKRE 2025'!B48,#REF!)+
SUMIF(#REF!, 'KEUANGAN INTERNAL AKRE 2025'!B48,#REF!)+
SUMIF(#REF!, 'KEUANGAN INTERNAL AKRE 2025'!B48,#REF!)+
SUMIF(#REF!, 'KEUANGAN INTERNAL AKRE 2025'!B48,#REF!)+
SUMIF(#REF!, 'KEUANGAN INTERNAL AKRE 2025'!B48,#REF!)+
SUMIF(#REF!, 'KEUANGAN INTERNAL AKRE 2025'!B48,#REF!)</f>
        <v>#REF!</v>
      </c>
      <c r="N48" s="82" t="e">
        <f>SUMIF(#REF!, 'KEUANGAN INTERNAL AKRE 2025'!B48,#REF!)+
SUMIF(#REF!, 'KEUANGAN INTERNAL AKRE 2025'!B48,#REF!)+
SUMIF(#REF!, 'KEUANGAN INTERNAL AKRE 2025'!B48,#REF!)+
SUMIF(#REF!, 'KEUANGAN INTERNAL AKRE 2025'!B48,#REF!)+
SUMIF(#REF!,'KEUANGAN INTERNAL AKRE 2025'!B48,#REF!)+
SUMIF(#REF!,'KEUANGAN INTERNAL AKRE 2025'!B48,#REF!)+
SUMIF(#REF!,'KEUANGAN INTERNAL AKRE 2025'!B48,#REF!)</f>
        <v>#REF!</v>
      </c>
      <c r="O48" s="80" t="e">
        <f t="shared" si="0"/>
        <v>#REF!</v>
      </c>
      <c r="Q48" s="814"/>
      <c r="R48" s="64">
        <v>9</v>
      </c>
      <c r="S48" s="65" t="s">
        <v>20</v>
      </c>
      <c r="T48" s="82" t="e">
        <f>SUMIF(#REF!,VLOOKUP(S48,#REF!,1,FALSE),#REF!)+SUMIF(#REF!,VLOOKUP(S48,#REF!,1,FALSE),#REF!)+SUMIF(#REF!,VLOOKUP(S48,#REF!,1,FALSE),#REF!)+SUMIF(#REF!,VLOOKUP(S48,#REF!,1,FALSE),#REF!)+SUMIF(#REF!,VLOOKUP(S48,#REF!,1,FALSE),#REF!)</f>
        <v>#REF!</v>
      </c>
      <c r="U48" s="82" t="e">
        <f>SUMIF(#REF!,VLOOKUP(S48,#REF!,1,FALSE),#REF!)+SUMIF(#REF!,VLOOKUP(S48,#REF!,1,FALSE),#REF!)+SUMIF(#REF!,VLOOKUP(S48,#REF!,1,FALSE),#REF!)+SUMIF(#REF!,VLOOKUP('KEUANGAN INTERNAL AKRE 2025'!S48,#REF!,1,FALSE),#REF!)+SUMIF(#REF!,VLOOKUP(S48,#REF!,1,FALSE),#REF!)</f>
        <v>#REF!</v>
      </c>
      <c r="V48" s="82" t="e">
        <f>SUMIF(#REF!,VLOOKUP(S48,#REF!,1,FALSE),#REF!)+SUMIF(#REF!,VLOOKUP(S48,#REF!,1,FALSE),#REF!)+SUMIF(#REF!,VLOOKUP(S48,#REF!,1,FALSE),#REF!)+SUMIF(#REF!,VLOOKUP(S48,#REF!,1,FALSE),#REF!)+SUMIF(#REF!,VLOOKUP(S48,#REF!,1,FALSE),#REF!)</f>
        <v>#REF!</v>
      </c>
      <c r="W48" s="82" t="e">
        <f>SUMIF(#REF!,VLOOKUP(S48,#REF!,1,FALSE),#REF!)+SUMIF(#REF!,VLOOKUP(S48,#REF!,1,FALSE),#REF!)+SUMIF(#REF!,VLOOKUP(S48,#REF!,1,FALSE),#REF!)+SUMIF(#REF!,VLOOKUP('KEUANGAN INTERNAL AKRE 2025'!S48,#REF!,1,FALSE),#REF!)+SUMIF(#REF!,VLOOKUP(S48,#REF!,1,FALSE),#REF!)</f>
        <v>#REF!</v>
      </c>
      <c r="X48" s="82" t="e">
        <f>SUMIF(#REF!,VLOOKUP(S48,#REF!,1,FALSE),#REF!)+SUMIF(#REF!,VLOOKUP(S48,#REF!,1,FALSE),#REF!)+SUMIF(#REF!,VLOOKUP(S48,#REF!,1,FALSE),#REF!)+SUMIF(#REF!,VLOOKUP(S48,#REF!,1,FALSE),#REF!)+SUMIF(#REF!,VLOOKUP(S48,#REF!,1,FALSE),#REF!)</f>
        <v>#REF!</v>
      </c>
      <c r="Y48" s="82" t="e">
        <f>SUMIF(#REF!,VLOOKUP(S48,#REF!,1,FALSE),#REF!)+SUMIF(#REF!,VLOOKUP(S48,#REF!,1,FALSE),#REF!)+SUMIF(#REF!,VLOOKUP(B46,#REF!,1,FALSE),#REF!)+SUMIF(#REF!,VLOOKUP('KEUANGAN INTERNAL AKRE 2025'!S48,#REF!,1,FALSE),#REF!)+SUMIF(#REF!,VLOOKUP(S48,#REF!,1,FALSE),#REF!)</f>
        <v>#REF!</v>
      </c>
    </row>
    <row r="49" spans="1:24">
      <c r="A49" s="528" t="s">
        <v>172</v>
      </c>
      <c r="B49" s="366" t="s">
        <v>801</v>
      </c>
      <c r="C49" s="11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D49" s="82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E49" s="81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F49" s="82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G49" s="82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H49" s="82" t="e">
        <f>SUMIF(#REF!, 'KEUANGAN INTERNAL AKRE 2025'!B49,#REF!)+
SUMIF(#REF!, 'KEUANGAN INTERNAL AKRE 2025'!B49,#REF!)+
SUMIF(#REF!, 'KEUANGAN INTERNAL AKRE 2025'!B49,#REF!)+
SUMIF(#REF!, 'KEUANGAN INTERNAL AKRE 2025'!B49,#REF!)</f>
        <v>#REF!</v>
      </c>
      <c r="I49" s="82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J49" s="82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</f>
        <v>#REF!</v>
      </c>
      <c r="K49" s="82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L49" s="82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2025'!B49,#REF!)+
SUMIF(#REF!,'KEUANGAN INTERNAL AKRE 2025'!B49,#REF!)</f>
        <v>#REF!</v>
      </c>
      <c r="M49" s="82" t="e">
        <f>SUMIF(#REF!, 'KEUANGAN INTERNAL AKRE 2025'!B49,#REF!)+
SUMIF(#REF!, 'KEUANGAN INTERNAL AKRE 2025'!B49,#REF!)+
SUMIF(#REF!, 'KEUANGAN INTERNAL AKRE 2025'!B49,#REF!)+
SUMIF(#REF!, 'KEUANGAN INTERNAL AKRE 2025'!B49,#REF!)+
SUMIF(#REF!, 'KEUANGAN INTERNAL AKRE 2025'!B49,#REF!)+
SUMIF(#REF!, 'KEUANGAN INTERNAL AKRE 2025'!B49,#REF!)</f>
        <v>#REF!</v>
      </c>
      <c r="N49" s="82" t="e">
        <f>SUMIF(#REF!, 'KEUANGAN INTERNAL AKRE 2025'!B49,#REF!)+
SUMIF(#REF!, 'KEUANGAN INTERNAL AKRE 2025'!B49,#REF!)+
SUMIF(#REF!, 'KEUANGAN INTERNAL AKRE 2025'!B49,#REF!)+
SUMIF(#REF!, 'KEUANGAN INTERNAL AKRE 2025'!B49,#REF!)+
SUMIF(#REF!,'KEUANGAN INTERNAL AKRE 2025'!B49,#REF!)+
SUMIF(#REF!,'KEUANGAN INTERNAL AKRE 2025'!B49,#REF!)+
SUMIF(#REF!,'KEUANGAN INTERNAL AKRE 2025'!B49,#REF!)</f>
        <v>#REF!</v>
      </c>
      <c r="O49" s="80" t="e">
        <f t="shared" si="0"/>
        <v>#REF!</v>
      </c>
      <c r="S49" s="62" t="s">
        <v>5830</v>
      </c>
    </row>
    <row r="50" spans="1:24">
      <c r="A50" s="528" t="s">
        <v>172</v>
      </c>
      <c r="B50" s="63" t="s">
        <v>209</v>
      </c>
      <c r="C50" s="11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D50" s="82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E50" s="81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F50" s="82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G50" s="82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H50" s="82" t="e">
        <f>SUMIF(#REF!, 'KEUANGAN INTERNAL AKRE 2025'!B50,#REF!)+
SUMIF(#REF!, 'KEUANGAN INTERNAL AKRE 2025'!B50,#REF!)+
SUMIF(#REF!, 'KEUANGAN INTERNAL AKRE 2025'!B50,#REF!)+
SUMIF(#REF!, 'KEUANGAN INTERNAL AKRE 2025'!B50,#REF!)</f>
        <v>#REF!</v>
      </c>
      <c r="I50" s="82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J50" s="82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</f>
        <v>#REF!</v>
      </c>
      <c r="K50" s="82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L50" s="82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2025'!B50,#REF!)+
SUMIF(#REF!,'KEUANGAN INTERNAL AKRE 2025'!B50,#REF!)</f>
        <v>#REF!</v>
      </c>
      <c r="M50" s="82" t="e">
        <f>SUMIF(#REF!, 'KEUANGAN INTERNAL AKRE 2025'!B50,#REF!)+
SUMIF(#REF!, 'KEUANGAN INTERNAL AKRE 2025'!B50,#REF!)+
SUMIF(#REF!, 'KEUANGAN INTERNAL AKRE 2025'!B50,#REF!)+
SUMIF(#REF!, 'KEUANGAN INTERNAL AKRE 2025'!B50,#REF!)+
SUMIF(#REF!, 'KEUANGAN INTERNAL AKRE 2025'!B50,#REF!)+
SUMIF(#REF!, 'KEUANGAN INTERNAL AKRE 2025'!B50,#REF!)</f>
        <v>#REF!</v>
      </c>
      <c r="N50" s="82" t="e">
        <f>SUMIF(#REF!, 'KEUANGAN INTERNAL AKRE 2025'!B50,#REF!)+
SUMIF(#REF!, 'KEUANGAN INTERNAL AKRE 2025'!B50,#REF!)+
SUMIF(#REF!, 'KEUANGAN INTERNAL AKRE 2025'!B50,#REF!)+
SUMIF(#REF!, 'KEUANGAN INTERNAL AKRE 2025'!B50,#REF!)+
SUMIF(#REF!,'KEUANGAN INTERNAL AKRE 2025'!B50,#REF!)+
SUMIF(#REF!,'KEUANGAN INTERNAL AKRE 2025'!B50,#REF!)+
SUMIF(#REF!,'KEUANGAN INTERNAL AKRE 2025'!B50,#REF!)</f>
        <v>#REF!</v>
      </c>
      <c r="O50" s="80" t="e">
        <f t="shared" si="0"/>
        <v>#REF!</v>
      </c>
      <c r="S50" s="62" t="s">
        <v>449</v>
      </c>
      <c r="T50" s="80" t="e">
        <f>SUM(T23:T23)</f>
        <v>#REF!</v>
      </c>
      <c r="U50" s="80" t="e">
        <f>SUM(U23:U23)</f>
        <v>#REF!</v>
      </c>
      <c r="V50" s="80" t="e">
        <f>SUM(V23:V23)</f>
        <v>#REF!</v>
      </c>
      <c r="W50" s="80" t="e">
        <f>SUM(W23:W23)</f>
        <v>#REF!</v>
      </c>
      <c r="X50" s="80"/>
    </row>
    <row r="51" spans="1:24">
      <c r="A51" s="752" t="s">
        <v>166</v>
      </c>
      <c r="B51" s="753" t="s">
        <v>73</v>
      </c>
      <c r="C51" s="11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D51" s="82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E51" s="81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F51" s="82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G51" s="82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H51" s="82" t="e">
        <f>SUMIF(#REF!, 'KEUANGAN INTERNAL AKRE 2025'!B51,#REF!)+
SUMIF(#REF!, 'KEUANGAN INTERNAL AKRE 2025'!B51,#REF!)+
SUMIF(#REF!, 'KEUANGAN INTERNAL AKRE 2025'!B51,#REF!)+
SUMIF(#REF!, 'KEUANGAN INTERNAL AKRE 2025'!B51,#REF!)</f>
        <v>#REF!</v>
      </c>
      <c r="I51" s="82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J51" s="82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</f>
        <v>#REF!</v>
      </c>
      <c r="K51" s="82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L51" s="82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2025'!B51,#REF!)+
SUMIF(#REF!,'KEUANGAN INTERNAL AKRE 2025'!B51,#REF!)</f>
        <v>#REF!</v>
      </c>
      <c r="M51" s="82" t="e">
        <f>SUMIF(#REF!, 'KEUANGAN INTERNAL AKRE 2025'!B51,#REF!)+
SUMIF(#REF!, 'KEUANGAN INTERNAL AKRE 2025'!B51,#REF!)+
SUMIF(#REF!, 'KEUANGAN INTERNAL AKRE 2025'!B51,#REF!)+
SUMIF(#REF!, 'KEUANGAN INTERNAL AKRE 2025'!B51,#REF!)+
SUMIF(#REF!, 'KEUANGAN INTERNAL AKRE 2025'!B51,#REF!)+
SUMIF(#REF!, 'KEUANGAN INTERNAL AKRE 2025'!B51,#REF!)</f>
        <v>#REF!</v>
      </c>
      <c r="N51" s="82" t="e">
        <f>SUMIF(#REF!, 'KEUANGAN INTERNAL AKRE 2025'!B51,#REF!)+
SUMIF(#REF!, 'KEUANGAN INTERNAL AKRE 2025'!B51,#REF!)+
SUMIF(#REF!, 'KEUANGAN INTERNAL AKRE 2025'!B51,#REF!)+
SUMIF(#REF!, 'KEUANGAN INTERNAL AKRE 2025'!B51,#REF!)+
SUMIF(#REF!,'KEUANGAN INTERNAL AKRE 2025'!B51,#REF!)+
SUMIF(#REF!,'KEUANGAN INTERNAL AKRE 2025'!B51,#REF!)+
SUMIF(#REF!,'KEUANGAN INTERNAL AKRE 2025'!B51,#REF!)</f>
        <v>#REF!</v>
      </c>
      <c r="O51" s="80" t="e">
        <f t="shared" si="0"/>
        <v>#REF!</v>
      </c>
      <c r="U51" s="80"/>
      <c r="V51" s="80"/>
      <c r="X51" s="80"/>
    </row>
    <row r="52" spans="1:24">
      <c r="A52" s="752" t="s">
        <v>166</v>
      </c>
      <c r="B52" s="753" t="s">
        <v>28</v>
      </c>
      <c r="C52" s="11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D52" s="82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E52" s="81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F52" s="82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G52" s="82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H52" s="82" t="e">
        <f>SUMIF(#REF!, 'KEUANGAN INTERNAL AKRE 2025'!B52,#REF!)+
SUMIF(#REF!, 'KEUANGAN INTERNAL AKRE 2025'!B52,#REF!)+
SUMIF(#REF!, 'KEUANGAN INTERNAL AKRE 2025'!B52,#REF!)+
SUMIF(#REF!, 'KEUANGAN INTERNAL AKRE 2025'!B52,#REF!)</f>
        <v>#REF!</v>
      </c>
      <c r="I52" s="82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J52" s="82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</f>
        <v>#REF!</v>
      </c>
      <c r="K52" s="82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L52" s="82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2025'!B52,#REF!)+
SUMIF(#REF!,'KEUANGAN INTERNAL AKRE 2025'!B52,#REF!)</f>
        <v>#REF!</v>
      </c>
      <c r="M52" s="82" t="e">
        <f>SUMIF(#REF!, 'KEUANGAN INTERNAL AKRE 2025'!B52,#REF!)+
SUMIF(#REF!, 'KEUANGAN INTERNAL AKRE 2025'!B52,#REF!)+
SUMIF(#REF!, 'KEUANGAN INTERNAL AKRE 2025'!B52,#REF!)+
SUMIF(#REF!, 'KEUANGAN INTERNAL AKRE 2025'!B52,#REF!)+
SUMIF(#REF!, 'KEUANGAN INTERNAL AKRE 2025'!B52,#REF!)+
SUMIF(#REF!, 'KEUANGAN INTERNAL AKRE 2025'!B52,#REF!)</f>
        <v>#REF!</v>
      </c>
      <c r="N52" s="82" t="e">
        <f>SUMIF(#REF!, 'KEUANGAN INTERNAL AKRE 2025'!B52,#REF!)+
SUMIF(#REF!, 'KEUANGAN INTERNAL AKRE 2025'!B52,#REF!)+
SUMIF(#REF!, 'KEUANGAN INTERNAL AKRE 2025'!B52,#REF!)+
SUMIF(#REF!, 'KEUANGAN INTERNAL AKRE 2025'!B52,#REF!)+
SUMIF(#REF!,'KEUANGAN INTERNAL AKRE 2025'!B52,#REF!)+
SUMIF(#REF!,'KEUANGAN INTERNAL AKRE 2025'!B52,#REF!)+
SUMIF(#REF!,'KEUANGAN INTERNAL AKRE 2025'!B52,#REF!)</f>
        <v>#REF!</v>
      </c>
      <c r="O52" s="80" t="e">
        <f t="shared" si="0"/>
        <v>#REF!</v>
      </c>
      <c r="S52" s="62" t="s">
        <v>620</v>
      </c>
      <c r="T52" s="80">
        <v>121833333.33333333</v>
      </c>
      <c r="U52" s="80">
        <v>72000000</v>
      </c>
      <c r="V52" s="80">
        <v>320630833.33333337</v>
      </c>
      <c r="W52" s="80">
        <v>23685458.333333336</v>
      </c>
      <c r="X52" s="80"/>
    </row>
    <row r="53" spans="1:24">
      <c r="A53" s="752" t="s">
        <v>166</v>
      </c>
      <c r="B53" s="753" t="s">
        <v>30</v>
      </c>
      <c r="C53" s="11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D53" s="82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E53" s="81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F53" s="82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G53" s="82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H53" s="82" t="e">
        <f>SUMIF(#REF!, 'KEUANGAN INTERNAL AKRE 2025'!B53,#REF!)+
SUMIF(#REF!, 'KEUANGAN INTERNAL AKRE 2025'!B53,#REF!)+
SUMIF(#REF!, 'KEUANGAN INTERNAL AKRE 2025'!B53,#REF!)+
SUMIF(#REF!, 'KEUANGAN INTERNAL AKRE 2025'!B53,#REF!)</f>
        <v>#REF!</v>
      </c>
      <c r="I53" s="82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J53" s="82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</f>
        <v>#REF!</v>
      </c>
      <c r="K53" s="82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L53" s="82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2025'!B53,#REF!)+
SUMIF(#REF!,'KEUANGAN INTERNAL AKRE 2025'!B53,#REF!)</f>
        <v>#REF!</v>
      </c>
      <c r="M53" s="82" t="e">
        <f>SUMIF(#REF!, 'KEUANGAN INTERNAL AKRE 2025'!B53,#REF!)+
SUMIF(#REF!, 'KEUANGAN INTERNAL AKRE 2025'!B53,#REF!)+
SUMIF(#REF!, 'KEUANGAN INTERNAL AKRE 2025'!B53,#REF!)+
SUMIF(#REF!, 'KEUANGAN INTERNAL AKRE 2025'!B53,#REF!)+
SUMIF(#REF!, 'KEUANGAN INTERNAL AKRE 2025'!B53,#REF!)+
SUMIF(#REF!, 'KEUANGAN INTERNAL AKRE 2025'!B53,#REF!)</f>
        <v>#REF!</v>
      </c>
      <c r="N53" s="82" t="e">
        <f>SUMIF(#REF!, 'KEUANGAN INTERNAL AKRE 2025'!B53,#REF!)+
SUMIF(#REF!, 'KEUANGAN INTERNAL AKRE 2025'!B53,#REF!)+
SUMIF(#REF!, 'KEUANGAN INTERNAL AKRE 2025'!B53,#REF!)+
SUMIF(#REF!, 'KEUANGAN INTERNAL AKRE 2025'!B53,#REF!)+
SUMIF(#REF!,'KEUANGAN INTERNAL AKRE 2025'!B53,#REF!)+
SUMIF(#REF!,'KEUANGAN INTERNAL AKRE 2025'!B53,#REF!)+
SUMIF(#REF!,'KEUANGAN INTERNAL AKRE 2025'!B53,#REF!)</f>
        <v>#REF!</v>
      </c>
      <c r="O53" s="80" t="e">
        <f t="shared" si="0"/>
        <v>#REF!</v>
      </c>
      <c r="S53" s="62" t="s">
        <v>809</v>
      </c>
      <c r="T53" s="80">
        <v>121833333.33333333</v>
      </c>
      <c r="U53" s="80">
        <v>72000000</v>
      </c>
      <c r="V53" s="80">
        <v>320630833.33333337</v>
      </c>
      <c r="W53" s="80">
        <v>23685458.333333336</v>
      </c>
      <c r="X53" s="80"/>
    </row>
    <row r="54" spans="1:24">
      <c r="A54" s="752" t="s">
        <v>166</v>
      </c>
      <c r="B54" s="753" t="s">
        <v>47</v>
      </c>
      <c r="C54" s="11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D54" s="82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E54" s="81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F54" s="82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G54" s="82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H54" s="82" t="e">
        <f>SUMIF(#REF!, 'KEUANGAN INTERNAL AKRE 2025'!B54,#REF!)+
SUMIF(#REF!, 'KEUANGAN INTERNAL AKRE 2025'!B54,#REF!)+
SUMIF(#REF!, 'KEUANGAN INTERNAL AKRE 2025'!B54,#REF!)+
SUMIF(#REF!, 'KEUANGAN INTERNAL AKRE 2025'!B54,#REF!)</f>
        <v>#REF!</v>
      </c>
      <c r="I54" s="82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J54" s="82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</f>
        <v>#REF!</v>
      </c>
      <c r="K54" s="82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L54" s="82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2025'!B54,#REF!)+
SUMIF(#REF!,'KEUANGAN INTERNAL AKRE 2025'!B54,#REF!)</f>
        <v>#REF!</v>
      </c>
      <c r="M54" s="82" t="e">
        <f>SUMIF(#REF!, 'KEUANGAN INTERNAL AKRE 2025'!B54,#REF!)+
SUMIF(#REF!, 'KEUANGAN INTERNAL AKRE 2025'!B54,#REF!)+
SUMIF(#REF!, 'KEUANGAN INTERNAL AKRE 2025'!B54,#REF!)+
SUMIF(#REF!, 'KEUANGAN INTERNAL AKRE 2025'!B54,#REF!)+
SUMIF(#REF!, 'KEUANGAN INTERNAL AKRE 2025'!B54,#REF!)+
SUMIF(#REF!, 'KEUANGAN INTERNAL AKRE 2025'!B54,#REF!)</f>
        <v>#REF!</v>
      </c>
      <c r="N54" s="82" t="e">
        <f>SUMIF(#REF!, 'KEUANGAN INTERNAL AKRE 2025'!B54,#REF!)+
SUMIF(#REF!, 'KEUANGAN INTERNAL AKRE 2025'!B54,#REF!)+
SUMIF(#REF!, 'KEUANGAN INTERNAL AKRE 2025'!B54,#REF!)+
SUMIF(#REF!, 'KEUANGAN INTERNAL AKRE 2025'!B54,#REF!)+
SUMIF(#REF!,'KEUANGAN INTERNAL AKRE 2025'!B54,#REF!)+
SUMIF(#REF!,'KEUANGAN INTERNAL AKRE 2025'!B54,#REF!)+
SUMIF(#REF!,'KEUANGAN INTERNAL AKRE 2025'!B54,#REF!)</f>
        <v>#REF!</v>
      </c>
      <c r="O54" s="80" t="e">
        <f t="shared" si="0"/>
        <v>#REF!</v>
      </c>
      <c r="S54" s="62" t="s">
        <v>686</v>
      </c>
      <c r="T54" s="80">
        <v>121833333.33333333</v>
      </c>
      <c r="U54" s="80">
        <v>72000000</v>
      </c>
      <c r="V54" s="80">
        <v>320630833.33333337</v>
      </c>
      <c r="W54" s="80">
        <v>23685458.333333336</v>
      </c>
      <c r="X54" s="80"/>
    </row>
    <row r="55" spans="1:24">
      <c r="A55" s="752" t="s">
        <v>166</v>
      </c>
      <c r="B55" s="753" t="s">
        <v>76</v>
      </c>
      <c r="C55" s="11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D55" s="82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E55" s="81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F55" s="82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G55" s="82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H55" s="82" t="e">
        <f>SUMIF(#REF!, 'KEUANGAN INTERNAL AKRE 2025'!B55,#REF!)+
SUMIF(#REF!, 'KEUANGAN INTERNAL AKRE 2025'!B55,#REF!)+
SUMIF(#REF!, 'KEUANGAN INTERNAL AKRE 2025'!B55,#REF!)+
SUMIF(#REF!, 'KEUANGAN INTERNAL AKRE 2025'!B55,#REF!)</f>
        <v>#REF!</v>
      </c>
      <c r="I55" s="82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J55" s="82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</f>
        <v>#REF!</v>
      </c>
      <c r="K55" s="82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L55" s="82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2025'!B55,#REF!)+
SUMIF(#REF!,'KEUANGAN INTERNAL AKRE 2025'!B55,#REF!)</f>
        <v>#REF!</v>
      </c>
      <c r="M55" s="82" t="e">
        <f>SUMIF(#REF!, 'KEUANGAN INTERNAL AKRE 2025'!B55,#REF!)+
SUMIF(#REF!, 'KEUANGAN INTERNAL AKRE 2025'!B55,#REF!)+
SUMIF(#REF!, 'KEUANGAN INTERNAL AKRE 2025'!B55,#REF!)+
SUMIF(#REF!, 'KEUANGAN INTERNAL AKRE 2025'!B55,#REF!)+
SUMIF(#REF!, 'KEUANGAN INTERNAL AKRE 2025'!B55,#REF!)+
SUMIF(#REF!, 'KEUANGAN INTERNAL AKRE 2025'!B55,#REF!)</f>
        <v>#REF!</v>
      </c>
      <c r="N55" s="82" t="e">
        <f>SUMIF(#REF!, 'KEUANGAN INTERNAL AKRE 2025'!B55,#REF!)+
SUMIF(#REF!, 'KEUANGAN INTERNAL AKRE 2025'!B55,#REF!)+
SUMIF(#REF!, 'KEUANGAN INTERNAL AKRE 2025'!B55,#REF!)+
SUMIF(#REF!, 'KEUANGAN INTERNAL AKRE 2025'!B55,#REF!)+
SUMIF(#REF!,'KEUANGAN INTERNAL AKRE 2025'!B55,#REF!)+
SUMIF(#REF!,'KEUANGAN INTERNAL AKRE 2025'!B55,#REF!)+
SUMIF(#REF!,'KEUANGAN INTERNAL AKRE 2025'!B55,#REF!)</f>
        <v>#REF!</v>
      </c>
      <c r="O55" s="80" t="e">
        <f t="shared" si="0"/>
        <v>#REF!</v>
      </c>
      <c r="T55" s="101">
        <f>SUM(T52:T54)</f>
        <v>365500000</v>
      </c>
      <c r="U55" s="101">
        <f>SUM(U52:U54)</f>
        <v>216000000</v>
      </c>
      <c r="V55" s="101">
        <f>SUM(V52:V54)</f>
        <v>961892500.00000012</v>
      </c>
      <c r="W55" s="101">
        <f>SUM(W52:W54)</f>
        <v>71056375</v>
      </c>
      <c r="X55" s="101"/>
    </row>
    <row r="56" spans="1:24">
      <c r="A56" s="752" t="s">
        <v>166</v>
      </c>
      <c r="B56" s="753" t="s">
        <v>17</v>
      </c>
      <c r="C56" s="11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D56" s="82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E56" s="81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F56" s="82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G56" s="82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H56" s="82" t="e">
        <f>SUMIF(#REF!, 'KEUANGAN INTERNAL AKRE 2025'!B56,#REF!)+
SUMIF(#REF!, 'KEUANGAN INTERNAL AKRE 2025'!B56,#REF!)+
SUMIF(#REF!, 'KEUANGAN INTERNAL AKRE 2025'!B56,#REF!)+
SUMIF(#REF!, 'KEUANGAN INTERNAL AKRE 2025'!B56,#REF!)</f>
        <v>#REF!</v>
      </c>
      <c r="I56" s="82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J56" s="82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</f>
        <v>#REF!</v>
      </c>
      <c r="K56" s="82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L56" s="82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2025'!B56,#REF!)+
SUMIF(#REF!,'KEUANGAN INTERNAL AKRE 2025'!B56,#REF!)</f>
        <v>#REF!</v>
      </c>
      <c r="M56" s="82" t="e">
        <f>SUMIF(#REF!, 'KEUANGAN INTERNAL AKRE 2025'!B56,#REF!)+
SUMIF(#REF!, 'KEUANGAN INTERNAL AKRE 2025'!B56,#REF!)+
SUMIF(#REF!, 'KEUANGAN INTERNAL AKRE 2025'!B56,#REF!)+
SUMIF(#REF!, 'KEUANGAN INTERNAL AKRE 2025'!B56,#REF!)+
SUMIF(#REF!, 'KEUANGAN INTERNAL AKRE 2025'!B56,#REF!)+
SUMIF(#REF!, 'KEUANGAN INTERNAL AKRE 2025'!B56,#REF!)</f>
        <v>#REF!</v>
      </c>
      <c r="N56" s="82" t="e">
        <f>SUMIF(#REF!, 'KEUANGAN INTERNAL AKRE 2025'!B56,#REF!)+
SUMIF(#REF!, 'KEUANGAN INTERNAL AKRE 2025'!B56,#REF!)+
SUMIF(#REF!, 'KEUANGAN INTERNAL AKRE 2025'!B56,#REF!)+
SUMIF(#REF!, 'KEUANGAN INTERNAL AKRE 2025'!B56,#REF!)+
SUMIF(#REF!,'KEUANGAN INTERNAL AKRE 2025'!B56,#REF!)+
SUMIF(#REF!,'KEUANGAN INTERNAL AKRE 2025'!B56,#REF!)+
SUMIF(#REF!,'KEUANGAN INTERNAL AKRE 2025'!B56,#REF!)</f>
        <v>#REF!</v>
      </c>
      <c r="O56" s="80" t="e">
        <f t="shared" si="0"/>
        <v>#REF!</v>
      </c>
      <c r="S56" s="62" t="s">
        <v>158</v>
      </c>
      <c r="X56" s="80"/>
    </row>
    <row r="57" spans="1:24">
      <c r="A57" s="752" t="s">
        <v>166</v>
      </c>
      <c r="B57" s="753" t="s">
        <v>25</v>
      </c>
      <c r="C57" s="11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D57" s="82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E57" s="81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F57" s="82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G57" s="82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H57" s="82" t="e">
        <f>SUMIF(#REF!, 'KEUANGAN INTERNAL AKRE 2025'!B57,#REF!)+
SUMIF(#REF!, 'KEUANGAN INTERNAL AKRE 2025'!B57,#REF!)+
SUMIF(#REF!, 'KEUANGAN INTERNAL AKRE 2025'!B57,#REF!)+
SUMIF(#REF!, 'KEUANGAN INTERNAL AKRE 2025'!B57,#REF!)</f>
        <v>#REF!</v>
      </c>
      <c r="I57" s="82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J57" s="82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</f>
        <v>#REF!</v>
      </c>
      <c r="K57" s="82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L57" s="82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2025'!B57,#REF!)+
SUMIF(#REF!,'KEUANGAN INTERNAL AKRE 2025'!B57,#REF!)</f>
        <v>#REF!</v>
      </c>
      <c r="M57" s="82" t="e">
        <f>SUMIF(#REF!, 'KEUANGAN INTERNAL AKRE 2025'!B57,#REF!)+
SUMIF(#REF!, 'KEUANGAN INTERNAL AKRE 2025'!B57,#REF!)+
SUMIF(#REF!, 'KEUANGAN INTERNAL AKRE 2025'!B57,#REF!)+
SUMIF(#REF!, 'KEUANGAN INTERNAL AKRE 2025'!B57,#REF!)+
SUMIF(#REF!, 'KEUANGAN INTERNAL AKRE 2025'!B57,#REF!)+
SUMIF(#REF!, 'KEUANGAN INTERNAL AKRE 2025'!B57,#REF!)</f>
        <v>#REF!</v>
      </c>
      <c r="N57" s="82" t="e">
        <f>SUMIF(#REF!, 'KEUANGAN INTERNAL AKRE 2025'!B57,#REF!)+
SUMIF(#REF!, 'KEUANGAN INTERNAL AKRE 2025'!B57,#REF!)+
SUMIF(#REF!, 'KEUANGAN INTERNAL AKRE 2025'!B57,#REF!)+
SUMIF(#REF!, 'KEUANGAN INTERNAL AKRE 2025'!B57,#REF!)+
SUMIF(#REF!,'KEUANGAN INTERNAL AKRE 2025'!B57,#REF!)+
SUMIF(#REF!,'KEUANGAN INTERNAL AKRE 2025'!B57,#REF!)+
SUMIF(#REF!,'KEUANGAN INTERNAL AKRE 2025'!B57,#REF!)</f>
        <v>#REF!</v>
      </c>
      <c r="O57" s="80" t="e">
        <f t="shared" si="0"/>
        <v>#REF!</v>
      </c>
      <c r="S57" s="62" t="s">
        <v>181</v>
      </c>
    </row>
    <row r="58" spans="1:24">
      <c r="A58" s="752" t="s">
        <v>166</v>
      </c>
      <c r="B58" s="753" t="s">
        <v>57</v>
      </c>
      <c r="C58" s="11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D58" s="82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E58" s="81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F58" s="82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G58" s="82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H58" s="82" t="e">
        <f>SUMIF(#REF!, 'KEUANGAN INTERNAL AKRE 2025'!B58,#REF!)+
SUMIF(#REF!, 'KEUANGAN INTERNAL AKRE 2025'!B58,#REF!)+
SUMIF(#REF!, 'KEUANGAN INTERNAL AKRE 2025'!B58,#REF!)+
SUMIF(#REF!, 'KEUANGAN INTERNAL AKRE 2025'!B58,#REF!)</f>
        <v>#REF!</v>
      </c>
      <c r="I58" s="82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J58" s="82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</f>
        <v>#REF!</v>
      </c>
      <c r="K58" s="82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L58" s="82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2025'!B58,#REF!)+
SUMIF(#REF!,'KEUANGAN INTERNAL AKRE 2025'!B58,#REF!)</f>
        <v>#REF!</v>
      </c>
      <c r="M58" s="82" t="e">
        <f>SUMIF(#REF!, 'KEUANGAN INTERNAL AKRE 2025'!B58,#REF!)+
SUMIF(#REF!, 'KEUANGAN INTERNAL AKRE 2025'!B58,#REF!)+
SUMIF(#REF!, 'KEUANGAN INTERNAL AKRE 2025'!B58,#REF!)+
SUMIF(#REF!, 'KEUANGAN INTERNAL AKRE 2025'!B58,#REF!)+
SUMIF(#REF!, 'KEUANGAN INTERNAL AKRE 2025'!B58,#REF!)+
SUMIF(#REF!, 'KEUANGAN INTERNAL AKRE 2025'!B58,#REF!)</f>
        <v>#REF!</v>
      </c>
      <c r="N58" s="82" t="e">
        <f>SUMIF(#REF!, 'KEUANGAN INTERNAL AKRE 2025'!B58,#REF!)+
SUMIF(#REF!, 'KEUANGAN INTERNAL AKRE 2025'!B58,#REF!)+
SUMIF(#REF!, 'KEUANGAN INTERNAL AKRE 2025'!B58,#REF!)+
SUMIF(#REF!, 'KEUANGAN INTERNAL AKRE 2025'!B58,#REF!)+
SUMIF(#REF!,'KEUANGAN INTERNAL AKRE 2025'!B58,#REF!)+
SUMIF(#REF!,'KEUANGAN INTERNAL AKRE 2025'!B58,#REF!)+
SUMIF(#REF!,'KEUANGAN INTERNAL AKRE 2025'!B58,#REF!)</f>
        <v>#REF!</v>
      </c>
      <c r="O58" s="80" t="e">
        <f t="shared" si="0"/>
        <v>#REF!</v>
      </c>
      <c r="S58" s="62" t="s">
        <v>309</v>
      </c>
      <c r="T58" s="80" t="e">
        <f>T11</f>
        <v>#REF!</v>
      </c>
      <c r="U58" s="80" t="e">
        <f>U11</f>
        <v>#REF!</v>
      </c>
      <c r="V58" s="80" t="e">
        <f>V11</f>
        <v>#REF!</v>
      </c>
      <c r="W58" s="80" t="e">
        <f>W11</f>
        <v>#REF!</v>
      </c>
    </row>
    <row r="59" spans="1:24">
      <c r="A59" s="752" t="s">
        <v>166</v>
      </c>
      <c r="B59" s="753" t="s">
        <v>39</v>
      </c>
      <c r="C59" s="11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D59" s="82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E59" s="81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F59" s="82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G59" s="82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H59" s="82" t="e">
        <f>SUMIF(#REF!, 'KEUANGAN INTERNAL AKRE 2025'!B59,#REF!)+
SUMIF(#REF!, 'KEUANGAN INTERNAL AKRE 2025'!B59,#REF!)+
SUMIF(#REF!, 'KEUANGAN INTERNAL AKRE 2025'!B59,#REF!)+
SUMIF(#REF!, 'KEUANGAN INTERNAL AKRE 2025'!B59,#REF!)</f>
        <v>#REF!</v>
      </c>
      <c r="I59" s="82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J59" s="82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</f>
        <v>#REF!</v>
      </c>
      <c r="K59" s="82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L59" s="82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2025'!B59,#REF!)+
SUMIF(#REF!,'KEUANGAN INTERNAL AKRE 2025'!B59,#REF!)</f>
        <v>#REF!</v>
      </c>
      <c r="M59" s="82" t="e">
        <f>SUMIF(#REF!, 'KEUANGAN INTERNAL AKRE 2025'!B59,#REF!)+
SUMIF(#REF!, 'KEUANGAN INTERNAL AKRE 2025'!B59,#REF!)+
SUMIF(#REF!, 'KEUANGAN INTERNAL AKRE 2025'!B59,#REF!)+
SUMIF(#REF!, 'KEUANGAN INTERNAL AKRE 2025'!B59,#REF!)+
SUMIF(#REF!, 'KEUANGAN INTERNAL AKRE 2025'!B59,#REF!)+
SUMIF(#REF!, 'KEUANGAN INTERNAL AKRE 2025'!B59,#REF!)</f>
        <v>#REF!</v>
      </c>
      <c r="N59" s="82" t="e">
        <f>SUMIF(#REF!, 'KEUANGAN INTERNAL AKRE 2025'!B59,#REF!)+
SUMIF(#REF!, 'KEUANGAN INTERNAL AKRE 2025'!B59,#REF!)+
SUMIF(#REF!, 'KEUANGAN INTERNAL AKRE 2025'!B59,#REF!)+
SUMIF(#REF!, 'KEUANGAN INTERNAL AKRE 2025'!B59,#REF!)+
SUMIF(#REF!,'KEUANGAN INTERNAL AKRE 2025'!B59,#REF!)+
SUMIF(#REF!,'KEUANGAN INTERNAL AKRE 2025'!B59,#REF!)+
SUMIF(#REF!,'KEUANGAN INTERNAL AKRE 2025'!B59,#REF!)</f>
        <v>#REF!</v>
      </c>
      <c r="O59" s="80" t="e">
        <f t="shared" si="0"/>
        <v>#REF!</v>
      </c>
      <c r="S59" s="62" t="s">
        <v>758</v>
      </c>
      <c r="T59" s="80">
        <v>27608333.333333332</v>
      </c>
      <c r="U59" s="80">
        <v>154000000</v>
      </c>
      <c r="V59" s="80">
        <v>105333333.33333333</v>
      </c>
      <c r="W59" s="80">
        <v>14400000</v>
      </c>
    </row>
    <row r="60" spans="1:24">
      <c r="A60" s="752" t="s">
        <v>166</v>
      </c>
      <c r="B60" s="753" t="s">
        <v>67</v>
      </c>
      <c r="C60" s="11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D60" s="82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E60" s="81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F60" s="82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G60" s="82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H60" s="82" t="e">
        <f>SUMIF(#REF!, 'KEUANGAN INTERNAL AKRE 2025'!B60,#REF!)+
SUMIF(#REF!, 'KEUANGAN INTERNAL AKRE 2025'!B60,#REF!)+
SUMIF(#REF!, 'KEUANGAN INTERNAL AKRE 2025'!B60,#REF!)+
SUMIF(#REF!, 'KEUANGAN INTERNAL AKRE 2025'!B60,#REF!)</f>
        <v>#REF!</v>
      </c>
      <c r="I60" s="82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J60" s="82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</f>
        <v>#REF!</v>
      </c>
      <c r="K60" s="82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L60" s="82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2025'!B60,#REF!)+
SUMIF(#REF!,'KEUANGAN INTERNAL AKRE 2025'!B60,#REF!)</f>
        <v>#REF!</v>
      </c>
      <c r="M60" s="82" t="e">
        <f>SUMIF(#REF!, 'KEUANGAN INTERNAL AKRE 2025'!B60,#REF!)+
SUMIF(#REF!, 'KEUANGAN INTERNAL AKRE 2025'!B60,#REF!)+
SUMIF(#REF!, 'KEUANGAN INTERNAL AKRE 2025'!B60,#REF!)+
SUMIF(#REF!, 'KEUANGAN INTERNAL AKRE 2025'!B60,#REF!)+
SUMIF(#REF!, 'KEUANGAN INTERNAL AKRE 2025'!B60,#REF!)+
SUMIF(#REF!, 'KEUANGAN INTERNAL AKRE 2025'!B60,#REF!)</f>
        <v>#REF!</v>
      </c>
      <c r="N60" s="82" t="e">
        <f>SUMIF(#REF!, 'KEUANGAN INTERNAL AKRE 2025'!B60,#REF!)+
SUMIF(#REF!, 'KEUANGAN INTERNAL AKRE 2025'!B60,#REF!)+
SUMIF(#REF!, 'KEUANGAN INTERNAL AKRE 2025'!B60,#REF!)+
SUMIF(#REF!, 'KEUANGAN INTERNAL AKRE 2025'!B60,#REF!)+
SUMIF(#REF!,'KEUANGAN INTERNAL AKRE 2025'!B60,#REF!)+
SUMIF(#REF!,'KEUANGAN INTERNAL AKRE 2025'!B60,#REF!)+
SUMIF(#REF!,'KEUANGAN INTERNAL AKRE 2025'!B60,#REF!)</f>
        <v>#REF!</v>
      </c>
      <c r="O60" s="80" t="e">
        <f t="shared" si="0"/>
        <v>#REF!</v>
      </c>
      <c r="T60" s="80" t="e">
        <f>SUM(T58:T59)</f>
        <v>#REF!</v>
      </c>
      <c r="U60" s="80" t="e">
        <f>SUM(U58:U59)</f>
        <v>#REF!</v>
      </c>
      <c r="V60" s="80" t="e">
        <f>SUM(V58:V59)</f>
        <v>#REF!</v>
      </c>
      <c r="W60" s="80" t="e">
        <f>SUM(W58:W59)</f>
        <v>#REF!</v>
      </c>
    </row>
    <row r="61" spans="1:24">
      <c r="A61" s="752" t="s">
        <v>166</v>
      </c>
      <c r="B61" s="753" t="s">
        <v>178</v>
      </c>
      <c r="C61" s="11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D61" s="82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E61" s="81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F61" s="82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G61" s="82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H61" s="82" t="e">
        <f>SUMIF(#REF!, 'KEUANGAN INTERNAL AKRE 2025'!B61,#REF!)+
SUMIF(#REF!, 'KEUANGAN INTERNAL AKRE 2025'!B61,#REF!)+
SUMIF(#REF!, 'KEUANGAN INTERNAL AKRE 2025'!B61,#REF!)+
SUMIF(#REF!, 'KEUANGAN INTERNAL AKRE 2025'!B61,#REF!)</f>
        <v>#REF!</v>
      </c>
      <c r="I61" s="82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J61" s="82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</f>
        <v>#REF!</v>
      </c>
      <c r="K61" s="82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L61" s="82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2025'!B61,#REF!)+
SUMIF(#REF!,'KEUANGAN INTERNAL AKRE 2025'!B61,#REF!)</f>
        <v>#REF!</v>
      </c>
      <c r="M61" s="82" t="e">
        <f>SUMIF(#REF!, 'KEUANGAN INTERNAL AKRE 2025'!B61,#REF!)+
SUMIF(#REF!, 'KEUANGAN INTERNAL AKRE 2025'!B61,#REF!)+
SUMIF(#REF!, 'KEUANGAN INTERNAL AKRE 2025'!B61,#REF!)+
SUMIF(#REF!, 'KEUANGAN INTERNAL AKRE 2025'!B61,#REF!)+
SUMIF(#REF!, 'KEUANGAN INTERNAL AKRE 2025'!B61,#REF!)+
SUMIF(#REF!, 'KEUANGAN INTERNAL AKRE 2025'!B61,#REF!)</f>
        <v>#REF!</v>
      </c>
      <c r="N61" s="82" t="e">
        <f>SUMIF(#REF!, 'KEUANGAN INTERNAL AKRE 2025'!B61,#REF!)+
SUMIF(#REF!, 'KEUANGAN INTERNAL AKRE 2025'!B61,#REF!)+
SUMIF(#REF!, 'KEUANGAN INTERNAL AKRE 2025'!B61,#REF!)+
SUMIF(#REF!, 'KEUANGAN INTERNAL AKRE 2025'!B61,#REF!)+
SUMIF(#REF!,'KEUANGAN INTERNAL AKRE 2025'!B61,#REF!)+
SUMIF(#REF!,'KEUANGAN INTERNAL AKRE 2025'!B61,#REF!)+
SUMIF(#REF!,'KEUANGAN INTERNAL AKRE 2025'!B61,#REF!)</f>
        <v>#REF!</v>
      </c>
      <c r="O61" s="80" t="e">
        <f t="shared" si="0"/>
        <v>#REF!</v>
      </c>
      <c r="T61" s="101" t="e">
        <f>T60-T59</f>
        <v>#REF!</v>
      </c>
      <c r="U61" s="101" t="e">
        <f>U60-U59</f>
        <v>#REF!</v>
      </c>
      <c r="V61" s="101" t="e">
        <f>V60-V59</f>
        <v>#REF!</v>
      </c>
      <c r="W61" s="101" t="e">
        <f>W60-W59</f>
        <v>#REF!</v>
      </c>
    </row>
    <row r="62" spans="1:24">
      <c r="A62" s="752" t="s">
        <v>166</v>
      </c>
      <c r="B62" s="753" t="s">
        <v>180</v>
      </c>
      <c r="C62" s="11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D62" s="82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E62" s="81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F62" s="82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G62" s="82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H62" s="82" t="e">
        <f>SUMIF(#REF!, 'KEUANGAN INTERNAL AKRE 2025'!B62,#REF!)+
SUMIF(#REF!, 'KEUANGAN INTERNAL AKRE 2025'!B62,#REF!)+
SUMIF(#REF!, 'KEUANGAN INTERNAL AKRE 2025'!B62,#REF!)+
SUMIF(#REF!, 'KEUANGAN INTERNAL AKRE 2025'!B62,#REF!)</f>
        <v>#REF!</v>
      </c>
      <c r="I62" s="82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J62" s="82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</f>
        <v>#REF!</v>
      </c>
      <c r="K62" s="82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L62" s="82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2025'!B62,#REF!)+
SUMIF(#REF!,'KEUANGAN INTERNAL AKRE 2025'!B62,#REF!)</f>
        <v>#REF!</v>
      </c>
      <c r="M62" s="82" t="e">
        <f>SUMIF(#REF!, 'KEUANGAN INTERNAL AKRE 2025'!B62,#REF!)+
SUMIF(#REF!, 'KEUANGAN INTERNAL AKRE 2025'!B62,#REF!)+
SUMIF(#REF!, 'KEUANGAN INTERNAL AKRE 2025'!B62,#REF!)+
SUMIF(#REF!, 'KEUANGAN INTERNAL AKRE 2025'!B62,#REF!)+
SUMIF(#REF!, 'KEUANGAN INTERNAL AKRE 2025'!B62,#REF!)+
SUMIF(#REF!, 'KEUANGAN INTERNAL AKRE 2025'!B62,#REF!)</f>
        <v>#REF!</v>
      </c>
      <c r="N62" s="82" t="e">
        <f>SUMIF(#REF!, 'KEUANGAN INTERNAL AKRE 2025'!B62,#REF!)+
SUMIF(#REF!, 'KEUANGAN INTERNAL AKRE 2025'!B62,#REF!)+
SUMIF(#REF!, 'KEUANGAN INTERNAL AKRE 2025'!B62,#REF!)+
SUMIF(#REF!, 'KEUANGAN INTERNAL AKRE 2025'!B62,#REF!)+
SUMIF(#REF!,'KEUANGAN INTERNAL AKRE 2025'!B62,#REF!)+
SUMIF(#REF!,'KEUANGAN INTERNAL AKRE 2025'!B62,#REF!)+
SUMIF(#REF!,'KEUANGAN INTERNAL AKRE 2025'!B62,#REF!)</f>
        <v>#REF!</v>
      </c>
      <c r="O62" s="80" t="e">
        <f t="shared" si="0"/>
        <v>#REF!</v>
      </c>
    </row>
    <row r="63" spans="1:24">
      <c r="A63" s="752" t="s">
        <v>166</v>
      </c>
      <c r="B63" s="753" t="s">
        <v>179</v>
      </c>
      <c r="C63" s="11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D63" s="82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E63" s="81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F63" s="82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G63" s="82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H63" s="82" t="e">
        <f>SUMIF(#REF!, 'KEUANGAN INTERNAL AKRE 2025'!B63,#REF!)+
SUMIF(#REF!, 'KEUANGAN INTERNAL AKRE 2025'!B63,#REF!)+
SUMIF(#REF!, 'KEUANGAN INTERNAL AKRE 2025'!B63,#REF!)+
SUMIF(#REF!, 'KEUANGAN INTERNAL AKRE 2025'!B63,#REF!)</f>
        <v>#REF!</v>
      </c>
      <c r="I63" s="82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J63" s="82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</f>
        <v>#REF!</v>
      </c>
      <c r="K63" s="82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L63" s="82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2025'!B63,#REF!)+
SUMIF(#REF!,'KEUANGAN INTERNAL AKRE 2025'!B63,#REF!)</f>
        <v>#REF!</v>
      </c>
      <c r="M63" s="82" t="e">
        <f>SUMIF(#REF!, 'KEUANGAN INTERNAL AKRE 2025'!B63,#REF!)+
SUMIF(#REF!, 'KEUANGAN INTERNAL AKRE 2025'!B63,#REF!)+
SUMIF(#REF!, 'KEUANGAN INTERNAL AKRE 2025'!B63,#REF!)+
SUMIF(#REF!, 'KEUANGAN INTERNAL AKRE 2025'!B63,#REF!)+
SUMIF(#REF!, 'KEUANGAN INTERNAL AKRE 2025'!B63,#REF!)+
SUMIF(#REF!, 'KEUANGAN INTERNAL AKRE 2025'!B63,#REF!)</f>
        <v>#REF!</v>
      </c>
      <c r="N63" s="82" t="e">
        <f>SUMIF(#REF!, 'KEUANGAN INTERNAL AKRE 2025'!B63,#REF!)+
SUMIF(#REF!, 'KEUANGAN INTERNAL AKRE 2025'!B63,#REF!)+
SUMIF(#REF!, 'KEUANGAN INTERNAL AKRE 2025'!B63,#REF!)+
SUMIF(#REF!, 'KEUANGAN INTERNAL AKRE 2025'!B63,#REF!)+
SUMIF(#REF!,'KEUANGAN INTERNAL AKRE 2025'!B63,#REF!)+
SUMIF(#REF!,'KEUANGAN INTERNAL AKRE 2025'!B63,#REF!)+
SUMIF(#REF!,'KEUANGAN INTERNAL AKRE 2025'!B63,#REF!)</f>
        <v>#REF!</v>
      </c>
      <c r="O63" s="80" t="e">
        <f t="shared" si="0"/>
        <v>#REF!</v>
      </c>
      <c r="S63" s="62" t="s">
        <v>351</v>
      </c>
      <c r="T63" s="80" t="e">
        <f>T12</f>
        <v>#REF!</v>
      </c>
      <c r="U63" s="80" t="e">
        <f>U12</f>
        <v>#REF!</v>
      </c>
      <c r="V63" s="80" t="e">
        <f>V12</f>
        <v>#REF!</v>
      </c>
      <c r="W63" s="80" t="e">
        <f>W12</f>
        <v>#REF!</v>
      </c>
    </row>
    <row r="64" spans="1:24">
      <c r="A64" s="752" t="s">
        <v>166</v>
      </c>
      <c r="B64" s="753" t="s">
        <v>35</v>
      </c>
      <c r="C64" s="11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D64" s="82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E64" s="81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F64" s="82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G64" s="82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H64" s="82" t="e">
        <f>SUMIF(#REF!, 'KEUANGAN INTERNAL AKRE 2025'!B64,#REF!)+
SUMIF(#REF!, 'KEUANGAN INTERNAL AKRE 2025'!B64,#REF!)+
SUMIF(#REF!, 'KEUANGAN INTERNAL AKRE 2025'!B64,#REF!)+
SUMIF(#REF!, 'KEUANGAN INTERNAL AKRE 2025'!B64,#REF!)</f>
        <v>#REF!</v>
      </c>
      <c r="I64" s="82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J64" s="82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</f>
        <v>#REF!</v>
      </c>
      <c r="K64" s="82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L64" s="82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2025'!B64,#REF!)+
SUMIF(#REF!,'KEUANGAN INTERNAL AKRE 2025'!B64,#REF!)</f>
        <v>#REF!</v>
      </c>
      <c r="M64" s="82" t="e">
        <f>SUMIF(#REF!, 'KEUANGAN INTERNAL AKRE 2025'!B64,#REF!)+
SUMIF(#REF!, 'KEUANGAN INTERNAL AKRE 2025'!B64,#REF!)+
SUMIF(#REF!, 'KEUANGAN INTERNAL AKRE 2025'!B64,#REF!)+
SUMIF(#REF!, 'KEUANGAN INTERNAL AKRE 2025'!B64,#REF!)+
SUMIF(#REF!, 'KEUANGAN INTERNAL AKRE 2025'!B64,#REF!)+
SUMIF(#REF!, 'KEUANGAN INTERNAL AKRE 2025'!B64,#REF!)</f>
        <v>#REF!</v>
      </c>
      <c r="N64" s="82" t="e">
        <f>SUMIF(#REF!, 'KEUANGAN INTERNAL AKRE 2025'!B64,#REF!)+
SUMIF(#REF!, 'KEUANGAN INTERNAL AKRE 2025'!B64,#REF!)+
SUMIF(#REF!, 'KEUANGAN INTERNAL AKRE 2025'!B64,#REF!)+
SUMIF(#REF!, 'KEUANGAN INTERNAL AKRE 2025'!B64,#REF!)+
SUMIF(#REF!,'KEUANGAN INTERNAL AKRE 2025'!B64,#REF!)+
SUMIF(#REF!,'KEUANGAN INTERNAL AKRE 2025'!B64,#REF!)+
SUMIF(#REF!,'KEUANGAN INTERNAL AKRE 2025'!B64,#REF!)</f>
        <v>#REF!</v>
      </c>
      <c r="O64" s="80" t="e">
        <f t="shared" si="0"/>
        <v>#REF!</v>
      </c>
      <c r="S64" s="62" t="s">
        <v>758</v>
      </c>
      <c r="T64" s="80">
        <v>0</v>
      </c>
      <c r="U64" s="80">
        <v>0</v>
      </c>
      <c r="V64" s="80">
        <v>0</v>
      </c>
      <c r="W64" s="80">
        <v>35333333.333333328</v>
      </c>
    </row>
    <row r="65" spans="1:23">
      <c r="A65" s="752" t="s">
        <v>166</v>
      </c>
      <c r="B65" s="753" t="s">
        <v>41</v>
      </c>
      <c r="C65" s="11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D65" s="82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E65" s="81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F65" s="82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G65" s="82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H65" s="82" t="e">
        <f>SUMIF(#REF!, 'KEUANGAN INTERNAL AKRE 2025'!B65,#REF!)+
SUMIF(#REF!, 'KEUANGAN INTERNAL AKRE 2025'!B65,#REF!)+
SUMIF(#REF!, 'KEUANGAN INTERNAL AKRE 2025'!B65,#REF!)+
SUMIF(#REF!, 'KEUANGAN INTERNAL AKRE 2025'!B65,#REF!)</f>
        <v>#REF!</v>
      </c>
      <c r="I65" s="82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J65" s="82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</f>
        <v>#REF!</v>
      </c>
      <c r="K65" s="82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L65" s="82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2025'!B65,#REF!)+
SUMIF(#REF!,'KEUANGAN INTERNAL AKRE 2025'!B65,#REF!)</f>
        <v>#REF!</v>
      </c>
      <c r="M65" s="82" t="e">
        <f>SUMIF(#REF!, 'KEUANGAN INTERNAL AKRE 2025'!B65,#REF!)+
SUMIF(#REF!, 'KEUANGAN INTERNAL AKRE 2025'!B65,#REF!)+
SUMIF(#REF!, 'KEUANGAN INTERNAL AKRE 2025'!B65,#REF!)+
SUMIF(#REF!, 'KEUANGAN INTERNAL AKRE 2025'!B65,#REF!)+
SUMIF(#REF!, 'KEUANGAN INTERNAL AKRE 2025'!B65,#REF!)+
SUMIF(#REF!, 'KEUANGAN INTERNAL AKRE 2025'!B65,#REF!)</f>
        <v>#REF!</v>
      </c>
      <c r="N65" s="82" t="e">
        <f>SUMIF(#REF!, 'KEUANGAN INTERNAL AKRE 2025'!B65,#REF!)+
SUMIF(#REF!, 'KEUANGAN INTERNAL AKRE 2025'!B65,#REF!)+
SUMIF(#REF!, 'KEUANGAN INTERNAL AKRE 2025'!B65,#REF!)+
SUMIF(#REF!, 'KEUANGAN INTERNAL AKRE 2025'!B65,#REF!)+
SUMIF(#REF!,'KEUANGAN INTERNAL AKRE 2025'!B65,#REF!)+
SUMIF(#REF!,'KEUANGAN INTERNAL AKRE 2025'!B65,#REF!)+
SUMIF(#REF!,'KEUANGAN INTERNAL AKRE 2025'!B65,#REF!)</f>
        <v>#REF!</v>
      </c>
      <c r="O65" s="80" t="e">
        <f t="shared" si="0"/>
        <v>#REF!</v>
      </c>
      <c r="T65" s="80" t="e">
        <f>SUM(T63:T64)</f>
        <v>#REF!</v>
      </c>
      <c r="U65" s="80" t="e">
        <f>SUM(U63:U64)</f>
        <v>#REF!</v>
      </c>
      <c r="V65" s="80" t="e">
        <f>SUM(V63:V64)</f>
        <v>#REF!</v>
      </c>
      <c r="W65" s="80" t="e">
        <f>SUM(W63:W64)</f>
        <v>#REF!</v>
      </c>
    </row>
    <row r="66" spans="1:23">
      <c r="A66" s="752" t="s">
        <v>166</v>
      </c>
      <c r="B66" s="753" t="s">
        <v>33</v>
      </c>
      <c r="C66" s="11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D66" s="82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E66" s="81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F66" s="82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G66" s="82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H66" s="82" t="e">
        <f>SUMIF(#REF!, 'KEUANGAN INTERNAL AKRE 2025'!B66,#REF!)+
SUMIF(#REF!, 'KEUANGAN INTERNAL AKRE 2025'!B66,#REF!)+
SUMIF(#REF!, 'KEUANGAN INTERNAL AKRE 2025'!B66,#REF!)+
SUMIF(#REF!, 'KEUANGAN INTERNAL AKRE 2025'!B66,#REF!)</f>
        <v>#REF!</v>
      </c>
      <c r="I66" s="82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J66" s="82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</f>
        <v>#REF!</v>
      </c>
      <c r="K66" s="82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L66" s="82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2025'!B66,#REF!)+
SUMIF(#REF!,'KEUANGAN INTERNAL AKRE 2025'!B66,#REF!)</f>
        <v>#REF!</v>
      </c>
      <c r="M66" s="82" t="e">
        <f>SUMIF(#REF!, 'KEUANGAN INTERNAL AKRE 2025'!B66,#REF!)+
SUMIF(#REF!, 'KEUANGAN INTERNAL AKRE 2025'!B66,#REF!)+
SUMIF(#REF!, 'KEUANGAN INTERNAL AKRE 2025'!B66,#REF!)+
SUMIF(#REF!, 'KEUANGAN INTERNAL AKRE 2025'!B66,#REF!)+
SUMIF(#REF!, 'KEUANGAN INTERNAL AKRE 2025'!B66,#REF!)+
SUMIF(#REF!, 'KEUANGAN INTERNAL AKRE 2025'!B66,#REF!)</f>
        <v>#REF!</v>
      </c>
      <c r="N66" s="82" t="e">
        <f>SUMIF(#REF!, 'KEUANGAN INTERNAL AKRE 2025'!B66,#REF!)+
SUMIF(#REF!, 'KEUANGAN INTERNAL AKRE 2025'!B66,#REF!)+
SUMIF(#REF!, 'KEUANGAN INTERNAL AKRE 2025'!B66,#REF!)+
SUMIF(#REF!, 'KEUANGAN INTERNAL AKRE 2025'!B66,#REF!)+
SUMIF(#REF!,'KEUANGAN INTERNAL AKRE 2025'!B66,#REF!)+
SUMIF(#REF!,'KEUANGAN INTERNAL AKRE 2025'!B66,#REF!)+
SUMIF(#REF!,'KEUANGAN INTERNAL AKRE 2025'!B66,#REF!)</f>
        <v>#REF!</v>
      </c>
      <c r="O66" s="80" t="e">
        <f t="shared" si="0"/>
        <v>#REF!</v>
      </c>
      <c r="T66" s="101" t="e">
        <f>T65-T64</f>
        <v>#REF!</v>
      </c>
      <c r="U66" s="101" t="e">
        <f>U65-U64</f>
        <v>#REF!</v>
      </c>
      <c r="V66" s="101" t="e">
        <f>V65-V64</f>
        <v>#REF!</v>
      </c>
      <c r="W66" s="101" t="e">
        <f>W65-W64</f>
        <v>#REF!</v>
      </c>
    </row>
    <row r="67" spans="1:23">
      <c r="A67" s="752" t="s">
        <v>166</v>
      </c>
      <c r="B67" s="753" t="s">
        <v>54</v>
      </c>
      <c r="C67" s="11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D67" s="82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E67" s="81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F67" s="82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G67" s="82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H67" s="82" t="e">
        <f>SUMIF(#REF!, 'KEUANGAN INTERNAL AKRE 2025'!B67,#REF!)+
SUMIF(#REF!, 'KEUANGAN INTERNAL AKRE 2025'!B67,#REF!)+
SUMIF(#REF!, 'KEUANGAN INTERNAL AKRE 2025'!B67,#REF!)+
SUMIF(#REF!, 'KEUANGAN INTERNAL AKRE 2025'!B67,#REF!)</f>
        <v>#REF!</v>
      </c>
      <c r="I67" s="82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J67" s="82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</f>
        <v>#REF!</v>
      </c>
      <c r="K67" s="82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L67" s="82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2025'!B67,#REF!)+
SUMIF(#REF!,'KEUANGAN INTERNAL AKRE 2025'!B67,#REF!)</f>
        <v>#REF!</v>
      </c>
      <c r="M67" s="82" t="e">
        <f>SUMIF(#REF!, 'KEUANGAN INTERNAL AKRE 2025'!B67,#REF!)+
SUMIF(#REF!, 'KEUANGAN INTERNAL AKRE 2025'!B67,#REF!)+
SUMIF(#REF!, 'KEUANGAN INTERNAL AKRE 2025'!B67,#REF!)+
SUMIF(#REF!, 'KEUANGAN INTERNAL AKRE 2025'!B67,#REF!)+
SUMIF(#REF!, 'KEUANGAN INTERNAL AKRE 2025'!B67,#REF!)+
SUMIF(#REF!, 'KEUANGAN INTERNAL AKRE 2025'!B67,#REF!)</f>
        <v>#REF!</v>
      </c>
      <c r="N67" s="82" t="e">
        <f>SUMIF(#REF!, 'KEUANGAN INTERNAL AKRE 2025'!B67,#REF!)+
SUMIF(#REF!, 'KEUANGAN INTERNAL AKRE 2025'!B67,#REF!)+
SUMIF(#REF!, 'KEUANGAN INTERNAL AKRE 2025'!B67,#REF!)+
SUMIF(#REF!, 'KEUANGAN INTERNAL AKRE 2025'!B67,#REF!)+
SUMIF(#REF!,'KEUANGAN INTERNAL AKRE 2025'!B67,#REF!)+
SUMIF(#REF!,'KEUANGAN INTERNAL AKRE 2025'!B67,#REF!)+
SUMIF(#REF!,'KEUANGAN INTERNAL AKRE 2025'!B67,#REF!)</f>
        <v>#REF!</v>
      </c>
      <c r="O67" s="80" t="e">
        <f t="shared" si="0"/>
        <v>#REF!</v>
      </c>
    </row>
    <row r="68" spans="1:23">
      <c r="A68" s="752" t="s">
        <v>166</v>
      </c>
      <c r="B68" s="753" t="s">
        <v>37</v>
      </c>
      <c r="C68" s="11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D68" s="82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E68" s="81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F68" s="82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G68" s="82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H68" s="82" t="e">
        <f>SUMIF(#REF!, 'KEUANGAN INTERNAL AKRE 2025'!B68,#REF!)+
SUMIF(#REF!, 'KEUANGAN INTERNAL AKRE 2025'!B68,#REF!)+
SUMIF(#REF!, 'KEUANGAN INTERNAL AKRE 2025'!B68,#REF!)+
SUMIF(#REF!, 'KEUANGAN INTERNAL AKRE 2025'!B68,#REF!)</f>
        <v>#REF!</v>
      </c>
      <c r="I68" s="82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J68" s="82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</f>
        <v>#REF!</v>
      </c>
      <c r="K68" s="82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L68" s="82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2025'!B68,#REF!)+
SUMIF(#REF!,'KEUANGAN INTERNAL AKRE 2025'!B68,#REF!)</f>
        <v>#REF!</v>
      </c>
      <c r="M68" s="82" t="e">
        <f>SUMIF(#REF!, 'KEUANGAN INTERNAL AKRE 2025'!B68,#REF!)+
SUMIF(#REF!, 'KEUANGAN INTERNAL AKRE 2025'!B68,#REF!)+
SUMIF(#REF!, 'KEUANGAN INTERNAL AKRE 2025'!B68,#REF!)+
SUMIF(#REF!, 'KEUANGAN INTERNAL AKRE 2025'!B68,#REF!)+
SUMIF(#REF!, 'KEUANGAN INTERNAL AKRE 2025'!B68,#REF!)+
SUMIF(#REF!, 'KEUANGAN INTERNAL AKRE 2025'!B68,#REF!)</f>
        <v>#REF!</v>
      </c>
      <c r="N68" s="82" t="e">
        <f>SUMIF(#REF!, 'KEUANGAN INTERNAL AKRE 2025'!B68,#REF!)+
SUMIF(#REF!, 'KEUANGAN INTERNAL AKRE 2025'!B68,#REF!)+
SUMIF(#REF!, 'KEUANGAN INTERNAL AKRE 2025'!B68,#REF!)+
SUMIF(#REF!, 'KEUANGAN INTERNAL AKRE 2025'!B68,#REF!)+
SUMIF(#REF!,'KEUANGAN INTERNAL AKRE 2025'!B68,#REF!)+
SUMIF(#REF!,'KEUANGAN INTERNAL AKRE 2025'!B68,#REF!)+
SUMIF(#REF!,'KEUANGAN INTERNAL AKRE 2025'!B68,#REF!)</f>
        <v>#REF!</v>
      </c>
      <c r="O68" s="80" t="e">
        <f t="shared" si="0"/>
        <v>#REF!</v>
      </c>
      <c r="T68" s="101" t="e">
        <f>SUM(T61,T66)</f>
        <v>#REF!</v>
      </c>
      <c r="U68" s="101" t="e">
        <f>SUM(U61,U66)</f>
        <v>#REF!</v>
      </c>
      <c r="V68" s="101" t="e">
        <f>SUM(V61,V66)</f>
        <v>#REF!</v>
      </c>
      <c r="W68" s="101" t="e">
        <f>SUM(W61,W66)</f>
        <v>#REF!</v>
      </c>
    </row>
    <row r="69" spans="1:23">
      <c r="A69" s="752" t="s">
        <v>166</v>
      </c>
      <c r="B69" s="753" t="s">
        <v>185</v>
      </c>
      <c r="C69" s="11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D69" s="82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E69" s="81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F69" s="82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G69" s="82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H69" s="82" t="e">
        <f>SUMIF(#REF!, 'KEUANGAN INTERNAL AKRE 2025'!B69,#REF!)+
SUMIF(#REF!, 'KEUANGAN INTERNAL AKRE 2025'!B69,#REF!)+
SUMIF(#REF!, 'KEUANGAN INTERNAL AKRE 2025'!B69,#REF!)+
SUMIF(#REF!, 'KEUANGAN INTERNAL AKRE 2025'!B69,#REF!)</f>
        <v>#REF!</v>
      </c>
      <c r="I69" s="82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J69" s="82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</f>
        <v>#REF!</v>
      </c>
      <c r="K69" s="82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L69" s="82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2025'!B69,#REF!)+
SUMIF(#REF!,'KEUANGAN INTERNAL AKRE 2025'!B69,#REF!)</f>
        <v>#REF!</v>
      </c>
      <c r="M69" s="82" t="e">
        <f>SUMIF(#REF!, 'KEUANGAN INTERNAL AKRE 2025'!B69,#REF!)+
SUMIF(#REF!, 'KEUANGAN INTERNAL AKRE 2025'!B69,#REF!)+
SUMIF(#REF!, 'KEUANGAN INTERNAL AKRE 2025'!B69,#REF!)+
SUMIF(#REF!, 'KEUANGAN INTERNAL AKRE 2025'!B69,#REF!)+
SUMIF(#REF!, 'KEUANGAN INTERNAL AKRE 2025'!B69,#REF!)+
SUMIF(#REF!, 'KEUANGAN INTERNAL AKRE 2025'!B69,#REF!)</f>
        <v>#REF!</v>
      </c>
      <c r="N69" s="82" t="e">
        <f>SUMIF(#REF!, 'KEUANGAN INTERNAL AKRE 2025'!B69,#REF!)+
SUMIF(#REF!, 'KEUANGAN INTERNAL AKRE 2025'!B69,#REF!)+
SUMIF(#REF!, 'KEUANGAN INTERNAL AKRE 2025'!B69,#REF!)+
SUMIF(#REF!, 'KEUANGAN INTERNAL AKRE 2025'!B69,#REF!)+
SUMIF(#REF!,'KEUANGAN INTERNAL AKRE 2025'!B69,#REF!)+
SUMIF(#REF!,'KEUANGAN INTERNAL AKRE 2025'!B69,#REF!)+
SUMIF(#REF!,'KEUANGAN INTERNAL AKRE 2025'!B69,#REF!)</f>
        <v>#REF!</v>
      </c>
      <c r="O69" s="80" t="e">
        <f t="shared" ref="O69:O121" si="3">SUM(E69:L69)</f>
        <v>#REF!</v>
      </c>
    </row>
    <row r="70" spans="1:23">
      <c r="A70" s="752" t="s">
        <v>166</v>
      </c>
      <c r="B70" s="753" t="s">
        <v>188</v>
      </c>
      <c r="C70" s="11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D70" s="82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E70" s="81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F70" s="82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G70" s="82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H70" s="82" t="e">
        <f>SUMIF(#REF!, 'KEUANGAN INTERNAL AKRE 2025'!B70,#REF!)+
SUMIF(#REF!, 'KEUANGAN INTERNAL AKRE 2025'!B70,#REF!)+
SUMIF(#REF!, 'KEUANGAN INTERNAL AKRE 2025'!B70,#REF!)+
SUMIF(#REF!, 'KEUANGAN INTERNAL AKRE 2025'!B70,#REF!)</f>
        <v>#REF!</v>
      </c>
      <c r="I70" s="82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J70" s="82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</f>
        <v>#REF!</v>
      </c>
      <c r="K70" s="82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L70" s="82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2025'!B70,#REF!)+
SUMIF(#REF!,'KEUANGAN INTERNAL AKRE 2025'!B70,#REF!)</f>
        <v>#REF!</v>
      </c>
      <c r="M70" s="82" t="e">
        <f>SUMIF(#REF!, 'KEUANGAN INTERNAL AKRE 2025'!B70,#REF!)+
SUMIF(#REF!, 'KEUANGAN INTERNAL AKRE 2025'!B70,#REF!)+
SUMIF(#REF!, 'KEUANGAN INTERNAL AKRE 2025'!B70,#REF!)+
SUMIF(#REF!, 'KEUANGAN INTERNAL AKRE 2025'!B70,#REF!)+
SUMIF(#REF!, 'KEUANGAN INTERNAL AKRE 2025'!B70,#REF!)+
SUMIF(#REF!, 'KEUANGAN INTERNAL AKRE 2025'!B70,#REF!)</f>
        <v>#REF!</v>
      </c>
      <c r="N70" s="82" t="e">
        <f>SUMIF(#REF!, 'KEUANGAN INTERNAL AKRE 2025'!B70,#REF!)+
SUMIF(#REF!, 'KEUANGAN INTERNAL AKRE 2025'!B70,#REF!)+
SUMIF(#REF!, 'KEUANGAN INTERNAL AKRE 2025'!B70,#REF!)+
SUMIF(#REF!, 'KEUANGAN INTERNAL AKRE 2025'!B70,#REF!)+
SUMIF(#REF!,'KEUANGAN INTERNAL AKRE 2025'!B70,#REF!)+
SUMIF(#REF!,'KEUANGAN INTERNAL AKRE 2025'!B70,#REF!)+
SUMIF(#REF!,'KEUANGAN INTERNAL AKRE 2025'!B70,#REF!)</f>
        <v>#REF!</v>
      </c>
      <c r="O70" s="80" t="e">
        <f t="shared" si="3"/>
        <v>#REF!</v>
      </c>
    </row>
    <row r="71" spans="1:23">
      <c r="A71" s="752" t="s">
        <v>166</v>
      </c>
      <c r="B71" s="753" t="s">
        <v>183</v>
      </c>
      <c r="C71" s="11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D71" s="82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E71" s="81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F71" s="82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G71" s="82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H71" s="82" t="e">
        <f>SUMIF(#REF!, 'KEUANGAN INTERNAL AKRE 2025'!B71,#REF!)+
SUMIF(#REF!, 'KEUANGAN INTERNAL AKRE 2025'!B71,#REF!)+
SUMIF(#REF!, 'KEUANGAN INTERNAL AKRE 2025'!B71,#REF!)+
SUMIF(#REF!, 'KEUANGAN INTERNAL AKRE 2025'!B71,#REF!)</f>
        <v>#REF!</v>
      </c>
      <c r="I71" s="82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J71" s="82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</f>
        <v>#REF!</v>
      </c>
      <c r="K71" s="82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L71" s="82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2025'!B71,#REF!)+
SUMIF(#REF!,'KEUANGAN INTERNAL AKRE 2025'!B71,#REF!)</f>
        <v>#REF!</v>
      </c>
      <c r="M71" s="82" t="e">
        <f>SUMIF(#REF!, 'KEUANGAN INTERNAL AKRE 2025'!B71,#REF!)+
SUMIF(#REF!, 'KEUANGAN INTERNAL AKRE 2025'!B71,#REF!)+
SUMIF(#REF!, 'KEUANGAN INTERNAL AKRE 2025'!B71,#REF!)+
SUMIF(#REF!, 'KEUANGAN INTERNAL AKRE 2025'!B71,#REF!)+
SUMIF(#REF!, 'KEUANGAN INTERNAL AKRE 2025'!B71,#REF!)+
SUMIF(#REF!, 'KEUANGAN INTERNAL AKRE 2025'!B71,#REF!)</f>
        <v>#REF!</v>
      </c>
      <c r="N71" s="82" t="e">
        <f>SUMIF(#REF!, 'KEUANGAN INTERNAL AKRE 2025'!B71,#REF!)+
SUMIF(#REF!, 'KEUANGAN INTERNAL AKRE 2025'!B71,#REF!)+
SUMIF(#REF!, 'KEUANGAN INTERNAL AKRE 2025'!B71,#REF!)+
SUMIF(#REF!, 'KEUANGAN INTERNAL AKRE 2025'!B71,#REF!)+
SUMIF(#REF!,'KEUANGAN INTERNAL AKRE 2025'!B71,#REF!)+
SUMIF(#REF!,'KEUANGAN INTERNAL AKRE 2025'!B71,#REF!)+
SUMIF(#REF!,'KEUANGAN INTERNAL AKRE 2025'!B71,#REF!)</f>
        <v>#REF!</v>
      </c>
      <c r="O71" s="80" t="e">
        <f t="shared" si="3"/>
        <v>#REF!</v>
      </c>
    </row>
    <row r="72" spans="1:23">
      <c r="A72" s="752" t="s">
        <v>166</v>
      </c>
      <c r="B72" s="753" t="s">
        <v>184</v>
      </c>
      <c r="C72" s="11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D72" s="82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E72" s="81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F72" s="82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G72" s="82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H72" s="82" t="e">
        <f>SUMIF(#REF!, 'KEUANGAN INTERNAL AKRE 2025'!B72,#REF!)+
SUMIF(#REF!, 'KEUANGAN INTERNAL AKRE 2025'!B72,#REF!)+
SUMIF(#REF!, 'KEUANGAN INTERNAL AKRE 2025'!B72,#REF!)+
SUMIF(#REF!, 'KEUANGAN INTERNAL AKRE 2025'!B72,#REF!)</f>
        <v>#REF!</v>
      </c>
      <c r="I72" s="82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J72" s="82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</f>
        <v>#REF!</v>
      </c>
      <c r="K72" s="82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L72" s="82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2025'!B72,#REF!)+
SUMIF(#REF!,'KEUANGAN INTERNAL AKRE 2025'!B72,#REF!)</f>
        <v>#REF!</v>
      </c>
      <c r="M72" s="82" t="e">
        <f>SUMIF(#REF!, 'KEUANGAN INTERNAL AKRE 2025'!B72,#REF!)+
SUMIF(#REF!, 'KEUANGAN INTERNAL AKRE 2025'!B72,#REF!)+
SUMIF(#REF!, 'KEUANGAN INTERNAL AKRE 2025'!B72,#REF!)+
SUMIF(#REF!, 'KEUANGAN INTERNAL AKRE 2025'!B72,#REF!)+
SUMIF(#REF!, 'KEUANGAN INTERNAL AKRE 2025'!B72,#REF!)+
SUMIF(#REF!, 'KEUANGAN INTERNAL AKRE 2025'!B72,#REF!)</f>
        <v>#REF!</v>
      </c>
      <c r="N72" s="82" t="e">
        <f>SUMIF(#REF!, 'KEUANGAN INTERNAL AKRE 2025'!B72,#REF!)+
SUMIF(#REF!, 'KEUANGAN INTERNAL AKRE 2025'!B72,#REF!)+
SUMIF(#REF!, 'KEUANGAN INTERNAL AKRE 2025'!B72,#REF!)+
SUMIF(#REF!, 'KEUANGAN INTERNAL AKRE 2025'!B72,#REF!)+
SUMIF(#REF!,'KEUANGAN INTERNAL AKRE 2025'!B72,#REF!)+
SUMIF(#REF!,'KEUANGAN INTERNAL AKRE 2025'!B72,#REF!)+
SUMIF(#REF!,'KEUANGAN INTERNAL AKRE 2025'!B72,#REF!)</f>
        <v>#REF!</v>
      </c>
      <c r="O72" s="80" t="e">
        <f t="shared" si="3"/>
        <v>#REF!</v>
      </c>
    </row>
    <row r="73" spans="1:23">
      <c r="A73" s="752" t="s">
        <v>166</v>
      </c>
      <c r="B73" s="753" t="s">
        <v>193</v>
      </c>
      <c r="C73" s="11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D73" s="82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E73" s="81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F73" s="82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G73" s="82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H73" s="82" t="e">
        <f>SUMIF(#REF!, 'KEUANGAN INTERNAL AKRE 2025'!B73,#REF!)+
SUMIF(#REF!, 'KEUANGAN INTERNAL AKRE 2025'!B73,#REF!)+
SUMIF(#REF!, 'KEUANGAN INTERNAL AKRE 2025'!B73,#REF!)+
SUMIF(#REF!, 'KEUANGAN INTERNAL AKRE 2025'!B73,#REF!)</f>
        <v>#REF!</v>
      </c>
      <c r="I73" s="82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J73" s="82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</f>
        <v>#REF!</v>
      </c>
      <c r="K73" s="82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L73" s="82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2025'!B73,#REF!)+
SUMIF(#REF!,'KEUANGAN INTERNAL AKRE 2025'!B73,#REF!)</f>
        <v>#REF!</v>
      </c>
      <c r="M73" s="82" t="e">
        <f>SUMIF(#REF!, 'KEUANGAN INTERNAL AKRE 2025'!B73,#REF!)+
SUMIF(#REF!, 'KEUANGAN INTERNAL AKRE 2025'!B73,#REF!)+
SUMIF(#REF!, 'KEUANGAN INTERNAL AKRE 2025'!B73,#REF!)+
SUMIF(#REF!, 'KEUANGAN INTERNAL AKRE 2025'!B73,#REF!)+
SUMIF(#REF!, 'KEUANGAN INTERNAL AKRE 2025'!B73,#REF!)+
SUMIF(#REF!, 'KEUANGAN INTERNAL AKRE 2025'!B73,#REF!)</f>
        <v>#REF!</v>
      </c>
      <c r="N73" s="82" t="e">
        <f>SUMIF(#REF!, 'KEUANGAN INTERNAL AKRE 2025'!B73,#REF!)+
SUMIF(#REF!, 'KEUANGAN INTERNAL AKRE 2025'!B73,#REF!)+
SUMIF(#REF!, 'KEUANGAN INTERNAL AKRE 2025'!B73,#REF!)+
SUMIF(#REF!, 'KEUANGAN INTERNAL AKRE 2025'!B73,#REF!)+
SUMIF(#REF!,'KEUANGAN INTERNAL AKRE 2025'!B73,#REF!)+
SUMIF(#REF!,'KEUANGAN INTERNAL AKRE 2025'!B73,#REF!)+
SUMIF(#REF!,'KEUANGAN INTERNAL AKRE 2025'!B73,#REF!)</f>
        <v>#REF!</v>
      </c>
      <c r="O73" s="80" t="e">
        <f t="shared" si="3"/>
        <v>#REF!</v>
      </c>
    </row>
    <row r="74" spans="1:23">
      <c r="A74" s="754" t="s">
        <v>156</v>
      </c>
      <c r="B74" s="755" t="s">
        <v>18</v>
      </c>
      <c r="C74" s="11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D74" s="82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E74" s="81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F74" s="82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G74" s="82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H74" s="82" t="e">
        <f>SUMIF(#REF!, 'KEUANGAN INTERNAL AKRE 2025'!B74,#REF!)+
SUMIF(#REF!, 'KEUANGAN INTERNAL AKRE 2025'!B74,#REF!)+
SUMIF(#REF!, 'KEUANGAN INTERNAL AKRE 2025'!B74,#REF!)+
SUMIF(#REF!, 'KEUANGAN INTERNAL AKRE 2025'!B74,#REF!)</f>
        <v>#REF!</v>
      </c>
      <c r="I74" s="82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J74" s="82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</f>
        <v>#REF!</v>
      </c>
      <c r="K74" s="82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L74" s="82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2025'!B74,#REF!)+
SUMIF(#REF!,'KEUANGAN INTERNAL AKRE 2025'!B74,#REF!)</f>
        <v>#REF!</v>
      </c>
      <c r="M74" s="82" t="e">
        <f>SUMIF(#REF!, 'KEUANGAN INTERNAL AKRE 2025'!B74,#REF!)+
SUMIF(#REF!, 'KEUANGAN INTERNAL AKRE 2025'!B74,#REF!)+
SUMIF(#REF!, 'KEUANGAN INTERNAL AKRE 2025'!B74,#REF!)+
SUMIF(#REF!, 'KEUANGAN INTERNAL AKRE 2025'!B74,#REF!)+
SUMIF(#REF!, 'KEUANGAN INTERNAL AKRE 2025'!B74,#REF!)+
SUMIF(#REF!, 'KEUANGAN INTERNAL AKRE 2025'!B74,#REF!)</f>
        <v>#REF!</v>
      </c>
      <c r="N74" s="82" t="e">
        <f>SUMIF(#REF!, 'KEUANGAN INTERNAL AKRE 2025'!B74,#REF!)+
SUMIF(#REF!, 'KEUANGAN INTERNAL AKRE 2025'!B74,#REF!)+
SUMIF(#REF!, 'KEUANGAN INTERNAL AKRE 2025'!B74,#REF!)+
SUMIF(#REF!, 'KEUANGAN INTERNAL AKRE 2025'!B74,#REF!)+
SUMIF(#REF!,'KEUANGAN INTERNAL AKRE 2025'!B74,#REF!)+
SUMIF(#REF!,'KEUANGAN INTERNAL AKRE 2025'!B74,#REF!)+
SUMIF(#REF!,'KEUANGAN INTERNAL AKRE 2025'!B74,#REF!)</f>
        <v>#REF!</v>
      </c>
      <c r="O74" s="80" t="e">
        <f t="shared" si="3"/>
        <v>#REF!</v>
      </c>
    </row>
    <row r="75" spans="1:23">
      <c r="A75" s="754" t="s">
        <v>156</v>
      </c>
      <c r="B75" s="755" t="s">
        <v>20</v>
      </c>
      <c r="C75" s="11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D75" s="82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E75" s="81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F75" s="82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G75" s="82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H75" s="82" t="e">
        <f>SUMIF(#REF!, 'KEUANGAN INTERNAL AKRE 2025'!B75,#REF!)+
SUMIF(#REF!, 'KEUANGAN INTERNAL AKRE 2025'!B75,#REF!)+
SUMIF(#REF!, 'KEUANGAN INTERNAL AKRE 2025'!B75,#REF!)+
SUMIF(#REF!, 'KEUANGAN INTERNAL AKRE 2025'!B75,#REF!)</f>
        <v>#REF!</v>
      </c>
      <c r="I75" s="82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J75" s="82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</f>
        <v>#REF!</v>
      </c>
      <c r="K75" s="82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L75" s="82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2025'!B75,#REF!)+
SUMIF(#REF!,'KEUANGAN INTERNAL AKRE 2025'!B75,#REF!)</f>
        <v>#REF!</v>
      </c>
      <c r="M75" s="82" t="e">
        <f>SUMIF(#REF!, 'KEUANGAN INTERNAL AKRE 2025'!B75,#REF!)+
SUMIF(#REF!, 'KEUANGAN INTERNAL AKRE 2025'!B75,#REF!)+
SUMIF(#REF!, 'KEUANGAN INTERNAL AKRE 2025'!B75,#REF!)+
SUMIF(#REF!, 'KEUANGAN INTERNAL AKRE 2025'!B75,#REF!)+
SUMIF(#REF!, 'KEUANGAN INTERNAL AKRE 2025'!B75,#REF!)+
SUMIF(#REF!, 'KEUANGAN INTERNAL AKRE 2025'!B75,#REF!)</f>
        <v>#REF!</v>
      </c>
      <c r="N75" s="82" t="e">
        <f>SUMIF(#REF!, 'KEUANGAN INTERNAL AKRE 2025'!B75,#REF!)+
SUMIF(#REF!, 'KEUANGAN INTERNAL AKRE 2025'!B75,#REF!)+
SUMIF(#REF!, 'KEUANGAN INTERNAL AKRE 2025'!B75,#REF!)+
SUMIF(#REF!, 'KEUANGAN INTERNAL AKRE 2025'!B75,#REF!)+
SUMIF(#REF!,'KEUANGAN INTERNAL AKRE 2025'!B75,#REF!)+
SUMIF(#REF!,'KEUANGAN INTERNAL AKRE 2025'!B75,#REF!)+
SUMIF(#REF!,'KEUANGAN INTERNAL AKRE 2025'!B75,#REF!)</f>
        <v>#REF!</v>
      </c>
      <c r="O75" s="80" t="e">
        <f t="shared" si="3"/>
        <v>#REF!</v>
      </c>
    </row>
    <row r="76" spans="1:23">
      <c r="A76" s="754" t="s">
        <v>156</v>
      </c>
      <c r="B76" s="755" t="s">
        <v>15</v>
      </c>
      <c r="C76" s="11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D76" s="82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E76" s="81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F76" s="82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G76" s="82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H76" s="82" t="e">
        <f>SUMIF(#REF!, 'KEUANGAN INTERNAL AKRE 2025'!B76,#REF!)+
SUMIF(#REF!, 'KEUANGAN INTERNAL AKRE 2025'!B76,#REF!)+
SUMIF(#REF!, 'KEUANGAN INTERNAL AKRE 2025'!B76,#REF!)+
SUMIF(#REF!, 'KEUANGAN INTERNAL AKRE 2025'!B76,#REF!)</f>
        <v>#REF!</v>
      </c>
      <c r="I76" s="82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J76" s="82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</f>
        <v>#REF!</v>
      </c>
      <c r="K76" s="82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L76" s="82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2025'!B76,#REF!)+
SUMIF(#REF!,'KEUANGAN INTERNAL AKRE 2025'!B76,#REF!)</f>
        <v>#REF!</v>
      </c>
      <c r="M76" s="82" t="e">
        <f>SUMIF(#REF!, 'KEUANGAN INTERNAL AKRE 2025'!B76,#REF!)+
SUMIF(#REF!, 'KEUANGAN INTERNAL AKRE 2025'!B76,#REF!)+
SUMIF(#REF!, 'KEUANGAN INTERNAL AKRE 2025'!B76,#REF!)+
SUMIF(#REF!, 'KEUANGAN INTERNAL AKRE 2025'!B76,#REF!)+
SUMIF(#REF!, 'KEUANGAN INTERNAL AKRE 2025'!B76,#REF!)+
SUMIF(#REF!, 'KEUANGAN INTERNAL AKRE 2025'!B76,#REF!)</f>
        <v>#REF!</v>
      </c>
      <c r="N76" s="82" t="e">
        <f>SUMIF(#REF!, 'KEUANGAN INTERNAL AKRE 2025'!B76,#REF!)+
SUMIF(#REF!, 'KEUANGAN INTERNAL AKRE 2025'!B76,#REF!)+
SUMIF(#REF!, 'KEUANGAN INTERNAL AKRE 2025'!B76,#REF!)+
SUMIF(#REF!, 'KEUANGAN INTERNAL AKRE 2025'!B76,#REF!)+
SUMIF(#REF!,'KEUANGAN INTERNAL AKRE 2025'!B76,#REF!)+
SUMIF(#REF!,'KEUANGAN INTERNAL AKRE 2025'!B76,#REF!)+
SUMIF(#REF!,'KEUANGAN INTERNAL AKRE 2025'!B76,#REF!)</f>
        <v>#REF!</v>
      </c>
      <c r="O76" s="80" t="e">
        <f t="shared" si="3"/>
        <v>#REF!</v>
      </c>
    </row>
    <row r="77" spans="1:23">
      <c r="A77" s="754" t="s">
        <v>156</v>
      </c>
      <c r="B77" s="366" t="s">
        <v>93</v>
      </c>
      <c r="C77" s="11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D77" s="82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E77" s="81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F77" s="82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G77" s="82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H77" s="82" t="e">
        <f>SUMIF(#REF!, 'KEUANGAN INTERNAL AKRE 2025'!B77,#REF!)+
SUMIF(#REF!, 'KEUANGAN INTERNAL AKRE 2025'!B77,#REF!)+
SUMIF(#REF!, 'KEUANGAN INTERNAL AKRE 2025'!B77,#REF!)+
SUMIF(#REF!, 'KEUANGAN INTERNAL AKRE 2025'!B77,#REF!)</f>
        <v>#REF!</v>
      </c>
      <c r="I77" s="82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J77" s="82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</f>
        <v>#REF!</v>
      </c>
      <c r="K77" s="82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L77" s="82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2025'!B77,#REF!)+
SUMIF(#REF!,'KEUANGAN INTERNAL AKRE 2025'!B77,#REF!)</f>
        <v>#REF!</v>
      </c>
      <c r="M77" s="82" t="e">
        <f>SUMIF(#REF!, 'KEUANGAN INTERNAL AKRE 2025'!B77,#REF!)+
SUMIF(#REF!, 'KEUANGAN INTERNAL AKRE 2025'!B77,#REF!)+
SUMIF(#REF!, 'KEUANGAN INTERNAL AKRE 2025'!B77,#REF!)+
SUMIF(#REF!, 'KEUANGAN INTERNAL AKRE 2025'!B77,#REF!)+
SUMIF(#REF!, 'KEUANGAN INTERNAL AKRE 2025'!B77,#REF!)+
SUMIF(#REF!, 'KEUANGAN INTERNAL AKRE 2025'!B77,#REF!)</f>
        <v>#REF!</v>
      </c>
      <c r="N77" s="82" t="e">
        <f>SUMIF(#REF!, 'KEUANGAN INTERNAL AKRE 2025'!B77,#REF!)+
SUMIF(#REF!, 'KEUANGAN INTERNAL AKRE 2025'!B77,#REF!)+
SUMIF(#REF!, 'KEUANGAN INTERNAL AKRE 2025'!B77,#REF!)+
SUMIF(#REF!, 'KEUANGAN INTERNAL AKRE 2025'!B77,#REF!)+
SUMIF(#REF!,'KEUANGAN INTERNAL AKRE 2025'!B77,#REF!)+
SUMIF(#REF!,'KEUANGAN INTERNAL AKRE 2025'!B77,#REF!)+
SUMIF(#REF!,'KEUANGAN INTERNAL AKRE 2025'!B77,#REF!)</f>
        <v>#REF!</v>
      </c>
      <c r="O77" s="80" t="e">
        <f t="shared" si="3"/>
        <v>#REF!</v>
      </c>
    </row>
    <row r="78" spans="1:23">
      <c r="A78" s="754" t="s">
        <v>156</v>
      </c>
      <c r="B78" s="755" t="s">
        <v>163</v>
      </c>
      <c r="C78" s="11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D78" s="82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E78" s="81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F78" s="82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G78" s="82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H78" s="82" t="e">
        <f>SUMIF(#REF!, 'KEUANGAN INTERNAL AKRE 2025'!B78,#REF!)+
SUMIF(#REF!, 'KEUANGAN INTERNAL AKRE 2025'!B78,#REF!)+
SUMIF(#REF!, 'KEUANGAN INTERNAL AKRE 2025'!B78,#REF!)+
SUMIF(#REF!, 'KEUANGAN INTERNAL AKRE 2025'!B78,#REF!)</f>
        <v>#REF!</v>
      </c>
      <c r="I78" s="82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J78" s="82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</f>
        <v>#REF!</v>
      </c>
      <c r="K78" s="82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L78" s="82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2025'!B78,#REF!)+
SUMIF(#REF!,'KEUANGAN INTERNAL AKRE 2025'!B78,#REF!)</f>
        <v>#REF!</v>
      </c>
      <c r="M78" s="82" t="e">
        <f>SUMIF(#REF!, 'KEUANGAN INTERNAL AKRE 2025'!B78,#REF!)+
SUMIF(#REF!, 'KEUANGAN INTERNAL AKRE 2025'!B78,#REF!)+
SUMIF(#REF!, 'KEUANGAN INTERNAL AKRE 2025'!B78,#REF!)+
SUMIF(#REF!, 'KEUANGAN INTERNAL AKRE 2025'!B78,#REF!)+
SUMIF(#REF!, 'KEUANGAN INTERNAL AKRE 2025'!B78,#REF!)+
SUMIF(#REF!, 'KEUANGAN INTERNAL AKRE 2025'!B78,#REF!)</f>
        <v>#REF!</v>
      </c>
      <c r="N78" s="82" t="e">
        <f>SUMIF(#REF!, 'KEUANGAN INTERNAL AKRE 2025'!B78,#REF!)+
SUMIF(#REF!, 'KEUANGAN INTERNAL AKRE 2025'!B78,#REF!)+
SUMIF(#REF!, 'KEUANGAN INTERNAL AKRE 2025'!B78,#REF!)+
SUMIF(#REF!, 'KEUANGAN INTERNAL AKRE 2025'!B78,#REF!)+
SUMIF(#REF!,'KEUANGAN INTERNAL AKRE 2025'!B78,#REF!)+
SUMIF(#REF!,'KEUANGAN INTERNAL AKRE 2025'!B78,#REF!)+
SUMIF(#REF!,'KEUANGAN INTERNAL AKRE 2025'!B78,#REF!)</f>
        <v>#REF!</v>
      </c>
      <c r="O78" s="80" t="e">
        <f t="shared" si="3"/>
        <v>#REF!</v>
      </c>
    </row>
    <row r="79" spans="1:23">
      <c r="A79" s="754" t="s">
        <v>156</v>
      </c>
      <c r="B79" s="755" t="s">
        <v>48</v>
      </c>
      <c r="C79" s="11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D79" s="82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E79" s="81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F79" s="82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G79" s="82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H79" s="82" t="e">
        <f>SUMIF(#REF!, 'KEUANGAN INTERNAL AKRE 2025'!B79,#REF!)+
SUMIF(#REF!, 'KEUANGAN INTERNAL AKRE 2025'!B79,#REF!)+
SUMIF(#REF!, 'KEUANGAN INTERNAL AKRE 2025'!B79,#REF!)+
SUMIF(#REF!, 'KEUANGAN INTERNAL AKRE 2025'!B79,#REF!)</f>
        <v>#REF!</v>
      </c>
      <c r="I79" s="82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J79" s="82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</f>
        <v>#REF!</v>
      </c>
      <c r="K79" s="82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L79" s="82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2025'!B79,#REF!)+
SUMIF(#REF!,'KEUANGAN INTERNAL AKRE 2025'!B79,#REF!)</f>
        <v>#REF!</v>
      </c>
      <c r="M79" s="82" t="e">
        <f>SUMIF(#REF!, 'KEUANGAN INTERNAL AKRE 2025'!B79,#REF!)+
SUMIF(#REF!, 'KEUANGAN INTERNAL AKRE 2025'!B79,#REF!)+
SUMIF(#REF!, 'KEUANGAN INTERNAL AKRE 2025'!B79,#REF!)+
SUMIF(#REF!, 'KEUANGAN INTERNAL AKRE 2025'!B79,#REF!)+
SUMIF(#REF!, 'KEUANGAN INTERNAL AKRE 2025'!B79,#REF!)+
SUMIF(#REF!, 'KEUANGAN INTERNAL AKRE 2025'!B79,#REF!)</f>
        <v>#REF!</v>
      </c>
      <c r="N79" s="82" t="e">
        <f>SUMIF(#REF!, 'KEUANGAN INTERNAL AKRE 2025'!B79,#REF!)+
SUMIF(#REF!, 'KEUANGAN INTERNAL AKRE 2025'!B79,#REF!)+
SUMIF(#REF!, 'KEUANGAN INTERNAL AKRE 2025'!B79,#REF!)+
SUMIF(#REF!, 'KEUANGAN INTERNAL AKRE 2025'!B79,#REF!)+
SUMIF(#REF!,'KEUANGAN INTERNAL AKRE 2025'!B79,#REF!)+
SUMIF(#REF!,'KEUANGAN INTERNAL AKRE 2025'!B79,#REF!)+
SUMIF(#REF!,'KEUANGAN INTERNAL AKRE 2025'!B79,#REF!)</f>
        <v>#REF!</v>
      </c>
      <c r="O79" s="80" t="e">
        <f t="shared" si="3"/>
        <v>#REF!</v>
      </c>
    </row>
    <row r="80" spans="1:23">
      <c r="A80" s="754" t="s">
        <v>156</v>
      </c>
      <c r="B80" s="755" t="s">
        <v>9</v>
      </c>
      <c r="C80" s="11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D80" s="82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E80" s="81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F80" s="82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G80" s="82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H80" s="82" t="e">
        <f>SUMIF(#REF!, 'KEUANGAN INTERNAL AKRE 2025'!B80,#REF!)+
SUMIF(#REF!, 'KEUANGAN INTERNAL AKRE 2025'!B80,#REF!)+
SUMIF(#REF!, 'KEUANGAN INTERNAL AKRE 2025'!B80,#REF!)+
SUMIF(#REF!, 'KEUANGAN INTERNAL AKRE 2025'!B80,#REF!)</f>
        <v>#REF!</v>
      </c>
      <c r="I80" s="82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J80" s="82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</f>
        <v>#REF!</v>
      </c>
      <c r="K80" s="82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L80" s="82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2025'!B80,#REF!)+
SUMIF(#REF!,'KEUANGAN INTERNAL AKRE 2025'!B80,#REF!)</f>
        <v>#REF!</v>
      </c>
      <c r="M80" s="82" t="e">
        <f>SUMIF(#REF!, 'KEUANGAN INTERNAL AKRE 2025'!B80,#REF!)+
SUMIF(#REF!, 'KEUANGAN INTERNAL AKRE 2025'!B80,#REF!)+
SUMIF(#REF!, 'KEUANGAN INTERNAL AKRE 2025'!B80,#REF!)+
SUMIF(#REF!, 'KEUANGAN INTERNAL AKRE 2025'!B80,#REF!)+
SUMIF(#REF!, 'KEUANGAN INTERNAL AKRE 2025'!B80,#REF!)+
SUMIF(#REF!, 'KEUANGAN INTERNAL AKRE 2025'!B80,#REF!)</f>
        <v>#REF!</v>
      </c>
      <c r="N80" s="82" t="e">
        <f>SUMIF(#REF!, 'KEUANGAN INTERNAL AKRE 2025'!B80,#REF!)+
SUMIF(#REF!, 'KEUANGAN INTERNAL AKRE 2025'!B80,#REF!)+
SUMIF(#REF!, 'KEUANGAN INTERNAL AKRE 2025'!B80,#REF!)+
SUMIF(#REF!, 'KEUANGAN INTERNAL AKRE 2025'!B80,#REF!)+
SUMIF(#REF!,'KEUANGAN INTERNAL AKRE 2025'!B80,#REF!)+
SUMIF(#REF!,'KEUANGAN INTERNAL AKRE 2025'!B80,#REF!)+
SUMIF(#REF!,'KEUANGAN INTERNAL AKRE 2025'!B80,#REF!)</f>
        <v>#REF!</v>
      </c>
      <c r="O80" s="80" t="e">
        <f t="shared" si="3"/>
        <v>#REF!</v>
      </c>
    </row>
    <row r="81" spans="1:19">
      <c r="A81" s="754" t="s">
        <v>156</v>
      </c>
      <c r="B81" s="755" t="s">
        <v>134</v>
      </c>
      <c r="C81" s="11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D81" s="82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E81" s="81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F81" s="82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G81" s="82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H81" s="82" t="e">
        <f>SUMIF(#REF!, 'KEUANGAN INTERNAL AKRE 2025'!B81,#REF!)+
SUMIF(#REF!, 'KEUANGAN INTERNAL AKRE 2025'!B81,#REF!)+
SUMIF(#REF!, 'KEUANGAN INTERNAL AKRE 2025'!B81,#REF!)+
SUMIF(#REF!, 'KEUANGAN INTERNAL AKRE 2025'!B81,#REF!)</f>
        <v>#REF!</v>
      </c>
      <c r="I81" s="82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J81" s="82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</f>
        <v>#REF!</v>
      </c>
      <c r="K81" s="82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L81" s="82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2025'!B81,#REF!)+
SUMIF(#REF!,'KEUANGAN INTERNAL AKRE 2025'!B81,#REF!)</f>
        <v>#REF!</v>
      </c>
      <c r="M81" s="82" t="e">
        <f>SUMIF(#REF!, 'KEUANGAN INTERNAL AKRE 2025'!B81,#REF!)+
SUMIF(#REF!, 'KEUANGAN INTERNAL AKRE 2025'!B81,#REF!)+
SUMIF(#REF!, 'KEUANGAN INTERNAL AKRE 2025'!B81,#REF!)+
SUMIF(#REF!, 'KEUANGAN INTERNAL AKRE 2025'!B81,#REF!)+
SUMIF(#REF!, 'KEUANGAN INTERNAL AKRE 2025'!B81,#REF!)+
SUMIF(#REF!, 'KEUANGAN INTERNAL AKRE 2025'!B81,#REF!)</f>
        <v>#REF!</v>
      </c>
      <c r="N81" s="82" t="e">
        <f>SUMIF(#REF!, 'KEUANGAN INTERNAL AKRE 2025'!B81,#REF!)+
SUMIF(#REF!, 'KEUANGAN INTERNAL AKRE 2025'!B81,#REF!)+
SUMIF(#REF!, 'KEUANGAN INTERNAL AKRE 2025'!B81,#REF!)+
SUMIF(#REF!, 'KEUANGAN INTERNAL AKRE 2025'!B81,#REF!)+
SUMIF(#REF!,'KEUANGAN INTERNAL AKRE 2025'!B81,#REF!)+
SUMIF(#REF!,'KEUANGAN INTERNAL AKRE 2025'!B81,#REF!)+
SUMIF(#REF!,'KEUANGAN INTERNAL AKRE 2025'!B81,#REF!)</f>
        <v>#REF!</v>
      </c>
      <c r="O81" s="80" t="e">
        <f t="shared" si="3"/>
        <v>#REF!</v>
      </c>
    </row>
    <row r="82" spans="1:19">
      <c r="A82" s="754" t="s">
        <v>156</v>
      </c>
      <c r="B82" s="366" t="s">
        <v>2123</v>
      </c>
      <c r="C82" s="11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D82" s="82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E82" s="81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F82" s="82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G82" s="82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H82" s="82" t="e">
        <f>SUMIF(#REF!, 'KEUANGAN INTERNAL AKRE 2025'!B82,#REF!)+
SUMIF(#REF!, 'KEUANGAN INTERNAL AKRE 2025'!B82,#REF!)+
SUMIF(#REF!, 'KEUANGAN INTERNAL AKRE 2025'!B82,#REF!)+
SUMIF(#REF!, 'KEUANGAN INTERNAL AKRE 2025'!B82,#REF!)</f>
        <v>#REF!</v>
      </c>
      <c r="I82" s="82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J82" s="82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</f>
        <v>#REF!</v>
      </c>
      <c r="K82" s="82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L82" s="82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2025'!B82,#REF!)+
SUMIF(#REF!,'KEUANGAN INTERNAL AKRE 2025'!B82,#REF!)</f>
        <v>#REF!</v>
      </c>
      <c r="M82" s="82" t="e">
        <f>SUMIF(#REF!, 'KEUANGAN INTERNAL AKRE 2025'!B82,#REF!)+
SUMIF(#REF!, 'KEUANGAN INTERNAL AKRE 2025'!B82,#REF!)+
SUMIF(#REF!, 'KEUANGAN INTERNAL AKRE 2025'!B82,#REF!)+
SUMIF(#REF!, 'KEUANGAN INTERNAL AKRE 2025'!B82,#REF!)+
SUMIF(#REF!, 'KEUANGAN INTERNAL AKRE 2025'!B82,#REF!)+
SUMIF(#REF!, 'KEUANGAN INTERNAL AKRE 2025'!B82,#REF!)</f>
        <v>#REF!</v>
      </c>
      <c r="N82" s="82" t="e">
        <f>SUMIF(#REF!, 'KEUANGAN INTERNAL AKRE 2025'!B82,#REF!)+
SUMIF(#REF!, 'KEUANGAN INTERNAL AKRE 2025'!B82,#REF!)+
SUMIF(#REF!, 'KEUANGAN INTERNAL AKRE 2025'!B82,#REF!)+
SUMIF(#REF!, 'KEUANGAN INTERNAL AKRE 2025'!B82,#REF!)+
SUMIF(#REF!,'KEUANGAN INTERNAL AKRE 2025'!B82,#REF!)+
SUMIF(#REF!,'KEUANGAN INTERNAL AKRE 2025'!B82,#REF!)+
SUMIF(#REF!,'KEUANGAN INTERNAL AKRE 2025'!B82,#REF!)</f>
        <v>#REF!</v>
      </c>
      <c r="O82" s="80" t="e">
        <f t="shared" si="3"/>
        <v>#REF!</v>
      </c>
    </row>
    <row r="83" spans="1:19">
      <c r="A83" s="754" t="s">
        <v>156</v>
      </c>
      <c r="B83" s="755" t="s">
        <v>114</v>
      </c>
      <c r="C83" s="11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D83" s="82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E83" s="81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F83" s="82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G83" s="82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H83" s="82" t="e">
        <f>SUMIF(#REF!, 'KEUANGAN INTERNAL AKRE 2025'!B83,#REF!)+
SUMIF(#REF!, 'KEUANGAN INTERNAL AKRE 2025'!B83,#REF!)+
SUMIF(#REF!, 'KEUANGAN INTERNAL AKRE 2025'!B83,#REF!)+
SUMIF(#REF!, 'KEUANGAN INTERNAL AKRE 2025'!B83,#REF!)</f>
        <v>#REF!</v>
      </c>
      <c r="I83" s="82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J83" s="82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</f>
        <v>#REF!</v>
      </c>
      <c r="K83" s="82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L83" s="82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2025'!B83,#REF!)+
SUMIF(#REF!,'KEUANGAN INTERNAL AKRE 2025'!B83,#REF!)</f>
        <v>#REF!</v>
      </c>
      <c r="M83" s="82" t="e">
        <f>SUMIF(#REF!, 'KEUANGAN INTERNAL AKRE 2025'!B83,#REF!)+
SUMIF(#REF!, 'KEUANGAN INTERNAL AKRE 2025'!B83,#REF!)+
SUMIF(#REF!, 'KEUANGAN INTERNAL AKRE 2025'!B83,#REF!)+
SUMIF(#REF!, 'KEUANGAN INTERNAL AKRE 2025'!B83,#REF!)+
SUMIF(#REF!, 'KEUANGAN INTERNAL AKRE 2025'!B83,#REF!)+
SUMIF(#REF!, 'KEUANGAN INTERNAL AKRE 2025'!B83,#REF!)</f>
        <v>#REF!</v>
      </c>
      <c r="N83" s="82" t="e">
        <f>SUMIF(#REF!, 'KEUANGAN INTERNAL AKRE 2025'!B83,#REF!)+
SUMIF(#REF!, 'KEUANGAN INTERNAL AKRE 2025'!B83,#REF!)+
SUMIF(#REF!, 'KEUANGAN INTERNAL AKRE 2025'!B83,#REF!)+
SUMIF(#REF!, 'KEUANGAN INTERNAL AKRE 2025'!B83,#REF!)+
SUMIF(#REF!,'KEUANGAN INTERNAL AKRE 2025'!B83,#REF!)+
SUMIF(#REF!,'KEUANGAN INTERNAL AKRE 2025'!B83,#REF!)+
SUMIF(#REF!,'KEUANGAN INTERNAL AKRE 2025'!B83,#REF!)</f>
        <v>#REF!</v>
      </c>
      <c r="O83" s="80" t="e">
        <f t="shared" si="3"/>
        <v>#REF!</v>
      </c>
    </row>
    <row r="84" spans="1:19">
      <c r="A84" s="754" t="s">
        <v>156</v>
      </c>
      <c r="B84" s="755" t="s">
        <v>186</v>
      </c>
      <c r="C84" s="11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D84" s="82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E84" s="81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F84" s="82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G84" s="82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H84" s="82" t="e">
        <f>SUMIF(#REF!, 'KEUANGAN INTERNAL AKRE 2025'!B84,#REF!)+
SUMIF(#REF!, 'KEUANGAN INTERNAL AKRE 2025'!B84,#REF!)+
SUMIF(#REF!, 'KEUANGAN INTERNAL AKRE 2025'!B84,#REF!)+
SUMIF(#REF!, 'KEUANGAN INTERNAL AKRE 2025'!B84,#REF!)</f>
        <v>#REF!</v>
      </c>
      <c r="I84" s="82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J84" s="82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</f>
        <v>#REF!</v>
      </c>
      <c r="K84" s="82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L84" s="82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2025'!B84,#REF!)+
SUMIF(#REF!,'KEUANGAN INTERNAL AKRE 2025'!B84,#REF!)</f>
        <v>#REF!</v>
      </c>
      <c r="M84" s="82" t="e">
        <f>SUMIF(#REF!, 'KEUANGAN INTERNAL AKRE 2025'!B84,#REF!)+
SUMIF(#REF!, 'KEUANGAN INTERNAL AKRE 2025'!B84,#REF!)+
SUMIF(#REF!, 'KEUANGAN INTERNAL AKRE 2025'!B84,#REF!)+
SUMIF(#REF!, 'KEUANGAN INTERNAL AKRE 2025'!B84,#REF!)+
SUMIF(#REF!, 'KEUANGAN INTERNAL AKRE 2025'!B84,#REF!)+
SUMIF(#REF!, 'KEUANGAN INTERNAL AKRE 2025'!B84,#REF!)</f>
        <v>#REF!</v>
      </c>
      <c r="N84" s="82" t="e">
        <f>SUMIF(#REF!, 'KEUANGAN INTERNAL AKRE 2025'!B84,#REF!)+
SUMIF(#REF!, 'KEUANGAN INTERNAL AKRE 2025'!B84,#REF!)+
SUMIF(#REF!, 'KEUANGAN INTERNAL AKRE 2025'!B84,#REF!)+
SUMIF(#REF!, 'KEUANGAN INTERNAL AKRE 2025'!B84,#REF!)+
SUMIF(#REF!,'KEUANGAN INTERNAL AKRE 2025'!B84,#REF!)+
SUMIF(#REF!,'KEUANGAN INTERNAL AKRE 2025'!B84,#REF!)+
SUMIF(#REF!,'KEUANGAN INTERNAL AKRE 2025'!B84,#REF!)</f>
        <v>#REF!</v>
      </c>
      <c r="O84" s="80" t="e">
        <f t="shared" si="3"/>
        <v>#REF!</v>
      </c>
    </row>
    <row r="85" spans="1:19">
      <c r="A85" s="754" t="s">
        <v>156</v>
      </c>
      <c r="B85" s="755" t="s">
        <v>202</v>
      </c>
      <c r="C85" s="11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D85" s="82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E85" s="81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F85" s="82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G85" s="82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H85" s="82" t="e">
        <f>SUMIF(#REF!, 'KEUANGAN INTERNAL AKRE 2025'!B85,#REF!)+
SUMIF(#REF!, 'KEUANGAN INTERNAL AKRE 2025'!B85,#REF!)+
SUMIF(#REF!, 'KEUANGAN INTERNAL AKRE 2025'!B85,#REF!)+
SUMIF(#REF!, 'KEUANGAN INTERNAL AKRE 2025'!B85,#REF!)</f>
        <v>#REF!</v>
      </c>
      <c r="I85" s="82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J85" s="82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</f>
        <v>#REF!</v>
      </c>
      <c r="K85" s="82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L85" s="82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2025'!B85,#REF!)+
SUMIF(#REF!,'KEUANGAN INTERNAL AKRE 2025'!B85,#REF!)</f>
        <v>#REF!</v>
      </c>
      <c r="M85" s="82" t="e">
        <f>SUMIF(#REF!, 'KEUANGAN INTERNAL AKRE 2025'!B85,#REF!)+
SUMIF(#REF!, 'KEUANGAN INTERNAL AKRE 2025'!B85,#REF!)+
SUMIF(#REF!, 'KEUANGAN INTERNAL AKRE 2025'!B85,#REF!)+
SUMIF(#REF!, 'KEUANGAN INTERNAL AKRE 2025'!B85,#REF!)+
SUMIF(#REF!, 'KEUANGAN INTERNAL AKRE 2025'!B85,#REF!)+
SUMIF(#REF!, 'KEUANGAN INTERNAL AKRE 2025'!B85,#REF!)</f>
        <v>#REF!</v>
      </c>
      <c r="N85" s="82" t="e">
        <f>SUMIF(#REF!, 'KEUANGAN INTERNAL AKRE 2025'!B85,#REF!)+
SUMIF(#REF!, 'KEUANGAN INTERNAL AKRE 2025'!B85,#REF!)+
SUMIF(#REF!, 'KEUANGAN INTERNAL AKRE 2025'!B85,#REF!)+
SUMIF(#REF!, 'KEUANGAN INTERNAL AKRE 2025'!B85,#REF!)+
SUMIF(#REF!,'KEUANGAN INTERNAL AKRE 2025'!B85,#REF!)+
SUMIF(#REF!,'KEUANGAN INTERNAL AKRE 2025'!B85,#REF!)+
SUMIF(#REF!,'KEUANGAN INTERNAL AKRE 2025'!B85,#REF!)</f>
        <v>#REF!</v>
      </c>
      <c r="O85" s="80" t="e">
        <f t="shared" si="3"/>
        <v>#REF!</v>
      </c>
    </row>
    <row r="86" spans="1:19">
      <c r="A86" s="756" t="s">
        <v>162</v>
      </c>
      <c r="B86" s="757" t="s">
        <v>89</v>
      </c>
      <c r="C86" s="11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D86" s="82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E86" s="81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F86" s="82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G86" s="82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H86" s="82" t="e">
        <f>SUMIF(#REF!, 'KEUANGAN INTERNAL AKRE 2025'!B86,#REF!)+
SUMIF(#REF!, 'KEUANGAN INTERNAL AKRE 2025'!B86,#REF!)+
SUMIF(#REF!, 'KEUANGAN INTERNAL AKRE 2025'!B86,#REF!)+
SUMIF(#REF!, 'KEUANGAN INTERNAL AKRE 2025'!B86,#REF!)</f>
        <v>#REF!</v>
      </c>
      <c r="I86" s="82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J86" s="82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</f>
        <v>#REF!</v>
      </c>
      <c r="K86" s="82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L86" s="82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2025'!B86,#REF!)+
SUMIF(#REF!,'KEUANGAN INTERNAL AKRE 2025'!B86,#REF!)</f>
        <v>#REF!</v>
      </c>
      <c r="M86" s="82" t="e">
        <f>SUMIF(#REF!, 'KEUANGAN INTERNAL AKRE 2025'!B86,#REF!)+
SUMIF(#REF!, 'KEUANGAN INTERNAL AKRE 2025'!B86,#REF!)+
SUMIF(#REF!, 'KEUANGAN INTERNAL AKRE 2025'!B86,#REF!)+
SUMIF(#REF!, 'KEUANGAN INTERNAL AKRE 2025'!B86,#REF!)+
SUMIF(#REF!, 'KEUANGAN INTERNAL AKRE 2025'!B86,#REF!)+
SUMIF(#REF!, 'KEUANGAN INTERNAL AKRE 2025'!B86,#REF!)</f>
        <v>#REF!</v>
      </c>
      <c r="N86" s="82" t="e">
        <f>SUMIF(#REF!, 'KEUANGAN INTERNAL AKRE 2025'!B86,#REF!)+
SUMIF(#REF!, 'KEUANGAN INTERNAL AKRE 2025'!B86,#REF!)+
SUMIF(#REF!, 'KEUANGAN INTERNAL AKRE 2025'!B86,#REF!)+
SUMIF(#REF!, 'KEUANGAN INTERNAL AKRE 2025'!B86,#REF!)+
SUMIF(#REF!,'KEUANGAN INTERNAL AKRE 2025'!B86,#REF!)+
SUMIF(#REF!,'KEUANGAN INTERNAL AKRE 2025'!B86,#REF!)+
SUMIF(#REF!,'KEUANGAN INTERNAL AKRE 2025'!B86,#REF!)</f>
        <v>#REF!</v>
      </c>
      <c r="O86" s="80" t="e">
        <f t="shared" si="3"/>
        <v>#REF!</v>
      </c>
    </row>
    <row r="87" spans="1:19">
      <c r="A87" s="756" t="s">
        <v>162</v>
      </c>
      <c r="B87" s="757" t="s">
        <v>165</v>
      </c>
      <c r="C87" s="11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D87" s="82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E87" s="81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F87" s="82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G87" s="82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H87" s="82" t="e">
        <f>SUMIF(#REF!, 'KEUANGAN INTERNAL AKRE 2025'!B87,#REF!)+
SUMIF(#REF!, 'KEUANGAN INTERNAL AKRE 2025'!B87,#REF!)+
SUMIF(#REF!, 'KEUANGAN INTERNAL AKRE 2025'!B87,#REF!)+
SUMIF(#REF!, 'KEUANGAN INTERNAL AKRE 2025'!B87,#REF!)</f>
        <v>#REF!</v>
      </c>
      <c r="I87" s="82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J87" s="82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</f>
        <v>#REF!</v>
      </c>
      <c r="K87" s="82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L87" s="82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2025'!B87,#REF!)+
SUMIF(#REF!,'KEUANGAN INTERNAL AKRE 2025'!B87,#REF!)</f>
        <v>#REF!</v>
      </c>
      <c r="M87" s="82" t="e">
        <f>SUMIF(#REF!, 'KEUANGAN INTERNAL AKRE 2025'!B87,#REF!)+
SUMIF(#REF!, 'KEUANGAN INTERNAL AKRE 2025'!B87,#REF!)+
SUMIF(#REF!, 'KEUANGAN INTERNAL AKRE 2025'!B87,#REF!)+
SUMIF(#REF!, 'KEUANGAN INTERNAL AKRE 2025'!B87,#REF!)+
SUMIF(#REF!, 'KEUANGAN INTERNAL AKRE 2025'!B87,#REF!)+
SUMIF(#REF!, 'KEUANGAN INTERNAL AKRE 2025'!B87,#REF!)</f>
        <v>#REF!</v>
      </c>
      <c r="N87" s="82" t="e">
        <f>SUMIF(#REF!, 'KEUANGAN INTERNAL AKRE 2025'!B87,#REF!)+
SUMIF(#REF!, 'KEUANGAN INTERNAL AKRE 2025'!B87,#REF!)+
SUMIF(#REF!, 'KEUANGAN INTERNAL AKRE 2025'!B87,#REF!)+
SUMIF(#REF!, 'KEUANGAN INTERNAL AKRE 2025'!B87,#REF!)+
SUMIF(#REF!,'KEUANGAN INTERNAL AKRE 2025'!B87,#REF!)+
SUMIF(#REF!,'KEUANGAN INTERNAL AKRE 2025'!B87,#REF!)+
SUMIF(#REF!,'KEUANGAN INTERNAL AKRE 2025'!B87,#REF!)</f>
        <v>#REF!</v>
      </c>
      <c r="O87" s="80" t="e">
        <f t="shared" si="3"/>
        <v>#REF!</v>
      </c>
    </row>
    <row r="88" spans="1:19">
      <c r="A88" s="756" t="s">
        <v>162</v>
      </c>
      <c r="B88" s="757" t="s">
        <v>11</v>
      </c>
      <c r="C88" s="11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D88" s="82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E88" s="81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F88" s="82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G88" s="82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H88" s="82" t="e">
        <f>SUMIF(#REF!, 'KEUANGAN INTERNAL AKRE 2025'!B88,#REF!)+
SUMIF(#REF!, 'KEUANGAN INTERNAL AKRE 2025'!B88,#REF!)+
SUMIF(#REF!, 'KEUANGAN INTERNAL AKRE 2025'!B88,#REF!)+
SUMIF(#REF!, 'KEUANGAN INTERNAL AKRE 2025'!B88,#REF!)</f>
        <v>#REF!</v>
      </c>
      <c r="I88" s="82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J88" s="82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</f>
        <v>#REF!</v>
      </c>
      <c r="K88" s="82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L88" s="82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2025'!B88,#REF!)+
SUMIF(#REF!,'KEUANGAN INTERNAL AKRE 2025'!B88,#REF!)</f>
        <v>#REF!</v>
      </c>
      <c r="M88" s="82" t="e">
        <f>SUMIF(#REF!, 'KEUANGAN INTERNAL AKRE 2025'!B88,#REF!)+
SUMIF(#REF!, 'KEUANGAN INTERNAL AKRE 2025'!B88,#REF!)+
SUMIF(#REF!, 'KEUANGAN INTERNAL AKRE 2025'!B88,#REF!)+
SUMIF(#REF!, 'KEUANGAN INTERNAL AKRE 2025'!B88,#REF!)+
SUMIF(#REF!, 'KEUANGAN INTERNAL AKRE 2025'!B88,#REF!)+
SUMIF(#REF!, 'KEUANGAN INTERNAL AKRE 2025'!B88,#REF!)</f>
        <v>#REF!</v>
      </c>
      <c r="N88" s="82" t="e">
        <f>SUMIF(#REF!, 'KEUANGAN INTERNAL AKRE 2025'!B88,#REF!)+
SUMIF(#REF!, 'KEUANGAN INTERNAL AKRE 2025'!B88,#REF!)+
SUMIF(#REF!, 'KEUANGAN INTERNAL AKRE 2025'!B88,#REF!)+
SUMIF(#REF!, 'KEUANGAN INTERNAL AKRE 2025'!B88,#REF!)+
SUMIF(#REF!,'KEUANGAN INTERNAL AKRE 2025'!B88,#REF!)+
SUMIF(#REF!,'KEUANGAN INTERNAL AKRE 2025'!B88,#REF!)+
SUMIF(#REF!,'KEUANGAN INTERNAL AKRE 2025'!B88,#REF!)</f>
        <v>#REF!</v>
      </c>
      <c r="O88" s="80" t="e">
        <f t="shared" si="3"/>
        <v>#REF!</v>
      </c>
      <c r="S88" s="520" t="s">
        <v>89</v>
      </c>
    </row>
    <row r="89" spans="1:19">
      <c r="A89" s="756" t="s">
        <v>162</v>
      </c>
      <c r="B89" s="757" t="s">
        <v>32</v>
      </c>
      <c r="C89" s="11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D89" s="82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E89" s="81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F89" s="82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G89" s="82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H89" s="82" t="e">
        <f>SUMIF(#REF!, 'KEUANGAN INTERNAL AKRE 2025'!B89,#REF!)+
SUMIF(#REF!, 'KEUANGAN INTERNAL AKRE 2025'!B89,#REF!)+
SUMIF(#REF!, 'KEUANGAN INTERNAL AKRE 2025'!B89,#REF!)+
SUMIF(#REF!, 'KEUANGAN INTERNAL AKRE 2025'!B89,#REF!)</f>
        <v>#REF!</v>
      </c>
      <c r="I89" s="82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J89" s="82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</f>
        <v>#REF!</v>
      </c>
      <c r="K89" s="82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L89" s="82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2025'!B89,#REF!)+
SUMIF(#REF!,'KEUANGAN INTERNAL AKRE 2025'!B89,#REF!)</f>
        <v>#REF!</v>
      </c>
      <c r="M89" s="82" t="e">
        <f>SUMIF(#REF!, 'KEUANGAN INTERNAL AKRE 2025'!B89,#REF!)+
SUMIF(#REF!, 'KEUANGAN INTERNAL AKRE 2025'!B89,#REF!)+
SUMIF(#REF!, 'KEUANGAN INTERNAL AKRE 2025'!B89,#REF!)+
SUMIF(#REF!, 'KEUANGAN INTERNAL AKRE 2025'!B89,#REF!)+
SUMIF(#REF!, 'KEUANGAN INTERNAL AKRE 2025'!B89,#REF!)+
SUMIF(#REF!, 'KEUANGAN INTERNAL AKRE 2025'!B89,#REF!)</f>
        <v>#REF!</v>
      </c>
      <c r="N89" s="82" t="e">
        <f>SUMIF(#REF!, 'KEUANGAN INTERNAL AKRE 2025'!B89,#REF!)+
SUMIF(#REF!, 'KEUANGAN INTERNAL AKRE 2025'!B89,#REF!)+
SUMIF(#REF!, 'KEUANGAN INTERNAL AKRE 2025'!B89,#REF!)+
SUMIF(#REF!, 'KEUANGAN INTERNAL AKRE 2025'!B89,#REF!)+
SUMIF(#REF!,'KEUANGAN INTERNAL AKRE 2025'!B89,#REF!)+
SUMIF(#REF!,'KEUANGAN INTERNAL AKRE 2025'!B89,#REF!)+
SUMIF(#REF!,'KEUANGAN INTERNAL AKRE 2025'!B89,#REF!)</f>
        <v>#REF!</v>
      </c>
      <c r="O89" s="80" t="e">
        <f t="shared" si="3"/>
        <v>#REF!</v>
      </c>
      <c r="S89" s="520" t="s">
        <v>11</v>
      </c>
    </row>
    <row r="90" spans="1:19">
      <c r="A90" s="756" t="s">
        <v>162</v>
      </c>
      <c r="B90" s="757" t="s">
        <v>189</v>
      </c>
      <c r="C90" s="11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D90" s="82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E90" s="81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F90" s="82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G90" s="82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H90" s="82" t="e">
        <f>SUMIF(#REF!, 'KEUANGAN INTERNAL AKRE 2025'!B90,#REF!)+
SUMIF(#REF!, 'KEUANGAN INTERNAL AKRE 2025'!B90,#REF!)+
SUMIF(#REF!, 'KEUANGAN INTERNAL AKRE 2025'!B90,#REF!)+
SUMIF(#REF!, 'KEUANGAN INTERNAL AKRE 2025'!B90,#REF!)</f>
        <v>#REF!</v>
      </c>
      <c r="I90" s="82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J90" s="82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</f>
        <v>#REF!</v>
      </c>
      <c r="K90" s="82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L90" s="82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2025'!B90,#REF!)+
SUMIF(#REF!,'KEUANGAN INTERNAL AKRE 2025'!B90,#REF!)</f>
        <v>#REF!</v>
      </c>
      <c r="M90" s="82" t="e">
        <f>SUMIF(#REF!, 'KEUANGAN INTERNAL AKRE 2025'!B90,#REF!)+
SUMIF(#REF!, 'KEUANGAN INTERNAL AKRE 2025'!B90,#REF!)+
SUMIF(#REF!, 'KEUANGAN INTERNAL AKRE 2025'!B90,#REF!)+
SUMIF(#REF!, 'KEUANGAN INTERNAL AKRE 2025'!B90,#REF!)+
SUMIF(#REF!, 'KEUANGAN INTERNAL AKRE 2025'!B90,#REF!)+
SUMIF(#REF!, 'KEUANGAN INTERNAL AKRE 2025'!B90,#REF!)</f>
        <v>#REF!</v>
      </c>
      <c r="N90" s="82" t="e">
        <f>SUMIF(#REF!, 'KEUANGAN INTERNAL AKRE 2025'!B90,#REF!)+
SUMIF(#REF!, 'KEUANGAN INTERNAL AKRE 2025'!B90,#REF!)+
SUMIF(#REF!, 'KEUANGAN INTERNAL AKRE 2025'!B90,#REF!)+
SUMIF(#REF!, 'KEUANGAN INTERNAL AKRE 2025'!B90,#REF!)+
SUMIF(#REF!,'KEUANGAN INTERNAL AKRE 2025'!B90,#REF!)+
SUMIF(#REF!,'KEUANGAN INTERNAL AKRE 2025'!B90,#REF!)+
SUMIF(#REF!,'KEUANGAN INTERNAL AKRE 2025'!B90,#REF!)</f>
        <v>#REF!</v>
      </c>
      <c r="O90" s="80" t="e">
        <f t="shared" si="3"/>
        <v>#REF!</v>
      </c>
      <c r="S90" s="520" t="s">
        <v>49</v>
      </c>
    </row>
    <row r="91" spans="1:19">
      <c r="A91" s="756" t="s">
        <v>162</v>
      </c>
      <c r="B91" s="757" t="s">
        <v>10</v>
      </c>
      <c r="C91" s="11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D91" s="82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E91" s="81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F91" s="82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G91" s="82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H91" s="82" t="e">
        <f>SUMIF(#REF!, 'KEUANGAN INTERNAL AKRE 2025'!B91,#REF!)+
SUMIF(#REF!, 'KEUANGAN INTERNAL AKRE 2025'!B91,#REF!)+
SUMIF(#REF!, 'KEUANGAN INTERNAL AKRE 2025'!B91,#REF!)+
SUMIF(#REF!, 'KEUANGAN INTERNAL AKRE 2025'!B91,#REF!)</f>
        <v>#REF!</v>
      </c>
      <c r="I91" s="82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J91" s="82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</f>
        <v>#REF!</v>
      </c>
      <c r="K91" s="82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L91" s="82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2025'!B91,#REF!)+
SUMIF(#REF!,'KEUANGAN INTERNAL AKRE 2025'!B91,#REF!)</f>
        <v>#REF!</v>
      </c>
      <c r="M91" s="82" t="e">
        <f>SUMIF(#REF!, 'KEUANGAN INTERNAL AKRE 2025'!B91,#REF!)+
SUMIF(#REF!, 'KEUANGAN INTERNAL AKRE 2025'!B91,#REF!)+
SUMIF(#REF!, 'KEUANGAN INTERNAL AKRE 2025'!B91,#REF!)+
SUMIF(#REF!, 'KEUANGAN INTERNAL AKRE 2025'!B91,#REF!)+
SUMIF(#REF!, 'KEUANGAN INTERNAL AKRE 2025'!B91,#REF!)+
SUMIF(#REF!, 'KEUANGAN INTERNAL AKRE 2025'!B91,#REF!)</f>
        <v>#REF!</v>
      </c>
      <c r="N91" s="82" t="e">
        <f>SUMIF(#REF!, 'KEUANGAN INTERNAL AKRE 2025'!B91,#REF!)+
SUMIF(#REF!, 'KEUANGAN INTERNAL AKRE 2025'!B91,#REF!)+
SUMIF(#REF!, 'KEUANGAN INTERNAL AKRE 2025'!B91,#REF!)+
SUMIF(#REF!, 'KEUANGAN INTERNAL AKRE 2025'!B91,#REF!)+
SUMIF(#REF!,'KEUANGAN INTERNAL AKRE 2025'!B91,#REF!)+
SUMIF(#REF!,'KEUANGAN INTERNAL AKRE 2025'!B91,#REF!)+
SUMIF(#REF!,'KEUANGAN INTERNAL AKRE 2025'!B91,#REF!)</f>
        <v>#REF!</v>
      </c>
      <c r="O91" s="80" t="e">
        <f t="shared" si="3"/>
        <v>#REF!</v>
      </c>
      <c r="S91" s="520" t="s">
        <v>32</v>
      </c>
    </row>
    <row r="92" spans="1:19">
      <c r="A92" s="756" t="s">
        <v>162</v>
      </c>
      <c r="B92" s="757" t="s">
        <v>195</v>
      </c>
      <c r="C92" s="11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D92" s="82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E92" s="81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F92" s="82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G92" s="82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H92" s="82" t="e">
        <f>SUMIF(#REF!, 'KEUANGAN INTERNAL AKRE 2025'!B92,#REF!)+
SUMIF(#REF!, 'KEUANGAN INTERNAL AKRE 2025'!B92,#REF!)+
SUMIF(#REF!, 'KEUANGAN INTERNAL AKRE 2025'!B92,#REF!)+
SUMIF(#REF!, 'KEUANGAN INTERNAL AKRE 2025'!B92,#REF!)</f>
        <v>#REF!</v>
      </c>
      <c r="I92" s="82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J92" s="82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</f>
        <v>#REF!</v>
      </c>
      <c r="K92" s="82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L92" s="82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2025'!B92,#REF!)+
SUMIF(#REF!,'KEUANGAN INTERNAL AKRE 2025'!B92,#REF!)</f>
        <v>#REF!</v>
      </c>
      <c r="M92" s="82" t="e">
        <f>SUMIF(#REF!, 'KEUANGAN INTERNAL AKRE 2025'!B92,#REF!)+
SUMIF(#REF!, 'KEUANGAN INTERNAL AKRE 2025'!B92,#REF!)+
SUMIF(#REF!, 'KEUANGAN INTERNAL AKRE 2025'!B92,#REF!)+
SUMIF(#REF!, 'KEUANGAN INTERNAL AKRE 2025'!B92,#REF!)+
SUMIF(#REF!, 'KEUANGAN INTERNAL AKRE 2025'!B92,#REF!)+
SUMIF(#REF!, 'KEUANGAN INTERNAL AKRE 2025'!B92,#REF!)</f>
        <v>#REF!</v>
      </c>
      <c r="N92" s="82" t="e">
        <f>SUMIF(#REF!, 'KEUANGAN INTERNAL AKRE 2025'!B92,#REF!)+
SUMIF(#REF!, 'KEUANGAN INTERNAL AKRE 2025'!B92,#REF!)+
SUMIF(#REF!, 'KEUANGAN INTERNAL AKRE 2025'!B92,#REF!)+
SUMIF(#REF!, 'KEUANGAN INTERNAL AKRE 2025'!B92,#REF!)+
SUMIF(#REF!,'KEUANGAN INTERNAL AKRE 2025'!B92,#REF!)+
SUMIF(#REF!,'KEUANGAN INTERNAL AKRE 2025'!B92,#REF!)+
SUMIF(#REF!,'KEUANGAN INTERNAL AKRE 2025'!B92,#REF!)</f>
        <v>#REF!</v>
      </c>
      <c r="O92" s="80" t="e">
        <f t="shared" si="3"/>
        <v>#REF!</v>
      </c>
      <c r="S92" s="520" t="s">
        <v>189</v>
      </c>
    </row>
    <row r="93" spans="1:19">
      <c r="A93" s="756" t="s">
        <v>162</v>
      </c>
      <c r="B93" s="757" t="s">
        <v>38</v>
      </c>
      <c r="C93" s="11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D93" s="82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E93" s="81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F93" s="82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G93" s="82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H93" s="82" t="e">
        <f>SUMIF(#REF!, 'KEUANGAN INTERNAL AKRE 2025'!B93,#REF!)+
SUMIF(#REF!, 'KEUANGAN INTERNAL AKRE 2025'!B93,#REF!)+
SUMIF(#REF!, 'KEUANGAN INTERNAL AKRE 2025'!B93,#REF!)+
SUMIF(#REF!, 'KEUANGAN INTERNAL AKRE 2025'!B93,#REF!)</f>
        <v>#REF!</v>
      </c>
      <c r="I93" s="82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J93" s="82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</f>
        <v>#REF!</v>
      </c>
      <c r="K93" s="82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L93" s="82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2025'!B93,#REF!)+
SUMIF(#REF!,'KEUANGAN INTERNAL AKRE 2025'!B93,#REF!)</f>
        <v>#REF!</v>
      </c>
      <c r="M93" s="82" t="e">
        <f>SUMIF(#REF!, 'KEUANGAN INTERNAL AKRE 2025'!B93,#REF!)+
SUMIF(#REF!, 'KEUANGAN INTERNAL AKRE 2025'!B93,#REF!)+
SUMIF(#REF!, 'KEUANGAN INTERNAL AKRE 2025'!B93,#REF!)+
SUMIF(#REF!, 'KEUANGAN INTERNAL AKRE 2025'!B93,#REF!)+
SUMIF(#REF!, 'KEUANGAN INTERNAL AKRE 2025'!B93,#REF!)+
SUMIF(#REF!, 'KEUANGAN INTERNAL AKRE 2025'!B93,#REF!)</f>
        <v>#REF!</v>
      </c>
      <c r="N93" s="82" t="e">
        <f>SUMIF(#REF!, 'KEUANGAN INTERNAL AKRE 2025'!B93,#REF!)+
SUMIF(#REF!, 'KEUANGAN INTERNAL AKRE 2025'!B93,#REF!)+
SUMIF(#REF!, 'KEUANGAN INTERNAL AKRE 2025'!B93,#REF!)+
SUMIF(#REF!, 'KEUANGAN INTERNAL AKRE 2025'!B93,#REF!)+
SUMIF(#REF!,'KEUANGAN INTERNAL AKRE 2025'!B93,#REF!)+
SUMIF(#REF!,'KEUANGAN INTERNAL AKRE 2025'!B93,#REF!)+
SUMIF(#REF!,'KEUANGAN INTERNAL AKRE 2025'!B93,#REF!)</f>
        <v>#REF!</v>
      </c>
      <c r="O93" s="80" t="e">
        <f t="shared" si="3"/>
        <v>#REF!</v>
      </c>
      <c r="S93" s="520" t="s">
        <v>195</v>
      </c>
    </row>
    <row r="94" spans="1:19">
      <c r="A94" s="756" t="s">
        <v>162</v>
      </c>
      <c r="B94" s="757" t="s">
        <v>10</v>
      </c>
      <c r="C94" s="11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D94" s="82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E94" s="81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F94" s="82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G94" s="82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H94" s="82" t="e">
        <f>SUMIF(#REF!, 'KEUANGAN INTERNAL AKRE 2025'!B94,#REF!)+
SUMIF(#REF!, 'KEUANGAN INTERNAL AKRE 2025'!B94,#REF!)+
SUMIF(#REF!, 'KEUANGAN INTERNAL AKRE 2025'!B94,#REF!)+
SUMIF(#REF!, 'KEUANGAN INTERNAL AKRE 2025'!B94,#REF!)</f>
        <v>#REF!</v>
      </c>
      <c r="I94" s="82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J94" s="82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</f>
        <v>#REF!</v>
      </c>
      <c r="K94" s="82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L94" s="82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2025'!B94,#REF!)+
SUMIF(#REF!,'KEUANGAN INTERNAL AKRE 2025'!B94,#REF!)</f>
        <v>#REF!</v>
      </c>
      <c r="M94" s="82" t="e">
        <f>SUMIF(#REF!, 'KEUANGAN INTERNAL AKRE 2025'!B94,#REF!)+
SUMIF(#REF!, 'KEUANGAN INTERNAL AKRE 2025'!B94,#REF!)+
SUMIF(#REF!, 'KEUANGAN INTERNAL AKRE 2025'!B94,#REF!)+
SUMIF(#REF!, 'KEUANGAN INTERNAL AKRE 2025'!B94,#REF!)+
SUMIF(#REF!, 'KEUANGAN INTERNAL AKRE 2025'!B94,#REF!)+
SUMIF(#REF!, 'KEUANGAN INTERNAL AKRE 2025'!B94,#REF!)</f>
        <v>#REF!</v>
      </c>
      <c r="N94" s="82" t="e">
        <f>SUMIF(#REF!, 'KEUANGAN INTERNAL AKRE 2025'!B94,#REF!)+
SUMIF(#REF!, 'KEUANGAN INTERNAL AKRE 2025'!B94,#REF!)+
SUMIF(#REF!, 'KEUANGAN INTERNAL AKRE 2025'!B94,#REF!)+
SUMIF(#REF!, 'KEUANGAN INTERNAL AKRE 2025'!B94,#REF!)+
SUMIF(#REF!,'KEUANGAN INTERNAL AKRE 2025'!B94,#REF!)+
SUMIF(#REF!,'KEUANGAN INTERNAL AKRE 2025'!B94,#REF!)+
SUMIF(#REF!,'KEUANGAN INTERNAL AKRE 2025'!B94,#REF!)</f>
        <v>#REF!</v>
      </c>
      <c r="O94" s="80" t="e">
        <f t="shared" si="3"/>
        <v>#REF!</v>
      </c>
      <c r="S94" s="520" t="s">
        <v>26</v>
      </c>
    </row>
    <row r="95" spans="1:19">
      <c r="A95" s="526" t="s">
        <v>171</v>
      </c>
      <c r="B95" s="65" t="s">
        <v>38</v>
      </c>
      <c r="C95" s="11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D95" s="82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E95" s="81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F95" s="82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G95" s="82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H95" s="82" t="e">
        <f>SUMIF(#REF!, 'KEUANGAN INTERNAL AKRE 2025'!B95,#REF!)+
SUMIF(#REF!, 'KEUANGAN INTERNAL AKRE 2025'!B95,#REF!)+
SUMIF(#REF!, 'KEUANGAN INTERNAL AKRE 2025'!B95,#REF!)+
SUMIF(#REF!, 'KEUANGAN INTERNAL AKRE 2025'!B95,#REF!)</f>
        <v>#REF!</v>
      </c>
      <c r="I95" s="82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J95" s="82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</f>
        <v>#REF!</v>
      </c>
      <c r="K95" s="82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L95" s="82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2025'!B95,#REF!)+
SUMIF(#REF!,'KEUANGAN INTERNAL AKRE 2025'!B95,#REF!)</f>
        <v>#REF!</v>
      </c>
      <c r="M95" s="82" t="e">
        <f>SUMIF(#REF!, 'KEUANGAN INTERNAL AKRE 2025'!B95,#REF!)+
SUMIF(#REF!, 'KEUANGAN INTERNAL AKRE 2025'!B95,#REF!)+
SUMIF(#REF!, 'KEUANGAN INTERNAL AKRE 2025'!B95,#REF!)+
SUMIF(#REF!, 'KEUANGAN INTERNAL AKRE 2025'!B95,#REF!)+
SUMIF(#REF!, 'KEUANGAN INTERNAL AKRE 2025'!B95,#REF!)+
SUMIF(#REF!, 'KEUANGAN INTERNAL AKRE 2025'!B95,#REF!)</f>
        <v>#REF!</v>
      </c>
      <c r="N95" s="82" t="e">
        <f>SUMIF(#REF!, 'KEUANGAN INTERNAL AKRE 2025'!B95,#REF!)+
SUMIF(#REF!, 'KEUANGAN INTERNAL AKRE 2025'!B95,#REF!)+
SUMIF(#REF!, 'KEUANGAN INTERNAL AKRE 2025'!B95,#REF!)+
SUMIF(#REF!, 'KEUANGAN INTERNAL AKRE 2025'!B95,#REF!)+
SUMIF(#REF!,'KEUANGAN INTERNAL AKRE 2025'!B95,#REF!)+
SUMIF(#REF!,'KEUANGAN INTERNAL AKRE 2025'!B95,#REF!)+
SUMIF(#REF!,'KEUANGAN INTERNAL AKRE 2025'!B95,#REF!)</f>
        <v>#REF!</v>
      </c>
      <c r="O95" s="80" t="e">
        <f t="shared" si="3"/>
        <v>#REF!</v>
      </c>
      <c r="S95" s="520" t="s">
        <v>38</v>
      </c>
    </row>
    <row r="96" spans="1:19">
      <c r="A96" s="526" t="s">
        <v>171</v>
      </c>
      <c r="B96" s="65" t="s">
        <v>34</v>
      </c>
      <c r="C96" s="11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D96" s="82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E96" s="81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F96" s="82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G96" s="82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H96" s="82" t="e">
        <f>SUMIF(#REF!, 'KEUANGAN INTERNAL AKRE 2025'!B96,#REF!)+
SUMIF(#REF!, 'KEUANGAN INTERNAL AKRE 2025'!B96,#REF!)+
SUMIF(#REF!, 'KEUANGAN INTERNAL AKRE 2025'!B96,#REF!)+
SUMIF(#REF!, 'KEUANGAN INTERNAL AKRE 2025'!B96,#REF!)</f>
        <v>#REF!</v>
      </c>
      <c r="I96" s="82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J96" s="82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</f>
        <v>#REF!</v>
      </c>
      <c r="K96" s="82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L96" s="82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2025'!B96,#REF!)+
SUMIF(#REF!,'KEUANGAN INTERNAL AKRE 2025'!B96,#REF!)</f>
        <v>#REF!</v>
      </c>
      <c r="M96" s="82" t="e">
        <f>SUMIF(#REF!, 'KEUANGAN INTERNAL AKRE 2025'!B96,#REF!)+
SUMIF(#REF!, 'KEUANGAN INTERNAL AKRE 2025'!B96,#REF!)+
SUMIF(#REF!, 'KEUANGAN INTERNAL AKRE 2025'!B96,#REF!)+
SUMIF(#REF!, 'KEUANGAN INTERNAL AKRE 2025'!B96,#REF!)+
SUMIF(#REF!, 'KEUANGAN INTERNAL AKRE 2025'!B96,#REF!)+
SUMIF(#REF!, 'KEUANGAN INTERNAL AKRE 2025'!B96,#REF!)</f>
        <v>#REF!</v>
      </c>
      <c r="N96" s="82" t="e">
        <f>SUMIF(#REF!, 'KEUANGAN INTERNAL AKRE 2025'!B96,#REF!)+
SUMIF(#REF!, 'KEUANGAN INTERNAL AKRE 2025'!B96,#REF!)+
SUMIF(#REF!, 'KEUANGAN INTERNAL AKRE 2025'!B96,#REF!)+
SUMIF(#REF!, 'KEUANGAN INTERNAL AKRE 2025'!B96,#REF!)+
SUMIF(#REF!,'KEUANGAN INTERNAL AKRE 2025'!B96,#REF!)+
SUMIF(#REF!,'KEUANGAN INTERNAL AKRE 2025'!B96,#REF!)+
SUMIF(#REF!,'KEUANGAN INTERNAL AKRE 2025'!B96,#REF!)</f>
        <v>#REF!</v>
      </c>
      <c r="O96" s="80" t="e">
        <f t="shared" si="3"/>
        <v>#REF!</v>
      </c>
      <c r="S96" s="520" t="s">
        <v>10</v>
      </c>
    </row>
    <row r="97" spans="1:15">
      <c r="A97" s="526" t="s">
        <v>171</v>
      </c>
      <c r="B97" s="65" t="s">
        <v>71</v>
      </c>
      <c r="C97" s="11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D97" s="82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E97" s="81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F97" s="82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G97" s="82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H97" s="82" t="e">
        <f>SUMIF(#REF!, 'KEUANGAN INTERNAL AKRE 2025'!B97,#REF!)+
SUMIF(#REF!, 'KEUANGAN INTERNAL AKRE 2025'!B97,#REF!)+
SUMIF(#REF!, 'KEUANGAN INTERNAL AKRE 2025'!B97,#REF!)+
SUMIF(#REF!, 'KEUANGAN INTERNAL AKRE 2025'!B97,#REF!)</f>
        <v>#REF!</v>
      </c>
      <c r="I97" s="82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J97" s="82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</f>
        <v>#REF!</v>
      </c>
      <c r="K97" s="82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L97" s="82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2025'!B97,#REF!)+
SUMIF(#REF!,'KEUANGAN INTERNAL AKRE 2025'!B97,#REF!)</f>
        <v>#REF!</v>
      </c>
      <c r="M97" s="82" t="e">
        <f>SUMIF(#REF!, 'KEUANGAN INTERNAL AKRE 2025'!B97,#REF!)+
SUMIF(#REF!, 'KEUANGAN INTERNAL AKRE 2025'!B97,#REF!)+
SUMIF(#REF!, 'KEUANGAN INTERNAL AKRE 2025'!B97,#REF!)+
SUMIF(#REF!, 'KEUANGAN INTERNAL AKRE 2025'!B97,#REF!)+
SUMIF(#REF!, 'KEUANGAN INTERNAL AKRE 2025'!B97,#REF!)+
SUMIF(#REF!, 'KEUANGAN INTERNAL AKRE 2025'!B97,#REF!)</f>
        <v>#REF!</v>
      </c>
      <c r="N97" s="82" t="e">
        <f>SUMIF(#REF!, 'KEUANGAN INTERNAL AKRE 2025'!B97,#REF!)+
SUMIF(#REF!, 'KEUANGAN INTERNAL AKRE 2025'!B97,#REF!)+
SUMIF(#REF!, 'KEUANGAN INTERNAL AKRE 2025'!B97,#REF!)+
SUMIF(#REF!, 'KEUANGAN INTERNAL AKRE 2025'!B97,#REF!)+
SUMIF(#REF!,'KEUANGAN INTERNAL AKRE 2025'!B97,#REF!)+
SUMIF(#REF!,'KEUANGAN INTERNAL AKRE 2025'!B97,#REF!)+
SUMIF(#REF!,'KEUANGAN INTERNAL AKRE 2025'!B97,#REF!)</f>
        <v>#REF!</v>
      </c>
      <c r="O97" s="80" t="e">
        <f t="shared" si="3"/>
        <v>#REF!</v>
      </c>
    </row>
    <row r="98" spans="1:15">
      <c r="A98" s="526" t="s">
        <v>171</v>
      </c>
      <c r="B98" s="65" t="s">
        <v>46</v>
      </c>
      <c r="C98" s="11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D98" s="82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E98" s="81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F98" s="82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G98" s="82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H98" s="82" t="e">
        <f>SUMIF(#REF!, 'KEUANGAN INTERNAL AKRE 2025'!B98,#REF!)+
SUMIF(#REF!, 'KEUANGAN INTERNAL AKRE 2025'!B98,#REF!)+
SUMIF(#REF!, 'KEUANGAN INTERNAL AKRE 2025'!B98,#REF!)+
SUMIF(#REF!, 'KEUANGAN INTERNAL AKRE 2025'!B98,#REF!)</f>
        <v>#REF!</v>
      </c>
      <c r="I98" s="82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J98" s="82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</f>
        <v>#REF!</v>
      </c>
      <c r="K98" s="82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L98" s="82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2025'!B98,#REF!)+
SUMIF(#REF!,'KEUANGAN INTERNAL AKRE 2025'!B98,#REF!)</f>
        <v>#REF!</v>
      </c>
      <c r="M98" s="82" t="e">
        <f>SUMIF(#REF!, 'KEUANGAN INTERNAL AKRE 2025'!B98,#REF!)+
SUMIF(#REF!, 'KEUANGAN INTERNAL AKRE 2025'!B98,#REF!)+
SUMIF(#REF!, 'KEUANGAN INTERNAL AKRE 2025'!B98,#REF!)+
SUMIF(#REF!, 'KEUANGAN INTERNAL AKRE 2025'!B98,#REF!)+
SUMIF(#REF!, 'KEUANGAN INTERNAL AKRE 2025'!B98,#REF!)+
SUMIF(#REF!, 'KEUANGAN INTERNAL AKRE 2025'!B98,#REF!)</f>
        <v>#REF!</v>
      </c>
      <c r="N98" s="82" t="e">
        <f>SUMIF(#REF!, 'KEUANGAN INTERNAL AKRE 2025'!B98,#REF!)+
SUMIF(#REF!, 'KEUANGAN INTERNAL AKRE 2025'!B98,#REF!)+
SUMIF(#REF!, 'KEUANGAN INTERNAL AKRE 2025'!B98,#REF!)+
SUMIF(#REF!, 'KEUANGAN INTERNAL AKRE 2025'!B98,#REF!)+
SUMIF(#REF!,'KEUANGAN INTERNAL AKRE 2025'!B98,#REF!)+
SUMIF(#REF!,'KEUANGAN INTERNAL AKRE 2025'!B98,#REF!)+
SUMIF(#REF!,'KEUANGAN INTERNAL AKRE 2025'!B98,#REF!)</f>
        <v>#REF!</v>
      </c>
      <c r="O98" s="80" t="e">
        <f t="shared" si="3"/>
        <v>#REF!</v>
      </c>
    </row>
    <row r="99" spans="1:15">
      <c r="A99" s="526" t="s">
        <v>171</v>
      </c>
      <c r="B99" s="65" t="s">
        <v>53</v>
      </c>
      <c r="C99" s="11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D99" s="82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E99" s="81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F99" s="82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G99" s="82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H99" s="82" t="e">
        <f>SUMIF(#REF!, 'KEUANGAN INTERNAL AKRE 2025'!B99,#REF!)+
SUMIF(#REF!, 'KEUANGAN INTERNAL AKRE 2025'!B99,#REF!)+
SUMIF(#REF!, 'KEUANGAN INTERNAL AKRE 2025'!B99,#REF!)+
SUMIF(#REF!, 'KEUANGAN INTERNAL AKRE 2025'!B99,#REF!)</f>
        <v>#REF!</v>
      </c>
      <c r="I99" s="82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J99" s="82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</f>
        <v>#REF!</v>
      </c>
      <c r="K99" s="82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L99" s="82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2025'!B99,#REF!)+
SUMIF(#REF!,'KEUANGAN INTERNAL AKRE 2025'!B99,#REF!)</f>
        <v>#REF!</v>
      </c>
      <c r="M99" s="82" t="e">
        <f>SUMIF(#REF!, 'KEUANGAN INTERNAL AKRE 2025'!B99,#REF!)+
SUMIF(#REF!, 'KEUANGAN INTERNAL AKRE 2025'!B99,#REF!)+
SUMIF(#REF!, 'KEUANGAN INTERNAL AKRE 2025'!B99,#REF!)+
SUMIF(#REF!, 'KEUANGAN INTERNAL AKRE 2025'!B99,#REF!)+
SUMIF(#REF!, 'KEUANGAN INTERNAL AKRE 2025'!B99,#REF!)+
SUMIF(#REF!, 'KEUANGAN INTERNAL AKRE 2025'!B99,#REF!)</f>
        <v>#REF!</v>
      </c>
      <c r="N99" s="82" t="e">
        <f>SUMIF(#REF!, 'KEUANGAN INTERNAL AKRE 2025'!B99,#REF!)+
SUMIF(#REF!, 'KEUANGAN INTERNAL AKRE 2025'!B99,#REF!)+
SUMIF(#REF!, 'KEUANGAN INTERNAL AKRE 2025'!B99,#REF!)+
SUMIF(#REF!, 'KEUANGAN INTERNAL AKRE 2025'!B99,#REF!)+
SUMIF(#REF!,'KEUANGAN INTERNAL AKRE 2025'!B99,#REF!)+
SUMIF(#REF!,'KEUANGAN INTERNAL AKRE 2025'!B99,#REF!)+
SUMIF(#REF!,'KEUANGAN INTERNAL AKRE 2025'!B99,#REF!)</f>
        <v>#REF!</v>
      </c>
      <c r="O99" s="80" t="e">
        <f t="shared" si="3"/>
        <v>#REF!</v>
      </c>
    </row>
    <row r="100" spans="1:15">
      <c r="A100" s="526" t="s">
        <v>171</v>
      </c>
      <c r="B100" s="65" t="s">
        <v>187</v>
      </c>
      <c r="C100" s="11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D100" s="82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E100" s="81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F100" s="82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G100" s="82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H100" s="82" t="e">
        <f>SUMIF(#REF!, 'KEUANGAN INTERNAL AKRE 2025'!B100,#REF!)+
SUMIF(#REF!, 'KEUANGAN INTERNAL AKRE 2025'!B100,#REF!)+
SUMIF(#REF!, 'KEUANGAN INTERNAL AKRE 2025'!B100,#REF!)+
SUMIF(#REF!, 'KEUANGAN INTERNAL AKRE 2025'!B100,#REF!)</f>
        <v>#REF!</v>
      </c>
      <c r="I100" s="82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J100" s="82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</f>
        <v>#REF!</v>
      </c>
      <c r="K100" s="82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L100" s="82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2025'!B100,#REF!)+
SUMIF(#REF!,'KEUANGAN INTERNAL AKRE 2025'!B100,#REF!)</f>
        <v>#REF!</v>
      </c>
      <c r="M100" s="82" t="e">
        <f>SUMIF(#REF!, 'KEUANGAN INTERNAL AKRE 2025'!B100,#REF!)+
SUMIF(#REF!, 'KEUANGAN INTERNAL AKRE 2025'!B100,#REF!)+
SUMIF(#REF!, 'KEUANGAN INTERNAL AKRE 2025'!B100,#REF!)+
SUMIF(#REF!, 'KEUANGAN INTERNAL AKRE 2025'!B100,#REF!)+
SUMIF(#REF!, 'KEUANGAN INTERNAL AKRE 2025'!B100,#REF!)+
SUMIF(#REF!, 'KEUANGAN INTERNAL AKRE 2025'!B100,#REF!)</f>
        <v>#REF!</v>
      </c>
      <c r="N100" s="82" t="e">
        <f>SUMIF(#REF!, 'KEUANGAN INTERNAL AKRE 2025'!B100,#REF!)+
SUMIF(#REF!, 'KEUANGAN INTERNAL AKRE 2025'!B100,#REF!)+
SUMIF(#REF!, 'KEUANGAN INTERNAL AKRE 2025'!B100,#REF!)+
SUMIF(#REF!, 'KEUANGAN INTERNAL AKRE 2025'!B100,#REF!)+
SUMIF(#REF!,'KEUANGAN INTERNAL AKRE 2025'!B100,#REF!)+
SUMIF(#REF!,'KEUANGAN INTERNAL AKRE 2025'!B100,#REF!)+
SUMIF(#REF!,'KEUANGAN INTERNAL AKRE 2025'!B100,#REF!)</f>
        <v>#REF!</v>
      </c>
      <c r="O100" s="80" t="e">
        <f t="shared" si="3"/>
        <v>#REF!</v>
      </c>
    </row>
    <row r="101" spans="1:15">
      <c r="A101" s="526" t="s">
        <v>171</v>
      </c>
      <c r="B101" s="65" t="s">
        <v>36</v>
      </c>
      <c r="C101" s="11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D101" s="82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E101" s="81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F101" s="82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G101" s="82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H101" s="82" t="e">
        <f>SUMIF(#REF!, 'KEUANGAN INTERNAL AKRE 2025'!B101,#REF!)+
SUMIF(#REF!, 'KEUANGAN INTERNAL AKRE 2025'!B101,#REF!)+
SUMIF(#REF!, 'KEUANGAN INTERNAL AKRE 2025'!B101,#REF!)+
SUMIF(#REF!, 'KEUANGAN INTERNAL AKRE 2025'!B101,#REF!)</f>
        <v>#REF!</v>
      </c>
      <c r="I101" s="82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J101" s="82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</f>
        <v>#REF!</v>
      </c>
      <c r="K101" s="82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L101" s="82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2025'!B101,#REF!)+
SUMIF(#REF!,'KEUANGAN INTERNAL AKRE 2025'!B101,#REF!)</f>
        <v>#REF!</v>
      </c>
      <c r="M101" s="82" t="e">
        <f>SUMIF(#REF!, 'KEUANGAN INTERNAL AKRE 2025'!B101,#REF!)+
SUMIF(#REF!, 'KEUANGAN INTERNAL AKRE 2025'!B101,#REF!)+
SUMIF(#REF!, 'KEUANGAN INTERNAL AKRE 2025'!B101,#REF!)+
SUMIF(#REF!, 'KEUANGAN INTERNAL AKRE 2025'!B101,#REF!)+
SUMIF(#REF!, 'KEUANGAN INTERNAL AKRE 2025'!B101,#REF!)+
SUMIF(#REF!, 'KEUANGAN INTERNAL AKRE 2025'!B101,#REF!)</f>
        <v>#REF!</v>
      </c>
      <c r="N101" s="82" t="e">
        <f>SUMIF(#REF!, 'KEUANGAN INTERNAL AKRE 2025'!B101,#REF!)+
SUMIF(#REF!, 'KEUANGAN INTERNAL AKRE 2025'!B101,#REF!)+
SUMIF(#REF!, 'KEUANGAN INTERNAL AKRE 2025'!B101,#REF!)+
SUMIF(#REF!, 'KEUANGAN INTERNAL AKRE 2025'!B101,#REF!)+
SUMIF(#REF!,'KEUANGAN INTERNAL AKRE 2025'!B101,#REF!)+
SUMIF(#REF!,'KEUANGAN INTERNAL AKRE 2025'!B101,#REF!)+
SUMIF(#REF!,'KEUANGAN INTERNAL AKRE 2025'!B101,#REF!)</f>
        <v>#REF!</v>
      </c>
      <c r="O101" s="80" t="e">
        <f t="shared" si="3"/>
        <v>#REF!</v>
      </c>
    </row>
    <row r="102" spans="1:15">
      <c r="A102" s="526" t="s">
        <v>171</v>
      </c>
      <c r="B102" s="65" t="s">
        <v>196</v>
      </c>
      <c r="C102" s="11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D102" s="82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E102" s="81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F102" s="82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G102" s="82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H102" s="82" t="e">
        <f>SUMIF(#REF!, 'KEUANGAN INTERNAL AKRE 2025'!B102,#REF!)+
SUMIF(#REF!, 'KEUANGAN INTERNAL AKRE 2025'!B102,#REF!)+
SUMIF(#REF!, 'KEUANGAN INTERNAL AKRE 2025'!B102,#REF!)+
SUMIF(#REF!, 'KEUANGAN INTERNAL AKRE 2025'!B102,#REF!)</f>
        <v>#REF!</v>
      </c>
      <c r="I102" s="82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J102" s="82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</f>
        <v>#REF!</v>
      </c>
      <c r="K102" s="82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L102" s="82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2025'!B102,#REF!)+
SUMIF(#REF!,'KEUANGAN INTERNAL AKRE 2025'!B102,#REF!)</f>
        <v>#REF!</v>
      </c>
      <c r="M102" s="82" t="e">
        <f>SUMIF(#REF!, 'KEUANGAN INTERNAL AKRE 2025'!B102,#REF!)+
SUMIF(#REF!, 'KEUANGAN INTERNAL AKRE 2025'!B102,#REF!)+
SUMIF(#REF!, 'KEUANGAN INTERNAL AKRE 2025'!B102,#REF!)+
SUMIF(#REF!, 'KEUANGAN INTERNAL AKRE 2025'!B102,#REF!)+
SUMIF(#REF!, 'KEUANGAN INTERNAL AKRE 2025'!B102,#REF!)+
SUMIF(#REF!, 'KEUANGAN INTERNAL AKRE 2025'!B102,#REF!)</f>
        <v>#REF!</v>
      </c>
      <c r="N102" s="82" t="e">
        <f>SUMIF(#REF!, 'KEUANGAN INTERNAL AKRE 2025'!B102,#REF!)+
SUMIF(#REF!, 'KEUANGAN INTERNAL AKRE 2025'!B102,#REF!)+
SUMIF(#REF!, 'KEUANGAN INTERNAL AKRE 2025'!B102,#REF!)+
SUMIF(#REF!, 'KEUANGAN INTERNAL AKRE 2025'!B102,#REF!)+
SUMIF(#REF!,'KEUANGAN INTERNAL AKRE 2025'!B102,#REF!)+
SUMIF(#REF!,'KEUANGAN INTERNAL AKRE 2025'!B102,#REF!)+
SUMIF(#REF!,'KEUANGAN INTERNAL AKRE 2025'!B102,#REF!)</f>
        <v>#REF!</v>
      </c>
      <c r="O102" s="80" t="e">
        <f t="shared" si="3"/>
        <v>#REF!</v>
      </c>
    </row>
    <row r="103" spans="1:15">
      <c r="A103" s="526" t="s">
        <v>171</v>
      </c>
      <c r="B103" s="65" t="s">
        <v>197</v>
      </c>
      <c r="C103" s="11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D103" s="82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E103" s="81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F103" s="82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G103" s="82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H103" s="82" t="e">
        <f>SUMIF(#REF!, 'KEUANGAN INTERNAL AKRE 2025'!B103,#REF!)+
SUMIF(#REF!, 'KEUANGAN INTERNAL AKRE 2025'!B103,#REF!)+
SUMIF(#REF!, 'KEUANGAN INTERNAL AKRE 2025'!B103,#REF!)+
SUMIF(#REF!, 'KEUANGAN INTERNAL AKRE 2025'!B103,#REF!)</f>
        <v>#REF!</v>
      </c>
      <c r="I103" s="82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J103" s="82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</f>
        <v>#REF!</v>
      </c>
      <c r="K103" s="82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L103" s="82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2025'!B103,#REF!)+
SUMIF(#REF!,'KEUANGAN INTERNAL AKRE 2025'!B103,#REF!)</f>
        <v>#REF!</v>
      </c>
      <c r="M103" s="82" t="e">
        <f>SUMIF(#REF!, 'KEUANGAN INTERNAL AKRE 2025'!B103,#REF!)+
SUMIF(#REF!, 'KEUANGAN INTERNAL AKRE 2025'!B103,#REF!)+
SUMIF(#REF!, 'KEUANGAN INTERNAL AKRE 2025'!B103,#REF!)+
SUMIF(#REF!, 'KEUANGAN INTERNAL AKRE 2025'!B103,#REF!)+
SUMIF(#REF!, 'KEUANGAN INTERNAL AKRE 2025'!B103,#REF!)+
SUMIF(#REF!, 'KEUANGAN INTERNAL AKRE 2025'!B103,#REF!)</f>
        <v>#REF!</v>
      </c>
      <c r="N103" s="82" t="e">
        <f>SUMIF(#REF!, 'KEUANGAN INTERNAL AKRE 2025'!B103,#REF!)+
SUMIF(#REF!, 'KEUANGAN INTERNAL AKRE 2025'!B103,#REF!)+
SUMIF(#REF!, 'KEUANGAN INTERNAL AKRE 2025'!B103,#REF!)+
SUMIF(#REF!, 'KEUANGAN INTERNAL AKRE 2025'!B103,#REF!)+
SUMIF(#REF!,'KEUANGAN INTERNAL AKRE 2025'!B103,#REF!)+
SUMIF(#REF!,'KEUANGAN INTERNAL AKRE 2025'!B103,#REF!)+
SUMIF(#REF!,'KEUANGAN INTERNAL AKRE 2025'!B103,#REF!)</f>
        <v>#REF!</v>
      </c>
      <c r="O103" s="80" t="e">
        <f t="shared" si="3"/>
        <v>#REF!</v>
      </c>
    </row>
    <row r="104" spans="1:15">
      <c r="A104" s="526" t="s">
        <v>171</v>
      </c>
      <c r="B104" s="65" t="s">
        <v>200</v>
      </c>
      <c r="C104" s="11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D104" s="82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E104" s="81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F104" s="82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G104" s="82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H104" s="82" t="e">
        <f>SUMIF(#REF!, 'KEUANGAN INTERNAL AKRE 2025'!B104,#REF!)+
SUMIF(#REF!, 'KEUANGAN INTERNAL AKRE 2025'!B104,#REF!)+
SUMIF(#REF!, 'KEUANGAN INTERNAL AKRE 2025'!B104,#REF!)+
SUMIF(#REF!, 'KEUANGAN INTERNAL AKRE 2025'!B104,#REF!)</f>
        <v>#REF!</v>
      </c>
      <c r="I104" s="82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J104" s="82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</f>
        <v>#REF!</v>
      </c>
      <c r="K104" s="82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L104" s="82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2025'!B104,#REF!)+
SUMIF(#REF!,'KEUANGAN INTERNAL AKRE 2025'!B104,#REF!)</f>
        <v>#REF!</v>
      </c>
      <c r="M104" s="82" t="e">
        <f>SUMIF(#REF!, 'KEUANGAN INTERNAL AKRE 2025'!B104,#REF!)+
SUMIF(#REF!, 'KEUANGAN INTERNAL AKRE 2025'!B104,#REF!)+
SUMIF(#REF!, 'KEUANGAN INTERNAL AKRE 2025'!B104,#REF!)+
SUMIF(#REF!, 'KEUANGAN INTERNAL AKRE 2025'!B104,#REF!)+
SUMIF(#REF!, 'KEUANGAN INTERNAL AKRE 2025'!B104,#REF!)+
SUMIF(#REF!, 'KEUANGAN INTERNAL AKRE 2025'!B104,#REF!)</f>
        <v>#REF!</v>
      </c>
      <c r="N104" s="82" t="e">
        <f>SUMIF(#REF!, 'KEUANGAN INTERNAL AKRE 2025'!B104,#REF!)+
SUMIF(#REF!, 'KEUANGAN INTERNAL AKRE 2025'!B104,#REF!)+
SUMIF(#REF!, 'KEUANGAN INTERNAL AKRE 2025'!B104,#REF!)+
SUMIF(#REF!, 'KEUANGAN INTERNAL AKRE 2025'!B104,#REF!)+
SUMIF(#REF!,'KEUANGAN INTERNAL AKRE 2025'!B104,#REF!)+
SUMIF(#REF!,'KEUANGAN INTERNAL AKRE 2025'!B104,#REF!)+
SUMIF(#REF!,'KEUANGAN INTERNAL AKRE 2025'!B104,#REF!)</f>
        <v>#REF!</v>
      </c>
      <c r="O104" s="80" t="e">
        <f t="shared" si="3"/>
        <v>#REF!</v>
      </c>
    </row>
    <row r="105" spans="1:15">
      <c r="A105" s="526" t="s">
        <v>171</v>
      </c>
      <c r="B105" s="65" t="s">
        <v>201</v>
      </c>
      <c r="C105" s="11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D105" s="82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E105" s="81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F105" s="82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G105" s="82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H105" s="82" t="e">
        <f>SUMIF(#REF!, 'KEUANGAN INTERNAL AKRE 2025'!B105,#REF!)+
SUMIF(#REF!, 'KEUANGAN INTERNAL AKRE 2025'!B105,#REF!)+
SUMIF(#REF!, 'KEUANGAN INTERNAL AKRE 2025'!B105,#REF!)+
SUMIF(#REF!, 'KEUANGAN INTERNAL AKRE 2025'!B105,#REF!)</f>
        <v>#REF!</v>
      </c>
      <c r="I105" s="82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J105" s="82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</f>
        <v>#REF!</v>
      </c>
      <c r="K105" s="82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L105" s="82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2025'!B105,#REF!)+
SUMIF(#REF!,'KEUANGAN INTERNAL AKRE 2025'!B105,#REF!)</f>
        <v>#REF!</v>
      </c>
      <c r="M105" s="82" t="e">
        <f>SUMIF(#REF!, 'KEUANGAN INTERNAL AKRE 2025'!B105,#REF!)+
SUMIF(#REF!, 'KEUANGAN INTERNAL AKRE 2025'!B105,#REF!)+
SUMIF(#REF!, 'KEUANGAN INTERNAL AKRE 2025'!B105,#REF!)+
SUMIF(#REF!, 'KEUANGAN INTERNAL AKRE 2025'!B105,#REF!)+
SUMIF(#REF!, 'KEUANGAN INTERNAL AKRE 2025'!B105,#REF!)+
SUMIF(#REF!, 'KEUANGAN INTERNAL AKRE 2025'!B105,#REF!)</f>
        <v>#REF!</v>
      </c>
      <c r="N105" s="82" t="e">
        <f>SUMIF(#REF!, 'KEUANGAN INTERNAL AKRE 2025'!B105,#REF!)+
SUMIF(#REF!, 'KEUANGAN INTERNAL AKRE 2025'!B105,#REF!)+
SUMIF(#REF!, 'KEUANGAN INTERNAL AKRE 2025'!B105,#REF!)+
SUMIF(#REF!, 'KEUANGAN INTERNAL AKRE 2025'!B105,#REF!)+
SUMIF(#REF!,'KEUANGAN INTERNAL AKRE 2025'!B105,#REF!)+
SUMIF(#REF!,'KEUANGAN INTERNAL AKRE 2025'!B105,#REF!)+
SUMIF(#REF!,'KEUANGAN INTERNAL AKRE 2025'!B105,#REF!)</f>
        <v>#REF!</v>
      </c>
      <c r="O105" s="80" t="e">
        <f t="shared" si="3"/>
        <v>#REF!</v>
      </c>
    </row>
    <row r="106" spans="1:15">
      <c r="A106" s="526" t="s">
        <v>171</v>
      </c>
      <c r="B106" s="65" t="s">
        <v>204</v>
      </c>
      <c r="C106" s="11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D106" s="82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E106" s="81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F106" s="82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G106" s="82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H106" s="82" t="e">
        <f>SUMIF(#REF!, 'KEUANGAN INTERNAL AKRE 2025'!B106,#REF!)+
SUMIF(#REF!, 'KEUANGAN INTERNAL AKRE 2025'!B106,#REF!)+
SUMIF(#REF!, 'KEUANGAN INTERNAL AKRE 2025'!B106,#REF!)+
SUMIF(#REF!, 'KEUANGAN INTERNAL AKRE 2025'!B106,#REF!)</f>
        <v>#REF!</v>
      </c>
      <c r="I106" s="82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J106" s="82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</f>
        <v>#REF!</v>
      </c>
      <c r="K106" s="82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L106" s="82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2025'!B106,#REF!)+
SUMIF(#REF!,'KEUANGAN INTERNAL AKRE 2025'!B106,#REF!)</f>
        <v>#REF!</v>
      </c>
      <c r="M106" s="82" t="e">
        <f>SUMIF(#REF!, 'KEUANGAN INTERNAL AKRE 2025'!B106,#REF!)+
SUMIF(#REF!, 'KEUANGAN INTERNAL AKRE 2025'!B106,#REF!)+
SUMIF(#REF!, 'KEUANGAN INTERNAL AKRE 2025'!B106,#REF!)+
SUMIF(#REF!, 'KEUANGAN INTERNAL AKRE 2025'!B106,#REF!)+
SUMIF(#REF!, 'KEUANGAN INTERNAL AKRE 2025'!B106,#REF!)+
SUMIF(#REF!, 'KEUANGAN INTERNAL AKRE 2025'!B106,#REF!)</f>
        <v>#REF!</v>
      </c>
      <c r="N106" s="82" t="e">
        <f>SUMIF(#REF!, 'KEUANGAN INTERNAL AKRE 2025'!B106,#REF!)+
SUMIF(#REF!, 'KEUANGAN INTERNAL AKRE 2025'!B106,#REF!)+
SUMIF(#REF!, 'KEUANGAN INTERNAL AKRE 2025'!B106,#REF!)+
SUMIF(#REF!, 'KEUANGAN INTERNAL AKRE 2025'!B106,#REF!)+
SUMIF(#REF!,'KEUANGAN INTERNAL AKRE 2025'!B106,#REF!)+
SUMIF(#REF!,'KEUANGAN INTERNAL AKRE 2025'!B106,#REF!)+
SUMIF(#REF!,'KEUANGAN INTERNAL AKRE 2025'!B106,#REF!)</f>
        <v>#REF!</v>
      </c>
      <c r="O106" s="80" t="e">
        <f t="shared" si="3"/>
        <v>#REF!</v>
      </c>
    </row>
    <row r="107" spans="1:15">
      <c r="A107" s="527" t="s">
        <v>175</v>
      </c>
      <c r="B107" s="65" t="s">
        <v>75</v>
      </c>
      <c r="C107" s="11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D107" s="82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E107" s="81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F107" s="82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G107" s="82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H107" s="82" t="e">
        <f>SUMIF(#REF!, 'KEUANGAN INTERNAL AKRE 2025'!B107,#REF!)+
SUMIF(#REF!, 'KEUANGAN INTERNAL AKRE 2025'!B107,#REF!)+
SUMIF(#REF!, 'KEUANGAN INTERNAL AKRE 2025'!B107,#REF!)+
SUMIF(#REF!, 'KEUANGAN INTERNAL AKRE 2025'!B107,#REF!)</f>
        <v>#REF!</v>
      </c>
      <c r="I107" s="82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J107" s="82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</f>
        <v>#REF!</v>
      </c>
      <c r="K107" s="82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L107" s="82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2025'!B107,#REF!)+
SUMIF(#REF!,'KEUANGAN INTERNAL AKRE 2025'!B107,#REF!)</f>
        <v>#REF!</v>
      </c>
      <c r="M107" s="82" t="e">
        <f>SUMIF(#REF!, 'KEUANGAN INTERNAL AKRE 2025'!B107,#REF!)+
SUMIF(#REF!, 'KEUANGAN INTERNAL AKRE 2025'!B107,#REF!)+
SUMIF(#REF!, 'KEUANGAN INTERNAL AKRE 2025'!B107,#REF!)+
SUMIF(#REF!, 'KEUANGAN INTERNAL AKRE 2025'!B107,#REF!)+
SUMIF(#REF!, 'KEUANGAN INTERNAL AKRE 2025'!B107,#REF!)+
SUMIF(#REF!, 'KEUANGAN INTERNAL AKRE 2025'!B107,#REF!)</f>
        <v>#REF!</v>
      </c>
      <c r="N107" s="82" t="e">
        <f>SUMIF(#REF!, 'KEUANGAN INTERNAL AKRE 2025'!B107,#REF!)+
SUMIF(#REF!, 'KEUANGAN INTERNAL AKRE 2025'!B107,#REF!)+
SUMIF(#REF!, 'KEUANGAN INTERNAL AKRE 2025'!B107,#REF!)+
SUMIF(#REF!, 'KEUANGAN INTERNAL AKRE 2025'!B107,#REF!)+
SUMIF(#REF!,'KEUANGAN INTERNAL AKRE 2025'!B107,#REF!)+
SUMIF(#REF!,'KEUANGAN INTERNAL AKRE 2025'!B107,#REF!)+
SUMIF(#REF!,'KEUANGAN INTERNAL AKRE 2025'!B107,#REF!)</f>
        <v>#REF!</v>
      </c>
      <c r="O107" s="80" t="e">
        <f t="shared" si="3"/>
        <v>#REF!</v>
      </c>
    </row>
    <row r="108" spans="1:15">
      <c r="A108" s="527" t="s">
        <v>175</v>
      </c>
      <c r="B108" s="65" t="s">
        <v>79</v>
      </c>
      <c r="C108" s="11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D108" s="82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E108" s="81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F108" s="82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G108" s="82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H108" s="82" t="e">
        <f>SUMIF(#REF!, 'KEUANGAN INTERNAL AKRE 2025'!B108,#REF!)+
SUMIF(#REF!, 'KEUANGAN INTERNAL AKRE 2025'!B108,#REF!)+
SUMIF(#REF!, 'KEUANGAN INTERNAL AKRE 2025'!B108,#REF!)+
SUMIF(#REF!, 'KEUANGAN INTERNAL AKRE 2025'!B108,#REF!)</f>
        <v>#REF!</v>
      </c>
      <c r="I108" s="82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J108" s="82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</f>
        <v>#REF!</v>
      </c>
      <c r="K108" s="82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L108" s="82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2025'!B108,#REF!)+
SUMIF(#REF!,'KEUANGAN INTERNAL AKRE 2025'!B108,#REF!)</f>
        <v>#REF!</v>
      </c>
      <c r="M108" s="82" t="e">
        <f>SUMIF(#REF!, 'KEUANGAN INTERNAL AKRE 2025'!B108,#REF!)+
SUMIF(#REF!, 'KEUANGAN INTERNAL AKRE 2025'!B108,#REF!)+
SUMIF(#REF!, 'KEUANGAN INTERNAL AKRE 2025'!B108,#REF!)+
SUMIF(#REF!, 'KEUANGAN INTERNAL AKRE 2025'!B108,#REF!)+
SUMIF(#REF!, 'KEUANGAN INTERNAL AKRE 2025'!B108,#REF!)+
SUMIF(#REF!, 'KEUANGAN INTERNAL AKRE 2025'!B108,#REF!)</f>
        <v>#REF!</v>
      </c>
      <c r="N108" s="82" t="e">
        <f>SUMIF(#REF!, 'KEUANGAN INTERNAL AKRE 2025'!B108,#REF!)+
SUMIF(#REF!, 'KEUANGAN INTERNAL AKRE 2025'!B108,#REF!)+
SUMIF(#REF!, 'KEUANGAN INTERNAL AKRE 2025'!B108,#REF!)+
SUMIF(#REF!, 'KEUANGAN INTERNAL AKRE 2025'!B108,#REF!)+
SUMIF(#REF!,'KEUANGAN INTERNAL AKRE 2025'!B108,#REF!)+
SUMIF(#REF!,'KEUANGAN INTERNAL AKRE 2025'!B108,#REF!)+
SUMIF(#REF!,'KEUANGAN INTERNAL AKRE 2025'!B108,#REF!)</f>
        <v>#REF!</v>
      </c>
      <c r="O108" s="80" t="e">
        <f t="shared" si="3"/>
        <v>#REF!</v>
      </c>
    </row>
    <row r="109" spans="1:15">
      <c r="A109" s="527" t="s">
        <v>175</v>
      </c>
      <c r="B109" s="65" t="s">
        <v>176</v>
      </c>
      <c r="C109" s="11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D109" s="82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E109" s="81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F109" s="82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G109" s="82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H109" s="82" t="e">
        <f>SUMIF(#REF!, 'KEUANGAN INTERNAL AKRE 2025'!B109,#REF!)+
SUMIF(#REF!, 'KEUANGAN INTERNAL AKRE 2025'!B109,#REF!)+
SUMIF(#REF!, 'KEUANGAN INTERNAL AKRE 2025'!B109,#REF!)+
SUMIF(#REF!, 'KEUANGAN INTERNAL AKRE 2025'!B109,#REF!)</f>
        <v>#REF!</v>
      </c>
      <c r="I109" s="82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J109" s="82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</f>
        <v>#REF!</v>
      </c>
      <c r="K109" s="82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L109" s="82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2025'!B109,#REF!)+
SUMIF(#REF!,'KEUANGAN INTERNAL AKRE 2025'!B109,#REF!)</f>
        <v>#REF!</v>
      </c>
      <c r="M109" s="82" t="e">
        <f>SUMIF(#REF!, 'KEUANGAN INTERNAL AKRE 2025'!B109,#REF!)+
SUMIF(#REF!, 'KEUANGAN INTERNAL AKRE 2025'!B109,#REF!)+
SUMIF(#REF!, 'KEUANGAN INTERNAL AKRE 2025'!B109,#REF!)+
SUMIF(#REF!, 'KEUANGAN INTERNAL AKRE 2025'!B109,#REF!)+
SUMIF(#REF!, 'KEUANGAN INTERNAL AKRE 2025'!B109,#REF!)+
SUMIF(#REF!, 'KEUANGAN INTERNAL AKRE 2025'!B109,#REF!)</f>
        <v>#REF!</v>
      </c>
      <c r="N109" s="82" t="e">
        <f>SUMIF(#REF!, 'KEUANGAN INTERNAL AKRE 2025'!B109,#REF!)+
SUMIF(#REF!, 'KEUANGAN INTERNAL AKRE 2025'!B109,#REF!)+
SUMIF(#REF!, 'KEUANGAN INTERNAL AKRE 2025'!B109,#REF!)+
SUMIF(#REF!, 'KEUANGAN INTERNAL AKRE 2025'!B109,#REF!)+
SUMIF(#REF!,'KEUANGAN INTERNAL AKRE 2025'!B109,#REF!)+
SUMIF(#REF!,'KEUANGAN INTERNAL AKRE 2025'!B109,#REF!)+
SUMIF(#REF!,'KEUANGAN INTERNAL AKRE 2025'!B109,#REF!)</f>
        <v>#REF!</v>
      </c>
      <c r="O109" s="80" t="e">
        <f t="shared" si="3"/>
        <v>#REF!</v>
      </c>
    </row>
    <row r="110" spans="1:15">
      <c r="A110" s="527" t="s">
        <v>175</v>
      </c>
      <c r="B110" s="65" t="s">
        <v>121</v>
      </c>
      <c r="C110" s="11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D110" s="82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E110" s="81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F110" s="82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G110" s="82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H110" s="82" t="e">
        <f>SUMIF(#REF!, 'KEUANGAN INTERNAL AKRE 2025'!B110,#REF!)+
SUMIF(#REF!, 'KEUANGAN INTERNAL AKRE 2025'!B110,#REF!)+
SUMIF(#REF!, 'KEUANGAN INTERNAL AKRE 2025'!B110,#REF!)+
SUMIF(#REF!, 'KEUANGAN INTERNAL AKRE 2025'!B110,#REF!)</f>
        <v>#REF!</v>
      </c>
      <c r="I110" s="82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J110" s="82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</f>
        <v>#REF!</v>
      </c>
      <c r="K110" s="82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L110" s="82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2025'!B110,#REF!)+
SUMIF(#REF!,'KEUANGAN INTERNAL AKRE 2025'!B110,#REF!)</f>
        <v>#REF!</v>
      </c>
      <c r="M110" s="82" t="e">
        <f>SUMIF(#REF!, 'KEUANGAN INTERNAL AKRE 2025'!B110,#REF!)+
SUMIF(#REF!, 'KEUANGAN INTERNAL AKRE 2025'!B110,#REF!)+
SUMIF(#REF!, 'KEUANGAN INTERNAL AKRE 2025'!B110,#REF!)+
SUMIF(#REF!, 'KEUANGAN INTERNAL AKRE 2025'!B110,#REF!)+
SUMIF(#REF!, 'KEUANGAN INTERNAL AKRE 2025'!B110,#REF!)+
SUMIF(#REF!, 'KEUANGAN INTERNAL AKRE 2025'!B110,#REF!)</f>
        <v>#REF!</v>
      </c>
      <c r="N110" s="82" t="e">
        <f>SUMIF(#REF!, 'KEUANGAN INTERNAL AKRE 2025'!B110,#REF!)+
SUMIF(#REF!, 'KEUANGAN INTERNAL AKRE 2025'!B110,#REF!)+
SUMIF(#REF!, 'KEUANGAN INTERNAL AKRE 2025'!B110,#REF!)+
SUMIF(#REF!, 'KEUANGAN INTERNAL AKRE 2025'!B110,#REF!)+
SUMIF(#REF!,'KEUANGAN INTERNAL AKRE 2025'!B110,#REF!)+
SUMIF(#REF!,'KEUANGAN INTERNAL AKRE 2025'!B110,#REF!)+
SUMIF(#REF!,'KEUANGAN INTERNAL AKRE 2025'!B110,#REF!)</f>
        <v>#REF!</v>
      </c>
      <c r="O110" s="80" t="e">
        <f t="shared" si="3"/>
        <v>#REF!</v>
      </c>
    </row>
    <row r="111" spans="1:15">
      <c r="A111" s="527" t="s">
        <v>175</v>
      </c>
      <c r="B111" s="65" t="s">
        <v>51</v>
      </c>
      <c r="C111" s="11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D111" s="82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E111" s="81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F111" s="82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G111" s="82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H111" s="82" t="e">
        <f>SUMIF(#REF!, 'KEUANGAN INTERNAL AKRE 2025'!B111,#REF!)+
SUMIF(#REF!, 'KEUANGAN INTERNAL AKRE 2025'!B111,#REF!)+
SUMIF(#REF!, 'KEUANGAN INTERNAL AKRE 2025'!B111,#REF!)+
SUMIF(#REF!, 'KEUANGAN INTERNAL AKRE 2025'!B111,#REF!)</f>
        <v>#REF!</v>
      </c>
      <c r="I111" s="82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J111" s="82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</f>
        <v>#REF!</v>
      </c>
      <c r="K111" s="82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L111" s="82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2025'!B111,#REF!)+
SUMIF(#REF!,'KEUANGAN INTERNAL AKRE 2025'!B111,#REF!)</f>
        <v>#REF!</v>
      </c>
      <c r="M111" s="82" t="e">
        <f>SUMIF(#REF!, 'KEUANGAN INTERNAL AKRE 2025'!B111,#REF!)+
SUMIF(#REF!, 'KEUANGAN INTERNAL AKRE 2025'!B111,#REF!)+
SUMIF(#REF!, 'KEUANGAN INTERNAL AKRE 2025'!B111,#REF!)+
SUMIF(#REF!, 'KEUANGAN INTERNAL AKRE 2025'!B111,#REF!)+
SUMIF(#REF!, 'KEUANGAN INTERNAL AKRE 2025'!B111,#REF!)+
SUMIF(#REF!, 'KEUANGAN INTERNAL AKRE 2025'!B111,#REF!)</f>
        <v>#REF!</v>
      </c>
      <c r="N111" s="82" t="e">
        <f>SUMIF(#REF!, 'KEUANGAN INTERNAL AKRE 2025'!B111,#REF!)+
SUMIF(#REF!, 'KEUANGAN INTERNAL AKRE 2025'!B111,#REF!)+
SUMIF(#REF!, 'KEUANGAN INTERNAL AKRE 2025'!B111,#REF!)+
SUMIF(#REF!, 'KEUANGAN INTERNAL AKRE 2025'!B111,#REF!)+
SUMIF(#REF!,'KEUANGAN INTERNAL AKRE 2025'!B111,#REF!)+
SUMIF(#REF!,'KEUANGAN INTERNAL AKRE 2025'!B111,#REF!)+
SUMIF(#REF!,'KEUANGAN INTERNAL AKRE 2025'!B111,#REF!)</f>
        <v>#REF!</v>
      </c>
      <c r="O111" s="80" t="e">
        <f t="shared" si="3"/>
        <v>#REF!</v>
      </c>
    </row>
    <row r="112" spans="1:15">
      <c r="A112" s="526" t="s">
        <v>169</v>
      </c>
      <c r="B112" s="65" t="s">
        <v>182</v>
      </c>
      <c r="C112" s="11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D112" s="82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E112" s="81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F112" s="82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G112" s="82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H112" s="82" t="e">
        <f>SUMIF(#REF!, 'KEUANGAN INTERNAL AKRE 2025'!B112,#REF!)+
SUMIF(#REF!, 'KEUANGAN INTERNAL AKRE 2025'!B112,#REF!)+
SUMIF(#REF!, 'KEUANGAN INTERNAL AKRE 2025'!B112,#REF!)+
SUMIF(#REF!, 'KEUANGAN INTERNAL AKRE 2025'!B112,#REF!)</f>
        <v>#REF!</v>
      </c>
      <c r="I112" s="82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J112" s="82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</f>
        <v>#REF!</v>
      </c>
      <c r="K112" s="82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L112" s="82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2025'!B112,#REF!)+
SUMIF(#REF!,'KEUANGAN INTERNAL AKRE 2025'!B112,#REF!)</f>
        <v>#REF!</v>
      </c>
      <c r="M112" s="82" t="e">
        <f>SUMIF(#REF!, 'KEUANGAN INTERNAL AKRE 2025'!B112,#REF!)+
SUMIF(#REF!, 'KEUANGAN INTERNAL AKRE 2025'!B112,#REF!)+
SUMIF(#REF!, 'KEUANGAN INTERNAL AKRE 2025'!B112,#REF!)+
SUMIF(#REF!, 'KEUANGAN INTERNAL AKRE 2025'!B112,#REF!)+
SUMIF(#REF!, 'KEUANGAN INTERNAL AKRE 2025'!B112,#REF!)+
SUMIF(#REF!, 'KEUANGAN INTERNAL AKRE 2025'!B112,#REF!)</f>
        <v>#REF!</v>
      </c>
      <c r="N112" s="82" t="e">
        <f>SUMIF(#REF!, 'KEUANGAN INTERNAL AKRE 2025'!B112,#REF!)+
SUMIF(#REF!, 'KEUANGAN INTERNAL AKRE 2025'!B112,#REF!)+
SUMIF(#REF!, 'KEUANGAN INTERNAL AKRE 2025'!B112,#REF!)+
SUMIF(#REF!, 'KEUANGAN INTERNAL AKRE 2025'!B112,#REF!)+
SUMIF(#REF!,'KEUANGAN INTERNAL AKRE 2025'!B112,#REF!)+
SUMIF(#REF!,'KEUANGAN INTERNAL AKRE 2025'!B112,#REF!)+
SUMIF(#REF!,'KEUANGAN INTERNAL AKRE 2025'!B112,#REF!)</f>
        <v>#REF!</v>
      </c>
      <c r="O112" s="80" t="e">
        <f t="shared" si="3"/>
        <v>#REF!</v>
      </c>
    </row>
    <row r="113" spans="1:15">
      <c r="A113" s="526" t="s">
        <v>169</v>
      </c>
      <c r="B113" s="65" t="s">
        <v>13</v>
      </c>
      <c r="C113" s="11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D113" s="82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E113" s="81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F113" s="82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G113" s="82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H113" s="82" t="e">
        <f>SUMIF(#REF!, 'KEUANGAN INTERNAL AKRE 2025'!B113,#REF!)+
SUMIF(#REF!, 'KEUANGAN INTERNAL AKRE 2025'!B113,#REF!)+
SUMIF(#REF!, 'KEUANGAN INTERNAL AKRE 2025'!B113,#REF!)+
SUMIF(#REF!, 'KEUANGAN INTERNAL AKRE 2025'!B113,#REF!)</f>
        <v>#REF!</v>
      </c>
      <c r="I113" s="82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J113" s="82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</f>
        <v>#REF!</v>
      </c>
      <c r="K113" s="82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L113" s="82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2025'!B113,#REF!)+
SUMIF(#REF!,'KEUANGAN INTERNAL AKRE 2025'!B113,#REF!)</f>
        <v>#REF!</v>
      </c>
      <c r="M113" s="82" t="e">
        <f>SUMIF(#REF!, 'KEUANGAN INTERNAL AKRE 2025'!B113,#REF!)+
SUMIF(#REF!, 'KEUANGAN INTERNAL AKRE 2025'!B113,#REF!)+
SUMIF(#REF!, 'KEUANGAN INTERNAL AKRE 2025'!B113,#REF!)+
SUMIF(#REF!, 'KEUANGAN INTERNAL AKRE 2025'!B113,#REF!)+
SUMIF(#REF!, 'KEUANGAN INTERNAL AKRE 2025'!B113,#REF!)+
SUMIF(#REF!, 'KEUANGAN INTERNAL AKRE 2025'!B113,#REF!)</f>
        <v>#REF!</v>
      </c>
      <c r="N113" s="82" t="e">
        <f>SUMIF(#REF!, 'KEUANGAN INTERNAL AKRE 2025'!B113,#REF!)+
SUMIF(#REF!, 'KEUANGAN INTERNAL AKRE 2025'!B113,#REF!)+
SUMIF(#REF!, 'KEUANGAN INTERNAL AKRE 2025'!B113,#REF!)+
SUMIF(#REF!, 'KEUANGAN INTERNAL AKRE 2025'!B113,#REF!)+
SUMIF(#REF!,'KEUANGAN INTERNAL AKRE 2025'!B113,#REF!)+
SUMIF(#REF!,'KEUANGAN INTERNAL AKRE 2025'!B113,#REF!)+
SUMIF(#REF!,'KEUANGAN INTERNAL AKRE 2025'!B113,#REF!)</f>
        <v>#REF!</v>
      </c>
      <c r="O113" s="80" t="e">
        <f t="shared" si="3"/>
        <v>#REF!</v>
      </c>
    </row>
    <row r="114" spans="1:15">
      <c r="A114" s="526" t="s">
        <v>169</v>
      </c>
      <c r="B114" s="65" t="s">
        <v>26</v>
      </c>
      <c r="C114" s="11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D114" s="82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E114" s="81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F114" s="82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G114" s="82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H114" s="82" t="e">
        <f>SUMIF(#REF!, 'KEUANGAN INTERNAL AKRE 2025'!B114,#REF!)+
SUMIF(#REF!, 'KEUANGAN INTERNAL AKRE 2025'!B114,#REF!)+
SUMIF(#REF!, 'KEUANGAN INTERNAL AKRE 2025'!B114,#REF!)+
SUMIF(#REF!, 'KEUANGAN INTERNAL AKRE 2025'!B114,#REF!)</f>
        <v>#REF!</v>
      </c>
      <c r="I114" s="82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J114" s="82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</f>
        <v>#REF!</v>
      </c>
      <c r="K114" s="82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L114" s="82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2025'!B114,#REF!)+
SUMIF(#REF!,'KEUANGAN INTERNAL AKRE 2025'!B114,#REF!)</f>
        <v>#REF!</v>
      </c>
      <c r="M114" s="82" t="e">
        <f>SUMIF(#REF!, 'KEUANGAN INTERNAL AKRE 2025'!B114,#REF!)+
SUMIF(#REF!, 'KEUANGAN INTERNAL AKRE 2025'!B114,#REF!)+
SUMIF(#REF!, 'KEUANGAN INTERNAL AKRE 2025'!B114,#REF!)+
SUMIF(#REF!, 'KEUANGAN INTERNAL AKRE 2025'!B114,#REF!)+
SUMIF(#REF!, 'KEUANGAN INTERNAL AKRE 2025'!B114,#REF!)+
SUMIF(#REF!, 'KEUANGAN INTERNAL AKRE 2025'!B114,#REF!)</f>
        <v>#REF!</v>
      </c>
      <c r="N114" s="82" t="e">
        <f>SUMIF(#REF!, 'KEUANGAN INTERNAL AKRE 2025'!B114,#REF!)+
SUMIF(#REF!, 'KEUANGAN INTERNAL AKRE 2025'!B114,#REF!)+
SUMIF(#REF!, 'KEUANGAN INTERNAL AKRE 2025'!B114,#REF!)+
SUMIF(#REF!, 'KEUANGAN INTERNAL AKRE 2025'!B114,#REF!)+
SUMIF(#REF!,'KEUANGAN INTERNAL AKRE 2025'!B114,#REF!)+
SUMIF(#REF!,'KEUANGAN INTERNAL AKRE 2025'!B114,#REF!)+
SUMIF(#REF!,'KEUANGAN INTERNAL AKRE 2025'!B114,#REF!)</f>
        <v>#REF!</v>
      </c>
      <c r="O114" s="80" t="e">
        <f t="shared" si="3"/>
        <v>#REF!</v>
      </c>
    </row>
    <row r="115" spans="1:15">
      <c r="A115" s="526" t="s">
        <v>169</v>
      </c>
      <c r="B115" s="66" t="s">
        <v>174</v>
      </c>
      <c r="C115" s="11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D115" s="82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E115" s="81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F115" s="82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G115" s="82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H115" s="82" t="e">
        <f>SUMIF(#REF!, 'KEUANGAN INTERNAL AKRE 2025'!B115,#REF!)+
SUMIF(#REF!, 'KEUANGAN INTERNAL AKRE 2025'!B115,#REF!)+
SUMIF(#REF!, 'KEUANGAN INTERNAL AKRE 2025'!B115,#REF!)+
SUMIF(#REF!, 'KEUANGAN INTERNAL AKRE 2025'!B115,#REF!)</f>
        <v>#REF!</v>
      </c>
      <c r="I115" s="82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J115" s="82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</f>
        <v>#REF!</v>
      </c>
      <c r="K115" s="82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L115" s="82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2025'!B115,#REF!)+
SUMIF(#REF!,'KEUANGAN INTERNAL AKRE 2025'!B115,#REF!)</f>
        <v>#REF!</v>
      </c>
      <c r="M115" s="82" t="e">
        <f>SUMIF(#REF!, 'KEUANGAN INTERNAL AKRE 2025'!B115,#REF!)+
SUMIF(#REF!, 'KEUANGAN INTERNAL AKRE 2025'!B115,#REF!)+
SUMIF(#REF!, 'KEUANGAN INTERNAL AKRE 2025'!B115,#REF!)+
SUMIF(#REF!, 'KEUANGAN INTERNAL AKRE 2025'!B115,#REF!)+
SUMIF(#REF!, 'KEUANGAN INTERNAL AKRE 2025'!B115,#REF!)+
SUMIF(#REF!, 'KEUANGAN INTERNAL AKRE 2025'!B115,#REF!)</f>
        <v>#REF!</v>
      </c>
      <c r="N115" s="82" t="e">
        <f>SUMIF(#REF!, 'KEUANGAN INTERNAL AKRE 2025'!B115,#REF!)+
SUMIF(#REF!, 'KEUANGAN INTERNAL AKRE 2025'!B115,#REF!)+
SUMIF(#REF!, 'KEUANGAN INTERNAL AKRE 2025'!B115,#REF!)+
SUMIF(#REF!, 'KEUANGAN INTERNAL AKRE 2025'!B115,#REF!)+
SUMIF(#REF!,'KEUANGAN INTERNAL AKRE 2025'!B115,#REF!)+
SUMIF(#REF!,'KEUANGAN INTERNAL AKRE 2025'!B115,#REF!)+
SUMIF(#REF!,'KEUANGAN INTERNAL AKRE 2025'!B115,#REF!)</f>
        <v>#REF!</v>
      </c>
      <c r="O115" s="80" t="e">
        <f t="shared" si="3"/>
        <v>#REF!</v>
      </c>
    </row>
    <row r="116" spans="1:15">
      <c r="A116" s="526" t="s">
        <v>169</v>
      </c>
      <c r="B116" s="65" t="s">
        <v>775</v>
      </c>
      <c r="C116" s="11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D116" s="82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E116" s="81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F116" s="82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G116" s="82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H116" s="82" t="e">
        <f>SUMIF(#REF!, 'KEUANGAN INTERNAL AKRE 2025'!B116,#REF!)+
SUMIF(#REF!, 'KEUANGAN INTERNAL AKRE 2025'!B116,#REF!)+
SUMIF(#REF!, 'KEUANGAN INTERNAL AKRE 2025'!B116,#REF!)+
SUMIF(#REF!, 'KEUANGAN INTERNAL AKRE 2025'!B116,#REF!)</f>
        <v>#REF!</v>
      </c>
      <c r="I116" s="82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J116" s="82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</f>
        <v>#REF!</v>
      </c>
      <c r="K116" s="82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L116" s="82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2025'!B116,#REF!)+
SUMIF(#REF!,'KEUANGAN INTERNAL AKRE 2025'!B116,#REF!)</f>
        <v>#REF!</v>
      </c>
      <c r="M116" s="82" t="e">
        <f>SUMIF(#REF!, 'KEUANGAN INTERNAL AKRE 2025'!B116,#REF!)+
SUMIF(#REF!, 'KEUANGAN INTERNAL AKRE 2025'!B116,#REF!)+
SUMIF(#REF!, 'KEUANGAN INTERNAL AKRE 2025'!B116,#REF!)+
SUMIF(#REF!, 'KEUANGAN INTERNAL AKRE 2025'!B116,#REF!)+
SUMIF(#REF!, 'KEUANGAN INTERNAL AKRE 2025'!B116,#REF!)+
SUMIF(#REF!, 'KEUANGAN INTERNAL AKRE 2025'!B116,#REF!)</f>
        <v>#REF!</v>
      </c>
      <c r="N116" s="82" t="e">
        <f>SUMIF(#REF!, 'KEUANGAN INTERNAL AKRE 2025'!B116,#REF!)+
SUMIF(#REF!, 'KEUANGAN INTERNAL AKRE 2025'!B116,#REF!)+
SUMIF(#REF!, 'KEUANGAN INTERNAL AKRE 2025'!B116,#REF!)+
SUMIF(#REF!, 'KEUANGAN INTERNAL AKRE 2025'!B116,#REF!)+
SUMIF(#REF!,'KEUANGAN INTERNAL AKRE 2025'!B116,#REF!)+
SUMIF(#REF!,'KEUANGAN INTERNAL AKRE 2025'!B116,#REF!)+
SUMIF(#REF!,'KEUANGAN INTERNAL AKRE 2025'!B116,#REF!)</f>
        <v>#REF!</v>
      </c>
      <c r="O116" s="80" t="e">
        <f t="shared" si="3"/>
        <v>#REF!</v>
      </c>
    </row>
    <row r="117" spans="1:15">
      <c r="A117" s="526" t="s">
        <v>169</v>
      </c>
      <c r="B117" s="65" t="s">
        <v>42</v>
      </c>
      <c r="C117" s="11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D117" s="82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E117" s="81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F117" s="82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G117" s="82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H117" s="82" t="e">
        <f>SUMIF(#REF!, 'KEUANGAN INTERNAL AKRE 2025'!B117,#REF!)+
SUMIF(#REF!, 'KEUANGAN INTERNAL AKRE 2025'!B117,#REF!)+
SUMIF(#REF!, 'KEUANGAN INTERNAL AKRE 2025'!B117,#REF!)+
SUMIF(#REF!, 'KEUANGAN INTERNAL AKRE 2025'!B117,#REF!)</f>
        <v>#REF!</v>
      </c>
      <c r="I117" s="82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J117" s="82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</f>
        <v>#REF!</v>
      </c>
      <c r="K117" s="82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L117" s="82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2025'!B117,#REF!)+
SUMIF(#REF!,'KEUANGAN INTERNAL AKRE 2025'!B117,#REF!)</f>
        <v>#REF!</v>
      </c>
      <c r="M117" s="82" t="e">
        <f>SUMIF(#REF!, 'KEUANGAN INTERNAL AKRE 2025'!B117,#REF!)+
SUMIF(#REF!, 'KEUANGAN INTERNAL AKRE 2025'!B117,#REF!)+
SUMIF(#REF!, 'KEUANGAN INTERNAL AKRE 2025'!B117,#REF!)+
SUMIF(#REF!, 'KEUANGAN INTERNAL AKRE 2025'!B117,#REF!)+
SUMIF(#REF!, 'KEUANGAN INTERNAL AKRE 2025'!B117,#REF!)+
SUMIF(#REF!, 'KEUANGAN INTERNAL AKRE 2025'!B117,#REF!)</f>
        <v>#REF!</v>
      </c>
      <c r="N117" s="82" t="e">
        <f>SUMIF(#REF!, 'KEUANGAN INTERNAL AKRE 2025'!B117,#REF!)+
SUMIF(#REF!, 'KEUANGAN INTERNAL AKRE 2025'!B117,#REF!)+
SUMIF(#REF!, 'KEUANGAN INTERNAL AKRE 2025'!B117,#REF!)+
SUMIF(#REF!, 'KEUANGAN INTERNAL AKRE 2025'!B117,#REF!)+
SUMIF(#REF!,'KEUANGAN INTERNAL AKRE 2025'!B117,#REF!)+
SUMIF(#REF!,'KEUANGAN INTERNAL AKRE 2025'!B117,#REF!)+
SUMIF(#REF!,'KEUANGAN INTERNAL AKRE 2025'!B117,#REF!)</f>
        <v>#REF!</v>
      </c>
      <c r="O117" s="80" t="e">
        <f t="shared" si="3"/>
        <v>#REF!</v>
      </c>
    </row>
    <row r="118" spans="1:15">
      <c r="A118" s="526" t="s">
        <v>169</v>
      </c>
      <c r="B118" s="65" t="s">
        <v>96</v>
      </c>
      <c r="C118" s="11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D118" s="82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E118" s="81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F118" s="82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G118" s="82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H118" s="82" t="e">
        <f>SUMIF(#REF!, 'KEUANGAN INTERNAL AKRE 2025'!B118,#REF!)+
SUMIF(#REF!, 'KEUANGAN INTERNAL AKRE 2025'!B118,#REF!)+
SUMIF(#REF!, 'KEUANGAN INTERNAL AKRE 2025'!B118,#REF!)+
SUMIF(#REF!, 'KEUANGAN INTERNAL AKRE 2025'!B118,#REF!)</f>
        <v>#REF!</v>
      </c>
      <c r="I118" s="82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J118" s="82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</f>
        <v>#REF!</v>
      </c>
      <c r="K118" s="82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L118" s="82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2025'!B118,#REF!)+
SUMIF(#REF!,'KEUANGAN INTERNAL AKRE 2025'!B118,#REF!)</f>
        <v>#REF!</v>
      </c>
      <c r="M118" s="82" t="e">
        <f>SUMIF(#REF!, 'KEUANGAN INTERNAL AKRE 2025'!B118,#REF!)+
SUMIF(#REF!, 'KEUANGAN INTERNAL AKRE 2025'!B118,#REF!)+
SUMIF(#REF!, 'KEUANGAN INTERNAL AKRE 2025'!B118,#REF!)+
SUMIF(#REF!, 'KEUANGAN INTERNAL AKRE 2025'!B118,#REF!)+
SUMIF(#REF!, 'KEUANGAN INTERNAL AKRE 2025'!B118,#REF!)+
SUMIF(#REF!, 'KEUANGAN INTERNAL AKRE 2025'!B118,#REF!)</f>
        <v>#REF!</v>
      </c>
      <c r="N118" s="82" t="e">
        <f>SUMIF(#REF!, 'KEUANGAN INTERNAL AKRE 2025'!B118,#REF!)+
SUMIF(#REF!, 'KEUANGAN INTERNAL AKRE 2025'!B118,#REF!)+
SUMIF(#REF!, 'KEUANGAN INTERNAL AKRE 2025'!B118,#REF!)+
SUMIF(#REF!, 'KEUANGAN INTERNAL AKRE 2025'!B118,#REF!)+
SUMIF(#REF!,'KEUANGAN INTERNAL AKRE 2025'!B118,#REF!)+
SUMIF(#REF!,'KEUANGAN INTERNAL AKRE 2025'!B118,#REF!)+
SUMIF(#REF!,'KEUANGAN INTERNAL AKRE 2025'!B118,#REF!)</f>
        <v>#REF!</v>
      </c>
      <c r="O118" s="80" t="e">
        <f t="shared" si="3"/>
        <v>#REF!</v>
      </c>
    </row>
    <row r="119" spans="1:15">
      <c r="A119" s="526" t="s">
        <v>169</v>
      </c>
      <c r="B119" s="65" t="s">
        <v>139</v>
      </c>
      <c r="C119" s="11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D119" s="82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E119" s="81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F119" s="82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G119" s="82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H119" s="82" t="e">
        <f>SUMIF(#REF!, 'KEUANGAN INTERNAL AKRE 2025'!B119,#REF!)+
SUMIF(#REF!, 'KEUANGAN INTERNAL AKRE 2025'!B119,#REF!)+
SUMIF(#REF!, 'KEUANGAN INTERNAL AKRE 2025'!B119,#REF!)+
SUMIF(#REF!, 'KEUANGAN INTERNAL AKRE 2025'!B119,#REF!)</f>
        <v>#REF!</v>
      </c>
      <c r="I119" s="82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J119" s="82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</f>
        <v>#REF!</v>
      </c>
      <c r="K119" s="82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L119" s="82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2025'!B119,#REF!)+
SUMIF(#REF!,'KEUANGAN INTERNAL AKRE 2025'!B119,#REF!)</f>
        <v>#REF!</v>
      </c>
      <c r="M119" s="82" t="e">
        <f>SUMIF(#REF!, 'KEUANGAN INTERNAL AKRE 2025'!B119,#REF!)+
SUMIF(#REF!, 'KEUANGAN INTERNAL AKRE 2025'!B119,#REF!)+
SUMIF(#REF!, 'KEUANGAN INTERNAL AKRE 2025'!B119,#REF!)+
SUMIF(#REF!, 'KEUANGAN INTERNAL AKRE 2025'!B119,#REF!)+
SUMIF(#REF!, 'KEUANGAN INTERNAL AKRE 2025'!B119,#REF!)+
SUMIF(#REF!, 'KEUANGAN INTERNAL AKRE 2025'!B119,#REF!)</f>
        <v>#REF!</v>
      </c>
      <c r="N119" s="82" t="e">
        <f>SUMIF(#REF!, 'KEUANGAN INTERNAL AKRE 2025'!B119,#REF!)+
SUMIF(#REF!, 'KEUANGAN INTERNAL AKRE 2025'!B119,#REF!)+
SUMIF(#REF!, 'KEUANGAN INTERNAL AKRE 2025'!B119,#REF!)+
SUMIF(#REF!, 'KEUANGAN INTERNAL AKRE 2025'!B119,#REF!)+
SUMIF(#REF!,'KEUANGAN INTERNAL AKRE 2025'!B119,#REF!)+
SUMIF(#REF!,'KEUANGAN INTERNAL AKRE 2025'!B119,#REF!)+
SUMIF(#REF!,'KEUANGAN INTERNAL AKRE 2025'!B119,#REF!)</f>
        <v>#REF!</v>
      </c>
      <c r="O119" s="80" t="e">
        <f t="shared" si="3"/>
        <v>#REF!</v>
      </c>
    </row>
    <row r="120" spans="1:15">
      <c r="A120" s="526" t="s">
        <v>169</v>
      </c>
      <c r="B120" s="65" t="s">
        <v>194</v>
      </c>
      <c r="C120" s="11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D120" s="82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E120" s="81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F120" s="82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G120" s="82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H120" s="82" t="e">
        <f>SUMIF(#REF!, 'KEUANGAN INTERNAL AKRE 2025'!B120,#REF!)+
SUMIF(#REF!, 'KEUANGAN INTERNAL AKRE 2025'!B120,#REF!)+
SUMIF(#REF!, 'KEUANGAN INTERNAL AKRE 2025'!B120,#REF!)+
SUMIF(#REF!, 'KEUANGAN INTERNAL AKRE 2025'!B120,#REF!)</f>
        <v>#REF!</v>
      </c>
      <c r="I120" s="82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J120" s="82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</f>
        <v>#REF!</v>
      </c>
      <c r="K120" s="82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L120" s="82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2025'!B120,#REF!)+
SUMIF(#REF!,'KEUANGAN INTERNAL AKRE 2025'!B120,#REF!)</f>
        <v>#REF!</v>
      </c>
      <c r="M120" s="82" t="e">
        <f>SUMIF(#REF!, 'KEUANGAN INTERNAL AKRE 2025'!B120,#REF!)+
SUMIF(#REF!, 'KEUANGAN INTERNAL AKRE 2025'!B120,#REF!)+
SUMIF(#REF!, 'KEUANGAN INTERNAL AKRE 2025'!B120,#REF!)+
SUMIF(#REF!, 'KEUANGAN INTERNAL AKRE 2025'!B120,#REF!)+
SUMIF(#REF!, 'KEUANGAN INTERNAL AKRE 2025'!B120,#REF!)+
SUMIF(#REF!, 'KEUANGAN INTERNAL AKRE 2025'!B120,#REF!)</f>
        <v>#REF!</v>
      </c>
      <c r="N120" s="82" t="e">
        <f>SUMIF(#REF!, 'KEUANGAN INTERNAL AKRE 2025'!B120,#REF!)+
SUMIF(#REF!, 'KEUANGAN INTERNAL AKRE 2025'!B120,#REF!)+
SUMIF(#REF!, 'KEUANGAN INTERNAL AKRE 2025'!B120,#REF!)+
SUMIF(#REF!, 'KEUANGAN INTERNAL AKRE 2025'!B120,#REF!)+
SUMIF(#REF!,'KEUANGAN INTERNAL AKRE 2025'!B120,#REF!)+
SUMIF(#REF!,'KEUANGAN INTERNAL AKRE 2025'!B120,#REF!)+
SUMIF(#REF!,'KEUANGAN INTERNAL AKRE 2025'!B120,#REF!)</f>
        <v>#REF!</v>
      </c>
      <c r="O120" s="80" t="e">
        <f t="shared" si="3"/>
        <v>#REF!</v>
      </c>
    </row>
    <row r="121" spans="1:15">
      <c r="A121" s="526" t="s">
        <v>169</v>
      </c>
      <c r="B121" s="65" t="s">
        <v>199</v>
      </c>
      <c r="C121" s="11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D121" s="82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E121" s="81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F121" s="82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G121" s="82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H121" s="82" t="e">
        <f>SUMIF(#REF!, 'KEUANGAN INTERNAL AKRE 2025'!B121,#REF!)+
SUMIF(#REF!, 'KEUANGAN INTERNAL AKRE 2025'!B121,#REF!)+
SUMIF(#REF!, 'KEUANGAN INTERNAL AKRE 2025'!B121,#REF!)+
SUMIF(#REF!, 'KEUANGAN INTERNAL AKRE 2025'!B121,#REF!)</f>
        <v>#REF!</v>
      </c>
      <c r="I121" s="82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J121" s="82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</f>
        <v>#REF!</v>
      </c>
      <c r="K121" s="82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L121" s="82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2025'!B121,#REF!)+
SUMIF(#REF!,'KEUANGAN INTERNAL AKRE 2025'!B121,#REF!)</f>
        <v>#REF!</v>
      </c>
      <c r="M121" s="82" t="e">
        <f>SUMIF(#REF!, 'KEUANGAN INTERNAL AKRE 2025'!B121,#REF!)+
SUMIF(#REF!, 'KEUANGAN INTERNAL AKRE 2025'!B121,#REF!)+
SUMIF(#REF!, 'KEUANGAN INTERNAL AKRE 2025'!B121,#REF!)+
SUMIF(#REF!, 'KEUANGAN INTERNAL AKRE 2025'!B121,#REF!)+
SUMIF(#REF!, 'KEUANGAN INTERNAL AKRE 2025'!B121,#REF!)+
SUMIF(#REF!, 'KEUANGAN INTERNAL AKRE 2025'!B121,#REF!)</f>
        <v>#REF!</v>
      </c>
      <c r="N121" s="82" t="e">
        <f>SUMIF(#REF!, 'KEUANGAN INTERNAL AKRE 2025'!B121,#REF!)+
SUMIF(#REF!, 'KEUANGAN INTERNAL AKRE 2025'!B121,#REF!)+
SUMIF(#REF!, 'KEUANGAN INTERNAL AKRE 2025'!B121,#REF!)+
SUMIF(#REF!, 'KEUANGAN INTERNAL AKRE 2025'!B121,#REF!)+
SUMIF(#REF!,'KEUANGAN INTERNAL AKRE 2025'!B121,#REF!)+
SUMIF(#REF!,'KEUANGAN INTERNAL AKRE 2025'!B121,#REF!)+
SUMIF(#REF!,'KEUANGAN INTERNAL AKRE 2025'!B121,#REF!)</f>
        <v>#REF!</v>
      </c>
      <c r="O121" s="80" t="e">
        <f t="shared" si="3"/>
        <v>#REF!</v>
      </c>
    </row>
    <row r="122" spans="1:15">
      <c r="C122" s="80" t="e">
        <f t="shared" ref="C122:N122" si="4">SUM(C5:C119)</f>
        <v>#REF!</v>
      </c>
      <c r="D122" s="80" t="e">
        <f t="shared" si="4"/>
        <v>#REF!</v>
      </c>
      <c r="E122" s="80" t="e">
        <f t="shared" si="4"/>
        <v>#REF!</v>
      </c>
      <c r="F122" s="80" t="e">
        <f t="shared" si="4"/>
        <v>#REF!</v>
      </c>
      <c r="G122" s="80" t="e">
        <f t="shared" si="4"/>
        <v>#REF!</v>
      </c>
      <c r="H122" s="80" t="e">
        <f t="shared" si="4"/>
        <v>#REF!</v>
      </c>
      <c r="I122" s="80" t="e">
        <f t="shared" si="4"/>
        <v>#REF!</v>
      </c>
      <c r="J122" s="80" t="e">
        <f t="shared" si="4"/>
        <v>#REF!</v>
      </c>
      <c r="K122" s="80" t="e">
        <f t="shared" si="4"/>
        <v>#REF!</v>
      </c>
      <c r="L122" s="80" t="e">
        <f t="shared" si="4"/>
        <v>#REF!</v>
      </c>
      <c r="M122" s="80" t="e">
        <f t="shared" si="4"/>
        <v>#REF!</v>
      </c>
      <c r="N122" s="80" t="e">
        <f t="shared" si="4"/>
        <v>#REF!</v>
      </c>
    </row>
    <row r="125" spans="1:15">
      <c r="C125" s="80"/>
    </row>
    <row r="126" spans="1:15">
      <c r="B126" s="62" t="s">
        <v>3281</v>
      </c>
      <c r="C126" s="101" t="e">
        <f t="shared" ref="C126:J126" si="5">SUM(C5:C49)</f>
        <v>#REF!</v>
      </c>
      <c r="D126" s="101" t="e">
        <f t="shared" si="5"/>
        <v>#REF!</v>
      </c>
      <c r="E126" s="101" t="e">
        <f t="shared" si="5"/>
        <v>#REF!</v>
      </c>
      <c r="F126" s="101" t="e">
        <f t="shared" si="5"/>
        <v>#REF!</v>
      </c>
      <c r="G126" s="101" t="e">
        <f t="shared" si="5"/>
        <v>#REF!</v>
      </c>
      <c r="H126" s="101" t="e">
        <f t="shared" si="5"/>
        <v>#REF!</v>
      </c>
      <c r="I126" s="80" t="e">
        <f t="shared" si="5"/>
        <v>#REF!</v>
      </c>
      <c r="J126" s="80" t="e">
        <f t="shared" si="5"/>
        <v>#REF!</v>
      </c>
    </row>
    <row r="127" spans="1:15">
      <c r="B127" s="62" t="s">
        <v>3286</v>
      </c>
      <c r="C127" s="101" t="e">
        <f t="shared" ref="C127:J127" si="6">SUM(C51:C119)</f>
        <v>#REF!</v>
      </c>
      <c r="D127" s="101" t="e">
        <f t="shared" si="6"/>
        <v>#REF!</v>
      </c>
      <c r="E127" s="101" t="e">
        <f t="shared" si="6"/>
        <v>#REF!</v>
      </c>
      <c r="F127" s="101" t="e">
        <f t="shared" si="6"/>
        <v>#REF!</v>
      </c>
      <c r="G127" s="101" t="e">
        <f t="shared" si="6"/>
        <v>#REF!</v>
      </c>
      <c r="H127" s="101" t="e">
        <f t="shared" si="6"/>
        <v>#REF!</v>
      </c>
      <c r="I127" s="80" t="e">
        <f t="shared" si="6"/>
        <v>#REF!</v>
      </c>
      <c r="J127" s="80" t="e">
        <f t="shared" si="6"/>
        <v>#REF!</v>
      </c>
    </row>
    <row r="128" spans="1:15">
      <c r="C128" s="80"/>
      <c r="D128" s="80"/>
      <c r="E128" s="80"/>
      <c r="G128" s="80"/>
    </row>
    <row r="129" spans="1:8">
      <c r="B129" s="62" t="s">
        <v>5831</v>
      </c>
      <c r="C129" s="80">
        <v>998699579</v>
      </c>
      <c r="D129" s="80">
        <v>25952607</v>
      </c>
      <c r="E129" s="80">
        <v>1364544451</v>
      </c>
      <c r="F129" s="80">
        <v>282507798</v>
      </c>
      <c r="G129" s="80">
        <v>1715298755</v>
      </c>
      <c r="H129" s="80">
        <v>508621302</v>
      </c>
    </row>
    <row r="130" spans="1:8">
      <c r="C130" s="80" t="e">
        <f t="shared" ref="C130:H130" si="7">C122-C129</f>
        <v>#REF!</v>
      </c>
      <c r="D130" s="80" t="e">
        <f t="shared" si="7"/>
        <v>#REF!</v>
      </c>
      <c r="E130" s="80" t="e">
        <f t="shared" si="7"/>
        <v>#REF!</v>
      </c>
      <c r="F130" s="80" t="e">
        <f t="shared" si="7"/>
        <v>#REF!</v>
      </c>
      <c r="G130" s="80" t="e">
        <f t="shared" si="7"/>
        <v>#REF!</v>
      </c>
      <c r="H130" s="80" t="e">
        <f t="shared" si="7"/>
        <v>#REF!</v>
      </c>
    </row>
    <row r="132" spans="1:8">
      <c r="A132" s="112" t="s">
        <v>5832</v>
      </c>
    </row>
    <row r="133" spans="1:8">
      <c r="C133" s="80" t="e">
        <f>(C122+E122+G122+I122+K122)/106/5</f>
        <v>#REF!</v>
      </c>
    </row>
  </sheetData>
  <mergeCells count="34">
    <mergeCell ref="Q28:Q35"/>
    <mergeCell ref="Q36:Q48"/>
    <mergeCell ref="AN3:AN4"/>
    <mergeCell ref="AO3:AO4"/>
    <mergeCell ref="AP3:AS3"/>
    <mergeCell ref="AT3:AW3"/>
    <mergeCell ref="Q5:Q12"/>
    <mergeCell ref="Q13:Q27"/>
    <mergeCell ref="AD2:AG2"/>
    <mergeCell ref="AH2:AK2"/>
    <mergeCell ref="AP2:AS2"/>
    <mergeCell ref="AT2:AW2"/>
    <mergeCell ref="AA3:AA4"/>
    <mergeCell ref="AB3:AB4"/>
    <mergeCell ref="AC3:AC4"/>
    <mergeCell ref="AD3:AG3"/>
    <mergeCell ref="AH3:AK3"/>
    <mergeCell ref="AM3:AM4"/>
    <mergeCell ref="Q2:Q4"/>
    <mergeCell ref="R2:R4"/>
    <mergeCell ref="S2:S4"/>
    <mergeCell ref="T2:U2"/>
    <mergeCell ref="V2:W2"/>
    <mergeCell ref="X2:Y2"/>
    <mergeCell ref="AA1:AK1"/>
    <mergeCell ref="AM1:AW1"/>
    <mergeCell ref="I2:J2"/>
    <mergeCell ref="K2:L2"/>
    <mergeCell ref="M2:N2"/>
    <mergeCell ref="A2:A4"/>
    <mergeCell ref="B2:B4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>
    <tabColor theme="5" tint="0.59999389629810485"/>
  </sheetPr>
  <dimension ref="A1:BR212"/>
  <sheetViews>
    <sheetView tabSelected="1" workbookViewId="0">
      <pane xSplit="5" ySplit="1" topLeftCell="BD2" activePane="bottomRight" state="frozen"/>
      <selection pane="topRight" activeCell="F1" sqref="F1"/>
      <selection pane="bottomLeft" activeCell="A2" sqref="A2"/>
      <selection pane="bottomRight" activeCell="BD7" sqref="BD7"/>
    </sheetView>
  </sheetViews>
  <sheetFormatPr defaultColWidth="9.109375" defaultRowHeight="14.4"/>
  <cols>
    <col min="1" max="1" width="10.88671875" style="34" customWidth="1"/>
    <col min="2" max="2" width="14.6640625" style="320" customWidth="1"/>
    <col min="3" max="3" width="45.6640625" customWidth="1"/>
    <col min="4" max="4" width="21.44140625" customWidth="1"/>
    <col min="5" max="5" width="12.44140625" customWidth="1"/>
    <col min="6" max="6" width="14.88671875" customWidth="1"/>
    <col min="7" max="7" width="13.88671875" customWidth="1"/>
    <col min="8" max="8" width="26.109375" customWidth="1"/>
    <col min="9" max="9" width="17.33203125" style="469" customWidth="1"/>
    <col min="10" max="10" width="21" style="469" customWidth="1"/>
    <col min="11" max="11" width="14.88671875" style="5" customWidth="1"/>
    <col min="12" max="12" width="13.109375" customWidth="1"/>
    <col min="13" max="13" width="12.109375" customWidth="1"/>
    <col min="14" max="14" width="11.6640625" customWidth="1"/>
    <col min="15" max="15" width="15.88671875" style="599" bestFit="1" customWidth="1"/>
    <col min="16" max="16" width="17.5546875" style="34" customWidth="1"/>
    <col min="17" max="17" width="14.44140625" customWidth="1"/>
    <col min="18" max="18" width="14.5546875" customWidth="1"/>
    <col min="19" max="19" width="25" customWidth="1"/>
    <col min="20" max="20" width="17" customWidth="1"/>
    <col min="21" max="21" width="14.5546875" customWidth="1"/>
    <col min="22" max="22" width="23.88671875" customWidth="1"/>
    <col min="23" max="23" width="17" customWidth="1"/>
    <col min="24" max="24" width="14.5546875" customWidth="1"/>
    <col min="25" max="25" width="24.6640625" customWidth="1"/>
    <col min="26" max="26" width="18.109375" customWidth="1"/>
    <col min="27" max="27" width="15.33203125" customWidth="1"/>
    <col min="28" max="28" width="22.44140625" customWidth="1"/>
    <col min="29" max="29" width="13.44140625" customWidth="1"/>
    <col min="30" max="30" width="7" customWidth="1"/>
    <col min="31" max="31" width="18.109375" customWidth="1"/>
    <col min="32" max="32" width="18.109375" style="326" customWidth="1"/>
    <col min="33" max="33" width="15.88671875" customWidth="1"/>
    <col min="34" max="34" width="18.5546875" customWidth="1"/>
    <col min="35" max="35" width="16.6640625" customWidth="1"/>
    <col min="36" max="42" width="15.88671875" customWidth="1"/>
    <col min="43" max="43" width="5.5546875" customWidth="1"/>
    <col min="44" max="44" width="12.44140625" style="5" customWidth="1"/>
    <col min="45" max="45" width="12.44140625" style="129" customWidth="1"/>
    <col min="46" max="46" width="17.6640625" customWidth="1"/>
    <col min="47" max="47" width="13.33203125" customWidth="1"/>
    <col min="48" max="48" width="17.109375" customWidth="1"/>
    <col min="49" max="49" width="13.109375" customWidth="1"/>
    <col min="50" max="50" width="20.33203125" customWidth="1"/>
    <col min="51" max="51" width="12" customWidth="1"/>
    <col min="52" max="52" width="12.5546875" customWidth="1"/>
    <col min="53" max="53" width="15.109375" customWidth="1"/>
    <col min="54" max="54" width="14.44140625" customWidth="1"/>
    <col min="55" max="55" width="19.88671875" customWidth="1"/>
    <col min="56" max="56" width="33.44140625" customWidth="1"/>
    <col min="57" max="57" width="17.109375" customWidth="1"/>
    <col min="58" max="58" width="11.44140625" customWidth="1"/>
    <col min="59" max="59" width="10.44140625" customWidth="1"/>
    <col min="60" max="61" width="11.109375" customWidth="1"/>
    <col min="62" max="62" width="26.6640625" customWidth="1"/>
    <col min="63" max="63" width="14.5546875" customWidth="1"/>
    <col min="64" max="64" width="15.109375" customWidth="1"/>
    <col min="65" max="65" width="12.88671875" customWidth="1"/>
    <col min="66" max="66" width="19" customWidth="1"/>
    <col min="67" max="67" width="23.44140625" customWidth="1"/>
  </cols>
  <sheetData>
    <row r="1" spans="1:70" ht="36">
      <c r="A1" s="499" t="s">
        <v>3129</v>
      </c>
      <c r="B1" s="499" t="s">
        <v>3130</v>
      </c>
      <c r="C1" s="500" t="s">
        <v>3131</v>
      </c>
      <c r="D1" s="500" t="s">
        <v>210</v>
      </c>
      <c r="E1" s="500" t="s">
        <v>1</v>
      </c>
      <c r="F1" s="500" t="s">
        <v>218</v>
      </c>
      <c r="G1" s="500" t="s">
        <v>3132</v>
      </c>
      <c r="H1" s="500" t="s">
        <v>3133</v>
      </c>
      <c r="I1" s="501" t="s">
        <v>4913</v>
      </c>
      <c r="J1" s="502" t="s">
        <v>3134</v>
      </c>
      <c r="K1" s="500" t="s">
        <v>3136</v>
      </c>
      <c r="L1" s="500" t="s">
        <v>3137</v>
      </c>
      <c r="M1" s="500" t="s">
        <v>0</v>
      </c>
      <c r="N1" s="500" t="s">
        <v>3138</v>
      </c>
      <c r="O1" s="500" t="s">
        <v>4</v>
      </c>
      <c r="P1" s="503" t="s">
        <v>3140</v>
      </c>
      <c r="Q1" s="504" t="s">
        <v>3142</v>
      </c>
      <c r="R1" s="505" t="s">
        <v>3158</v>
      </c>
      <c r="S1" s="503" t="s">
        <v>4916</v>
      </c>
      <c r="T1" s="504" t="s">
        <v>5938</v>
      </c>
      <c r="U1" s="505" t="s">
        <v>5937</v>
      </c>
      <c r="V1" s="503" t="s">
        <v>4918</v>
      </c>
      <c r="W1" s="504" t="s">
        <v>5939</v>
      </c>
      <c r="X1" s="505" t="s">
        <v>5834</v>
      </c>
      <c r="Y1" s="503" t="s">
        <v>4922</v>
      </c>
      <c r="Z1" s="504" t="s">
        <v>5940</v>
      </c>
      <c r="AA1" s="505" t="s">
        <v>5835</v>
      </c>
      <c r="AB1" s="503" t="s">
        <v>3178</v>
      </c>
      <c r="AC1" s="504" t="s">
        <v>5941</v>
      </c>
      <c r="AD1" s="505" t="s">
        <v>3167</v>
      </c>
      <c r="AE1" s="503" t="s">
        <v>3186</v>
      </c>
      <c r="AF1" s="504" t="s">
        <v>5942</v>
      </c>
      <c r="AG1" s="505" t="s">
        <v>5836</v>
      </c>
      <c r="AH1" s="503" t="s">
        <v>4934</v>
      </c>
      <c r="AI1" s="504" t="s">
        <v>5943</v>
      </c>
      <c r="AJ1" s="505" t="s">
        <v>5837</v>
      </c>
      <c r="AK1" s="503" t="s">
        <v>5838</v>
      </c>
      <c r="AL1" s="504" t="s">
        <v>5944</v>
      </c>
      <c r="AM1" s="505" t="s">
        <v>4921</v>
      </c>
      <c r="AN1" s="503" t="s">
        <v>5840</v>
      </c>
      <c r="AO1" s="504" t="s">
        <v>5945</v>
      </c>
      <c r="AP1" s="505" t="s">
        <v>5839</v>
      </c>
      <c r="AQ1" s="541" t="s">
        <v>211</v>
      </c>
      <c r="AR1" s="506" t="s">
        <v>3190</v>
      </c>
      <c r="AS1" s="506" t="s">
        <v>3191</v>
      </c>
      <c r="AT1" s="507" t="s">
        <v>4939</v>
      </c>
      <c r="AU1" s="507" t="s">
        <v>5946</v>
      </c>
      <c r="AV1" s="507" t="s">
        <v>3194</v>
      </c>
      <c r="AW1" s="507" t="s">
        <v>5947</v>
      </c>
      <c r="AX1" s="507" t="s">
        <v>3196</v>
      </c>
      <c r="AY1" s="507" t="s">
        <v>5948</v>
      </c>
      <c r="AZ1" s="507" t="s">
        <v>3198</v>
      </c>
      <c r="BA1" s="507" t="s">
        <v>3199</v>
      </c>
      <c r="BB1" s="507" t="s">
        <v>3200</v>
      </c>
      <c r="BC1" s="507" t="s">
        <v>3201</v>
      </c>
      <c r="BD1" s="507" t="s">
        <v>3202</v>
      </c>
      <c r="BE1" s="507" t="s">
        <v>3203</v>
      </c>
      <c r="BF1" s="507" t="s">
        <v>3204</v>
      </c>
      <c r="BG1" s="507" t="s">
        <v>3205</v>
      </c>
      <c r="BH1" s="507" t="s">
        <v>4940</v>
      </c>
      <c r="BI1" s="507" t="s">
        <v>4941</v>
      </c>
      <c r="BJ1" s="508" t="s">
        <v>4942</v>
      </c>
      <c r="BK1" s="509" t="s">
        <v>4943</v>
      </c>
      <c r="BL1" s="510" t="s">
        <v>4944</v>
      </c>
      <c r="BM1" s="511" t="s">
        <v>4945</v>
      </c>
      <c r="BN1" s="512" t="s">
        <v>3207</v>
      </c>
      <c r="BO1" s="511" t="s">
        <v>3208</v>
      </c>
      <c r="BP1" s="1"/>
      <c r="BQ1" s="1"/>
      <c r="BR1" s="1"/>
    </row>
    <row r="2" spans="1:70" ht="24">
      <c r="A2" s="15" t="s">
        <v>4948</v>
      </c>
      <c r="B2" s="17" t="s">
        <v>942</v>
      </c>
      <c r="C2" s="14" t="s">
        <v>4949</v>
      </c>
      <c r="D2" s="13" t="s">
        <v>4950</v>
      </c>
      <c r="E2" s="13">
        <v>2020</v>
      </c>
      <c r="F2" s="13">
        <v>2020</v>
      </c>
      <c r="G2" s="13"/>
      <c r="H2" s="15"/>
      <c r="I2" s="362"/>
      <c r="J2" s="453">
        <v>6500000</v>
      </c>
      <c r="K2" s="13"/>
      <c r="L2" s="23"/>
      <c r="M2" s="14" t="s">
        <v>3223</v>
      </c>
      <c r="N2" s="13"/>
      <c r="O2" s="15" t="s">
        <v>4951</v>
      </c>
      <c r="P2" s="23" t="s">
        <v>5833</v>
      </c>
      <c r="Q2" s="109">
        <f>Table6[[#This Row],[Dana Disetujui]]</f>
        <v>6500000</v>
      </c>
      <c r="R2" s="15" t="s">
        <v>3216</v>
      </c>
      <c r="S2" s="6" t="s">
        <v>85</v>
      </c>
      <c r="T2" s="109">
        <f>Table6[[#This Row],[Dana Disetujui]]</f>
        <v>6500000</v>
      </c>
      <c r="U2" s="15" t="s">
        <v>3216</v>
      </c>
      <c r="V2" s="6" t="s">
        <v>19</v>
      </c>
      <c r="W2" s="188">
        <f>Q2</f>
        <v>6500000</v>
      </c>
      <c r="X2" s="15" t="s">
        <v>3216</v>
      </c>
      <c r="Y2" s="15"/>
      <c r="Z2" s="109">
        <f>Table6[[#This Row],[Dana Disetujui]]</f>
        <v>6500000</v>
      </c>
      <c r="AA2" s="19"/>
      <c r="AB2" s="19"/>
      <c r="AC2" s="189"/>
      <c r="AD2" s="19"/>
      <c r="AE2" s="19"/>
      <c r="AF2" s="189"/>
      <c r="AG2" s="19"/>
      <c r="AH2" s="19"/>
      <c r="AI2" s="189"/>
      <c r="AJ2" s="19"/>
      <c r="AK2" s="19"/>
      <c r="AL2" s="19"/>
      <c r="AM2" s="19"/>
      <c r="AN2" s="19"/>
      <c r="AO2" s="19"/>
      <c r="AP2" s="19"/>
      <c r="AQ2" s="19"/>
      <c r="AR2" s="141" t="s">
        <v>3190</v>
      </c>
      <c r="AS2" s="141" t="s">
        <v>3191</v>
      </c>
      <c r="AT2" s="15"/>
      <c r="AU2" s="14"/>
      <c r="AV2" s="15"/>
      <c r="AW2" s="14"/>
      <c r="AX2" s="15"/>
      <c r="AY2" s="14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295"/>
      <c r="BM2" s="296"/>
      <c r="BN2" s="19"/>
      <c r="BO2" s="19"/>
    </row>
    <row r="3" spans="1:70" ht="24">
      <c r="A3" s="15" t="s">
        <v>4948</v>
      </c>
      <c r="B3" s="17" t="s">
        <v>942</v>
      </c>
      <c r="C3" s="14" t="s">
        <v>4954</v>
      </c>
      <c r="D3" s="13" t="s">
        <v>4950</v>
      </c>
      <c r="E3" s="13">
        <v>2020</v>
      </c>
      <c r="F3" s="13">
        <v>2020</v>
      </c>
      <c r="G3" s="13"/>
      <c r="H3" s="15"/>
      <c r="I3" s="362"/>
      <c r="J3" s="453">
        <v>6500000</v>
      </c>
      <c r="K3" s="13" t="s">
        <v>942</v>
      </c>
      <c r="L3" s="23"/>
      <c r="M3" s="14" t="s">
        <v>3223</v>
      </c>
      <c r="N3" s="13"/>
      <c r="O3" s="15" t="s">
        <v>4951</v>
      </c>
      <c r="P3" s="23" t="s">
        <v>5841</v>
      </c>
      <c r="Q3" s="109">
        <f>Table6[[#This Row],[Dana Disetujui]]</f>
        <v>6500000</v>
      </c>
      <c r="R3" s="15" t="s">
        <v>3216</v>
      </c>
      <c r="S3" s="6" t="s">
        <v>14</v>
      </c>
      <c r="T3" s="109">
        <f>Table6[[#This Row],[Dana Disetujui]]</f>
        <v>6500000</v>
      </c>
      <c r="U3" s="15" t="s">
        <v>3216</v>
      </c>
      <c r="V3" s="6" t="s">
        <v>18</v>
      </c>
      <c r="W3" s="188">
        <f>Q3</f>
        <v>6500000</v>
      </c>
      <c r="X3" s="15" t="s">
        <v>3216</v>
      </c>
      <c r="Y3" s="15"/>
      <c r="Z3" s="109">
        <f>Table6[[#This Row],[Dana Disetujui]]</f>
        <v>6500000</v>
      </c>
      <c r="AA3" s="19"/>
      <c r="AB3" s="19"/>
      <c r="AC3" s="189"/>
      <c r="AD3" s="19"/>
      <c r="AE3" s="19"/>
      <c r="AF3" s="189"/>
      <c r="AG3" s="19"/>
      <c r="AH3" s="19"/>
      <c r="AI3" s="189"/>
      <c r="AJ3" s="19"/>
      <c r="AK3" s="19"/>
      <c r="AL3" s="19"/>
      <c r="AM3" s="19"/>
      <c r="AN3" s="19"/>
      <c r="AO3" s="19"/>
      <c r="AP3" s="19"/>
      <c r="AQ3" s="19"/>
      <c r="AR3" s="141" t="s">
        <v>3190</v>
      </c>
      <c r="AS3" s="141" t="s">
        <v>3191</v>
      </c>
      <c r="AT3" s="15"/>
      <c r="AU3" s="14"/>
      <c r="AV3" s="15"/>
      <c r="AW3" s="14"/>
      <c r="AX3" s="15"/>
      <c r="AY3" s="14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295"/>
      <c r="BM3" s="296"/>
      <c r="BN3" s="19"/>
      <c r="BO3" s="19"/>
    </row>
    <row r="4" spans="1:70" ht="24">
      <c r="A4" s="17"/>
      <c r="B4" s="17" t="s">
        <v>942</v>
      </c>
      <c r="C4" s="184" t="s">
        <v>4957</v>
      </c>
      <c r="D4" s="13" t="s">
        <v>4958</v>
      </c>
      <c r="E4" s="13">
        <v>2020</v>
      </c>
      <c r="F4" s="13">
        <v>2020</v>
      </c>
      <c r="G4" s="13">
        <v>4</v>
      </c>
      <c r="H4" s="15" t="s">
        <v>4959</v>
      </c>
      <c r="I4" s="362"/>
      <c r="J4" s="453">
        <v>4475000</v>
      </c>
      <c r="K4" s="13" t="s">
        <v>942</v>
      </c>
      <c r="L4" s="23"/>
      <c r="M4" s="14" t="s">
        <v>3223</v>
      </c>
      <c r="N4" s="13"/>
      <c r="O4" s="15" t="s">
        <v>4951</v>
      </c>
      <c r="P4" s="23" t="s">
        <v>5842</v>
      </c>
      <c r="Q4" s="109">
        <f>Table6[[#This Row],[Dana Disetujui]]</f>
        <v>4475000</v>
      </c>
      <c r="R4" s="15" t="s">
        <v>3216</v>
      </c>
      <c r="S4" s="6" t="s">
        <v>23</v>
      </c>
      <c r="T4" s="109">
        <f>Table6[[#This Row],[Dana Disetujui]]</f>
        <v>4475000</v>
      </c>
      <c r="U4" s="15" t="s">
        <v>3216</v>
      </c>
      <c r="V4" s="6"/>
      <c r="W4" s="188"/>
      <c r="X4" s="19"/>
      <c r="Y4" s="15"/>
      <c r="Z4" s="109"/>
      <c r="AA4" s="19"/>
      <c r="AB4" s="19"/>
      <c r="AC4" s="189"/>
      <c r="AD4" s="19"/>
      <c r="AE4" s="19"/>
      <c r="AF4" s="189"/>
      <c r="AG4" s="19"/>
      <c r="AH4" s="19"/>
      <c r="AI4" s="189"/>
      <c r="AJ4" s="19"/>
      <c r="AK4" s="19"/>
      <c r="AL4" s="19"/>
      <c r="AM4" s="19"/>
      <c r="AN4" s="19"/>
      <c r="AO4" s="19"/>
      <c r="AP4" s="19"/>
      <c r="AQ4" s="19"/>
      <c r="AR4" s="141" t="s">
        <v>3190</v>
      </c>
      <c r="AS4" s="141" t="s">
        <v>3191</v>
      </c>
      <c r="AT4" s="15"/>
      <c r="AU4" s="14"/>
      <c r="AV4" s="15"/>
      <c r="AW4" s="14"/>
      <c r="AX4" s="15"/>
      <c r="AY4" s="14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295"/>
      <c r="BM4" s="296"/>
      <c r="BN4" s="19"/>
      <c r="BO4" s="19"/>
    </row>
    <row r="5" spans="1:70" ht="36">
      <c r="A5" s="17"/>
      <c r="B5" s="17" t="s">
        <v>942</v>
      </c>
      <c r="C5" s="184" t="s">
        <v>4962</v>
      </c>
      <c r="D5" s="13" t="s">
        <v>4958</v>
      </c>
      <c r="E5" s="13">
        <v>2020</v>
      </c>
      <c r="F5" s="13">
        <v>2020</v>
      </c>
      <c r="G5" s="13"/>
      <c r="H5" s="15"/>
      <c r="I5" s="362"/>
      <c r="J5" s="453">
        <v>4000000</v>
      </c>
      <c r="K5" s="13" t="s">
        <v>942</v>
      </c>
      <c r="L5" s="23"/>
      <c r="M5" s="14" t="s">
        <v>3223</v>
      </c>
      <c r="N5" s="13"/>
      <c r="O5" s="15"/>
      <c r="P5" s="23" t="s">
        <v>5842</v>
      </c>
      <c r="Q5" s="109">
        <f>Table6[[#This Row],[Dana Disetujui]]</f>
        <v>4000000</v>
      </c>
      <c r="R5" s="15" t="s">
        <v>3216</v>
      </c>
      <c r="S5" s="6" t="s">
        <v>26</v>
      </c>
      <c r="T5" s="109">
        <f>Table6[[#This Row],[Dana Disetujui]]</f>
        <v>4000000</v>
      </c>
      <c r="U5" s="15" t="s">
        <v>3216</v>
      </c>
      <c r="V5" s="6" t="s">
        <v>47</v>
      </c>
      <c r="W5" s="188">
        <f>Q5</f>
        <v>4000000</v>
      </c>
      <c r="X5" s="15" t="s">
        <v>3216</v>
      </c>
      <c r="Y5" s="15" t="s">
        <v>8</v>
      </c>
      <c r="Z5" s="109">
        <f>Table6[[#This Row],[Dana Disetujui]]</f>
        <v>4000000</v>
      </c>
      <c r="AA5" s="15" t="s">
        <v>3216</v>
      </c>
      <c r="AB5" s="19" t="s">
        <v>4516</v>
      </c>
      <c r="AC5" s="109">
        <f>Table6[[#This Row],[Dana Disetujui]]</f>
        <v>4000000</v>
      </c>
      <c r="AD5" s="15" t="s">
        <v>3216</v>
      </c>
      <c r="AE5" s="19"/>
      <c r="AF5" s="189"/>
      <c r="AG5" s="19"/>
      <c r="AH5" s="19"/>
      <c r="AI5" s="58"/>
      <c r="AJ5" s="19"/>
      <c r="AK5" s="19"/>
      <c r="AL5" s="19"/>
      <c r="AM5" s="19"/>
      <c r="AN5" s="19"/>
      <c r="AO5" s="19"/>
      <c r="AP5" s="19"/>
      <c r="AQ5" s="19"/>
      <c r="AR5" s="141" t="s">
        <v>3190</v>
      </c>
      <c r="AS5" s="141" t="s">
        <v>3191</v>
      </c>
      <c r="AT5" s="15"/>
      <c r="AU5" s="14"/>
      <c r="AV5" s="15"/>
      <c r="AW5" s="14"/>
      <c r="AX5" s="15"/>
      <c r="AY5" s="14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295"/>
      <c r="BM5" s="296"/>
      <c r="BN5" s="19"/>
      <c r="BO5" s="19"/>
    </row>
    <row r="6" spans="1:70" ht="36">
      <c r="A6" s="17"/>
      <c r="B6" s="17" t="s">
        <v>942</v>
      </c>
      <c r="C6" s="184" t="s">
        <v>4964</v>
      </c>
      <c r="D6" s="13" t="s">
        <v>4958</v>
      </c>
      <c r="E6" s="13">
        <v>2020</v>
      </c>
      <c r="F6" s="13">
        <v>2020</v>
      </c>
      <c r="G6" s="13">
        <v>1</v>
      </c>
      <c r="H6" s="15"/>
      <c r="I6" s="362"/>
      <c r="J6" s="453">
        <v>6400000</v>
      </c>
      <c r="K6" s="13" t="s">
        <v>942</v>
      </c>
      <c r="L6" s="23"/>
      <c r="M6" s="14" t="s">
        <v>3223</v>
      </c>
      <c r="N6" s="13"/>
      <c r="O6" s="15" t="s">
        <v>4951</v>
      </c>
      <c r="P6" s="23" t="s">
        <v>5843</v>
      </c>
      <c r="Q6" s="109">
        <f>Table6[[#This Row],[Dana Disetujui]]</f>
        <v>6400000</v>
      </c>
      <c r="R6" s="15" t="s">
        <v>3216</v>
      </c>
      <c r="S6" s="6" t="s">
        <v>28</v>
      </c>
      <c r="T6" s="109">
        <f>Table6[[#This Row],[Dana Disetujui]]</f>
        <v>6400000</v>
      </c>
      <c r="U6" s="15" t="s">
        <v>3216</v>
      </c>
      <c r="V6" s="6" t="s">
        <v>25</v>
      </c>
      <c r="W6" s="188">
        <f>Q6</f>
        <v>6400000</v>
      </c>
      <c r="X6" s="15" t="s">
        <v>3216</v>
      </c>
      <c r="Y6" s="15" t="s">
        <v>88</v>
      </c>
      <c r="Z6" s="109">
        <f>Table6[[#This Row],[Dana Disetujui]]</f>
        <v>6400000</v>
      </c>
      <c r="AA6" s="15" t="s">
        <v>3216</v>
      </c>
      <c r="AB6" s="19" t="s">
        <v>40</v>
      </c>
      <c r="AC6" s="109">
        <f>Table6[[#This Row],[Dana Disetujui]]</f>
        <v>6400000</v>
      </c>
      <c r="AD6" s="15" t="s">
        <v>3216</v>
      </c>
      <c r="AE6" s="19"/>
      <c r="AF6" s="189"/>
      <c r="AG6" s="19"/>
      <c r="AH6" s="19"/>
      <c r="AI6" s="58"/>
      <c r="AJ6" s="19"/>
      <c r="AK6" s="19"/>
      <c r="AL6" s="19"/>
      <c r="AM6" s="19"/>
      <c r="AN6" s="19"/>
      <c r="AO6" s="19"/>
      <c r="AP6" s="19"/>
      <c r="AQ6" s="19"/>
      <c r="AR6" s="141" t="s">
        <v>3190</v>
      </c>
      <c r="AS6" s="141" t="s">
        <v>3191</v>
      </c>
      <c r="AT6" s="15" t="s">
        <v>3094</v>
      </c>
      <c r="AU6" s="14"/>
      <c r="AV6" s="15" t="s">
        <v>4965</v>
      </c>
      <c r="AW6" s="14"/>
      <c r="AX6" s="15" t="s">
        <v>1377</v>
      </c>
      <c r="AY6" s="14"/>
      <c r="AZ6" s="19" t="s">
        <v>4966</v>
      </c>
      <c r="BA6" s="19"/>
      <c r="BB6" s="19"/>
      <c r="BC6" s="19"/>
      <c r="BD6" s="19"/>
      <c r="BE6" s="19"/>
      <c r="BF6" s="19"/>
      <c r="BG6" s="19"/>
      <c r="BH6" s="19"/>
      <c r="BI6" s="19"/>
      <c r="BJ6" s="19" t="s">
        <v>3251</v>
      </c>
      <c r="BK6" s="19" t="s">
        <v>4967</v>
      </c>
      <c r="BL6" s="295"/>
      <c r="BM6" s="296" t="s">
        <v>4968</v>
      </c>
      <c r="BN6" s="19"/>
      <c r="BO6" s="19"/>
    </row>
    <row r="7" spans="1:70">
      <c r="A7" s="39"/>
      <c r="B7" s="50"/>
      <c r="C7" s="38"/>
      <c r="D7" s="37"/>
      <c r="E7" s="37"/>
      <c r="F7" s="37"/>
      <c r="G7" s="37"/>
      <c r="H7" s="39"/>
      <c r="I7" s="478"/>
      <c r="J7" s="454"/>
      <c r="K7" s="37"/>
      <c r="L7" s="50"/>
      <c r="M7" s="38"/>
      <c r="N7" s="37"/>
      <c r="O7" s="37"/>
      <c r="P7" s="50" t="s">
        <v>3071</v>
      </c>
      <c r="Q7" s="195"/>
      <c r="R7" s="39"/>
      <c r="S7" s="199"/>
      <c r="T7" s="195"/>
      <c r="U7" s="39"/>
      <c r="V7" s="199"/>
      <c r="W7" s="194"/>
      <c r="X7" s="193"/>
      <c r="Y7" s="39"/>
      <c r="Z7" s="193"/>
      <c r="AA7" s="193"/>
      <c r="AB7" s="193"/>
      <c r="AC7" s="193"/>
      <c r="AD7" s="193"/>
      <c r="AE7" s="193"/>
      <c r="AF7" s="189"/>
      <c r="AG7" s="193"/>
      <c r="AH7" s="193"/>
      <c r="AI7" s="193"/>
      <c r="AJ7" s="193"/>
      <c r="AK7" s="193"/>
      <c r="AL7" s="193"/>
      <c r="AM7" s="193"/>
      <c r="AN7" s="193"/>
      <c r="AO7" s="193"/>
      <c r="AP7" s="193"/>
      <c r="AQ7" s="193"/>
      <c r="AR7" s="37"/>
      <c r="AS7" s="37"/>
      <c r="AT7" s="39"/>
      <c r="AU7" s="38"/>
      <c r="AV7" s="39"/>
      <c r="AW7" s="38"/>
      <c r="AX7" s="39"/>
      <c r="AY7" s="38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200"/>
      <c r="BM7" s="201"/>
      <c r="BN7" s="40"/>
      <c r="BO7" s="40"/>
    </row>
    <row r="8" spans="1:70" ht="36">
      <c r="A8" s="322" t="s">
        <v>4973</v>
      </c>
      <c r="B8" s="328" t="s">
        <v>4974</v>
      </c>
      <c r="C8" s="14" t="s">
        <v>4975</v>
      </c>
      <c r="D8" s="13" t="s">
        <v>4976</v>
      </c>
      <c r="E8" s="13">
        <v>2021</v>
      </c>
      <c r="F8" s="13">
        <v>2021</v>
      </c>
      <c r="G8" s="13">
        <v>6</v>
      </c>
      <c r="H8" s="15" t="s">
        <v>4977</v>
      </c>
      <c r="I8" s="362">
        <f>J8</f>
        <v>7000000</v>
      </c>
      <c r="J8" s="453">
        <v>7000000</v>
      </c>
      <c r="K8" s="13">
        <v>7</v>
      </c>
      <c r="L8" s="15" t="s">
        <v>4978</v>
      </c>
      <c r="M8" s="14" t="s">
        <v>5844</v>
      </c>
      <c r="N8" s="13" t="s">
        <v>3215</v>
      </c>
      <c r="O8" s="15" t="s">
        <v>4951</v>
      </c>
      <c r="P8" s="23" t="s">
        <v>5845</v>
      </c>
      <c r="Q8" s="109">
        <f>Table6[[#This Row],[Dana Disetujui]]</f>
        <v>7000000</v>
      </c>
      <c r="R8" s="15" t="s">
        <v>3216</v>
      </c>
      <c r="S8" s="6" t="s">
        <v>89</v>
      </c>
      <c r="T8" s="109">
        <f>Table6[[#This Row],[Dana Disetujui]]</f>
        <v>7000000</v>
      </c>
      <c r="U8" s="15" t="s">
        <v>3216</v>
      </c>
      <c r="V8" s="6" t="s">
        <v>38</v>
      </c>
      <c r="W8" s="109">
        <f>Table6[[#This Row],[Dana Disetujui]]</f>
        <v>7000000</v>
      </c>
      <c r="X8" s="15" t="s">
        <v>3216</v>
      </c>
      <c r="Y8" s="15"/>
      <c r="Z8" s="189"/>
      <c r="AA8" s="19"/>
      <c r="AB8" s="19"/>
      <c r="AC8" s="189"/>
      <c r="AD8" s="19"/>
      <c r="AE8" s="19"/>
      <c r="AF8" s="189"/>
      <c r="AG8" s="19"/>
      <c r="AH8" s="19"/>
      <c r="AI8" s="189"/>
      <c r="AJ8" s="19"/>
      <c r="AK8" s="19"/>
      <c r="AL8" s="19"/>
      <c r="AM8" s="19"/>
      <c r="AN8" s="19"/>
      <c r="AO8" s="19"/>
      <c r="AP8" s="19"/>
      <c r="AQ8" s="19"/>
      <c r="AR8" s="141" t="s">
        <v>3190</v>
      </c>
      <c r="AS8" s="141" t="s">
        <v>3191</v>
      </c>
      <c r="AT8" s="15" t="s">
        <v>4979</v>
      </c>
      <c r="AU8" s="14"/>
      <c r="AV8" s="15" t="s">
        <v>2216</v>
      </c>
      <c r="AW8" s="14"/>
      <c r="AX8" s="15" t="s">
        <v>4980</v>
      </c>
      <c r="AY8" s="14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61" t="s">
        <v>3061</v>
      </c>
      <c r="BK8" s="262" t="s">
        <v>4981</v>
      </c>
      <c r="BL8" s="262" t="s">
        <v>4982</v>
      </c>
      <c r="BM8" s="262" t="s">
        <v>3739</v>
      </c>
      <c r="BN8" s="262" t="s">
        <v>3739</v>
      </c>
      <c r="BO8" s="262" t="s">
        <v>3739</v>
      </c>
    </row>
    <row r="9" spans="1:70" ht="36.6">
      <c r="A9" s="322" t="s">
        <v>4973</v>
      </c>
      <c r="B9" s="322" t="s">
        <v>4984</v>
      </c>
      <c r="C9" s="14" t="s">
        <v>4985</v>
      </c>
      <c r="D9" s="13" t="s">
        <v>4976</v>
      </c>
      <c r="E9" s="13">
        <v>2021</v>
      </c>
      <c r="F9" s="13">
        <v>2021</v>
      </c>
      <c r="G9" s="13">
        <v>6</v>
      </c>
      <c r="H9" s="15" t="s">
        <v>4986</v>
      </c>
      <c r="I9" s="362">
        <f t="shared" ref="I9:I27" si="0">J9</f>
        <v>6750000</v>
      </c>
      <c r="J9" s="453">
        <v>6750000</v>
      </c>
      <c r="K9" s="13">
        <v>7</v>
      </c>
      <c r="L9" s="15" t="s">
        <v>4978</v>
      </c>
      <c r="M9" s="14" t="s">
        <v>3223</v>
      </c>
      <c r="N9" s="13" t="s">
        <v>3215</v>
      </c>
      <c r="O9" s="15" t="s">
        <v>4951</v>
      </c>
      <c r="P9" s="23" t="s">
        <v>5846</v>
      </c>
      <c r="Q9" s="109">
        <f>Table6[[#This Row],[Dana Disetujui]]</f>
        <v>6750000</v>
      </c>
      <c r="R9" s="15" t="s">
        <v>3216</v>
      </c>
      <c r="S9" s="15" t="s">
        <v>24</v>
      </c>
      <c r="T9" s="109">
        <f>Table6[[#This Row],[Dana Disetujui]]</f>
        <v>6750000</v>
      </c>
      <c r="U9" s="15" t="s">
        <v>3216</v>
      </c>
      <c r="V9" s="6" t="s">
        <v>6</v>
      </c>
      <c r="W9" s="109">
        <f>Table6[[#This Row],[Dana Disetujui]]</f>
        <v>6750000</v>
      </c>
      <c r="X9" s="15" t="s">
        <v>3216</v>
      </c>
      <c r="Y9" s="15"/>
      <c r="Z9" s="189"/>
      <c r="AA9" s="19"/>
      <c r="AB9" s="19"/>
      <c r="AC9" s="189"/>
      <c r="AD9" s="19"/>
      <c r="AE9" s="19"/>
      <c r="AF9" s="189"/>
      <c r="AG9" s="19"/>
      <c r="AH9" s="19"/>
      <c r="AI9" s="189"/>
      <c r="AJ9" s="19"/>
      <c r="AK9" s="19"/>
      <c r="AL9" s="19"/>
      <c r="AM9" s="19"/>
      <c r="AN9" s="19"/>
      <c r="AO9" s="19"/>
      <c r="AP9" s="19"/>
      <c r="AQ9" s="19"/>
      <c r="AR9" s="141" t="s">
        <v>3190</v>
      </c>
      <c r="AS9" s="141" t="s">
        <v>3191</v>
      </c>
      <c r="AT9" s="15" t="s">
        <v>4987</v>
      </c>
      <c r="AU9" s="14"/>
      <c r="AV9" s="15" t="s">
        <v>4988</v>
      </c>
      <c r="AW9" s="14"/>
      <c r="AX9" s="15" t="s">
        <v>4989</v>
      </c>
      <c r="AY9" s="14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63" t="s">
        <v>4990</v>
      </c>
      <c r="BK9" s="264" t="s">
        <v>4981</v>
      </c>
      <c r="BL9" s="264" t="s">
        <v>4991</v>
      </c>
      <c r="BM9" s="264" t="s">
        <v>4992</v>
      </c>
      <c r="BN9" s="264" t="s">
        <v>3739</v>
      </c>
      <c r="BO9" s="264" t="s">
        <v>3739</v>
      </c>
    </row>
    <row r="10" spans="1:70" ht="36.6">
      <c r="A10" s="322" t="s">
        <v>4973</v>
      </c>
      <c r="B10" s="322" t="s">
        <v>4994</v>
      </c>
      <c r="C10" s="14" t="s">
        <v>4995</v>
      </c>
      <c r="D10" s="13" t="s">
        <v>4976</v>
      </c>
      <c r="E10" s="13">
        <v>2021</v>
      </c>
      <c r="F10" s="13">
        <v>2021</v>
      </c>
      <c r="G10" s="13">
        <v>6</v>
      </c>
      <c r="H10" s="15" t="s">
        <v>4986</v>
      </c>
      <c r="I10" s="362">
        <f t="shared" si="0"/>
        <v>6750000</v>
      </c>
      <c r="J10" s="453">
        <v>6750000</v>
      </c>
      <c r="K10" s="13">
        <v>7</v>
      </c>
      <c r="L10" s="15" t="s">
        <v>4978</v>
      </c>
      <c r="M10" s="14" t="s">
        <v>3223</v>
      </c>
      <c r="N10" s="13" t="s">
        <v>3215</v>
      </c>
      <c r="O10" s="15" t="s">
        <v>4951</v>
      </c>
      <c r="P10" s="23" t="s">
        <v>5847</v>
      </c>
      <c r="Q10" s="109">
        <f>Table6[[#This Row],[Dana Disetujui]]</f>
        <v>6750000</v>
      </c>
      <c r="R10" s="15" t="s">
        <v>3216</v>
      </c>
      <c r="S10" s="15" t="s">
        <v>8</v>
      </c>
      <c r="T10" s="109">
        <f>Table6[[#This Row],[Dana Disetujui]]</f>
        <v>6750000</v>
      </c>
      <c r="U10" s="15" t="s">
        <v>3216</v>
      </c>
      <c r="V10" s="6" t="s">
        <v>40</v>
      </c>
      <c r="W10" s="109">
        <f>Table6[[#This Row],[Dana Disetujui]]</f>
        <v>6750000</v>
      </c>
      <c r="X10" s="15" t="s">
        <v>3216</v>
      </c>
      <c r="Y10" s="15"/>
      <c r="Z10" s="189"/>
      <c r="AA10" s="19"/>
      <c r="AB10" s="15"/>
      <c r="AC10" s="189"/>
      <c r="AD10" s="19"/>
      <c r="AE10" s="19"/>
      <c r="AF10" s="189"/>
      <c r="AG10" s="19"/>
      <c r="AH10" s="19"/>
      <c r="AI10" s="189"/>
      <c r="AJ10" s="19"/>
      <c r="AK10" s="19"/>
      <c r="AL10" s="19"/>
      <c r="AM10" s="19"/>
      <c r="AN10" s="19"/>
      <c r="AO10" s="19"/>
      <c r="AP10" s="19"/>
      <c r="AQ10" s="19"/>
      <c r="AR10" s="141" t="s">
        <v>3190</v>
      </c>
      <c r="AS10" s="141" t="s">
        <v>3191</v>
      </c>
      <c r="AT10" s="15" t="s">
        <v>4996</v>
      </c>
      <c r="AU10" s="14"/>
      <c r="AV10" s="15" t="s">
        <v>4997</v>
      </c>
      <c r="AW10" s="14"/>
      <c r="AX10" s="15"/>
      <c r="AY10" s="14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63" t="s">
        <v>3061</v>
      </c>
      <c r="BK10" s="264" t="s">
        <v>4998</v>
      </c>
      <c r="BL10" s="264" t="s">
        <v>4991</v>
      </c>
      <c r="BM10" s="264" t="s">
        <v>3739</v>
      </c>
      <c r="BN10" s="264" t="s">
        <v>3739</v>
      </c>
      <c r="BO10" s="264" t="s">
        <v>3739</v>
      </c>
    </row>
    <row r="11" spans="1:70" ht="60.6">
      <c r="A11" s="322" t="s">
        <v>4973</v>
      </c>
      <c r="B11" s="322" t="s">
        <v>4999</v>
      </c>
      <c r="C11" s="14" t="s">
        <v>5000</v>
      </c>
      <c r="D11" s="13" t="s">
        <v>4976</v>
      </c>
      <c r="E11" s="13">
        <v>2021</v>
      </c>
      <c r="F11" s="13">
        <v>2021</v>
      </c>
      <c r="G11" s="13">
        <v>6</v>
      </c>
      <c r="H11" s="15" t="s">
        <v>4977</v>
      </c>
      <c r="I11" s="362">
        <f t="shared" si="0"/>
        <v>6750000</v>
      </c>
      <c r="J11" s="453">
        <v>6750000</v>
      </c>
      <c r="K11" s="13">
        <v>7</v>
      </c>
      <c r="L11" s="15" t="s">
        <v>4978</v>
      </c>
      <c r="M11" s="14" t="s">
        <v>3223</v>
      </c>
      <c r="N11" s="13" t="s">
        <v>3215</v>
      </c>
      <c r="O11" s="15" t="s">
        <v>4951</v>
      </c>
      <c r="P11" s="23" t="s">
        <v>5848</v>
      </c>
      <c r="Q11" s="109">
        <f>Table6[[#This Row],[Dana Disetujui]]</f>
        <v>6750000</v>
      </c>
      <c r="R11" s="15" t="s">
        <v>3216</v>
      </c>
      <c r="S11" s="15" t="s">
        <v>93</v>
      </c>
      <c r="T11" s="109">
        <f>Table6[[#This Row],[Dana Disetujui]]</f>
        <v>6750000</v>
      </c>
      <c r="U11" s="15" t="s">
        <v>3216</v>
      </c>
      <c r="V11" s="15" t="s">
        <v>71</v>
      </c>
      <c r="W11" s="109">
        <f>Table6[[#This Row],[Dana Disetujui]]</f>
        <v>6750000</v>
      </c>
      <c r="X11" s="15" t="s">
        <v>3216</v>
      </c>
      <c r="Y11" s="15"/>
      <c r="Z11" s="189"/>
      <c r="AA11" s="19"/>
      <c r="AB11" s="15"/>
      <c r="AC11" s="189"/>
      <c r="AD11" s="19"/>
      <c r="AE11" s="19"/>
      <c r="AF11" s="189"/>
      <c r="AG11" s="19"/>
      <c r="AH11" s="19"/>
      <c r="AI11" s="189"/>
      <c r="AJ11" s="19"/>
      <c r="AK11" s="19"/>
      <c r="AL11" s="19"/>
      <c r="AM11" s="19"/>
      <c r="AN11" s="19"/>
      <c r="AO11" s="19"/>
      <c r="AP11" s="19"/>
      <c r="AQ11" s="19"/>
      <c r="AR11" s="141" t="s">
        <v>3190</v>
      </c>
      <c r="AS11" s="141" t="s">
        <v>3191</v>
      </c>
      <c r="AT11" s="15" t="s">
        <v>2892</v>
      </c>
      <c r="AU11" s="14" t="s">
        <v>3589</v>
      </c>
      <c r="AV11" s="15" t="s">
        <v>5001</v>
      </c>
      <c r="AW11" s="14"/>
      <c r="AX11" s="15" t="s">
        <v>619</v>
      </c>
      <c r="AY11" s="14" t="s">
        <v>3737</v>
      </c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63" t="s">
        <v>5002</v>
      </c>
      <c r="BK11" s="264" t="s">
        <v>4981</v>
      </c>
      <c r="BL11" s="264" t="s">
        <v>5003</v>
      </c>
      <c r="BM11" s="264" t="s">
        <v>5004</v>
      </c>
      <c r="BN11" s="264" t="s">
        <v>3739</v>
      </c>
      <c r="BO11" s="264" t="s">
        <v>3739</v>
      </c>
    </row>
    <row r="12" spans="1:70" ht="72.599999999999994">
      <c r="A12" s="322" t="s">
        <v>4973</v>
      </c>
      <c r="B12" s="322" t="s">
        <v>5005</v>
      </c>
      <c r="C12" s="14" t="s">
        <v>5006</v>
      </c>
      <c r="D12" s="13" t="s">
        <v>4976</v>
      </c>
      <c r="E12" s="13">
        <v>2021</v>
      </c>
      <c r="F12" s="13">
        <v>2021</v>
      </c>
      <c r="G12" s="13">
        <v>6</v>
      </c>
      <c r="H12" s="15" t="s">
        <v>4977</v>
      </c>
      <c r="I12" s="362">
        <f t="shared" si="0"/>
        <v>6900000</v>
      </c>
      <c r="J12" s="453">
        <v>6900000</v>
      </c>
      <c r="K12" s="13">
        <v>7</v>
      </c>
      <c r="L12" s="15" t="s">
        <v>4978</v>
      </c>
      <c r="M12" s="14" t="s">
        <v>3223</v>
      </c>
      <c r="N12" s="13" t="s">
        <v>3215</v>
      </c>
      <c r="O12" s="15" t="s">
        <v>4951</v>
      </c>
      <c r="P12" s="23" t="s">
        <v>5849</v>
      </c>
      <c r="Q12" s="109">
        <f>Table6[[#This Row],[Dana Disetujui]]</f>
        <v>6900000</v>
      </c>
      <c r="R12" s="15" t="s">
        <v>3216</v>
      </c>
      <c r="S12" s="6" t="s">
        <v>21</v>
      </c>
      <c r="T12" s="109">
        <f>Table6[[#This Row],[Dana Disetujui]]</f>
        <v>6900000</v>
      </c>
      <c r="U12" s="15" t="s">
        <v>3216</v>
      </c>
      <c r="V12" s="15" t="s">
        <v>191</v>
      </c>
      <c r="W12" s="109">
        <f>Table6[[#This Row],[Dana Disetujui]]</f>
        <v>6900000</v>
      </c>
      <c r="X12" s="15" t="s">
        <v>3216</v>
      </c>
      <c r="Y12" s="15"/>
      <c r="Z12" s="189"/>
      <c r="AA12" s="19"/>
      <c r="AB12" s="15"/>
      <c r="AC12" s="189"/>
      <c r="AD12" s="19"/>
      <c r="AE12" s="19"/>
      <c r="AF12" s="189"/>
      <c r="AG12" s="19"/>
      <c r="AH12" s="19"/>
      <c r="AI12" s="189"/>
      <c r="AJ12" s="19"/>
      <c r="AK12" s="19"/>
      <c r="AL12" s="19"/>
      <c r="AM12" s="19"/>
      <c r="AN12" s="19"/>
      <c r="AO12" s="19"/>
      <c r="AP12" s="19"/>
      <c r="AQ12" s="19"/>
      <c r="AR12" s="141" t="s">
        <v>3190</v>
      </c>
      <c r="AS12" s="141" t="s">
        <v>3191</v>
      </c>
      <c r="AT12" s="15" t="s">
        <v>3121</v>
      </c>
      <c r="AU12" s="14"/>
      <c r="AV12" s="15" t="s">
        <v>5007</v>
      </c>
      <c r="AW12" s="14"/>
      <c r="AX12" s="15" t="s">
        <v>5008</v>
      </c>
      <c r="AY12" s="14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63" t="s">
        <v>3251</v>
      </c>
      <c r="BK12" s="264" t="s">
        <v>4981</v>
      </c>
      <c r="BL12" s="264" t="s">
        <v>5009</v>
      </c>
      <c r="BM12" s="264" t="s">
        <v>5010</v>
      </c>
      <c r="BN12" s="264" t="s">
        <v>3739</v>
      </c>
      <c r="BO12" s="264" t="s">
        <v>3739</v>
      </c>
    </row>
    <row r="13" spans="1:70" ht="36.6">
      <c r="A13" s="322" t="s">
        <v>4973</v>
      </c>
      <c r="B13" s="322" t="s">
        <v>5011</v>
      </c>
      <c r="C13" s="14" t="s">
        <v>5012</v>
      </c>
      <c r="D13" s="13" t="s">
        <v>4976</v>
      </c>
      <c r="E13" s="13">
        <v>2021</v>
      </c>
      <c r="F13" s="13">
        <v>2021</v>
      </c>
      <c r="G13" s="13">
        <v>6</v>
      </c>
      <c r="H13" s="15" t="s">
        <v>4977</v>
      </c>
      <c r="I13" s="362">
        <f t="shared" si="0"/>
        <v>6900000</v>
      </c>
      <c r="J13" s="453">
        <v>6900000</v>
      </c>
      <c r="K13" s="13">
        <v>7</v>
      </c>
      <c r="L13" s="15" t="s">
        <v>4978</v>
      </c>
      <c r="M13" s="14" t="s">
        <v>3223</v>
      </c>
      <c r="N13" s="13" t="s">
        <v>3215</v>
      </c>
      <c r="O13" s="15" t="s">
        <v>4951</v>
      </c>
      <c r="P13" s="23" t="s">
        <v>5850</v>
      </c>
      <c r="Q13" s="109">
        <f>Table6[[#This Row],[Dana Disetujui]]</f>
        <v>6900000</v>
      </c>
      <c r="R13" s="15" t="s">
        <v>3216</v>
      </c>
      <c r="S13" s="6" t="s">
        <v>83</v>
      </c>
      <c r="T13" s="109">
        <f>Table6[[#This Row],[Dana Disetujui]]</f>
        <v>6900000</v>
      </c>
      <c r="U13" s="15" t="s">
        <v>3216</v>
      </c>
      <c r="V13" s="6" t="s">
        <v>16</v>
      </c>
      <c r="W13" s="109">
        <f>Table6[[#This Row],[Dana Disetujui]]</f>
        <v>6900000</v>
      </c>
      <c r="X13" s="15" t="s">
        <v>3216</v>
      </c>
      <c r="Y13" s="15"/>
      <c r="Z13" s="189"/>
      <c r="AA13" s="19"/>
      <c r="AB13" s="15"/>
      <c r="AC13" s="189"/>
      <c r="AD13" s="19"/>
      <c r="AE13" s="19"/>
      <c r="AF13" s="189"/>
      <c r="AG13" s="19"/>
      <c r="AH13" s="19"/>
      <c r="AI13" s="189"/>
      <c r="AJ13" s="19"/>
      <c r="AK13" s="19"/>
      <c r="AL13" s="19"/>
      <c r="AM13" s="19"/>
      <c r="AN13" s="19"/>
      <c r="AO13" s="19"/>
      <c r="AP13" s="19"/>
      <c r="AQ13" s="19"/>
      <c r="AR13" s="141" t="s">
        <v>3190</v>
      </c>
      <c r="AS13" s="141" t="s">
        <v>3191</v>
      </c>
      <c r="AT13" s="15" t="s">
        <v>5013</v>
      </c>
      <c r="AU13" s="14"/>
      <c r="AV13" s="15" t="s">
        <v>3065</v>
      </c>
      <c r="AW13" s="14"/>
      <c r="AX13" s="15" t="s">
        <v>5014</v>
      </c>
      <c r="AY13" s="14"/>
      <c r="AZ13" s="20" t="s">
        <v>5015</v>
      </c>
      <c r="BA13" s="20"/>
      <c r="BB13" s="20"/>
      <c r="BC13" s="20"/>
      <c r="BD13" s="20"/>
      <c r="BE13" s="20"/>
      <c r="BF13" s="20"/>
      <c r="BG13" s="20"/>
      <c r="BH13" s="20"/>
      <c r="BI13" s="20"/>
      <c r="BJ13" s="263" t="s">
        <v>3061</v>
      </c>
      <c r="BK13" s="264" t="s">
        <v>4981</v>
      </c>
      <c r="BL13" s="264" t="s">
        <v>4991</v>
      </c>
      <c r="BM13" s="264" t="s">
        <v>3739</v>
      </c>
      <c r="BN13" s="264" t="s">
        <v>3739</v>
      </c>
      <c r="BO13" s="264" t="s">
        <v>3739</v>
      </c>
    </row>
    <row r="14" spans="1:70" ht="36">
      <c r="A14" s="322" t="s">
        <v>4973</v>
      </c>
      <c r="B14" s="322" t="s">
        <v>5016</v>
      </c>
      <c r="C14" s="14" t="s">
        <v>5017</v>
      </c>
      <c r="D14" s="13" t="s">
        <v>4976</v>
      </c>
      <c r="E14" s="13">
        <v>2021</v>
      </c>
      <c r="F14" s="13">
        <v>2021</v>
      </c>
      <c r="G14" s="13">
        <v>6</v>
      </c>
      <c r="H14" s="15" t="s">
        <v>4977</v>
      </c>
      <c r="I14" s="362">
        <f t="shared" si="0"/>
        <v>6749500</v>
      </c>
      <c r="J14" s="453">
        <v>6749500</v>
      </c>
      <c r="K14" s="13">
        <v>7</v>
      </c>
      <c r="L14" s="15" t="s">
        <v>4978</v>
      </c>
      <c r="M14" s="14" t="s">
        <v>3223</v>
      </c>
      <c r="N14" s="13" t="s">
        <v>3215</v>
      </c>
      <c r="O14" s="15" t="s">
        <v>4951</v>
      </c>
      <c r="P14" s="23" t="s">
        <v>5851</v>
      </c>
      <c r="Q14" s="109">
        <f>Table6[[#This Row],[Dana Disetujui]]</f>
        <v>6749500</v>
      </c>
      <c r="R14" s="15" t="s">
        <v>3216</v>
      </c>
      <c r="S14" s="6" t="s">
        <v>17</v>
      </c>
      <c r="T14" s="109">
        <f>Table6[[#This Row],[Dana Disetujui]]</f>
        <v>6749500</v>
      </c>
      <c r="U14" s="15" t="s">
        <v>3216</v>
      </c>
      <c r="V14" s="15" t="s">
        <v>28</v>
      </c>
      <c r="W14" s="109">
        <f>Table6[[#This Row],[Dana Disetujui]]</f>
        <v>6749500</v>
      </c>
      <c r="X14" s="15" t="s">
        <v>3216</v>
      </c>
      <c r="Y14" s="15"/>
      <c r="Z14" s="189"/>
      <c r="AA14" s="19"/>
      <c r="AB14" s="15"/>
      <c r="AC14" s="189"/>
      <c r="AD14" s="19"/>
      <c r="AE14" s="19"/>
      <c r="AF14" s="189"/>
      <c r="AG14" s="19"/>
      <c r="AH14" s="19"/>
      <c r="AI14" s="189"/>
      <c r="AJ14" s="19"/>
      <c r="AK14" s="19"/>
      <c r="AL14" s="19"/>
      <c r="AM14" s="19"/>
      <c r="AN14" s="19"/>
      <c r="AO14" s="19"/>
      <c r="AP14" s="19"/>
      <c r="AQ14" s="19"/>
      <c r="AR14" s="141" t="s">
        <v>3190</v>
      </c>
      <c r="AS14" s="141" t="s">
        <v>3191</v>
      </c>
      <c r="AT14" s="15" t="s">
        <v>5018</v>
      </c>
      <c r="AU14" s="14"/>
      <c r="AV14" s="15" t="s">
        <v>441</v>
      </c>
      <c r="AW14" s="14"/>
      <c r="AX14" s="15" t="s">
        <v>3237</v>
      </c>
      <c r="AY14" s="14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63" t="s">
        <v>4990</v>
      </c>
      <c r="BK14" s="264" t="s">
        <v>4981</v>
      </c>
      <c r="BL14" s="264" t="s">
        <v>5009</v>
      </c>
      <c r="BM14" s="264" t="s">
        <v>3739</v>
      </c>
      <c r="BN14" s="264" t="s">
        <v>3739</v>
      </c>
      <c r="BO14" s="264" t="s">
        <v>3739</v>
      </c>
    </row>
    <row r="15" spans="1:70" ht="36.6">
      <c r="A15" s="322" t="s">
        <v>4973</v>
      </c>
      <c r="B15" s="322" t="s">
        <v>5019</v>
      </c>
      <c r="C15" s="14" t="s">
        <v>5020</v>
      </c>
      <c r="D15" s="13" t="s">
        <v>4976</v>
      </c>
      <c r="E15" s="13">
        <v>2021</v>
      </c>
      <c r="F15" s="13">
        <v>2021</v>
      </c>
      <c r="G15" s="13">
        <v>6</v>
      </c>
      <c r="H15" s="15" t="s">
        <v>4986</v>
      </c>
      <c r="I15" s="362">
        <f t="shared" si="0"/>
        <v>3400000</v>
      </c>
      <c r="J15" s="453">
        <v>3400000</v>
      </c>
      <c r="K15" s="13">
        <v>7</v>
      </c>
      <c r="L15" s="15" t="s">
        <v>4978</v>
      </c>
      <c r="M15" s="14" t="s">
        <v>3223</v>
      </c>
      <c r="N15" s="13" t="s">
        <v>3215</v>
      </c>
      <c r="O15" s="15" t="s">
        <v>4951</v>
      </c>
      <c r="P15" s="23" t="s">
        <v>5842</v>
      </c>
      <c r="Q15" s="109">
        <f>Table6[[#This Row],[Dana Disetujui]]</f>
        <v>3400000</v>
      </c>
      <c r="R15" s="15" t="s">
        <v>3216</v>
      </c>
      <c r="S15" s="15" t="s">
        <v>25</v>
      </c>
      <c r="T15" s="109">
        <f>Table6[[#This Row],[Dana Disetujui]]</f>
        <v>3400000</v>
      </c>
      <c r="U15" s="15" t="s">
        <v>3216</v>
      </c>
      <c r="V15" s="15"/>
      <c r="W15" s="109"/>
      <c r="X15" s="19"/>
      <c r="Y15" s="15"/>
      <c r="Z15" s="189"/>
      <c r="AA15" s="19"/>
      <c r="AB15" s="15"/>
      <c r="AC15" s="189"/>
      <c r="AD15" s="19"/>
      <c r="AE15" s="19"/>
      <c r="AF15" s="189"/>
      <c r="AG15" s="19"/>
      <c r="AH15" s="19"/>
      <c r="AI15" s="189"/>
      <c r="AJ15" s="19"/>
      <c r="AK15" s="19"/>
      <c r="AL15" s="19"/>
      <c r="AM15" s="19"/>
      <c r="AN15" s="19"/>
      <c r="AO15" s="19"/>
      <c r="AP15" s="19"/>
      <c r="AQ15" s="19"/>
      <c r="AR15" s="141" t="s">
        <v>3190</v>
      </c>
      <c r="AS15" s="141" t="s">
        <v>3191</v>
      </c>
      <c r="AT15" s="15" t="s">
        <v>442</v>
      </c>
      <c r="AU15" s="14"/>
      <c r="AV15" s="15" t="s">
        <v>740</v>
      </c>
      <c r="AW15" s="14"/>
      <c r="AX15" s="15" t="s">
        <v>3042</v>
      </c>
      <c r="AY15" s="14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63" t="s">
        <v>4990</v>
      </c>
      <c r="BK15" s="264" t="s">
        <v>4981</v>
      </c>
      <c r="BL15" s="264" t="s">
        <v>4991</v>
      </c>
      <c r="BM15" s="264" t="s">
        <v>5021</v>
      </c>
      <c r="BN15" s="264" t="s">
        <v>5022</v>
      </c>
      <c r="BO15" s="264" t="s">
        <v>3739</v>
      </c>
    </row>
    <row r="16" spans="1:70" ht="36.6">
      <c r="A16" s="322" t="s">
        <v>4973</v>
      </c>
      <c r="B16" s="322" t="s">
        <v>5023</v>
      </c>
      <c r="C16" s="14" t="s">
        <v>5024</v>
      </c>
      <c r="D16" s="13" t="s">
        <v>4976</v>
      </c>
      <c r="E16" s="13">
        <v>2021</v>
      </c>
      <c r="F16" s="13">
        <v>2021</v>
      </c>
      <c r="G16" s="13">
        <v>6</v>
      </c>
      <c r="H16" s="15" t="s">
        <v>4977</v>
      </c>
      <c r="I16" s="362">
        <f t="shared" si="0"/>
        <v>6950000</v>
      </c>
      <c r="J16" s="453">
        <v>6950000</v>
      </c>
      <c r="K16" s="13">
        <v>7</v>
      </c>
      <c r="L16" s="15" t="s">
        <v>4978</v>
      </c>
      <c r="M16" s="14" t="s">
        <v>3223</v>
      </c>
      <c r="N16" s="13" t="s">
        <v>3215</v>
      </c>
      <c r="O16" s="15" t="s">
        <v>4951</v>
      </c>
      <c r="P16" s="23" t="s">
        <v>5852</v>
      </c>
      <c r="Q16" s="109">
        <f>Table6[[#This Row],[Dana Disetujui]]</f>
        <v>6950000</v>
      </c>
      <c r="R16" s="15" t="s">
        <v>3216</v>
      </c>
      <c r="S16" s="15" t="s">
        <v>76</v>
      </c>
      <c r="T16" s="109">
        <f>Table6[[#This Row],[Dana Disetujui]]</f>
        <v>6950000</v>
      </c>
      <c r="U16" s="15" t="s">
        <v>3216</v>
      </c>
      <c r="V16" s="15"/>
      <c r="W16" s="109"/>
      <c r="X16" s="19"/>
      <c r="Y16" s="15"/>
      <c r="Z16" s="189"/>
      <c r="AA16" s="19"/>
      <c r="AB16" s="15"/>
      <c r="AC16" s="189"/>
      <c r="AD16" s="19"/>
      <c r="AE16" s="19"/>
      <c r="AF16" s="189"/>
      <c r="AG16" s="19"/>
      <c r="AH16" s="19"/>
      <c r="AI16" s="189"/>
      <c r="AJ16" s="19"/>
      <c r="AK16" s="19"/>
      <c r="AL16" s="19"/>
      <c r="AM16" s="19"/>
      <c r="AN16" s="19"/>
      <c r="AO16" s="19"/>
      <c r="AP16" s="19"/>
      <c r="AQ16" s="19"/>
      <c r="AR16" s="141" t="s">
        <v>3190</v>
      </c>
      <c r="AS16" s="141" t="s">
        <v>3191</v>
      </c>
      <c r="AT16" s="15" t="s">
        <v>5025</v>
      </c>
      <c r="AU16" s="14"/>
      <c r="AV16" s="15" t="s">
        <v>5026</v>
      </c>
      <c r="AW16" s="14"/>
      <c r="AX16" s="15" t="s">
        <v>5027</v>
      </c>
      <c r="AY16" s="14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63" t="s">
        <v>3251</v>
      </c>
      <c r="BK16" s="264" t="s">
        <v>4998</v>
      </c>
      <c r="BL16" s="264" t="s">
        <v>4991</v>
      </c>
      <c r="BM16" s="264" t="s">
        <v>5028</v>
      </c>
      <c r="BN16" s="264" t="s">
        <v>3739</v>
      </c>
      <c r="BO16" s="264" t="s">
        <v>3739</v>
      </c>
    </row>
    <row r="17" spans="1:70" ht="60.6">
      <c r="A17" s="322" t="s">
        <v>4973</v>
      </c>
      <c r="B17" s="322" t="s">
        <v>5029</v>
      </c>
      <c r="C17" s="14" t="s">
        <v>5030</v>
      </c>
      <c r="D17" s="15" t="s">
        <v>5031</v>
      </c>
      <c r="E17" s="13">
        <v>2021</v>
      </c>
      <c r="F17" s="13">
        <v>2021</v>
      </c>
      <c r="G17" s="13">
        <v>6</v>
      </c>
      <c r="H17" s="15" t="s">
        <v>4977</v>
      </c>
      <c r="I17" s="362">
        <f t="shared" si="0"/>
        <v>15670000</v>
      </c>
      <c r="J17" s="453">
        <v>15670000</v>
      </c>
      <c r="K17" s="13">
        <v>7</v>
      </c>
      <c r="L17" s="15" t="s">
        <v>4978</v>
      </c>
      <c r="M17" s="14" t="s">
        <v>3223</v>
      </c>
      <c r="N17" s="13" t="s">
        <v>3215</v>
      </c>
      <c r="O17" s="15" t="s">
        <v>4951</v>
      </c>
      <c r="P17" s="23" t="s">
        <v>5853</v>
      </c>
      <c r="Q17" s="109">
        <f>Table6[[#This Row],[Dana Disetujui]]</f>
        <v>15670000</v>
      </c>
      <c r="R17" s="15" t="s">
        <v>3216</v>
      </c>
      <c r="S17" s="6" t="s">
        <v>9</v>
      </c>
      <c r="T17" s="109">
        <f>Table6[[#This Row],[Dana Disetujui]]</f>
        <v>15670000</v>
      </c>
      <c r="U17" s="15" t="s">
        <v>3216</v>
      </c>
      <c r="V17" s="15" t="s">
        <v>93</v>
      </c>
      <c r="W17" s="109">
        <f>Table6[[#This Row],[Dana Disetujui]]</f>
        <v>15670000</v>
      </c>
      <c r="X17" s="15" t="s">
        <v>3216</v>
      </c>
      <c r="Y17" s="15"/>
      <c r="Z17" s="189"/>
      <c r="AA17" s="19"/>
      <c r="AB17" s="15"/>
      <c r="AC17" s="189"/>
      <c r="AD17" s="19"/>
      <c r="AE17" s="19"/>
      <c r="AF17" s="189"/>
      <c r="AG17" s="19"/>
      <c r="AH17" s="19"/>
      <c r="AI17" s="189"/>
      <c r="AJ17" s="19"/>
      <c r="AK17" s="19"/>
      <c r="AL17" s="19"/>
      <c r="AM17" s="19"/>
      <c r="AN17" s="19"/>
      <c r="AO17" s="19"/>
      <c r="AP17" s="19"/>
      <c r="AQ17" s="19"/>
      <c r="AR17" s="141" t="s">
        <v>3190</v>
      </c>
      <c r="AS17" s="141" t="s">
        <v>3191</v>
      </c>
      <c r="AT17" s="15" t="s">
        <v>612</v>
      </c>
      <c r="AU17" s="14" t="s">
        <v>3589</v>
      </c>
      <c r="AV17" s="15" t="s">
        <v>2668</v>
      </c>
      <c r="AW17" s="14" t="s">
        <v>3589</v>
      </c>
      <c r="AX17" s="15" t="s">
        <v>2669</v>
      </c>
      <c r="AY17" s="14" t="s">
        <v>3589</v>
      </c>
      <c r="AZ17" s="20" t="s">
        <v>610</v>
      </c>
      <c r="BA17" s="20" t="s">
        <v>3589</v>
      </c>
      <c r="BB17" s="20" t="s">
        <v>611</v>
      </c>
      <c r="BC17" s="20" t="s">
        <v>3589</v>
      </c>
      <c r="BD17" s="20"/>
      <c r="BE17" s="20"/>
      <c r="BF17" s="20"/>
      <c r="BG17" s="20"/>
      <c r="BH17" s="20"/>
      <c r="BI17" s="20"/>
      <c r="BJ17" s="263" t="s">
        <v>3251</v>
      </c>
      <c r="BK17" s="264" t="s">
        <v>4998</v>
      </c>
      <c r="BL17" s="264" t="s">
        <v>4991</v>
      </c>
      <c r="BM17" s="264" t="s">
        <v>5032</v>
      </c>
      <c r="BN17" s="264" t="s">
        <v>5033</v>
      </c>
      <c r="BO17" s="264" t="s">
        <v>3419</v>
      </c>
    </row>
    <row r="18" spans="1:70" ht="36.6">
      <c r="A18" s="322" t="s">
        <v>4973</v>
      </c>
      <c r="B18" s="322" t="s">
        <v>5034</v>
      </c>
      <c r="C18" s="14" t="s">
        <v>5035</v>
      </c>
      <c r="D18" s="15" t="s">
        <v>5031</v>
      </c>
      <c r="E18" s="13">
        <v>2021</v>
      </c>
      <c r="F18" s="13">
        <v>2021</v>
      </c>
      <c r="G18" s="13">
        <v>6</v>
      </c>
      <c r="H18" s="15" t="s">
        <v>4986</v>
      </c>
      <c r="I18" s="362">
        <f t="shared" si="0"/>
        <v>15300000</v>
      </c>
      <c r="J18" s="453">
        <v>15300000</v>
      </c>
      <c r="K18" s="13">
        <v>7</v>
      </c>
      <c r="L18" s="15" t="s">
        <v>4978</v>
      </c>
      <c r="M18" s="14" t="s">
        <v>3223</v>
      </c>
      <c r="N18" s="13" t="s">
        <v>3215</v>
      </c>
      <c r="O18" s="15" t="s">
        <v>4951</v>
      </c>
      <c r="P18" s="23" t="s">
        <v>5854</v>
      </c>
      <c r="Q18" s="109">
        <f>Table6[[#This Row],[Dana Disetujui]]</f>
        <v>15300000</v>
      </c>
      <c r="R18" s="15" t="s">
        <v>3216</v>
      </c>
      <c r="S18" s="6" t="s">
        <v>40</v>
      </c>
      <c r="T18" s="109">
        <f>Table6[[#This Row],[Dana Disetujui]]</f>
        <v>15300000</v>
      </c>
      <c r="U18" s="15" t="s">
        <v>3216</v>
      </c>
      <c r="V18" s="6" t="s">
        <v>11</v>
      </c>
      <c r="W18" s="109">
        <f>Table6[[#This Row],[Dana Disetujui]]</f>
        <v>15300000</v>
      </c>
      <c r="X18" s="15" t="s">
        <v>3216</v>
      </c>
      <c r="Y18" s="15"/>
      <c r="Z18" s="189"/>
      <c r="AA18" s="19"/>
      <c r="AB18" s="15"/>
      <c r="AC18" s="189"/>
      <c r="AD18" s="19"/>
      <c r="AE18" s="19"/>
      <c r="AF18" s="189"/>
      <c r="AG18" s="19"/>
      <c r="AH18" s="19"/>
      <c r="AI18" s="189"/>
      <c r="AJ18" s="19"/>
      <c r="AK18" s="19"/>
      <c r="AL18" s="19"/>
      <c r="AM18" s="19"/>
      <c r="AN18" s="19"/>
      <c r="AO18" s="19"/>
      <c r="AP18" s="19"/>
      <c r="AQ18" s="19"/>
      <c r="AR18" s="141" t="s">
        <v>3190</v>
      </c>
      <c r="AS18" s="141" t="s">
        <v>3191</v>
      </c>
      <c r="AT18" s="15" t="s">
        <v>354</v>
      </c>
      <c r="AU18" s="14"/>
      <c r="AV18" s="15" t="s">
        <v>355</v>
      </c>
      <c r="AW18" s="14"/>
      <c r="AX18" s="15"/>
      <c r="AY18" s="14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63" t="s">
        <v>3251</v>
      </c>
      <c r="BK18" s="264" t="s">
        <v>4981</v>
      </c>
      <c r="BL18" s="264" t="s">
        <v>4991</v>
      </c>
      <c r="BM18" s="264" t="s">
        <v>5036</v>
      </c>
      <c r="BN18" s="264" t="s">
        <v>3684</v>
      </c>
      <c r="BO18" s="264" t="s">
        <v>3092</v>
      </c>
    </row>
    <row r="19" spans="1:70" ht="36.6">
      <c r="A19" s="322" t="s">
        <v>5037</v>
      </c>
      <c r="B19" s="322" t="s">
        <v>5038</v>
      </c>
      <c r="C19" s="14" t="s">
        <v>5039</v>
      </c>
      <c r="D19" s="13" t="s">
        <v>5040</v>
      </c>
      <c r="E19" s="13">
        <v>2021</v>
      </c>
      <c r="F19" s="13">
        <v>2021</v>
      </c>
      <c r="G19" s="13">
        <v>6</v>
      </c>
      <c r="H19" s="15" t="s">
        <v>4986</v>
      </c>
      <c r="I19" s="362">
        <f t="shared" si="0"/>
        <v>20000000</v>
      </c>
      <c r="J19" s="453">
        <v>20000000</v>
      </c>
      <c r="K19" s="13">
        <v>7</v>
      </c>
      <c r="L19" s="15" t="s">
        <v>4978</v>
      </c>
      <c r="M19" s="14" t="s">
        <v>3223</v>
      </c>
      <c r="N19" s="13" t="s">
        <v>3215</v>
      </c>
      <c r="O19" s="15" t="s">
        <v>4951</v>
      </c>
      <c r="P19" s="23" t="s">
        <v>5855</v>
      </c>
      <c r="Q19" s="109">
        <f>Table6[[#This Row],[Dana Disetujui]]</f>
        <v>20000000</v>
      </c>
      <c r="R19" s="15" t="s">
        <v>3216</v>
      </c>
      <c r="S19" s="15" t="s">
        <v>19</v>
      </c>
      <c r="T19" s="109">
        <f>Table6[[#This Row],[Dana Disetujui]]</f>
        <v>20000000</v>
      </c>
      <c r="U19" s="15" t="s">
        <v>3216</v>
      </c>
      <c r="V19" s="15" t="s">
        <v>85</v>
      </c>
      <c r="W19" s="109">
        <f>Table6[[#This Row],[Dana Disetujui]]</f>
        <v>20000000</v>
      </c>
      <c r="X19" s="15" t="s">
        <v>3216</v>
      </c>
      <c r="Y19" s="6" t="s">
        <v>3231</v>
      </c>
      <c r="Z19" s="109">
        <f>Table6[[#This Row],[Dana Disetujui]]</f>
        <v>20000000</v>
      </c>
      <c r="AA19" s="15" t="s">
        <v>3216</v>
      </c>
      <c r="AB19" s="15" t="s">
        <v>20</v>
      </c>
      <c r="AC19" s="109">
        <f>Table6[[#This Row],[Dana Disetujui]]</f>
        <v>20000000</v>
      </c>
      <c r="AD19" s="15" t="s">
        <v>3216</v>
      </c>
      <c r="AE19" s="19"/>
      <c r="AF19" s="189"/>
      <c r="AG19" s="19"/>
      <c r="AH19" s="19"/>
      <c r="AI19" s="58"/>
      <c r="AJ19" s="19"/>
      <c r="AK19" s="19"/>
      <c r="AL19" s="19"/>
      <c r="AM19" s="19"/>
      <c r="AN19" s="19"/>
      <c r="AO19" s="19"/>
      <c r="AP19" s="19"/>
      <c r="AQ19" s="19"/>
      <c r="AR19" s="141" t="s">
        <v>3190</v>
      </c>
      <c r="AS19" s="141" t="s">
        <v>3191</v>
      </c>
      <c r="AT19" s="15" t="s">
        <v>1082</v>
      </c>
      <c r="AU19" s="14"/>
      <c r="AV19" s="15" t="s">
        <v>1118</v>
      </c>
      <c r="AW19" s="14"/>
      <c r="AX19" s="15" t="s">
        <v>5041</v>
      </c>
      <c r="AY19" s="14"/>
      <c r="AZ19" s="20" t="s">
        <v>5042</v>
      </c>
      <c r="BA19" s="20"/>
      <c r="BB19" s="20" t="s">
        <v>550</v>
      </c>
      <c r="BC19" s="20"/>
      <c r="BD19" s="20" t="s">
        <v>3068</v>
      </c>
      <c r="BE19" s="20"/>
      <c r="BF19" s="20" t="s">
        <v>5043</v>
      </c>
      <c r="BG19" s="20"/>
      <c r="BH19" s="20" t="s">
        <v>3588</v>
      </c>
      <c r="BI19" s="20"/>
      <c r="BJ19" s="263" t="s">
        <v>3061</v>
      </c>
      <c r="BK19" s="264" t="s">
        <v>4981</v>
      </c>
      <c r="BL19" s="264" t="s">
        <v>5009</v>
      </c>
      <c r="BM19" s="264" t="s">
        <v>5044</v>
      </c>
      <c r="BN19" s="265" t="s">
        <v>942</v>
      </c>
      <c r="BO19" s="264" t="s">
        <v>3739</v>
      </c>
    </row>
    <row r="20" spans="1:70" ht="36">
      <c r="A20" s="322" t="s">
        <v>5045</v>
      </c>
      <c r="B20" s="322" t="s">
        <v>5046</v>
      </c>
      <c r="C20" s="14" t="s">
        <v>5047</v>
      </c>
      <c r="D20" s="13" t="s">
        <v>5040</v>
      </c>
      <c r="E20" s="13">
        <v>2021</v>
      </c>
      <c r="F20" s="13">
        <v>2021</v>
      </c>
      <c r="G20" s="13">
        <v>3</v>
      </c>
      <c r="H20" s="15" t="s">
        <v>4986</v>
      </c>
      <c r="I20" s="362">
        <f t="shared" si="0"/>
        <v>40000000</v>
      </c>
      <c r="J20" s="453">
        <v>40000000</v>
      </c>
      <c r="K20" s="13">
        <v>7</v>
      </c>
      <c r="L20" s="15" t="s">
        <v>4978</v>
      </c>
      <c r="M20" s="14" t="s">
        <v>3223</v>
      </c>
      <c r="N20" s="13" t="s">
        <v>3215</v>
      </c>
      <c r="O20" s="15" t="s">
        <v>4951</v>
      </c>
      <c r="P20" s="23" t="s">
        <v>5856</v>
      </c>
      <c r="Q20" s="109">
        <f>Table6[[#This Row],[Dana Disetujui]]</f>
        <v>40000000</v>
      </c>
      <c r="R20" s="15" t="s">
        <v>3216</v>
      </c>
      <c r="S20" s="6" t="s">
        <v>18</v>
      </c>
      <c r="T20" s="109">
        <f>Table6[[#This Row],[Dana Disetujui]]</f>
        <v>40000000</v>
      </c>
      <c r="U20" s="15" t="s">
        <v>3216</v>
      </c>
      <c r="V20" s="6" t="s">
        <v>17</v>
      </c>
      <c r="W20" s="109">
        <f>Table6[[#This Row],[Dana Disetujui]]</f>
        <v>40000000</v>
      </c>
      <c r="X20" s="15" t="s">
        <v>3216</v>
      </c>
      <c r="Y20" s="6" t="s">
        <v>57</v>
      </c>
      <c r="Z20" s="109">
        <f>Table6[[#This Row],[Dana Disetujui]]</f>
        <v>40000000</v>
      </c>
      <c r="AA20" s="15" t="s">
        <v>3216</v>
      </c>
      <c r="AB20" s="15"/>
      <c r="AC20" s="189"/>
      <c r="AD20" s="19"/>
      <c r="AE20" s="19"/>
      <c r="AF20" s="189"/>
      <c r="AG20" s="19"/>
      <c r="AH20" s="19"/>
      <c r="AI20" s="189"/>
      <c r="AJ20" s="19"/>
      <c r="AK20" s="19"/>
      <c r="AL20" s="19"/>
      <c r="AM20" s="19"/>
      <c r="AN20" s="19"/>
      <c r="AO20" s="19"/>
      <c r="AP20" s="19"/>
      <c r="AQ20" s="19"/>
      <c r="AR20" s="141" t="s">
        <v>3190</v>
      </c>
      <c r="AS20" s="141" t="s">
        <v>3191</v>
      </c>
      <c r="AT20" s="15" t="s">
        <v>5048</v>
      </c>
      <c r="AU20" s="14" t="s">
        <v>3713</v>
      </c>
      <c r="AV20" s="15" t="s">
        <v>3067</v>
      </c>
      <c r="AW20" s="14" t="s">
        <v>3713</v>
      </c>
      <c r="AX20" s="15" t="s">
        <v>5049</v>
      </c>
      <c r="AY20" s="14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66" t="s">
        <v>942</v>
      </c>
      <c r="BK20" s="264" t="s">
        <v>4981</v>
      </c>
      <c r="BL20" s="265" t="s">
        <v>942</v>
      </c>
      <c r="BM20" s="264" t="s">
        <v>5021</v>
      </c>
      <c r="BN20" s="264" t="s">
        <v>3739</v>
      </c>
      <c r="BO20" s="264" t="s">
        <v>3739</v>
      </c>
    </row>
    <row r="21" spans="1:70" ht="36">
      <c r="A21" s="322" t="s">
        <v>5045</v>
      </c>
      <c r="B21" s="322" t="s">
        <v>5050</v>
      </c>
      <c r="C21" s="14" t="s">
        <v>5051</v>
      </c>
      <c r="D21" s="13" t="s">
        <v>5040</v>
      </c>
      <c r="E21" s="13">
        <v>2021</v>
      </c>
      <c r="F21" s="13">
        <v>2021</v>
      </c>
      <c r="G21" s="13">
        <v>3</v>
      </c>
      <c r="H21" s="15" t="s">
        <v>4986</v>
      </c>
      <c r="I21" s="362">
        <f t="shared" si="0"/>
        <v>40000000</v>
      </c>
      <c r="J21" s="453">
        <v>40000000</v>
      </c>
      <c r="K21" s="13">
        <v>7</v>
      </c>
      <c r="L21" s="15" t="s">
        <v>4978</v>
      </c>
      <c r="M21" s="14" t="s">
        <v>3223</v>
      </c>
      <c r="N21" s="13" t="s">
        <v>3215</v>
      </c>
      <c r="O21" s="15" t="s">
        <v>4951</v>
      </c>
      <c r="P21" s="23" t="s">
        <v>5851</v>
      </c>
      <c r="Q21" s="109">
        <f>Table6[[#This Row],[Dana Disetujui]]</f>
        <v>40000000</v>
      </c>
      <c r="R21" s="15" t="s">
        <v>3216</v>
      </c>
      <c r="S21" s="6" t="s">
        <v>18</v>
      </c>
      <c r="T21" s="109">
        <f>Table6[[#This Row],[Dana Disetujui]]</f>
        <v>40000000</v>
      </c>
      <c r="U21" s="15" t="s">
        <v>3216</v>
      </c>
      <c r="V21" s="6" t="s">
        <v>6</v>
      </c>
      <c r="W21" s="109">
        <f>Table6[[#This Row],[Dana Disetujui]]</f>
        <v>40000000</v>
      </c>
      <c r="X21" s="15" t="s">
        <v>3216</v>
      </c>
      <c r="Y21" s="15" t="s">
        <v>5052</v>
      </c>
      <c r="Z21" s="109">
        <f>Table6[[#This Row],[Dana Disetujui]]</f>
        <v>40000000</v>
      </c>
      <c r="AA21" s="15" t="s">
        <v>3216</v>
      </c>
      <c r="AB21" s="15"/>
      <c r="AC21" s="189"/>
      <c r="AD21" s="19"/>
      <c r="AE21" s="19"/>
      <c r="AF21" s="189"/>
      <c r="AG21" s="19"/>
      <c r="AH21" s="19"/>
      <c r="AI21" s="189"/>
      <c r="AJ21" s="19"/>
      <c r="AK21" s="19"/>
      <c r="AL21" s="19"/>
      <c r="AM21" s="19"/>
      <c r="AN21" s="19"/>
      <c r="AO21" s="19"/>
      <c r="AP21" s="19"/>
      <c r="AQ21" s="19"/>
      <c r="AR21" s="141" t="s">
        <v>3190</v>
      </c>
      <c r="AS21" s="141" t="s">
        <v>3191</v>
      </c>
      <c r="AT21" s="15" t="s">
        <v>1659</v>
      </c>
      <c r="AU21" s="14" t="s">
        <v>3737</v>
      </c>
      <c r="AV21" s="15" t="s">
        <v>5053</v>
      </c>
      <c r="AW21" s="14" t="s">
        <v>3737</v>
      </c>
      <c r="AX21" s="15" t="s">
        <v>5054</v>
      </c>
      <c r="AY21" s="14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66" t="s">
        <v>942</v>
      </c>
      <c r="BK21" s="264" t="s">
        <v>4998</v>
      </c>
      <c r="BL21" s="265" t="s">
        <v>942</v>
      </c>
      <c r="BM21" s="264" t="s">
        <v>3739</v>
      </c>
      <c r="BN21" s="264" t="s">
        <v>3739</v>
      </c>
      <c r="BO21" s="264" t="s">
        <v>3739</v>
      </c>
    </row>
    <row r="22" spans="1:70" ht="48">
      <c r="A22" s="322" t="s">
        <v>5045</v>
      </c>
      <c r="B22" s="322" t="s">
        <v>5055</v>
      </c>
      <c r="C22" s="14" t="s">
        <v>5056</v>
      </c>
      <c r="D22" s="13" t="s">
        <v>5040</v>
      </c>
      <c r="E22" s="13">
        <v>2021</v>
      </c>
      <c r="F22" s="13">
        <v>2021</v>
      </c>
      <c r="G22" s="13">
        <v>3</v>
      </c>
      <c r="H22" s="15" t="s">
        <v>4986</v>
      </c>
      <c r="I22" s="362">
        <f>J22</f>
        <v>40000000</v>
      </c>
      <c r="J22" s="453">
        <v>40000000</v>
      </c>
      <c r="K22" s="13">
        <v>7</v>
      </c>
      <c r="L22" s="15" t="s">
        <v>4978</v>
      </c>
      <c r="M22" s="14" t="s">
        <v>5844</v>
      </c>
      <c r="N22" s="13" t="s">
        <v>3215</v>
      </c>
      <c r="O22" s="15" t="s">
        <v>4951</v>
      </c>
      <c r="P22" s="23" t="s">
        <v>5857</v>
      </c>
      <c r="Q22" s="109">
        <f>Table6[[#This Row],[Dana Disetujui]]</f>
        <v>40000000</v>
      </c>
      <c r="R22" s="15" t="s">
        <v>3216</v>
      </c>
      <c r="S22" s="6" t="s">
        <v>18</v>
      </c>
      <c r="T22" s="109">
        <f>Table6[[#This Row],[Dana Disetujui]]</f>
        <v>40000000</v>
      </c>
      <c r="U22" s="15" t="s">
        <v>3216</v>
      </c>
      <c r="V22" s="15" t="s">
        <v>5057</v>
      </c>
      <c r="W22" s="109">
        <f>Table6[[#This Row],[Dana Disetujui]]</f>
        <v>40000000</v>
      </c>
      <c r="X22" s="15" t="s">
        <v>3216</v>
      </c>
      <c r="Y22" s="6" t="s">
        <v>89</v>
      </c>
      <c r="Z22" s="109">
        <f>Table6[[#This Row],[Dana Disetujui]]</f>
        <v>40000000</v>
      </c>
      <c r="AA22" s="15" t="s">
        <v>3216</v>
      </c>
      <c r="AB22" s="15" t="s">
        <v>165</v>
      </c>
      <c r="AC22" s="109">
        <f>Table6[[#This Row],[Dana Disetujui]]</f>
        <v>40000000</v>
      </c>
      <c r="AD22" s="15" t="s">
        <v>3216</v>
      </c>
      <c r="AE22" s="19"/>
      <c r="AF22" s="189"/>
      <c r="AG22" s="19"/>
      <c r="AH22" s="19"/>
      <c r="AI22" s="58"/>
      <c r="AJ22" s="19"/>
      <c r="AK22" s="19"/>
      <c r="AL22" s="19"/>
      <c r="AM22" s="19"/>
      <c r="AN22" s="19"/>
      <c r="AO22" s="19"/>
      <c r="AP22" s="19"/>
      <c r="AQ22" s="19"/>
      <c r="AR22" s="141" t="s">
        <v>3190</v>
      </c>
      <c r="AS22" s="141" t="s">
        <v>3191</v>
      </c>
      <c r="AT22" s="15" t="s">
        <v>5058</v>
      </c>
      <c r="AU22" s="14"/>
      <c r="AV22" s="15" t="s">
        <v>3122</v>
      </c>
      <c r="AW22" s="14" t="s">
        <v>3589</v>
      </c>
      <c r="AX22" s="15" t="s">
        <v>5059</v>
      </c>
      <c r="AY22" s="14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66" t="s">
        <v>942</v>
      </c>
      <c r="BK22" s="264" t="s">
        <v>4998</v>
      </c>
      <c r="BL22" s="265" t="s">
        <v>942</v>
      </c>
      <c r="BM22" s="264" t="s">
        <v>3739</v>
      </c>
      <c r="BN22" s="264" t="s">
        <v>3739</v>
      </c>
      <c r="BO22" s="264" t="s">
        <v>3739</v>
      </c>
      <c r="BP22" s="107"/>
      <c r="BQ22" s="107"/>
      <c r="BR22" s="107"/>
    </row>
    <row r="23" spans="1:70" ht="34.5" customHeight="1">
      <c r="A23" s="322" t="s">
        <v>5045</v>
      </c>
      <c r="B23" s="329" t="s">
        <v>5055</v>
      </c>
      <c r="C23" s="103" t="s">
        <v>5060</v>
      </c>
      <c r="D23" s="102" t="s">
        <v>5040</v>
      </c>
      <c r="E23" s="102">
        <v>2021</v>
      </c>
      <c r="F23" s="102">
        <v>2021</v>
      </c>
      <c r="G23" s="102">
        <v>3</v>
      </c>
      <c r="H23" s="15" t="s">
        <v>4986</v>
      </c>
      <c r="I23" s="479">
        <f t="shared" si="0"/>
        <v>450000000</v>
      </c>
      <c r="J23" s="455">
        <v>450000000</v>
      </c>
      <c r="K23" s="13">
        <v>7</v>
      </c>
      <c r="L23" s="15" t="s">
        <v>4978</v>
      </c>
      <c r="M23" s="14" t="s">
        <v>3223</v>
      </c>
      <c r="N23" s="102" t="s">
        <v>3215</v>
      </c>
      <c r="O23" s="15" t="s">
        <v>4951</v>
      </c>
      <c r="P23" s="105" t="s">
        <v>5855</v>
      </c>
      <c r="Q23" s="109">
        <f>Table6[[#This Row],[Dana Disetujui]]</f>
        <v>450000000</v>
      </c>
      <c r="R23" s="104" t="s">
        <v>3216</v>
      </c>
      <c r="S23" s="104" t="s">
        <v>29</v>
      </c>
      <c r="T23" s="109">
        <f>Table6[[#This Row],[Dana Disetujui]]</f>
        <v>450000000</v>
      </c>
      <c r="U23" s="15" t="s">
        <v>3216</v>
      </c>
      <c r="V23" s="104" t="s">
        <v>30</v>
      </c>
      <c r="W23" s="109">
        <f>Table6[[#This Row],[Dana Disetujui]]</f>
        <v>450000000</v>
      </c>
      <c r="X23" s="212"/>
      <c r="Y23" s="104"/>
      <c r="Z23" s="109">
        <f>Table6[[#This Row],[Dana Disetujui]]</f>
        <v>450000000</v>
      </c>
      <c r="AA23" s="212"/>
      <c r="AB23" s="104"/>
      <c r="AC23" s="212"/>
      <c r="AD23" s="212"/>
      <c r="AE23" s="212"/>
      <c r="AF23" s="189"/>
      <c r="AG23" s="212"/>
      <c r="AH23" s="212"/>
      <c r="AI23" s="212"/>
      <c r="AJ23" s="212"/>
      <c r="AK23" s="212"/>
      <c r="AL23" s="212"/>
      <c r="AM23" s="212"/>
      <c r="AN23" s="212"/>
      <c r="AO23" s="212"/>
      <c r="AP23" s="212"/>
      <c r="AQ23" s="212"/>
      <c r="AR23" s="141" t="s">
        <v>3190</v>
      </c>
      <c r="AS23" s="141" t="s">
        <v>3191</v>
      </c>
      <c r="AT23" s="104" t="s">
        <v>3261</v>
      </c>
      <c r="AU23" s="103"/>
      <c r="AV23" s="104" t="s">
        <v>1835</v>
      </c>
      <c r="AW23" s="103" t="s">
        <v>3737</v>
      </c>
      <c r="AX23" s="104" t="s">
        <v>2303</v>
      </c>
      <c r="AY23" s="103"/>
      <c r="AZ23" s="214"/>
      <c r="BA23" s="214"/>
      <c r="BB23" s="214"/>
      <c r="BC23" s="214"/>
      <c r="BD23" s="214"/>
      <c r="BE23" s="214"/>
      <c r="BF23" s="214"/>
      <c r="BG23" s="214"/>
      <c r="BH23" s="214"/>
      <c r="BI23" s="214"/>
      <c r="BJ23" s="267" t="s">
        <v>3739</v>
      </c>
      <c r="BK23" s="268" t="s">
        <v>4981</v>
      </c>
      <c r="BL23" s="268" t="s">
        <v>5009</v>
      </c>
      <c r="BM23" s="268" t="s">
        <v>5061</v>
      </c>
      <c r="BN23" s="268" t="s">
        <v>3739</v>
      </c>
      <c r="BO23" s="268" t="s">
        <v>3739</v>
      </c>
    </row>
    <row r="24" spans="1:70" ht="36">
      <c r="A24" s="322" t="s">
        <v>5045</v>
      </c>
      <c r="B24" s="322" t="s">
        <v>5062</v>
      </c>
      <c r="C24" s="14" t="s">
        <v>5063</v>
      </c>
      <c r="D24" s="13" t="s">
        <v>5040</v>
      </c>
      <c r="E24" s="13">
        <v>2021</v>
      </c>
      <c r="F24" s="13">
        <v>2021</v>
      </c>
      <c r="G24" s="13">
        <v>3</v>
      </c>
      <c r="H24" s="15" t="s">
        <v>4986</v>
      </c>
      <c r="I24" s="362">
        <f t="shared" si="0"/>
        <v>40000000</v>
      </c>
      <c r="J24" s="453">
        <v>40000000</v>
      </c>
      <c r="K24" s="13">
        <v>7</v>
      </c>
      <c r="L24" s="15" t="s">
        <v>4978</v>
      </c>
      <c r="M24" s="14" t="s">
        <v>3223</v>
      </c>
      <c r="N24" s="13" t="s">
        <v>3215</v>
      </c>
      <c r="O24" s="15" t="s">
        <v>4951</v>
      </c>
      <c r="P24" s="23" t="s">
        <v>5858</v>
      </c>
      <c r="Q24" s="109">
        <f>Table6[[#This Row],[Dana Disetujui]]</f>
        <v>40000000</v>
      </c>
      <c r="R24" s="15" t="s">
        <v>3216</v>
      </c>
      <c r="S24" s="15" t="s">
        <v>20</v>
      </c>
      <c r="T24" s="109">
        <f>Table6[[#This Row],[Dana Disetujui]]</f>
        <v>40000000</v>
      </c>
      <c r="U24" s="15" t="s">
        <v>3216</v>
      </c>
      <c r="V24" s="6" t="s">
        <v>89</v>
      </c>
      <c r="W24" s="109">
        <f>Table6[[#This Row],[Dana Disetujui]]</f>
        <v>40000000</v>
      </c>
      <c r="X24" s="19"/>
      <c r="Y24" s="15" t="s">
        <v>24</v>
      </c>
      <c r="Z24" s="109">
        <f>Table6[[#This Row],[Dana Disetujui]]</f>
        <v>40000000</v>
      </c>
      <c r="AA24" s="15" t="s">
        <v>3216</v>
      </c>
      <c r="AB24" s="15"/>
      <c r="AC24" s="189"/>
      <c r="AD24" s="19"/>
      <c r="AE24" s="19"/>
      <c r="AF24" s="189"/>
      <c r="AG24" s="19"/>
      <c r="AH24" s="19"/>
      <c r="AI24" s="189"/>
      <c r="AJ24" s="19"/>
      <c r="AK24" s="19"/>
      <c r="AL24" s="19"/>
      <c r="AM24" s="19"/>
      <c r="AN24" s="19"/>
      <c r="AO24" s="19"/>
      <c r="AP24" s="19"/>
      <c r="AQ24" s="19"/>
      <c r="AR24" s="141" t="s">
        <v>3190</v>
      </c>
      <c r="AS24" s="141" t="s">
        <v>3191</v>
      </c>
      <c r="AT24" s="15" t="s">
        <v>355</v>
      </c>
      <c r="AU24" s="14"/>
      <c r="AV24" s="15" t="s">
        <v>5064</v>
      </c>
      <c r="AW24" s="14"/>
      <c r="AX24" s="15"/>
      <c r="AY24" s="14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63" t="s">
        <v>3739</v>
      </c>
      <c r="BK24" s="264" t="s">
        <v>3739</v>
      </c>
      <c r="BL24" s="264" t="s">
        <v>3739</v>
      </c>
      <c r="BM24" s="264" t="s">
        <v>3739</v>
      </c>
      <c r="BN24" s="264" t="s">
        <v>3739</v>
      </c>
      <c r="BO24" s="264" t="s">
        <v>3739</v>
      </c>
    </row>
    <row r="25" spans="1:70" ht="36">
      <c r="A25" s="322" t="s">
        <v>5065</v>
      </c>
      <c r="B25" s="15" t="s">
        <v>942</v>
      </c>
      <c r="C25" s="336" t="s">
        <v>5066</v>
      </c>
      <c r="D25" s="15" t="s">
        <v>5067</v>
      </c>
      <c r="E25" s="13">
        <v>2021</v>
      </c>
      <c r="F25" s="13">
        <v>2021</v>
      </c>
      <c r="G25" s="13">
        <v>5</v>
      </c>
      <c r="H25" s="15" t="s">
        <v>4977</v>
      </c>
      <c r="I25" s="362">
        <f t="shared" si="0"/>
        <v>48800000</v>
      </c>
      <c r="J25" s="453">
        <v>48800000</v>
      </c>
      <c r="K25" s="13">
        <v>7</v>
      </c>
      <c r="L25" s="15" t="s">
        <v>4978</v>
      </c>
      <c r="M25" s="555" t="s">
        <v>3077</v>
      </c>
      <c r="N25" s="13"/>
      <c r="O25" s="15" t="s">
        <v>4972</v>
      </c>
      <c r="P25" s="23" t="s">
        <v>5859</v>
      </c>
      <c r="Q25" s="109">
        <f>Table6[[#This Row],[Dana Disetujui]]</f>
        <v>48800000</v>
      </c>
      <c r="R25" s="15" t="s">
        <v>3216</v>
      </c>
      <c r="S25" s="17" t="s">
        <v>1157</v>
      </c>
      <c r="T25" s="109">
        <f>Table6[[#This Row],[Dana Disetujui]]</f>
        <v>48800000</v>
      </c>
      <c r="U25" s="15"/>
      <c r="V25" s="15" t="s">
        <v>85</v>
      </c>
      <c r="W25" s="109">
        <f>Table6[[#This Row],[Dana Disetujui]]</f>
        <v>48800000</v>
      </c>
      <c r="X25" s="15" t="s">
        <v>3216</v>
      </c>
      <c r="Y25" s="15"/>
      <c r="Z25" s="189"/>
      <c r="AA25" s="19"/>
      <c r="AB25" s="15"/>
      <c r="AC25" s="189"/>
      <c r="AD25" s="19"/>
      <c r="AE25" s="19"/>
      <c r="AF25" s="189"/>
      <c r="AG25" s="19"/>
      <c r="AH25" s="19"/>
      <c r="AI25" s="189"/>
      <c r="AJ25" s="19"/>
      <c r="AK25" s="19"/>
      <c r="AL25" s="19"/>
      <c r="AM25" s="19"/>
      <c r="AN25" s="19"/>
      <c r="AO25" s="19"/>
      <c r="AP25" s="19"/>
      <c r="AQ25" s="19"/>
      <c r="AR25" s="142" t="s">
        <v>3190</v>
      </c>
      <c r="AS25" s="142" t="s">
        <v>3191</v>
      </c>
      <c r="AT25" s="15"/>
      <c r="AU25" s="14"/>
      <c r="AV25" s="15"/>
      <c r="AW25" s="14"/>
      <c r="AX25" s="15"/>
      <c r="AY25" s="14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63" t="s">
        <v>3739</v>
      </c>
      <c r="BK25" s="264" t="s">
        <v>3739</v>
      </c>
      <c r="BL25" s="264" t="s">
        <v>3739</v>
      </c>
      <c r="BM25" s="264" t="s">
        <v>3739</v>
      </c>
      <c r="BN25" s="264" t="s">
        <v>3739</v>
      </c>
      <c r="BO25" s="264" t="s">
        <v>3739</v>
      </c>
    </row>
    <row r="26" spans="1:70" ht="36">
      <c r="A26" s="322" t="s">
        <v>5068</v>
      </c>
      <c r="B26" s="322" t="s">
        <v>5069</v>
      </c>
      <c r="C26" s="14" t="s">
        <v>5070</v>
      </c>
      <c r="D26" s="13" t="s">
        <v>4976</v>
      </c>
      <c r="E26" s="13">
        <v>2021</v>
      </c>
      <c r="F26" s="13">
        <v>2021</v>
      </c>
      <c r="G26" s="13">
        <v>5</v>
      </c>
      <c r="H26" s="15" t="s">
        <v>4977</v>
      </c>
      <c r="I26" s="362">
        <f t="shared" si="0"/>
        <v>3456000</v>
      </c>
      <c r="J26" s="453">
        <v>3456000</v>
      </c>
      <c r="K26" s="13">
        <v>7</v>
      </c>
      <c r="L26" s="15" t="s">
        <v>4978</v>
      </c>
      <c r="M26" s="14" t="s">
        <v>3223</v>
      </c>
      <c r="N26" s="13"/>
      <c r="O26" s="15" t="s">
        <v>4951</v>
      </c>
      <c r="P26" s="23" t="s">
        <v>5841</v>
      </c>
      <c r="Q26" s="109">
        <f>Table6[[#This Row],[Dana Disetujui]]</f>
        <v>3456000</v>
      </c>
      <c r="R26" s="15" t="s">
        <v>3216</v>
      </c>
      <c r="S26" s="202" t="s">
        <v>27</v>
      </c>
      <c r="T26" s="109">
        <f>Table6[[#This Row],[Dana Disetujui]]</f>
        <v>3456000</v>
      </c>
      <c r="U26" s="15" t="s">
        <v>3216</v>
      </c>
      <c r="V26" s="15"/>
      <c r="W26" s="109"/>
      <c r="X26" s="19"/>
      <c r="Y26" s="15"/>
      <c r="Z26" s="189"/>
      <c r="AA26" s="19"/>
      <c r="AB26" s="15"/>
      <c r="AC26" s="189"/>
      <c r="AD26" s="19"/>
      <c r="AE26" s="19"/>
      <c r="AF26" s="189"/>
      <c r="AG26" s="19"/>
      <c r="AH26" s="19"/>
      <c r="AI26" s="189"/>
      <c r="AJ26" s="19"/>
      <c r="AK26" s="19"/>
      <c r="AL26" s="19"/>
      <c r="AM26" s="19"/>
      <c r="AN26" s="19"/>
      <c r="AO26" s="19"/>
      <c r="AP26" s="19"/>
      <c r="AQ26" s="19"/>
      <c r="AR26" s="141" t="s">
        <v>3190</v>
      </c>
      <c r="AS26" s="141" t="s">
        <v>3191</v>
      </c>
      <c r="AT26" s="15" t="s">
        <v>550</v>
      </c>
      <c r="AU26" s="14"/>
      <c r="AV26" s="15" t="s">
        <v>5072</v>
      </c>
      <c r="AW26" s="14"/>
      <c r="AX26" s="15"/>
      <c r="AY26" s="14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63" t="s">
        <v>3739</v>
      </c>
      <c r="BK26" s="264" t="s">
        <v>4981</v>
      </c>
      <c r="BL26" s="264" t="s">
        <v>5009</v>
      </c>
      <c r="BM26" s="264" t="s">
        <v>5073</v>
      </c>
      <c r="BN26" s="264" t="s">
        <v>3739</v>
      </c>
      <c r="BO26" s="264" t="s">
        <v>3739</v>
      </c>
    </row>
    <row r="27" spans="1:70" ht="36">
      <c r="A27" s="322" t="s">
        <v>5068</v>
      </c>
      <c r="B27" s="322" t="s">
        <v>5074</v>
      </c>
      <c r="C27" s="14" t="s">
        <v>5075</v>
      </c>
      <c r="D27" s="13" t="s">
        <v>4976</v>
      </c>
      <c r="E27" s="13">
        <v>2021</v>
      </c>
      <c r="F27" s="13">
        <v>2021</v>
      </c>
      <c r="G27" s="13">
        <v>5</v>
      </c>
      <c r="H27" s="15" t="s">
        <v>4977</v>
      </c>
      <c r="I27" s="362">
        <f t="shared" si="0"/>
        <v>1000000</v>
      </c>
      <c r="J27" s="453">
        <v>1000000</v>
      </c>
      <c r="K27" s="13">
        <v>7</v>
      </c>
      <c r="L27" s="15" t="s">
        <v>4978</v>
      </c>
      <c r="M27" s="14" t="s">
        <v>3223</v>
      </c>
      <c r="N27" s="13"/>
      <c r="O27" s="15" t="s">
        <v>4951</v>
      </c>
      <c r="P27" s="23" t="s">
        <v>5860</v>
      </c>
      <c r="Q27" s="109">
        <f>Table6[[#This Row],[Dana Disetujui]]</f>
        <v>1000000</v>
      </c>
      <c r="R27" s="15" t="s">
        <v>3216</v>
      </c>
      <c r="S27" s="202" t="s">
        <v>10</v>
      </c>
      <c r="T27" s="109">
        <f>Table6[[#This Row],[Dana Disetujui]]</f>
        <v>1000000</v>
      </c>
      <c r="U27" s="15" t="s">
        <v>3216</v>
      </c>
      <c r="V27" s="15"/>
      <c r="W27" s="109"/>
      <c r="X27" s="19"/>
      <c r="Y27" s="15"/>
      <c r="Z27" s="189"/>
      <c r="AA27" s="19"/>
      <c r="AB27" s="15"/>
      <c r="AC27" s="189"/>
      <c r="AD27" s="19"/>
      <c r="AE27" s="19"/>
      <c r="AF27" s="189"/>
      <c r="AG27" s="19"/>
      <c r="AH27" s="19"/>
      <c r="AI27" s="189"/>
      <c r="AJ27" s="19"/>
      <c r="AK27" s="19"/>
      <c r="AL27" s="19"/>
      <c r="AM27" s="19"/>
      <c r="AN27" s="19"/>
      <c r="AO27" s="19"/>
      <c r="AP27" s="19"/>
      <c r="AQ27" s="19"/>
      <c r="AR27" s="141" t="s">
        <v>3190</v>
      </c>
      <c r="AS27" s="142" t="s">
        <v>3191</v>
      </c>
      <c r="AT27" s="15" t="s">
        <v>3078</v>
      </c>
      <c r="AU27" s="14"/>
      <c r="AV27" s="15"/>
      <c r="AW27" s="14"/>
      <c r="AX27" s="15"/>
      <c r="AY27" s="14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66" t="s">
        <v>942</v>
      </c>
      <c r="BK27" s="264" t="s">
        <v>4998</v>
      </c>
      <c r="BL27" s="265" t="s">
        <v>942</v>
      </c>
      <c r="BM27" s="264" t="s">
        <v>5076</v>
      </c>
      <c r="BN27" s="264" t="s">
        <v>3739</v>
      </c>
      <c r="BO27" s="264" t="s">
        <v>3739</v>
      </c>
    </row>
    <row r="28" spans="1:70" ht="60.6">
      <c r="A28" s="322" t="s">
        <v>5068</v>
      </c>
      <c r="B28" s="15" t="s">
        <v>942</v>
      </c>
      <c r="C28" s="336" t="s">
        <v>5077</v>
      </c>
      <c r="D28" s="15" t="s">
        <v>5078</v>
      </c>
      <c r="E28" s="13">
        <v>2021</v>
      </c>
      <c r="F28" s="13">
        <v>2021</v>
      </c>
      <c r="G28" s="13">
        <v>5</v>
      </c>
      <c r="H28" s="15" t="s">
        <v>4977</v>
      </c>
      <c r="I28" s="362">
        <v>0</v>
      </c>
      <c r="J28" s="453">
        <v>5000000</v>
      </c>
      <c r="K28" s="13">
        <v>7</v>
      </c>
      <c r="L28" s="15" t="s">
        <v>4978</v>
      </c>
      <c r="M28" s="14" t="s">
        <v>3223</v>
      </c>
      <c r="N28" s="13"/>
      <c r="O28" s="15" t="s">
        <v>4951</v>
      </c>
      <c r="P28" s="4" t="s">
        <v>5861</v>
      </c>
      <c r="Q28" s="109">
        <f>Table6[[#This Row],[Dana Disetujui]]</f>
        <v>5000000</v>
      </c>
      <c r="R28" s="15"/>
      <c r="S28" s="6" t="s">
        <v>174</v>
      </c>
      <c r="T28" s="109">
        <f>Table6[[#This Row],[Dana Disetujui]]</f>
        <v>5000000</v>
      </c>
      <c r="U28" s="15" t="s">
        <v>3216</v>
      </c>
      <c r="V28" s="15"/>
      <c r="W28" s="109"/>
      <c r="X28" s="19"/>
      <c r="Y28" s="15"/>
      <c r="Z28" s="189"/>
      <c r="AA28" s="19"/>
      <c r="AB28" s="15"/>
      <c r="AC28" s="189"/>
      <c r="AD28" s="19"/>
      <c r="AE28" s="19"/>
      <c r="AF28" s="189"/>
      <c r="AG28" s="19"/>
      <c r="AH28" s="19"/>
      <c r="AI28" s="189"/>
      <c r="AJ28" s="19"/>
      <c r="AK28" s="19"/>
      <c r="AL28" s="19"/>
      <c r="AM28" s="19"/>
      <c r="AN28" s="19"/>
      <c r="AO28" s="19"/>
      <c r="AP28" s="19"/>
      <c r="AQ28" s="19"/>
      <c r="AR28" s="141" t="s">
        <v>3190</v>
      </c>
      <c r="AS28" s="141" t="s">
        <v>3191</v>
      </c>
      <c r="AT28" s="15" t="s">
        <v>5079</v>
      </c>
      <c r="AU28" s="14" t="s">
        <v>3737</v>
      </c>
      <c r="AV28" s="15" t="s">
        <v>1720</v>
      </c>
      <c r="AW28" s="14"/>
      <c r="AX28" s="15" t="s">
        <v>5080</v>
      </c>
      <c r="AY28" s="14" t="s">
        <v>3737</v>
      </c>
      <c r="AZ28" s="15" t="s">
        <v>5081</v>
      </c>
      <c r="BA28" s="20"/>
      <c r="BB28" s="15" t="s">
        <v>5082</v>
      </c>
      <c r="BC28" s="20"/>
      <c r="BD28" s="15" t="s">
        <v>5083</v>
      </c>
      <c r="BE28" s="20"/>
      <c r="BF28" s="20"/>
      <c r="BG28" s="20"/>
      <c r="BH28" s="20"/>
      <c r="BI28" s="20"/>
      <c r="BJ28" s="266" t="s">
        <v>942</v>
      </c>
      <c r="BK28" s="264" t="s">
        <v>4981</v>
      </c>
      <c r="BL28" s="264" t="s">
        <v>4991</v>
      </c>
      <c r="BM28" s="264" t="s">
        <v>5084</v>
      </c>
      <c r="BN28" s="264" t="s">
        <v>3739</v>
      </c>
      <c r="BO28" s="264" t="s">
        <v>3739</v>
      </c>
    </row>
    <row r="29" spans="1:70" ht="48">
      <c r="A29" s="322" t="s">
        <v>5068</v>
      </c>
      <c r="B29" s="322" t="s">
        <v>5085</v>
      </c>
      <c r="C29" s="14" t="s">
        <v>5086</v>
      </c>
      <c r="D29" s="15" t="s">
        <v>5078</v>
      </c>
      <c r="E29" s="13">
        <v>2021</v>
      </c>
      <c r="F29" s="13">
        <v>2021</v>
      </c>
      <c r="G29" s="13">
        <v>5</v>
      </c>
      <c r="H29" s="15" t="s">
        <v>4977</v>
      </c>
      <c r="I29" s="362">
        <v>0</v>
      </c>
      <c r="J29" s="453">
        <v>5000000</v>
      </c>
      <c r="K29" s="13">
        <v>7</v>
      </c>
      <c r="L29" s="15" t="s">
        <v>4978</v>
      </c>
      <c r="M29" s="14" t="s">
        <v>3223</v>
      </c>
      <c r="N29" s="13"/>
      <c r="O29" s="15" t="s">
        <v>4951</v>
      </c>
      <c r="P29" s="100" t="s">
        <v>5862</v>
      </c>
      <c r="Q29" s="109">
        <f>Table6[[#This Row],[Dana Disetujui]]</f>
        <v>5000000</v>
      </c>
      <c r="R29" s="15" t="s">
        <v>3216</v>
      </c>
      <c r="S29" s="202" t="s">
        <v>177</v>
      </c>
      <c r="T29" s="109">
        <f>Table6[[#This Row],[Dana Disetujui]]</f>
        <v>5000000</v>
      </c>
      <c r="U29" s="15" t="s">
        <v>3216</v>
      </c>
      <c r="V29" s="15" t="s">
        <v>79</v>
      </c>
      <c r="W29" s="109">
        <f>Table6[[#This Row],[Dana Disetujui]]</f>
        <v>5000000</v>
      </c>
      <c r="X29" s="15" t="s">
        <v>3216</v>
      </c>
      <c r="Y29" s="15"/>
      <c r="Z29" s="189"/>
      <c r="AA29" s="19"/>
      <c r="AB29" s="15"/>
      <c r="AC29" s="189"/>
      <c r="AD29" s="19"/>
      <c r="AE29" s="19"/>
      <c r="AF29" s="189"/>
      <c r="AG29" s="19"/>
      <c r="AH29" s="19"/>
      <c r="AI29" s="189"/>
      <c r="AJ29" s="19"/>
      <c r="AK29" s="19"/>
      <c r="AL29" s="19"/>
      <c r="AM29" s="19"/>
      <c r="AN29" s="19"/>
      <c r="AO29" s="19"/>
      <c r="AP29" s="19"/>
      <c r="AQ29" s="19"/>
      <c r="AR29" s="141" t="s">
        <v>3190</v>
      </c>
      <c r="AS29" s="141" t="s">
        <v>3191</v>
      </c>
      <c r="AT29" s="15" t="s">
        <v>5087</v>
      </c>
      <c r="AU29" s="14" t="s">
        <v>3589</v>
      </c>
      <c r="AV29" s="15" t="s">
        <v>5088</v>
      </c>
      <c r="AW29" s="14" t="s">
        <v>3589</v>
      </c>
      <c r="AX29" s="15" t="s">
        <v>5089</v>
      </c>
      <c r="AY29" s="14" t="s">
        <v>3589</v>
      </c>
      <c r="AZ29" s="15" t="s">
        <v>5090</v>
      </c>
      <c r="BA29" s="20" t="s">
        <v>3589</v>
      </c>
      <c r="BB29" s="15" t="s">
        <v>5091</v>
      </c>
      <c r="BC29" s="20" t="s">
        <v>3589</v>
      </c>
      <c r="BD29" s="15"/>
      <c r="BE29" s="20"/>
      <c r="BF29" s="20"/>
      <c r="BG29" s="20"/>
      <c r="BH29" s="20"/>
      <c r="BI29" s="20"/>
      <c r="BJ29" s="263" t="s">
        <v>3739</v>
      </c>
      <c r="BK29" s="264" t="s">
        <v>5092</v>
      </c>
      <c r="BL29" s="264" t="s">
        <v>4991</v>
      </c>
      <c r="BM29" s="264" t="s">
        <v>5093</v>
      </c>
      <c r="BN29" s="264" t="s">
        <v>5094</v>
      </c>
      <c r="BO29" s="264" t="s">
        <v>5095</v>
      </c>
    </row>
    <row r="30" spans="1:70" ht="48">
      <c r="A30" s="322" t="s">
        <v>5068</v>
      </c>
      <c r="B30" s="322" t="s">
        <v>5096</v>
      </c>
      <c r="C30" s="14" t="s">
        <v>5097</v>
      </c>
      <c r="D30" s="15" t="s">
        <v>5078</v>
      </c>
      <c r="E30" s="13">
        <v>2021</v>
      </c>
      <c r="F30" s="13">
        <v>2021</v>
      </c>
      <c r="G30" s="13">
        <v>5</v>
      </c>
      <c r="H30" s="15" t="s">
        <v>4986</v>
      </c>
      <c r="I30" s="362">
        <v>0</v>
      </c>
      <c r="J30" s="453">
        <v>5000000</v>
      </c>
      <c r="K30" s="13">
        <v>7</v>
      </c>
      <c r="L30" s="15" t="s">
        <v>4978</v>
      </c>
      <c r="M30" s="14" t="s">
        <v>3223</v>
      </c>
      <c r="N30" s="13"/>
      <c r="O30" s="15" t="s">
        <v>4951</v>
      </c>
      <c r="P30" s="100" t="s">
        <v>5862</v>
      </c>
      <c r="Q30" s="109">
        <f>Table6[[#This Row],[Dana Disetujui]]</f>
        <v>5000000</v>
      </c>
      <c r="R30" s="15" t="s">
        <v>3216</v>
      </c>
      <c r="S30" s="202" t="s">
        <v>177</v>
      </c>
      <c r="T30" s="109">
        <f>Table6[[#This Row],[Dana Disetujui]]</f>
        <v>5000000</v>
      </c>
      <c r="U30" s="15" t="s">
        <v>3216</v>
      </c>
      <c r="V30" s="15" t="s">
        <v>79</v>
      </c>
      <c r="W30" s="109">
        <f>Table6[[#This Row],[Dana Disetujui]]</f>
        <v>5000000</v>
      </c>
      <c r="X30" s="15" t="s">
        <v>3216</v>
      </c>
      <c r="Y30" s="15"/>
      <c r="Z30" s="189"/>
      <c r="AA30" s="19"/>
      <c r="AB30" s="15"/>
      <c r="AC30" s="189"/>
      <c r="AD30" s="19"/>
      <c r="AE30" s="19"/>
      <c r="AF30" s="189"/>
      <c r="AG30" s="19"/>
      <c r="AH30" s="19"/>
      <c r="AI30" s="189"/>
      <c r="AJ30" s="19"/>
      <c r="AK30" s="19"/>
      <c r="AL30" s="19"/>
      <c r="AM30" s="19"/>
      <c r="AN30" s="19"/>
      <c r="AO30" s="19"/>
      <c r="AP30" s="19"/>
      <c r="AQ30" s="19"/>
      <c r="AR30" s="141" t="s">
        <v>3190</v>
      </c>
      <c r="AS30" s="141" t="s">
        <v>3191</v>
      </c>
      <c r="AT30" s="15" t="s">
        <v>5087</v>
      </c>
      <c r="AU30" s="14" t="s">
        <v>3589</v>
      </c>
      <c r="AV30" s="15" t="s">
        <v>5088</v>
      </c>
      <c r="AW30" s="14" t="s">
        <v>3589</v>
      </c>
      <c r="AX30" s="15" t="s">
        <v>5089</v>
      </c>
      <c r="AY30" s="14" t="s">
        <v>3589</v>
      </c>
      <c r="AZ30" s="15" t="s">
        <v>5090</v>
      </c>
      <c r="BA30" s="20" t="s">
        <v>3589</v>
      </c>
      <c r="BB30" s="15" t="s">
        <v>5091</v>
      </c>
      <c r="BC30" s="20" t="s">
        <v>3589</v>
      </c>
      <c r="BD30" s="15"/>
      <c r="BE30" s="20"/>
      <c r="BF30" s="20"/>
      <c r="BG30" s="20"/>
      <c r="BH30" s="20"/>
      <c r="BI30" s="20"/>
      <c r="BJ30" s="263" t="s">
        <v>3739</v>
      </c>
      <c r="BK30" s="264" t="s">
        <v>5092</v>
      </c>
      <c r="BL30" s="264" t="s">
        <v>4991</v>
      </c>
      <c r="BM30" s="264" t="s">
        <v>3739</v>
      </c>
      <c r="BN30" s="264" t="s">
        <v>5098</v>
      </c>
      <c r="BO30" s="264" t="s">
        <v>3739</v>
      </c>
    </row>
    <row r="31" spans="1:70" ht="48.6">
      <c r="A31" s="322" t="s">
        <v>5068</v>
      </c>
      <c r="B31" s="15" t="s">
        <v>942</v>
      </c>
      <c r="C31" s="14" t="s">
        <v>5099</v>
      </c>
      <c r="D31" s="15" t="s">
        <v>5078</v>
      </c>
      <c r="E31" s="13">
        <v>2021</v>
      </c>
      <c r="F31" s="13">
        <v>2021</v>
      </c>
      <c r="G31" s="13">
        <v>5</v>
      </c>
      <c r="H31" s="15" t="s">
        <v>4977</v>
      </c>
      <c r="I31" s="362">
        <v>0</v>
      </c>
      <c r="J31" s="453">
        <v>4850000</v>
      </c>
      <c r="K31" s="13">
        <v>7</v>
      </c>
      <c r="L31" s="15" t="s">
        <v>4978</v>
      </c>
      <c r="M31" s="14" t="s">
        <v>3223</v>
      </c>
      <c r="N31" s="13"/>
      <c r="O31" s="15" t="s">
        <v>4951</v>
      </c>
      <c r="P31" s="7" t="s">
        <v>5863</v>
      </c>
      <c r="Q31" s="109">
        <f>Table6[[#This Row],[Dana Disetujui]]</f>
        <v>4850000</v>
      </c>
      <c r="R31" s="15" t="s">
        <v>3216</v>
      </c>
      <c r="S31" s="202" t="s">
        <v>80</v>
      </c>
      <c r="T31" s="109">
        <f>Table6[[#This Row],[Dana Disetujui]]</f>
        <v>4850000</v>
      </c>
      <c r="U31" s="15"/>
      <c r="V31" s="15"/>
      <c r="W31" s="188"/>
      <c r="X31" s="19"/>
      <c r="Y31" s="15"/>
      <c r="Z31" s="189"/>
      <c r="AA31" s="19"/>
      <c r="AB31" s="15"/>
      <c r="AC31" s="189"/>
      <c r="AD31" s="19"/>
      <c r="AE31" s="19"/>
      <c r="AF31" s="189"/>
      <c r="AG31" s="19"/>
      <c r="AH31" s="19"/>
      <c r="AI31" s="189"/>
      <c r="AJ31" s="19"/>
      <c r="AK31" s="19"/>
      <c r="AL31" s="19"/>
      <c r="AM31" s="19"/>
      <c r="AN31" s="19"/>
      <c r="AO31" s="19"/>
      <c r="AP31" s="19"/>
      <c r="AQ31" s="19"/>
      <c r="AR31" s="141" t="s">
        <v>3190</v>
      </c>
      <c r="AS31" s="141" t="s">
        <v>3191</v>
      </c>
      <c r="AT31" s="15" t="s">
        <v>5100</v>
      </c>
      <c r="AU31" s="14" t="s">
        <v>3589</v>
      </c>
      <c r="AV31" s="15" t="s">
        <v>1224</v>
      </c>
      <c r="AW31" s="14" t="s">
        <v>3589</v>
      </c>
      <c r="AX31" s="15" t="s">
        <v>5101</v>
      </c>
      <c r="AY31" s="14" t="s">
        <v>3589</v>
      </c>
      <c r="AZ31" s="15" t="s">
        <v>5102</v>
      </c>
      <c r="BA31" s="20" t="s">
        <v>3589</v>
      </c>
      <c r="BB31" s="15" t="s">
        <v>5103</v>
      </c>
      <c r="BC31" s="20" t="s">
        <v>3589</v>
      </c>
      <c r="BD31" s="15"/>
      <c r="BE31" s="20"/>
      <c r="BF31" s="20"/>
      <c r="BG31" s="20"/>
      <c r="BH31" s="20"/>
      <c r="BI31" s="20"/>
      <c r="BJ31" s="263" t="s">
        <v>4990</v>
      </c>
      <c r="BK31" s="264" t="s">
        <v>4998</v>
      </c>
      <c r="BL31" s="264" t="s">
        <v>4991</v>
      </c>
      <c r="BM31" s="264" t="s">
        <v>5104</v>
      </c>
      <c r="BN31" s="264" t="s">
        <v>3739</v>
      </c>
      <c r="BO31" s="264" t="s">
        <v>3739</v>
      </c>
    </row>
    <row r="32" spans="1:70" ht="72.599999999999994">
      <c r="A32" s="322" t="s">
        <v>5068</v>
      </c>
      <c r="B32" s="15" t="s">
        <v>942</v>
      </c>
      <c r="C32" s="14" t="s">
        <v>5105</v>
      </c>
      <c r="D32" s="15" t="s">
        <v>5078</v>
      </c>
      <c r="E32" s="13">
        <v>2021</v>
      </c>
      <c r="F32" s="13">
        <v>2021</v>
      </c>
      <c r="G32" s="13">
        <v>5</v>
      </c>
      <c r="H32" s="15" t="s">
        <v>4977</v>
      </c>
      <c r="I32" s="362">
        <v>0</v>
      </c>
      <c r="J32" s="453">
        <v>5000000</v>
      </c>
      <c r="K32" s="13">
        <v>7</v>
      </c>
      <c r="L32" s="15" t="s">
        <v>4978</v>
      </c>
      <c r="M32" s="14" t="s">
        <v>3223</v>
      </c>
      <c r="N32" s="13"/>
      <c r="O32" s="15" t="s">
        <v>4951</v>
      </c>
      <c r="P32" s="183" t="s">
        <v>5864</v>
      </c>
      <c r="Q32" s="109">
        <f>Table6[[#This Row],[Dana Disetujui]]</f>
        <v>5000000</v>
      </c>
      <c r="R32" s="15"/>
      <c r="S32" s="6" t="s">
        <v>3098</v>
      </c>
      <c r="T32" s="109">
        <f>Table6[[#This Row],[Dana Disetujui]]</f>
        <v>5000000</v>
      </c>
      <c r="U32" s="15"/>
      <c r="V32" s="15"/>
      <c r="W32" s="188"/>
      <c r="X32" s="19"/>
      <c r="Y32" s="15"/>
      <c r="Z32" s="189"/>
      <c r="AA32" s="19"/>
      <c r="AB32" s="15"/>
      <c r="AC32" s="189"/>
      <c r="AD32" s="19"/>
      <c r="AE32" s="19"/>
      <c r="AF32" s="189"/>
      <c r="AG32" s="19"/>
      <c r="AH32" s="19"/>
      <c r="AI32" s="189"/>
      <c r="AJ32" s="19"/>
      <c r="AK32" s="19"/>
      <c r="AL32" s="19"/>
      <c r="AM32" s="19"/>
      <c r="AN32" s="19"/>
      <c r="AO32" s="19"/>
      <c r="AP32" s="19"/>
      <c r="AQ32" s="19"/>
      <c r="AR32" s="141" t="s">
        <v>3190</v>
      </c>
      <c r="AS32" s="141" t="s">
        <v>3191</v>
      </c>
      <c r="AT32" s="15" t="s">
        <v>5106</v>
      </c>
      <c r="AU32" s="14"/>
      <c r="AV32" s="15" t="s">
        <v>5107</v>
      </c>
      <c r="AW32" s="14"/>
      <c r="AX32" s="15" t="s">
        <v>5108</v>
      </c>
      <c r="AY32" s="14"/>
      <c r="AZ32" s="15" t="s">
        <v>5109</v>
      </c>
      <c r="BA32" s="20"/>
      <c r="BB32" s="15" t="s">
        <v>5110</v>
      </c>
      <c r="BC32" s="20"/>
      <c r="BD32" s="15" t="s">
        <v>5111</v>
      </c>
      <c r="BE32" s="20"/>
      <c r="BF32" s="20"/>
      <c r="BG32" s="20"/>
      <c r="BH32" s="20"/>
      <c r="BI32" s="20"/>
      <c r="BJ32" s="266" t="s">
        <v>942</v>
      </c>
      <c r="BK32" s="264" t="s">
        <v>4981</v>
      </c>
      <c r="BL32" s="264" t="s">
        <v>4991</v>
      </c>
      <c r="BM32" s="264" t="s">
        <v>5112</v>
      </c>
      <c r="BN32" s="264" t="s">
        <v>3739</v>
      </c>
      <c r="BO32" s="264" t="s">
        <v>3739</v>
      </c>
    </row>
    <row r="33" spans="1:67" ht="72.599999999999994">
      <c r="A33" s="322" t="s">
        <v>5068</v>
      </c>
      <c r="B33" s="15" t="s">
        <v>942</v>
      </c>
      <c r="C33" s="14" t="s">
        <v>5113</v>
      </c>
      <c r="D33" s="15" t="s">
        <v>5078</v>
      </c>
      <c r="E33" s="13">
        <v>2021</v>
      </c>
      <c r="F33" s="13">
        <v>2021</v>
      </c>
      <c r="G33" s="13">
        <v>5</v>
      </c>
      <c r="H33" s="15" t="s">
        <v>4977</v>
      </c>
      <c r="I33" s="362">
        <v>0</v>
      </c>
      <c r="J33" s="453">
        <v>5000000</v>
      </c>
      <c r="K33" s="13">
        <v>7</v>
      </c>
      <c r="L33" s="15" t="s">
        <v>4978</v>
      </c>
      <c r="M33" s="14" t="s">
        <v>3223</v>
      </c>
      <c r="N33" s="13"/>
      <c r="O33" s="15" t="s">
        <v>4951</v>
      </c>
      <c r="P33" s="183" t="s">
        <v>5865</v>
      </c>
      <c r="Q33" s="109">
        <f>Table6[[#This Row],[Dana Disetujui]]</f>
        <v>5000000</v>
      </c>
      <c r="R33" s="15"/>
      <c r="S33" s="15" t="s">
        <v>43</v>
      </c>
      <c r="T33" s="109">
        <f>Table6[[#This Row],[Dana Disetujui]]</f>
        <v>5000000</v>
      </c>
      <c r="U33" s="15" t="s">
        <v>3216</v>
      </c>
      <c r="V33" s="15"/>
      <c r="W33" s="188"/>
      <c r="X33" s="19"/>
      <c r="Y33" s="15"/>
      <c r="Z33" s="189"/>
      <c r="AA33" s="19"/>
      <c r="AB33" s="15"/>
      <c r="AC33" s="189"/>
      <c r="AD33" s="19"/>
      <c r="AE33" s="19"/>
      <c r="AF33" s="189"/>
      <c r="AG33" s="19"/>
      <c r="AH33" s="19"/>
      <c r="AI33" s="189"/>
      <c r="AJ33" s="19"/>
      <c r="AK33" s="19"/>
      <c r="AL33" s="19"/>
      <c r="AM33" s="19"/>
      <c r="AN33" s="19"/>
      <c r="AO33" s="19"/>
      <c r="AP33" s="19"/>
      <c r="AQ33" s="19"/>
      <c r="AR33" s="141" t="s">
        <v>3190</v>
      </c>
      <c r="AS33" s="141" t="s">
        <v>3191</v>
      </c>
      <c r="AT33" s="15" t="s">
        <v>1517</v>
      </c>
      <c r="AU33" s="14" t="s">
        <v>3713</v>
      </c>
      <c r="AV33" s="15" t="s">
        <v>3067</v>
      </c>
      <c r="AW33" s="14" t="s">
        <v>3713</v>
      </c>
      <c r="AX33" s="15" t="s">
        <v>1383</v>
      </c>
      <c r="AY33" s="14" t="s">
        <v>3713</v>
      </c>
      <c r="AZ33" s="15" t="s">
        <v>1688</v>
      </c>
      <c r="BA33" s="20" t="s">
        <v>3713</v>
      </c>
      <c r="BB33" s="15" t="s">
        <v>412</v>
      </c>
      <c r="BC33" s="20" t="s">
        <v>3713</v>
      </c>
      <c r="BD33" s="15" t="s">
        <v>5114</v>
      </c>
      <c r="BE33" s="20" t="s">
        <v>3713</v>
      </c>
      <c r="BF33" s="20"/>
      <c r="BG33" s="20"/>
      <c r="BH33" s="20"/>
      <c r="BI33" s="20"/>
      <c r="BJ33" s="263" t="s">
        <v>4990</v>
      </c>
      <c r="BK33" s="264" t="s">
        <v>4998</v>
      </c>
      <c r="BL33" s="264" t="s">
        <v>4991</v>
      </c>
      <c r="BM33" s="264" t="s">
        <v>5115</v>
      </c>
      <c r="BN33" s="264" t="s">
        <v>3739</v>
      </c>
      <c r="BO33" s="264" t="s">
        <v>3739</v>
      </c>
    </row>
    <row r="34" spans="1:67" ht="36.6">
      <c r="A34" s="322" t="s">
        <v>5068</v>
      </c>
      <c r="B34" s="322" t="s">
        <v>5116</v>
      </c>
      <c r="C34" s="14" t="s">
        <v>5117</v>
      </c>
      <c r="D34" s="15" t="s">
        <v>5078</v>
      </c>
      <c r="E34" s="13">
        <v>2021</v>
      </c>
      <c r="F34" s="13">
        <v>2021</v>
      </c>
      <c r="G34" s="13">
        <v>5</v>
      </c>
      <c r="H34" s="15" t="s">
        <v>4986</v>
      </c>
      <c r="I34" s="362">
        <v>0</v>
      </c>
      <c r="J34" s="453">
        <v>5575000</v>
      </c>
      <c r="K34" s="13">
        <v>7</v>
      </c>
      <c r="L34" s="15" t="s">
        <v>4978</v>
      </c>
      <c r="M34" s="14" t="s">
        <v>3223</v>
      </c>
      <c r="N34" s="13"/>
      <c r="O34" s="15" t="s">
        <v>4951</v>
      </c>
      <c r="P34" s="7" t="s">
        <v>5866</v>
      </c>
      <c r="Q34" s="109">
        <f>Table6[[#This Row],[Dana Disetujui]]</f>
        <v>5575000</v>
      </c>
      <c r="R34" s="15" t="s">
        <v>3216</v>
      </c>
      <c r="S34" s="220" t="s">
        <v>81</v>
      </c>
      <c r="T34" s="109">
        <f>Table6[[#This Row],[Dana Disetujui]]</f>
        <v>5575000</v>
      </c>
      <c r="U34" s="221" t="s">
        <v>3216</v>
      </c>
      <c r="V34" s="15"/>
      <c r="W34" s="188"/>
      <c r="X34" s="19"/>
      <c r="Y34" s="15"/>
      <c r="Z34" s="189"/>
      <c r="AA34" s="19"/>
      <c r="AB34" s="15"/>
      <c r="AC34" s="189"/>
      <c r="AD34" s="19"/>
      <c r="AE34" s="19"/>
      <c r="AF34" s="189"/>
      <c r="AG34" s="19"/>
      <c r="AH34" s="19"/>
      <c r="AI34" s="189"/>
      <c r="AJ34" s="19"/>
      <c r="AK34" s="19"/>
      <c r="AL34" s="19"/>
      <c r="AM34" s="19"/>
      <c r="AN34" s="19"/>
      <c r="AO34" s="19"/>
      <c r="AP34" s="19"/>
      <c r="AQ34" s="19"/>
      <c r="AR34" s="141" t="s">
        <v>3190</v>
      </c>
      <c r="AS34" s="141" t="s">
        <v>3191</v>
      </c>
      <c r="AT34" s="15" t="s">
        <v>5118</v>
      </c>
      <c r="AU34" s="14"/>
      <c r="AV34" s="15" t="s">
        <v>5119</v>
      </c>
      <c r="AW34" s="14"/>
      <c r="AX34" s="15" t="s">
        <v>2711</v>
      </c>
      <c r="AY34" s="14"/>
      <c r="AZ34" s="15" t="s">
        <v>5120</v>
      </c>
      <c r="BA34" s="20"/>
      <c r="BB34" s="15" t="s">
        <v>1428</v>
      </c>
      <c r="BC34" s="20"/>
      <c r="BD34" s="15" t="s">
        <v>3101</v>
      </c>
      <c r="BE34" s="20"/>
      <c r="BF34" s="20"/>
      <c r="BG34" s="20"/>
      <c r="BH34" s="20"/>
      <c r="BI34" s="20"/>
      <c r="BJ34" s="263" t="s">
        <v>4990</v>
      </c>
      <c r="BK34" s="264" t="s">
        <v>4998</v>
      </c>
      <c r="BL34" s="264" t="s">
        <v>4991</v>
      </c>
      <c r="BM34" s="264" t="s">
        <v>5121</v>
      </c>
      <c r="BN34" s="264" t="s">
        <v>3739</v>
      </c>
      <c r="BO34" s="264" t="s">
        <v>3739</v>
      </c>
    </row>
    <row r="35" spans="1:67" ht="36.6">
      <c r="A35" s="322" t="s">
        <v>5068</v>
      </c>
      <c r="B35" s="15" t="s">
        <v>942</v>
      </c>
      <c r="C35" s="14" t="s">
        <v>5122</v>
      </c>
      <c r="D35" s="15" t="s">
        <v>5078</v>
      </c>
      <c r="E35" s="13">
        <v>2021</v>
      </c>
      <c r="F35" s="13">
        <v>2021</v>
      </c>
      <c r="G35" s="13">
        <v>5</v>
      </c>
      <c r="H35" s="15" t="s">
        <v>4986</v>
      </c>
      <c r="I35" s="362">
        <v>0</v>
      </c>
      <c r="J35" s="453">
        <v>5000000</v>
      </c>
      <c r="K35" s="13">
        <v>7</v>
      </c>
      <c r="L35" s="15" t="s">
        <v>4978</v>
      </c>
      <c r="M35" s="14" t="s">
        <v>3223</v>
      </c>
      <c r="N35" s="13"/>
      <c r="O35" s="15" t="s">
        <v>4951</v>
      </c>
      <c r="P35" s="7" t="s">
        <v>5867</v>
      </c>
      <c r="Q35" s="109">
        <f>Table6[[#This Row],[Dana Disetujui]]</f>
        <v>5000000</v>
      </c>
      <c r="R35" s="15" t="s">
        <v>3216</v>
      </c>
      <c r="S35" s="6" t="s">
        <v>53</v>
      </c>
      <c r="T35" s="109">
        <f>Table6[[#This Row],[Dana Disetujui]]</f>
        <v>5000000</v>
      </c>
      <c r="U35" s="15" t="s">
        <v>3216</v>
      </c>
      <c r="V35" s="6" t="s">
        <v>46</v>
      </c>
      <c r="W35" s="109">
        <f>Table6[[#This Row],[Dana Disetujui]]</f>
        <v>5000000</v>
      </c>
      <c r="X35" s="15" t="s">
        <v>3216</v>
      </c>
      <c r="Y35" s="15"/>
      <c r="Z35" s="189"/>
      <c r="AA35" s="19"/>
      <c r="AB35" s="15"/>
      <c r="AC35" s="189"/>
      <c r="AD35" s="19"/>
      <c r="AE35" s="19"/>
      <c r="AF35" s="189"/>
      <c r="AG35" s="19"/>
      <c r="AH35" s="19"/>
      <c r="AI35" s="189"/>
      <c r="AJ35" s="19"/>
      <c r="AK35" s="19"/>
      <c r="AL35" s="19"/>
      <c r="AM35" s="19"/>
      <c r="AN35" s="19"/>
      <c r="AO35" s="19"/>
      <c r="AP35" s="19"/>
      <c r="AQ35" s="19"/>
      <c r="AR35" s="141" t="s">
        <v>3190</v>
      </c>
      <c r="AS35" s="141" t="s">
        <v>3191</v>
      </c>
      <c r="AT35" s="15" t="s">
        <v>5123</v>
      </c>
      <c r="AU35" s="14"/>
      <c r="AV35" s="15" t="s">
        <v>5124</v>
      </c>
      <c r="AW35" s="14"/>
      <c r="AX35" s="15" t="s">
        <v>5125</v>
      </c>
      <c r="AY35" s="14"/>
      <c r="AZ35" s="15" t="s">
        <v>5126</v>
      </c>
      <c r="BA35" s="20"/>
      <c r="BB35" s="15" t="s">
        <v>5127</v>
      </c>
      <c r="BC35" s="20"/>
      <c r="BD35" s="15" t="s">
        <v>5128</v>
      </c>
      <c r="BE35" s="20"/>
      <c r="BF35" s="20"/>
      <c r="BG35" s="20"/>
      <c r="BH35" s="20"/>
      <c r="BI35" s="20"/>
      <c r="BJ35" s="263" t="s">
        <v>4990</v>
      </c>
      <c r="BK35" s="264" t="s">
        <v>4981</v>
      </c>
      <c r="BL35" s="264" t="s">
        <v>5009</v>
      </c>
      <c r="BM35" s="264" t="s">
        <v>5129</v>
      </c>
      <c r="BN35" s="264" t="s">
        <v>5130</v>
      </c>
      <c r="BO35" s="264" t="s">
        <v>3528</v>
      </c>
    </row>
    <row r="36" spans="1:67" ht="24">
      <c r="A36" s="322" t="s">
        <v>5131</v>
      </c>
      <c r="B36" s="15"/>
      <c r="C36" s="555" t="s">
        <v>5132</v>
      </c>
      <c r="D36" s="15" t="s">
        <v>5133</v>
      </c>
      <c r="E36" s="13">
        <v>2021</v>
      </c>
      <c r="F36" s="13">
        <v>2021</v>
      </c>
      <c r="G36" s="13">
        <v>8</v>
      </c>
      <c r="H36" s="15" t="s">
        <v>4986</v>
      </c>
      <c r="I36" s="362">
        <v>45000000</v>
      </c>
      <c r="J36" s="453">
        <v>45000000</v>
      </c>
      <c r="K36" s="13">
        <v>7</v>
      </c>
      <c r="L36" s="23"/>
      <c r="M36" s="14" t="s">
        <v>3077</v>
      </c>
      <c r="N36" s="13"/>
      <c r="O36" s="15" t="s">
        <v>4961</v>
      </c>
      <c r="P36" s="23" t="s">
        <v>5868</v>
      </c>
      <c r="Q36" s="109">
        <f>Table6[[#This Row],[Dana Disetujui]]</f>
        <v>45000000</v>
      </c>
      <c r="R36" s="15" t="s">
        <v>3216</v>
      </c>
      <c r="S36" s="72" t="s">
        <v>18</v>
      </c>
      <c r="T36" s="109">
        <f>Table6[[#This Row],[Dana Disetujui]]</f>
        <v>45000000</v>
      </c>
      <c r="U36" s="15" t="s">
        <v>3216</v>
      </c>
      <c r="V36" s="72" t="s">
        <v>48</v>
      </c>
      <c r="W36" s="109">
        <f>Table6[[#This Row],[Dana Disetujui]]</f>
        <v>45000000</v>
      </c>
      <c r="X36" s="15" t="s">
        <v>3216</v>
      </c>
      <c r="Y36" s="15"/>
      <c r="Z36" s="189"/>
      <c r="AA36" s="19"/>
      <c r="AB36" s="15"/>
      <c r="AC36" s="189"/>
      <c r="AD36" s="19"/>
      <c r="AE36" s="19"/>
      <c r="AF36" s="189"/>
      <c r="AG36" s="19"/>
      <c r="AH36" s="19"/>
      <c r="AI36" s="189"/>
      <c r="AJ36" s="19"/>
      <c r="AK36" s="19"/>
      <c r="AL36" s="19"/>
      <c r="AM36" s="19"/>
      <c r="AN36" s="19"/>
      <c r="AO36" s="19"/>
      <c r="AP36" s="19"/>
      <c r="AQ36" s="19"/>
      <c r="AR36" s="142" t="s">
        <v>3190</v>
      </c>
      <c r="AS36" s="142" t="s">
        <v>3191</v>
      </c>
      <c r="AT36" s="15"/>
      <c r="AU36" s="14"/>
      <c r="AV36" s="15"/>
      <c r="AW36" s="14"/>
      <c r="AX36" s="15"/>
      <c r="AY36" s="14"/>
      <c r="AZ36" s="15"/>
      <c r="BA36" s="20"/>
      <c r="BB36" s="15"/>
      <c r="BC36" s="20"/>
      <c r="BD36" s="15"/>
      <c r="BE36" s="20"/>
      <c r="BF36" s="20"/>
      <c r="BG36" s="20"/>
      <c r="BH36" s="20"/>
      <c r="BI36" s="20"/>
      <c r="BJ36" s="263" t="s">
        <v>3739</v>
      </c>
      <c r="BK36" s="264" t="s">
        <v>3739</v>
      </c>
      <c r="BL36" s="264" t="s">
        <v>3739</v>
      </c>
      <c r="BM36" s="264" t="s">
        <v>3739</v>
      </c>
      <c r="BN36" s="264" t="s">
        <v>3739</v>
      </c>
      <c r="BO36" s="264" t="s">
        <v>3739</v>
      </c>
    </row>
    <row r="37" spans="1:67" ht="48">
      <c r="A37" s="323" t="s">
        <v>5134</v>
      </c>
      <c r="B37" s="25"/>
      <c r="C37" s="776" t="s">
        <v>5135</v>
      </c>
      <c r="D37" s="25" t="s">
        <v>5136</v>
      </c>
      <c r="E37" s="13">
        <v>2021</v>
      </c>
      <c r="F37" s="13">
        <v>2021</v>
      </c>
      <c r="G37" s="26">
        <v>2</v>
      </c>
      <c r="H37" s="15" t="s">
        <v>4986</v>
      </c>
      <c r="I37" s="480" t="s">
        <v>942</v>
      </c>
      <c r="J37" s="456">
        <v>17500000</v>
      </c>
      <c r="K37" s="13">
        <v>7</v>
      </c>
      <c r="L37" s="24"/>
      <c r="M37" s="14" t="s">
        <v>3077</v>
      </c>
      <c r="N37" s="26"/>
      <c r="O37" s="15" t="s">
        <v>4951</v>
      </c>
      <c r="P37" s="24" t="s">
        <v>5869</v>
      </c>
      <c r="Q37" s="109">
        <f>Table6[[#This Row],[Dana Disetujui]]</f>
        <v>17500000</v>
      </c>
      <c r="R37" s="25"/>
      <c r="S37" s="145"/>
      <c r="T37" s="109"/>
      <c r="U37" s="25"/>
      <c r="V37" s="145"/>
      <c r="W37" s="226"/>
      <c r="X37" s="25"/>
      <c r="Y37" s="25"/>
      <c r="Z37" s="228"/>
      <c r="AA37" s="28"/>
      <c r="AB37" s="25"/>
      <c r="AC37" s="228"/>
      <c r="AD37" s="28"/>
      <c r="AE37" s="28"/>
      <c r="AF37" s="228"/>
      <c r="AG37" s="28"/>
      <c r="AH37" s="28"/>
      <c r="AI37" s="228"/>
      <c r="AJ37" s="28"/>
      <c r="AK37" s="28"/>
      <c r="AL37" s="28"/>
      <c r="AM37" s="28"/>
      <c r="AN37" s="28"/>
      <c r="AO37" s="28"/>
      <c r="AP37" s="28"/>
      <c r="AQ37" s="28"/>
      <c r="AR37" s="142" t="s">
        <v>3190</v>
      </c>
      <c r="AS37" s="142" t="s">
        <v>3191</v>
      </c>
      <c r="AT37" s="25" t="s">
        <v>5103</v>
      </c>
      <c r="AU37" s="14" t="s">
        <v>3589</v>
      </c>
      <c r="AV37" s="25" t="s">
        <v>5088</v>
      </c>
      <c r="AW37" s="14" t="s">
        <v>3589</v>
      </c>
      <c r="AX37" s="25" t="s">
        <v>651</v>
      </c>
      <c r="AY37" s="14" t="s">
        <v>3589</v>
      </c>
      <c r="AZ37" s="25"/>
      <c r="BA37" s="96"/>
      <c r="BB37" s="25"/>
      <c r="BC37" s="96"/>
      <c r="BD37" s="25"/>
      <c r="BE37" s="96"/>
      <c r="BF37" s="96"/>
      <c r="BG37" s="96"/>
      <c r="BH37" s="96"/>
      <c r="BI37" s="96"/>
      <c r="BJ37" s="269"/>
      <c r="BK37" s="270"/>
      <c r="BL37" s="271"/>
      <c r="BM37" s="270"/>
      <c r="BN37" s="270"/>
      <c r="BO37" s="270"/>
    </row>
    <row r="38" spans="1:67">
      <c r="A38" s="174"/>
      <c r="B38" s="174"/>
      <c r="C38" s="173"/>
      <c r="D38" s="174"/>
      <c r="E38" s="172"/>
      <c r="F38" s="172"/>
      <c r="G38" s="172"/>
      <c r="H38" s="174"/>
      <c r="I38" s="481"/>
      <c r="J38" s="457"/>
      <c r="K38" s="37"/>
      <c r="L38" s="175"/>
      <c r="M38" s="173"/>
      <c r="N38" s="172"/>
      <c r="O38" s="174"/>
      <c r="P38" s="175" t="s">
        <v>3071</v>
      </c>
      <c r="Q38" s="109">
        <f>Table6[[#This Row],[Dana Disetujui]]</f>
        <v>0</v>
      </c>
      <c r="R38" s="176"/>
      <c r="S38" s="174"/>
      <c r="T38" s="174"/>
      <c r="U38" s="174"/>
      <c r="V38" s="174"/>
      <c r="W38" s="174"/>
      <c r="X38" s="174"/>
      <c r="Y38" s="174"/>
      <c r="Z38" s="174"/>
      <c r="AA38" s="174"/>
      <c r="AB38" s="174"/>
      <c r="AC38" s="174"/>
      <c r="AD38" s="174"/>
      <c r="AE38" s="174"/>
      <c r="AF38" s="325"/>
      <c r="AG38" s="229"/>
      <c r="AH38" s="174"/>
      <c r="AI38" s="174"/>
      <c r="AJ38" s="229"/>
      <c r="AK38" s="229"/>
      <c r="AL38" s="229"/>
      <c r="AM38" s="229"/>
      <c r="AN38" s="229"/>
      <c r="AO38" s="229"/>
      <c r="AP38" s="229"/>
      <c r="AQ38" s="229"/>
      <c r="AR38" s="172"/>
      <c r="AS38" s="172"/>
      <c r="AT38" s="174"/>
      <c r="AU38" s="173"/>
      <c r="AV38" s="174"/>
      <c r="AW38" s="173"/>
      <c r="AX38" s="174"/>
      <c r="AY38" s="173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1"/>
      <c r="BM38" s="232"/>
      <c r="BN38" s="230"/>
      <c r="BO38" s="230"/>
    </row>
    <row r="39" spans="1:67" ht="48">
      <c r="A39" s="143" t="s">
        <v>5137</v>
      </c>
      <c r="B39" s="143" t="s">
        <v>5138</v>
      </c>
      <c r="C39" s="161" t="s">
        <v>5139</v>
      </c>
      <c r="D39" s="6" t="s">
        <v>5140</v>
      </c>
      <c r="E39" s="8">
        <v>2022</v>
      </c>
      <c r="F39" s="8">
        <v>2022</v>
      </c>
      <c r="G39" s="8"/>
      <c r="H39" s="6" t="s">
        <v>5141</v>
      </c>
      <c r="I39" s="482"/>
      <c r="J39" s="458">
        <v>16408500</v>
      </c>
      <c r="K39" s="8">
        <v>7</v>
      </c>
      <c r="L39" s="6" t="s">
        <v>4978</v>
      </c>
      <c r="M39" s="9" t="s">
        <v>3223</v>
      </c>
      <c r="N39" s="8" t="s">
        <v>3215</v>
      </c>
      <c r="O39" s="15" t="s">
        <v>4951</v>
      </c>
      <c r="P39" s="7" t="s">
        <v>5870</v>
      </c>
      <c r="Q39" s="109">
        <f>Table6[[#This Row],[Dana Disetujui]]</f>
        <v>16408500</v>
      </c>
      <c r="R39" s="6" t="s">
        <v>3216</v>
      </c>
      <c r="S39" s="6" t="s">
        <v>30</v>
      </c>
      <c r="T39" s="57">
        <f>Table6[[#This Row],[Dana Disetujui]]</f>
        <v>16408500</v>
      </c>
      <c r="U39" s="6" t="s">
        <v>3216</v>
      </c>
      <c r="V39" s="6" t="s">
        <v>18</v>
      </c>
      <c r="W39" s="57">
        <f>Table6[[#This Row],[Dana Disetujui]]</f>
        <v>16408500</v>
      </c>
      <c r="X39" s="6" t="s">
        <v>3216</v>
      </c>
      <c r="Y39" s="6" t="s">
        <v>27</v>
      </c>
      <c r="Z39" s="57">
        <f>Table6[[#This Row],[Dana Disetujui]]</f>
        <v>16408500</v>
      </c>
      <c r="AA39" s="33"/>
      <c r="AB39" s="33"/>
      <c r="AC39" s="233"/>
      <c r="AD39" s="33"/>
      <c r="AE39" s="33"/>
      <c r="AF39" s="233"/>
      <c r="AG39" s="33"/>
      <c r="AH39" s="33"/>
      <c r="AI39" s="233"/>
      <c r="AJ39" s="33"/>
      <c r="AK39" s="33"/>
      <c r="AL39" s="33"/>
      <c r="AM39" s="33"/>
      <c r="AN39" s="33"/>
      <c r="AO39" s="33"/>
      <c r="AP39" s="33"/>
      <c r="AQ39" s="789"/>
      <c r="AR39" s="315" t="s">
        <v>3190</v>
      </c>
      <c r="AS39" s="315" t="s">
        <v>3191</v>
      </c>
      <c r="AT39" s="52" t="s">
        <v>1049</v>
      </c>
      <c r="AU39" s="9"/>
      <c r="AV39" s="6" t="s">
        <v>1050</v>
      </c>
      <c r="AW39" s="9"/>
      <c r="AX39" s="6"/>
      <c r="AY39" s="9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272" t="s">
        <v>5142</v>
      </c>
      <c r="BK39" s="273" t="s">
        <v>3739</v>
      </c>
      <c r="BL39" s="273" t="s">
        <v>3739</v>
      </c>
      <c r="BM39" s="272" t="s">
        <v>3419</v>
      </c>
      <c r="BN39" s="273" t="s">
        <v>3739</v>
      </c>
      <c r="BO39" s="273" t="s">
        <v>3739</v>
      </c>
    </row>
    <row r="40" spans="1:67" ht="36.6">
      <c r="A40" s="143" t="s">
        <v>5137</v>
      </c>
      <c r="B40" s="143" t="s">
        <v>5143</v>
      </c>
      <c r="C40" s="161" t="s">
        <v>1445</v>
      </c>
      <c r="D40" s="8" t="s">
        <v>4976</v>
      </c>
      <c r="E40" s="8">
        <v>2022</v>
      </c>
      <c r="F40" s="8">
        <v>2022</v>
      </c>
      <c r="G40" s="8"/>
      <c r="H40" s="6" t="s">
        <v>5141</v>
      </c>
      <c r="I40" s="482"/>
      <c r="J40" s="458">
        <v>6000000</v>
      </c>
      <c r="K40" s="8">
        <v>7</v>
      </c>
      <c r="L40" s="6" t="s">
        <v>4978</v>
      </c>
      <c r="M40" s="9" t="s">
        <v>3223</v>
      </c>
      <c r="N40" s="8" t="s">
        <v>3215</v>
      </c>
      <c r="O40" s="15" t="s">
        <v>4951</v>
      </c>
      <c r="P40" s="7" t="s">
        <v>5871</v>
      </c>
      <c r="Q40" s="109">
        <f>Table6[[#This Row],[Dana Disetujui]]</f>
        <v>6000000</v>
      </c>
      <c r="R40" s="6" t="s">
        <v>3216</v>
      </c>
      <c r="S40" s="6" t="s">
        <v>46</v>
      </c>
      <c r="T40" s="57">
        <f>Table6[[#This Row],[Dana Disetujui]]</f>
        <v>6000000</v>
      </c>
      <c r="U40" s="6" t="s">
        <v>3216</v>
      </c>
      <c r="V40" s="6" t="s">
        <v>775</v>
      </c>
      <c r="W40" s="57">
        <f>Table6[[#This Row],[Dana Disetujui]]</f>
        <v>6000000</v>
      </c>
      <c r="X40" s="6" t="s">
        <v>3216</v>
      </c>
      <c r="Y40" s="6"/>
      <c r="Z40" s="234"/>
      <c r="AA40" s="33"/>
      <c r="AB40" s="33"/>
      <c r="AC40" s="233"/>
      <c r="AD40" s="33"/>
      <c r="AE40" s="33"/>
      <c r="AF40" s="233"/>
      <c r="AG40" s="33"/>
      <c r="AH40" s="33"/>
      <c r="AI40" s="233"/>
      <c r="AJ40" s="33"/>
      <c r="AK40" s="33"/>
      <c r="AL40" s="33"/>
      <c r="AM40" s="33"/>
      <c r="AN40" s="33"/>
      <c r="AO40" s="33"/>
      <c r="AP40" s="33"/>
      <c r="AQ40" s="789"/>
      <c r="AR40" s="586" t="s">
        <v>3190</v>
      </c>
      <c r="AS40" s="586" t="s">
        <v>3191</v>
      </c>
      <c r="AT40" s="52" t="s">
        <v>5144</v>
      </c>
      <c r="AU40" s="9" t="s">
        <v>3748</v>
      </c>
      <c r="AV40" s="6" t="s">
        <v>5145</v>
      </c>
      <c r="AW40" s="9" t="s">
        <v>5146</v>
      </c>
      <c r="AX40" s="6" t="s">
        <v>5147</v>
      </c>
      <c r="AY40" s="9" t="s">
        <v>5146</v>
      </c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115" t="s">
        <v>3251</v>
      </c>
      <c r="BK40" s="115" t="s">
        <v>4981</v>
      </c>
      <c r="BL40" s="115" t="s">
        <v>4991</v>
      </c>
      <c r="BM40" s="115" t="s">
        <v>5148</v>
      </c>
      <c r="BN40" s="273" t="s">
        <v>3739</v>
      </c>
      <c r="BO40" s="273" t="s">
        <v>3739</v>
      </c>
    </row>
    <row r="41" spans="1:67" ht="48.6">
      <c r="A41" s="143" t="s">
        <v>5137</v>
      </c>
      <c r="B41" s="143" t="s">
        <v>5149</v>
      </c>
      <c r="C41" s="161" t="s">
        <v>5150</v>
      </c>
      <c r="D41" s="8" t="s">
        <v>4976</v>
      </c>
      <c r="E41" s="8">
        <v>2022</v>
      </c>
      <c r="F41" s="8">
        <v>2022</v>
      </c>
      <c r="G41" s="8"/>
      <c r="H41" s="6" t="s">
        <v>5151</v>
      </c>
      <c r="I41" s="482"/>
      <c r="J41" s="458">
        <v>7000000</v>
      </c>
      <c r="K41" s="8">
        <v>7</v>
      </c>
      <c r="L41" s="6" t="s">
        <v>4978</v>
      </c>
      <c r="M41" s="9" t="s">
        <v>3223</v>
      </c>
      <c r="N41" s="8" t="s">
        <v>3215</v>
      </c>
      <c r="O41" s="15" t="s">
        <v>4951</v>
      </c>
      <c r="P41" s="7" t="s">
        <v>5872</v>
      </c>
      <c r="Q41" s="109">
        <f>Table6[[#This Row],[Dana Disetujui]]</f>
        <v>7000000</v>
      </c>
      <c r="R41" s="6" t="s">
        <v>3216</v>
      </c>
      <c r="S41" s="6" t="s">
        <v>60</v>
      </c>
      <c r="T41" s="57">
        <f>Table6[[#This Row],[Dana Disetujui]]</f>
        <v>7000000</v>
      </c>
      <c r="U41" s="6" t="s">
        <v>3216</v>
      </c>
      <c r="V41" s="6" t="s">
        <v>21</v>
      </c>
      <c r="W41" s="57">
        <f>Table6[[#This Row],[Dana Disetujui]]</f>
        <v>7000000</v>
      </c>
      <c r="X41" s="6" t="s">
        <v>3216</v>
      </c>
      <c r="Y41" s="6"/>
      <c r="Z41" s="234"/>
      <c r="AA41" s="33"/>
      <c r="AB41" s="33"/>
      <c r="AC41" s="233"/>
      <c r="AD41" s="33"/>
      <c r="AE41" s="33"/>
      <c r="AF41" s="233"/>
      <c r="AG41" s="33"/>
      <c r="AH41" s="33"/>
      <c r="AI41" s="233"/>
      <c r="AJ41" s="33"/>
      <c r="AK41" s="33"/>
      <c r="AL41" s="33"/>
      <c r="AM41" s="33"/>
      <c r="AN41" s="33"/>
      <c r="AO41" s="33"/>
      <c r="AP41" s="33"/>
      <c r="AQ41" s="789"/>
      <c r="AR41" s="315" t="s">
        <v>3190</v>
      </c>
      <c r="AS41" s="315" t="s">
        <v>3191</v>
      </c>
      <c r="AT41" s="52" t="s">
        <v>5152</v>
      </c>
      <c r="AU41" s="9"/>
      <c r="AV41" s="6" t="s">
        <v>1087</v>
      </c>
      <c r="AW41" s="9"/>
      <c r="AX41" s="6" t="s">
        <v>1088</v>
      </c>
      <c r="AY41" s="9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115" t="s">
        <v>3061</v>
      </c>
      <c r="BK41" s="115" t="s">
        <v>4981</v>
      </c>
      <c r="BL41" s="115" t="s">
        <v>5009</v>
      </c>
      <c r="BM41" s="115" t="s">
        <v>5153</v>
      </c>
      <c r="BN41" s="273" t="s">
        <v>3309</v>
      </c>
      <c r="BO41" s="273" t="s">
        <v>3739</v>
      </c>
    </row>
    <row r="42" spans="1:67" ht="48">
      <c r="A42" s="143" t="s">
        <v>5137</v>
      </c>
      <c r="B42" s="143" t="s">
        <v>5154</v>
      </c>
      <c r="C42" s="161" t="s">
        <v>5155</v>
      </c>
      <c r="D42" s="8" t="s">
        <v>4976</v>
      </c>
      <c r="E42" s="8">
        <v>2022</v>
      </c>
      <c r="F42" s="8">
        <v>2022</v>
      </c>
      <c r="G42" s="8"/>
      <c r="H42" s="6" t="s">
        <v>5151</v>
      </c>
      <c r="I42" s="482"/>
      <c r="J42" s="458">
        <v>6425000</v>
      </c>
      <c r="K42" s="8">
        <v>7</v>
      </c>
      <c r="L42" s="6" t="s">
        <v>4978</v>
      </c>
      <c r="M42" s="9" t="s">
        <v>3223</v>
      </c>
      <c r="N42" s="8" t="s">
        <v>3215</v>
      </c>
      <c r="O42" s="15" t="s">
        <v>4951</v>
      </c>
      <c r="P42" s="7" t="s">
        <v>5873</v>
      </c>
      <c r="Q42" s="109">
        <f>Table6[[#This Row],[Dana Disetujui]]</f>
        <v>6425000</v>
      </c>
      <c r="R42" s="6" t="s">
        <v>3216</v>
      </c>
      <c r="S42" s="6" t="s">
        <v>15</v>
      </c>
      <c r="T42" s="57">
        <f>Table6[[#This Row],[Dana Disetujui]]</f>
        <v>6425000</v>
      </c>
      <c r="U42" s="6" t="s">
        <v>3216</v>
      </c>
      <c r="V42" s="6" t="s">
        <v>9</v>
      </c>
      <c r="W42" s="57">
        <f>Table6[[#This Row],[Dana Disetujui]]</f>
        <v>6425000</v>
      </c>
      <c r="X42" s="6" t="s">
        <v>3216</v>
      </c>
      <c r="Y42" s="33"/>
      <c r="Z42" s="233"/>
      <c r="AA42" s="33"/>
      <c r="AB42" s="33"/>
      <c r="AC42" s="233"/>
      <c r="AD42" s="33"/>
      <c r="AE42" s="33"/>
      <c r="AF42" s="233"/>
      <c r="AG42" s="33"/>
      <c r="AH42" s="33"/>
      <c r="AI42" s="233"/>
      <c r="AJ42" s="33"/>
      <c r="AK42" s="33"/>
      <c r="AL42" s="33"/>
      <c r="AM42" s="33"/>
      <c r="AN42" s="33"/>
      <c r="AO42" s="33"/>
      <c r="AP42" s="33"/>
      <c r="AQ42" s="789"/>
      <c r="AR42" s="5" t="s">
        <v>3190</v>
      </c>
      <c r="AS42" s="586" t="s">
        <v>3191</v>
      </c>
      <c r="AT42" s="52" t="s">
        <v>5103</v>
      </c>
      <c r="AU42" s="9" t="s">
        <v>3589</v>
      </c>
      <c r="AV42" s="6" t="s">
        <v>3926</v>
      </c>
      <c r="AW42" s="9" t="s">
        <v>3589</v>
      </c>
      <c r="AX42" s="6" t="s">
        <v>651</v>
      </c>
      <c r="AY42" s="9" t="s">
        <v>3589</v>
      </c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115" t="s">
        <v>3251</v>
      </c>
      <c r="BK42" s="115" t="s">
        <v>4981</v>
      </c>
      <c r="BL42" s="115" t="s">
        <v>4991</v>
      </c>
      <c r="BM42" s="274" t="s">
        <v>3795</v>
      </c>
      <c r="BN42" s="273" t="s">
        <v>3739</v>
      </c>
      <c r="BO42" s="273" t="s">
        <v>3739</v>
      </c>
    </row>
    <row r="43" spans="1:67" ht="36.6">
      <c r="A43" s="143" t="s">
        <v>5137</v>
      </c>
      <c r="B43" s="143" t="s">
        <v>5156</v>
      </c>
      <c r="C43" s="161" t="s">
        <v>5157</v>
      </c>
      <c r="D43" s="8" t="s">
        <v>4976</v>
      </c>
      <c r="E43" s="8">
        <v>2022</v>
      </c>
      <c r="F43" s="8">
        <v>2022</v>
      </c>
      <c r="G43" s="8"/>
      <c r="H43" s="6" t="s">
        <v>5141</v>
      </c>
      <c r="I43" s="482"/>
      <c r="J43" s="458">
        <v>7000000</v>
      </c>
      <c r="K43" s="8">
        <v>7</v>
      </c>
      <c r="L43" s="6" t="s">
        <v>4978</v>
      </c>
      <c r="M43" s="9" t="s">
        <v>3223</v>
      </c>
      <c r="N43" s="8" t="s">
        <v>3215</v>
      </c>
      <c r="O43" s="15" t="s">
        <v>4951</v>
      </c>
      <c r="P43" s="7" t="s">
        <v>5874</v>
      </c>
      <c r="Q43" s="109">
        <f>Table6[[#This Row],[Dana Disetujui]]</f>
        <v>7000000</v>
      </c>
      <c r="R43" s="6" t="s">
        <v>3216</v>
      </c>
      <c r="S43" s="6" t="s">
        <v>40</v>
      </c>
      <c r="T43" s="57">
        <f>Table6[[#This Row],[Dana Disetujui]]</f>
        <v>7000000</v>
      </c>
      <c r="U43" s="6" t="s">
        <v>3216</v>
      </c>
      <c r="V43" s="6" t="s">
        <v>24</v>
      </c>
      <c r="W43" s="57">
        <f>Table6[[#This Row],[Dana Disetujui]]</f>
        <v>7000000</v>
      </c>
      <c r="X43" s="6" t="s">
        <v>3216</v>
      </c>
      <c r="Y43" s="33"/>
      <c r="Z43" s="233"/>
      <c r="AA43" s="33"/>
      <c r="AB43" s="33"/>
      <c r="AC43" s="233"/>
      <c r="AD43" s="33"/>
      <c r="AE43" s="33"/>
      <c r="AF43" s="233"/>
      <c r="AG43" s="33"/>
      <c r="AH43" s="33"/>
      <c r="AI43" s="233"/>
      <c r="AJ43" s="33"/>
      <c r="AK43" s="33"/>
      <c r="AL43" s="33"/>
      <c r="AM43" s="33"/>
      <c r="AN43" s="33"/>
      <c r="AO43" s="33"/>
      <c r="AP43" s="33"/>
      <c r="AQ43" s="789"/>
      <c r="AR43" s="315" t="s">
        <v>3190</v>
      </c>
      <c r="AS43" s="315" t="s">
        <v>3191</v>
      </c>
      <c r="AT43" s="52" t="s">
        <v>1936</v>
      </c>
      <c r="AU43" s="9"/>
      <c r="AV43" s="6" t="s">
        <v>392</v>
      </c>
      <c r="AW43" s="9" t="s">
        <v>3737</v>
      </c>
      <c r="AX43" s="6" t="s">
        <v>1934</v>
      </c>
      <c r="AY43" s="9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115" t="s">
        <v>3061</v>
      </c>
      <c r="BK43" s="115" t="s">
        <v>4981</v>
      </c>
      <c r="BL43" s="115" t="s">
        <v>4991</v>
      </c>
      <c r="BM43" s="115" t="s">
        <v>5158</v>
      </c>
      <c r="BN43" s="273" t="s">
        <v>3739</v>
      </c>
      <c r="BO43" s="273" t="s">
        <v>3739</v>
      </c>
    </row>
    <row r="44" spans="1:67" ht="84.6">
      <c r="A44" s="143" t="s">
        <v>5137</v>
      </c>
      <c r="B44" s="143" t="s">
        <v>5159</v>
      </c>
      <c r="C44" s="161" t="s">
        <v>5160</v>
      </c>
      <c r="D44" s="8" t="s">
        <v>4976</v>
      </c>
      <c r="E44" s="8">
        <v>2022</v>
      </c>
      <c r="F44" s="8">
        <v>2022</v>
      </c>
      <c r="G44" s="8"/>
      <c r="H44" s="6" t="s">
        <v>5151</v>
      </c>
      <c r="I44" s="482"/>
      <c r="J44" s="458">
        <v>7000000</v>
      </c>
      <c r="K44" s="8">
        <v>7</v>
      </c>
      <c r="L44" s="6" t="s">
        <v>4978</v>
      </c>
      <c r="M44" s="9" t="s">
        <v>3223</v>
      </c>
      <c r="N44" s="8" t="s">
        <v>3215</v>
      </c>
      <c r="O44" s="15" t="s">
        <v>4951</v>
      </c>
      <c r="P44" s="7" t="s">
        <v>2098</v>
      </c>
      <c r="Q44" s="109">
        <f>Table6[[#This Row],[Dana Disetujui]]</f>
        <v>7000000</v>
      </c>
      <c r="R44" s="6" t="s">
        <v>3216</v>
      </c>
      <c r="S44" s="6" t="s">
        <v>24</v>
      </c>
      <c r="T44" s="57">
        <f>Table6[[#This Row],[Dana Disetujui]]</f>
        <v>7000000</v>
      </c>
      <c r="U44" s="6" t="s">
        <v>3216</v>
      </c>
      <c r="V44" s="6" t="s">
        <v>14</v>
      </c>
      <c r="W44" s="57">
        <f>Table6[[#This Row],[Dana Disetujui]]</f>
        <v>7000000</v>
      </c>
      <c r="X44" s="6" t="s">
        <v>3216</v>
      </c>
      <c r="Y44" s="33"/>
      <c r="Z44" s="233"/>
      <c r="AA44" s="33"/>
      <c r="AB44" s="33"/>
      <c r="AC44" s="233"/>
      <c r="AD44" s="33"/>
      <c r="AE44" s="33"/>
      <c r="AF44" s="233"/>
      <c r="AG44" s="33"/>
      <c r="AH44" s="33"/>
      <c r="AI44" s="233"/>
      <c r="AJ44" s="33"/>
      <c r="AK44" s="33"/>
      <c r="AL44" s="33"/>
      <c r="AM44" s="33"/>
      <c r="AN44" s="33"/>
      <c r="AO44" s="33"/>
      <c r="AP44" s="33"/>
      <c r="AQ44" s="789"/>
      <c r="AR44" s="792" t="s">
        <v>3190</v>
      </c>
      <c r="AS44" s="792" t="s">
        <v>3191</v>
      </c>
      <c r="AT44" s="52" t="s">
        <v>550</v>
      </c>
      <c r="AU44" s="9"/>
      <c r="AV44" s="6" t="s">
        <v>4142</v>
      </c>
      <c r="AW44" s="9"/>
      <c r="AX44" s="6" t="s">
        <v>5161</v>
      </c>
      <c r="AY44" s="9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115" t="s">
        <v>3061</v>
      </c>
      <c r="BK44" s="115" t="s">
        <v>4981</v>
      </c>
      <c r="BL44" s="115" t="s">
        <v>5009</v>
      </c>
      <c r="BM44" s="115" t="s">
        <v>5162</v>
      </c>
      <c r="BN44" s="273" t="s">
        <v>3739</v>
      </c>
      <c r="BO44" s="273" t="s">
        <v>3739</v>
      </c>
    </row>
    <row r="45" spans="1:67" ht="36.6">
      <c r="A45" s="143" t="s">
        <v>5137</v>
      </c>
      <c r="B45" s="143" t="s">
        <v>5163</v>
      </c>
      <c r="C45" s="161" t="s">
        <v>5164</v>
      </c>
      <c r="D45" s="8" t="s">
        <v>4976</v>
      </c>
      <c r="E45" s="8">
        <v>2022</v>
      </c>
      <c r="F45" s="8">
        <v>2022</v>
      </c>
      <c r="G45" s="8"/>
      <c r="H45" s="6" t="s">
        <v>5141</v>
      </c>
      <c r="I45" s="482"/>
      <c r="J45" s="458">
        <v>6900000</v>
      </c>
      <c r="K45" s="8">
        <v>7</v>
      </c>
      <c r="L45" s="6" t="s">
        <v>4978</v>
      </c>
      <c r="M45" s="9" t="s">
        <v>3223</v>
      </c>
      <c r="N45" s="8" t="s">
        <v>3215</v>
      </c>
      <c r="O45" s="15" t="s">
        <v>4951</v>
      </c>
      <c r="P45" s="7" t="s">
        <v>5852</v>
      </c>
      <c r="Q45" s="109">
        <f>Table6[[#This Row],[Dana Disetujui]]</f>
        <v>6900000</v>
      </c>
      <c r="R45" s="6" t="s">
        <v>3216</v>
      </c>
      <c r="S45" s="6" t="s">
        <v>57</v>
      </c>
      <c r="T45" s="57">
        <f>Table6[[#This Row],[Dana Disetujui]]</f>
        <v>6900000</v>
      </c>
      <c r="U45" s="6" t="s">
        <v>3216</v>
      </c>
      <c r="V45" s="6" t="s">
        <v>47</v>
      </c>
      <c r="W45" s="57">
        <f>Table6[[#This Row],[Dana Disetujui]]</f>
        <v>6900000</v>
      </c>
      <c r="X45" s="6" t="s">
        <v>3216</v>
      </c>
      <c r="Y45" s="33"/>
      <c r="Z45" s="233"/>
      <c r="AA45" s="33"/>
      <c r="AB45" s="33"/>
      <c r="AC45" s="233"/>
      <c r="AD45" s="33"/>
      <c r="AE45" s="33"/>
      <c r="AF45" s="233"/>
      <c r="AG45" s="33"/>
      <c r="AH45" s="33"/>
      <c r="AI45" s="233"/>
      <c r="AJ45" s="33"/>
      <c r="AK45" s="33"/>
      <c r="AL45" s="33"/>
      <c r="AM45" s="33"/>
      <c r="AN45" s="33"/>
      <c r="AO45" s="33"/>
      <c r="AP45" s="33"/>
      <c r="AQ45" s="789"/>
      <c r="AR45" s="586" t="s">
        <v>3190</v>
      </c>
      <c r="AS45" s="586" t="s">
        <v>3191</v>
      </c>
      <c r="AT45" s="52" t="s">
        <v>1688</v>
      </c>
      <c r="AU45" s="9" t="s">
        <v>3713</v>
      </c>
      <c r="AV45" s="6" t="s">
        <v>1689</v>
      </c>
      <c r="AW45" s="9"/>
      <c r="AX45" s="6"/>
      <c r="AY45" s="9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115" t="s">
        <v>3251</v>
      </c>
      <c r="BK45" s="115" t="s">
        <v>4981</v>
      </c>
      <c r="BL45" s="115" t="s">
        <v>5009</v>
      </c>
      <c r="BM45" s="115" t="s">
        <v>5165</v>
      </c>
      <c r="BN45" s="273" t="s">
        <v>3739</v>
      </c>
      <c r="BO45" s="273" t="s">
        <v>3739</v>
      </c>
    </row>
    <row r="46" spans="1:67" ht="48">
      <c r="A46" s="143" t="s">
        <v>5137</v>
      </c>
      <c r="B46" s="143" t="s">
        <v>5166</v>
      </c>
      <c r="C46" s="161" t="s">
        <v>5167</v>
      </c>
      <c r="D46" s="8" t="s">
        <v>4976</v>
      </c>
      <c r="E46" s="8">
        <v>2022</v>
      </c>
      <c r="F46" s="8">
        <v>2022</v>
      </c>
      <c r="G46" s="8"/>
      <c r="H46" s="6" t="s">
        <v>5141</v>
      </c>
      <c r="I46" s="482"/>
      <c r="J46" s="458">
        <v>6000000</v>
      </c>
      <c r="K46" s="8">
        <v>7</v>
      </c>
      <c r="L46" s="6" t="s">
        <v>4978</v>
      </c>
      <c r="M46" s="9" t="s">
        <v>3223</v>
      </c>
      <c r="N46" s="8" t="s">
        <v>3215</v>
      </c>
      <c r="O46" s="15" t="s">
        <v>4951</v>
      </c>
      <c r="P46" s="7" t="s">
        <v>5875</v>
      </c>
      <c r="Q46" s="109">
        <f>Table6[[#This Row],[Dana Disetujui]]</f>
        <v>6000000</v>
      </c>
      <c r="R46" s="6" t="s">
        <v>3216</v>
      </c>
      <c r="S46" s="6" t="s">
        <v>38</v>
      </c>
      <c r="T46" s="57">
        <f>Table6[[#This Row],[Dana Disetujui]]</f>
        <v>6000000</v>
      </c>
      <c r="U46" s="6" t="s">
        <v>3216</v>
      </c>
      <c r="V46" s="6"/>
      <c r="W46" s="57"/>
      <c r="X46" s="33"/>
      <c r="Y46" s="33"/>
      <c r="Z46" s="233"/>
      <c r="AA46" s="33"/>
      <c r="AB46" s="33"/>
      <c r="AC46" s="233"/>
      <c r="AD46" s="33"/>
      <c r="AE46" s="33"/>
      <c r="AF46" s="233"/>
      <c r="AG46" s="33"/>
      <c r="AH46" s="33"/>
      <c r="AI46" s="233"/>
      <c r="AJ46" s="33"/>
      <c r="AK46" s="33"/>
      <c r="AL46" s="33"/>
      <c r="AM46" s="33"/>
      <c r="AN46" s="33"/>
      <c r="AO46" s="33"/>
      <c r="AP46" s="33"/>
      <c r="AQ46" s="789"/>
      <c r="AR46" s="586" t="s">
        <v>3190</v>
      </c>
      <c r="AS46" s="586" t="s">
        <v>3191</v>
      </c>
      <c r="AT46" s="52" t="s">
        <v>5168</v>
      </c>
      <c r="AU46" s="9" t="s">
        <v>3759</v>
      </c>
      <c r="AV46" s="6" t="s">
        <v>2371</v>
      </c>
      <c r="AW46" s="9" t="s">
        <v>3759</v>
      </c>
      <c r="AX46" s="6"/>
      <c r="AY46" s="9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115" t="s">
        <v>3061</v>
      </c>
      <c r="BK46" s="115" t="s">
        <v>4981</v>
      </c>
      <c r="BL46" s="115" t="s">
        <v>5009</v>
      </c>
      <c r="BM46" s="115" t="s">
        <v>5165</v>
      </c>
      <c r="BN46" s="115" t="s">
        <v>5169</v>
      </c>
      <c r="BO46" s="273" t="s">
        <v>3528</v>
      </c>
    </row>
    <row r="47" spans="1:67" ht="36.6">
      <c r="A47" s="143" t="s">
        <v>5137</v>
      </c>
      <c r="B47" s="143" t="s">
        <v>5170</v>
      </c>
      <c r="C47" s="161" t="s">
        <v>5171</v>
      </c>
      <c r="D47" s="8" t="s">
        <v>4976</v>
      </c>
      <c r="E47" s="8">
        <v>2022</v>
      </c>
      <c r="F47" s="8">
        <v>2022</v>
      </c>
      <c r="G47" s="8"/>
      <c r="H47" s="6" t="s">
        <v>5151</v>
      </c>
      <c r="I47" s="482"/>
      <c r="J47" s="458">
        <v>7000000</v>
      </c>
      <c r="K47" s="8">
        <v>7</v>
      </c>
      <c r="L47" s="6" t="s">
        <v>4978</v>
      </c>
      <c r="M47" s="9" t="s">
        <v>3223</v>
      </c>
      <c r="N47" s="8" t="s">
        <v>3215</v>
      </c>
      <c r="O47" s="15" t="s">
        <v>4951</v>
      </c>
      <c r="P47" s="7" t="s">
        <v>5850</v>
      </c>
      <c r="Q47" s="109">
        <f>Table6[[#This Row],[Dana Disetujui]]</f>
        <v>7000000</v>
      </c>
      <c r="R47" s="6" t="s">
        <v>3216</v>
      </c>
      <c r="S47" s="6" t="s">
        <v>108</v>
      </c>
      <c r="T47" s="57">
        <f>Table6[[#This Row],[Dana Disetujui]]</f>
        <v>7000000</v>
      </c>
      <c r="U47" s="6" t="s">
        <v>3216</v>
      </c>
      <c r="V47" s="6" t="s">
        <v>16</v>
      </c>
      <c r="W47" s="57">
        <f>Table6[[#This Row],[Dana Disetujui]]</f>
        <v>7000000</v>
      </c>
      <c r="X47" s="6" t="s">
        <v>3216</v>
      </c>
      <c r="Y47" s="33"/>
      <c r="Z47" s="233"/>
      <c r="AA47" s="33"/>
      <c r="AB47" s="33"/>
      <c r="AC47" s="233"/>
      <c r="AD47" s="33"/>
      <c r="AE47" s="33"/>
      <c r="AF47" s="233"/>
      <c r="AG47" s="33"/>
      <c r="AH47" s="33"/>
      <c r="AI47" s="233"/>
      <c r="AJ47" s="33"/>
      <c r="AK47" s="33"/>
      <c r="AL47" s="33"/>
      <c r="AM47" s="33"/>
      <c r="AN47" s="33"/>
      <c r="AO47" s="33"/>
      <c r="AP47" s="33"/>
      <c r="AQ47" s="789"/>
      <c r="AR47" s="586" t="s">
        <v>3190</v>
      </c>
      <c r="AS47" s="586" t="s">
        <v>3191</v>
      </c>
      <c r="AT47" s="52" t="s">
        <v>5172</v>
      </c>
      <c r="AU47" s="9"/>
      <c r="AV47" s="6" t="s">
        <v>5173</v>
      </c>
      <c r="AW47" s="9"/>
      <c r="AX47" s="6"/>
      <c r="AY47" s="9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115" t="s">
        <v>3061</v>
      </c>
      <c r="BK47" s="115" t="s">
        <v>4981</v>
      </c>
      <c r="BL47" s="115" t="s">
        <v>4991</v>
      </c>
      <c r="BM47" s="115" t="s">
        <v>5174</v>
      </c>
      <c r="BN47" s="273" t="s">
        <v>3739</v>
      </c>
      <c r="BO47" s="273" t="s">
        <v>3739</v>
      </c>
    </row>
    <row r="48" spans="1:67" ht="48.6">
      <c r="A48" s="143" t="s">
        <v>5137</v>
      </c>
      <c r="B48" s="143" t="s">
        <v>5175</v>
      </c>
      <c r="C48" s="161" t="s">
        <v>5176</v>
      </c>
      <c r="D48" s="8" t="s">
        <v>4976</v>
      </c>
      <c r="E48" s="8">
        <v>2022</v>
      </c>
      <c r="F48" s="8">
        <v>2022</v>
      </c>
      <c r="G48" s="8"/>
      <c r="H48" s="6" t="s">
        <v>5151</v>
      </c>
      <c r="I48" s="482"/>
      <c r="J48" s="458">
        <v>6500000</v>
      </c>
      <c r="K48" s="8">
        <v>7</v>
      </c>
      <c r="L48" s="6" t="s">
        <v>4978</v>
      </c>
      <c r="M48" s="9" t="s">
        <v>3223</v>
      </c>
      <c r="N48" s="8" t="s">
        <v>3215</v>
      </c>
      <c r="O48" s="15" t="s">
        <v>4951</v>
      </c>
      <c r="P48" s="7" t="s">
        <v>5876</v>
      </c>
      <c r="Q48" s="109">
        <f>Table6[[#This Row],[Dana Disetujui]]</f>
        <v>6500000</v>
      </c>
      <c r="R48" s="6" t="s">
        <v>3216</v>
      </c>
      <c r="S48" s="6" t="s">
        <v>23</v>
      </c>
      <c r="T48" s="57">
        <f>Table6[[#This Row],[Dana Disetujui]]</f>
        <v>6500000</v>
      </c>
      <c r="U48" s="6" t="s">
        <v>3216</v>
      </c>
      <c r="V48" s="6" t="s">
        <v>173</v>
      </c>
      <c r="W48" s="57">
        <f>Table6[[#This Row],[Dana Disetujui]]</f>
        <v>6500000</v>
      </c>
      <c r="X48" s="6" t="s">
        <v>3216</v>
      </c>
      <c r="Y48" s="33"/>
      <c r="Z48" s="233"/>
      <c r="AA48" s="33"/>
      <c r="AB48" s="33"/>
      <c r="AC48" s="233"/>
      <c r="AD48" s="33"/>
      <c r="AE48" s="33"/>
      <c r="AF48" s="233"/>
      <c r="AG48" s="33"/>
      <c r="AH48" s="33"/>
      <c r="AI48" s="233"/>
      <c r="AJ48" s="33"/>
      <c r="AK48" s="33"/>
      <c r="AL48" s="33"/>
      <c r="AM48" s="33"/>
      <c r="AN48" s="33"/>
      <c r="AO48" s="33"/>
      <c r="AP48" s="33"/>
      <c r="AQ48" s="789"/>
      <c r="AR48" s="792" t="s">
        <v>3190</v>
      </c>
      <c r="AS48" s="5" t="s">
        <v>3191</v>
      </c>
      <c r="AT48" s="52" t="s">
        <v>3065</v>
      </c>
      <c r="AU48" s="9"/>
      <c r="AV48" s="6"/>
      <c r="AW48" s="9"/>
      <c r="AX48" s="6"/>
      <c r="AY48" s="9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115" t="s">
        <v>3061</v>
      </c>
      <c r="BK48" s="115" t="s">
        <v>4981</v>
      </c>
      <c r="BL48" s="115" t="s">
        <v>4991</v>
      </c>
      <c r="BM48" s="274" t="s">
        <v>5177</v>
      </c>
      <c r="BN48" s="273" t="s">
        <v>3739</v>
      </c>
      <c r="BO48" s="273" t="s">
        <v>3739</v>
      </c>
    </row>
    <row r="49" spans="1:67" ht="48">
      <c r="A49" s="143" t="s">
        <v>5137</v>
      </c>
      <c r="B49" s="143" t="s">
        <v>5178</v>
      </c>
      <c r="C49" s="161" t="s">
        <v>5179</v>
      </c>
      <c r="D49" s="8" t="s">
        <v>4976</v>
      </c>
      <c r="E49" s="8">
        <v>2022</v>
      </c>
      <c r="F49" s="8">
        <v>2022</v>
      </c>
      <c r="G49" s="8"/>
      <c r="H49" s="6" t="s">
        <v>5141</v>
      </c>
      <c r="I49" s="482"/>
      <c r="J49" s="458">
        <v>6955000</v>
      </c>
      <c r="K49" s="8">
        <v>7</v>
      </c>
      <c r="L49" s="6" t="s">
        <v>4978</v>
      </c>
      <c r="M49" s="9" t="s">
        <v>3223</v>
      </c>
      <c r="N49" s="8" t="s">
        <v>3215</v>
      </c>
      <c r="O49" s="15" t="s">
        <v>4951</v>
      </c>
      <c r="P49" s="7" t="s">
        <v>5877</v>
      </c>
      <c r="Q49" s="109">
        <f>Table6[[#This Row],[Dana Disetujui]]</f>
        <v>6955000</v>
      </c>
      <c r="R49" s="6" t="s">
        <v>3216</v>
      </c>
      <c r="S49" s="6"/>
      <c r="T49" s="57"/>
      <c r="U49" s="6"/>
      <c r="V49" s="6"/>
      <c r="W49" s="57"/>
      <c r="X49" s="33"/>
      <c r="Y49" s="33"/>
      <c r="Z49" s="233"/>
      <c r="AA49" s="33"/>
      <c r="AB49" s="33"/>
      <c r="AC49" s="233"/>
      <c r="AD49" s="33"/>
      <c r="AE49" s="33"/>
      <c r="AF49" s="233"/>
      <c r="AG49" s="33"/>
      <c r="AH49" s="33"/>
      <c r="AI49" s="233"/>
      <c r="AJ49" s="33"/>
      <c r="AK49" s="33"/>
      <c r="AL49" s="33"/>
      <c r="AM49" s="33"/>
      <c r="AN49" s="33"/>
      <c r="AO49" s="33"/>
      <c r="AP49" s="33"/>
      <c r="AQ49" s="789"/>
      <c r="AR49" s="315" t="s">
        <v>3190</v>
      </c>
      <c r="AS49" s="315" t="s">
        <v>3191</v>
      </c>
      <c r="AT49" s="52" t="s">
        <v>1777</v>
      </c>
      <c r="AU49" s="9" t="s">
        <v>3759</v>
      </c>
      <c r="AV49" s="6" t="s">
        <v>5180</v>
      </c>
      <c r="AW49" s="9" t="s">
        <v>3713</v>
      </c>
      <c r="AX49" s="6" t="s">
        <v>2903</v>
      </c>
      <c r="AY49" s="9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115" t="s">
        <v>3061</v>
      </c>
      <c r="BK49" s="273" t="s">
        <v>3739</v>
      </c>
      <c r="BL49" s="273" t="s">
        <v>3739</v>
      </c>
      <c r="BM49" s="274" t="s">
        <v>3814</v>
      </c>
      <c r="BN49" s="273" t="s">
        <v>3739</v>
      </c>
      <c r="BO49" s="273" t="s">
        <v>3739</v>
      </c>
    </row>
    <row r="50" spans="1:67" ht="36.6">
      <c r="A50" s="143" t="s">
        <v>5137</v>
      </c>
      <c r="B50" s="143" t="s">
        <v>5181</v>
      </c>
      <c r="C50" s="161" t="s">
        <v>5182</v>
      </c>
      <c r="D50" s="8" t="s">
        <v>4976</v>
      </c>
      <c r="E50" s="8">
        <v>2022</v>
      </c>
      <c r="F50" s="8">
        <v>2022</v>
      </c>
      <c r="G50" s="8"/>
      <c r="H50" s="6" t="s">
        <v>5141</v>
      </c>
      <c r="I50" s="482"/>
      <c r="J50" s="458">
        <v>6671000</v>
      </c>
      <c r="K50" s="8">
        <v>7</v>
      </c>
      <c r="L50" s="6" t="s">
        <v>4978</v>
      </c>
      <c r="M50" s="9" t="s">
        <v>3223</v>
      </c>
      <c r="N50" s="8" t="s">
        <v>3215</v>
      </c>
      <c r="O50" s="15" t="s">
        <v>4951</v>
      </c>
      <c r="P50" s="7" t="s">
        <v>5878</v>
      </c>
      <c r="Q50" s="109">
        <f>Table6[[#This Row],[Dana Disetujui]]</f>
        <v>6671000</v>
      </c>
      <c r="R50" s="6" t="s">
        <v>3216</v>
      </c>
      <c r="S50" s="6" t="s">
        <v>1573</v>
      </c>
      <c r="T50" s="57">
        <f>Table6[[#This Row],[Dana Disetujui]]</f>
        <v>6671000</v>
      </c>
      <c r="U50" s="6" t="s">
        <v>3216</v>
      </c>
      <c r="V50" s="6" t="s">
        <v>34</v>
      </c>
      <c r="W50" s="57">
        <f>Table6[[#This Row],[Dana Disetujui]]</f>
        <v>6671000</v>
      </c>
      <c r="X50" s="6" t="s">
        <v>3216</v>
      </c>
      <c r="Y50" s="33"/>
      <c r="Z50" s="233"/>
      <c r="AA50" s="33"/>
      <c r="AB50" s="33"/>
      <c r="AC50" s="233"/>
      <c r="AD50" s="33"/>
      <c r="AE50" s="33"/>
      <c r="AF50" s="233"/>
      <c r="AG50" s="33"/>
      <c r="AH50" s="33"/>
      <c r="AI50" s="233"/>
      <c r="AJ50" s="33"/>
      <c r="AK50" s="33"/>
      <c r="AL50" s="33"/>
      <c r="AM50" s="33"/>
      <c r="AN50" s="33"/>
      <c r="AO50" s="33"/>
      <c r="AP50" s="33"/>
      <c r="AQ50" s="789"/>
      <c r="AR50" s="315" t="s">
        <v>3190</v>
      </c>
      <c r="AS50" s="315" t="s">
        <v>3191</v>
      </c>
      <c r="AT50" s="52" t="s">
        <v>5183</v>
      </c>
      <c r="AU50" s="9"/>
      <c r="AV50" s="6" t="s">
        <v>5184</v>
      </c>
      <c r="AW50" s="9" t="s">
        <v>3748</v>
      </c>
      <c r="AX50" s="6" t="s">
        <v>5185</v>
      </c>
      <c r="AY50" s="9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115" t="s">
        <v>3251</v>
      </c>
      <c r="BK50" s="115" t="s">
        <v>4981</v>
      </c>
      <c r="BL50" s="115" t="s">
        <v>4991</v>
      </c>
      <c r="BM50" s="115" t="s">
        <v>5186</v>
      </c>
      <c r="BN50" s="273" t="s">
        <v>3739</v>
      </c>
      <c r="BO50" s="273" t="s">
        <v>3739</v>
      </c>
    </row>
    <row r="51" spans="1:67" ht="60.6">
      <c r="A51" s="143" t="s">
        <v>5137</v>
      </c>
      <c r="B51" s="143" t="s">
        <v>5187</v>
      </c>
      <c r="C51" s="161" t="s">
        <v>5188</v>
      </c>
      <c r="D51" s="8" t="s">
        <v>4976</v>
      </c>
      <c r="E51" s="8">
        <v>2022</v>
      </c>
      <c r="F51" s="8">
        <v>2022</v>
      </c>
      <c r="G51" s="8"/>
      <c r="H51" s="6" t="s">
        <v>5151</v>
      </c>
      <c r="I51" s="482"/>
      <c r="J51" s="458">
        <v>7000000</v>
      </c>
      <c r="K51" s="8">
        <v>7</v>
      </c>
      <c r="L51" s="6" t="s">
        <v>4978</v>
      </c>
      <c r="M51" s="9" t="s">
        <v>3223</v>
      </c>
      <c r="N51" s="8" t="s">
        <v>3215</v>
      </c>
      <c r="O51" s="15" t="s">
        <v>4951</v>
      </c>
      <c r="P51" s="7" t="s">
        <v>5879</v>
      </c>
      <c r="Q51" s="109">
        <f>Table6[[#This Row],[Dana Disetujui]]</f>
        <v>7000000</v>
      </c>
      <c r="R51" s="6" t="s">
        <v>3216</v>
      </c>
      <c r="S51" s="6" t="s">
        <v>57</v>
      </c>
      <c r="T51" s="57">
        <f>Table6[[#This Row],[Dana Disetujui]]</f>
        <v>7000000</v>
      </c>
      <c r="U51" s="6" t="s">
        <v>3216</v>
      </c>
      <c r="V51" s="6" t="s">
        <v>25</v>
      </c>
      <c r="W51" s="57">
        <f>Table6[[#This Row],[Dana Disetujui]]</f>
        <v>7000000</v>
      </c>
      <c r="X51" s="6" t="s">
        <v>3216</v>
      </c>
      <c r="Y51" s="33"/>
      <c r="Z51" s="233"/>
      <c r="AA51" s="33"/>
      <c r="AB51" s="33"/>
      <c r="AC51" s="233"/>
      <c r="AD51" s="33"/>
      <c r="AE51" s="33"/>
      <c r="AF51" s="233"/>
      <c r="AG51" s="33"/>
      <c r="AH51" s="33"/>
      <c r="AI51" s="233"/>
      <c r="AJ51" s="33"/>
      <c r="AK51" s="33"/>
      <c r="AL51" s="33"/>
      <c r="AM51" s="33"/>
      <c r="AN51" s="33"/>
      <c r="AO51" s="33"/>
      <c r="AP51" s="33"/>
      <c r="AQ51" s="789"/>
      <c r="AR51" s="5" t="s">
        <v>3190</v>
      </c>
      <c r="AS51" s="586" t="s">
        <v>3191</v>
      </c>
      <c r="AT51" s="52" t="s">
        <v>1376</v>
      </c>
      <c r="AU51" s="9" t="s">
        <v>3713</v>
      </c>
      <c r="AV51" s="6" t="s">
        <v>5189</v>
      </c>
      <c r="AW51" s="9"/>
      <c r="AX51" s="6" t="s">
        <v>5190</v>
      </c>
      <c r="AY51" s="9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115" t="s">
        <v>3061</v>
      </c>
      <c r="BK51" s="115" t="s">
        <v>4981</v>
      </c>
      <c r="BL51" s="115" t="s">
        <v>4991</v>
      </c>
      <c r="BM51" s="115" t="s">
        <v>5191</v>
      </c>
      <c r="BN51" s="273" t="s">
        <v>3739</v>
      </c>
      <c r="BO51" s="273" t="s">
        <v>3739</v>
      </c>
    </row>
    <row r="52" spans="1:67" ht="48.6">
      <c r="A52" s="143" t="s">
        <v>5137</v>
      </c>
      <c r="B52" s="143" t="s">
        <v>5192</v>
      </c>
      <c r="C52" s="161" t="s">
        <v>5193</v>
      </c>
      <c r="D52" s="8" t="s">
        <v>4976</v>
      </c>
      <c r="E52" s="8">
        <v>2022</v>
      </c>
      <c r="F52" s="8">
        <v>2022</v>
      </c>
      <c r="G52" s="8"/>
      <c r="H52" s="6" t="s">
        <v>5141</v>
      </c>
      <c r="I52" s="482"/>
      <c r="J52" s="458">
        <v>5570000</v>
      </c>
      <c r="K52" s="8">
        <v>7</v>
      </c>
      <c r="L52" s="6" t="s">
        <v>4978</v>
      </c>
      <c r="M52" s="9" t="s">
        <v>3223</v>
      </c>
      <c r="N52" s="8" t="s">
        <v>3215</v>
      </c>
      <c r="O52" s="15" t="s">
        <v>4951</v>
      </c>
      <c r="P52" s="7" t="s">
        <v>5843</v>
      </c>
      <c r="Q52" s="109">
        <f>Table6[[#This Row],[Dana Disetujui]]</f>
        <v>5570000</v>
      </c>
      <c r="R52" s="6" t="s">
        <v>3216</v>
      </c>
      <c r="S52" s="6" t="s">
        <v>28</v>
      </c>
      <c r="T52" s="57">
        <f>Table6[[#This Row],[Dana Disetujui]]</f>
        <v>5570000</v>
      </c>
      <c r="U52" s="6" t="s">
        <v>3216</v>
      </c>
      <c r="V52" s="6" t="s">
        <v>39</v>
      </c>
      <c r="W52" s="57">
        <f>Table6[[#This Row],[Dana Disetujui]]</f>
        <v>5570000</v>
      </c>
      <c r="X52" s="6" t="s">
        <v>3216</v>
      </c>
      <c r="Y52" s="33"/>
      <c r="Z52" s="233"/>
      <c r="AA52" s="33"/>
      <c r="AB52" s="33"/>
      <c r="AC52" s="233"/>
      <c r="AD52" s="33"/>
      <c r="AE52" s="33"/>
      <c r="AF52" s="233"/>
      <c r="AG52" s="33"/>
      <c r="AH52" s="33"/>
      <c r="AI52" s="233"/>
      <c r="AJ52" s="33"/>
      <c r="AK52" s="33"/>
      <c r="AL52" s="33"/>
      <c r="AM52" s="33"/>
      <c r="AN52" s="33"/>
      <c r="AO52" s="33"/>
      <c r="AP52" s="33"/>
      <c r="AQ52" s="789"/>
      <c r="AR52" s="793" t="s">
        <v>3190</v>
      </c>
      <c r="AS52" s="793" t="s">
        <v>3191</v>
      </c>
      <c r="AT52" s="52" t="s">
        <v>1658</v>
      </c>
      <c r="AU52" s="9"/>
      <c r="AV52" s="6" t="s">
        <v>5194</v>
      </c>
      <c r="AW52" s="9"/>
      <c r="AX52" s="6"/>
      <c r="AY52" s="9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115" t="s">
        <v>3251</v>
      </c>
      <c r="BK52" s="115" t="s">
        <v>4998</v>
      </c>
      <c r="BL52" s="115" t="s">
        <v>4991</v>
      </c>
      <c r="BM52" s="274" t="s">
        <v>5195</v>
      </c>
      <c r="BN52" s="273" t="s">
        <v>3739</v>
      </c>
      <c r="BO52" s="273" t="s">
        <v>3739</v>
      </c>
    </row>
    <row r="53" spans="1:67" ht="36.6">
      <c r="A53" s="143" t="s">
        <v>5137</v>
      </c>
      <c r="B53" s="143" t="s">
        <v>5196</v>
      </c>
      <c r="C53" s="161" t="s">
        <v>5197</v>
      </c>
      <c r="D53" s="8" t="s">
        <v>4976</v>
      </c>
      <c r="E53" s="8">
        <v>2022</v>
      </c>
      <c r="F53" s="8">
        <v>2022</v>
      </c>
      <c r="G53" s="8"/>
      <c r="H53" s="6" t="s">
        <v>5141</v>
      </c>
      <c r="I53" s="482"/>
      <c r="J53" s="458">
        <v>7000000</v>
      </c>
      <c r="K53" s="8">
        <v>7</v>
      </c>
      <c r="L53" s="6" t="s">
        <v>4978</v>
      </c>
      <c r="M53" s="9" t="s">
        <v>3223</v>
      </c>
      <c r="N53" s="8" t="s">
        <v>3215</v>
      </c>
      <c r="O53" s="15" t="s">
        <v>4951</v>
      </c>
      <c r="P53" s="7" t="s">
        <v>5880</v>
      </c>
      <c r="Q53" s="109">
        <f>Table6[[#This Row],[Dana Disetujui]]</f>
        <v>7000000</v>
      </c>
      <c r="R53" s="6" t="s">
        <v>3216</v>
      </c>
      <c r="S53" s="6" t="s">
        <v>94</v>
      </c>
      <c r="T53" s="57">
        <f>Table6[[#This Row],[Dana Disetujui]]</f>
        <v>7000000</v>
      </c>
      <c r="U53" s="6" t="s">
        <v>3216</v>
      </c>
      <c r="V53" s="6" t="s">
        <v>18</v>
      </c>
      <c r="W53" s="57">
        <f>Table6[[#This Row],[Dana Disetujui]]</f>
        <v>7000000</v>
      </c>
      <c r="X53" s="6" t="s">
        <v>3216</v>
      </c>
      <c r="Y53" s="33"/>
      <c r="Z53" s="233"/>
      <c r="AA53" s="33"/>
      <c r="AB53" s="33"/>
      <c r="AC53" s="233"/>
      <c r="AD53" s="33"/>
      <c r="AE53" s="33"/>
      <c r="AF53" s="233"/>
      <c r="AG53" s="33"/>
      <c r="AH53" s="33"/>
      <c r="AI53" s="233"/>
      <c r="AJ53" s="33"/>
      <c r="AK53" s="33"/>
      <c r="AL53" s="33"/>
      <c r="AM53" s="33"/>
      <c r="AN53" s="33"/>
      <c r="AO53" s="33"/>
      <c r="AP53" s="33"/>
      <c r="AQ53" s="789"/>
      <c r="AR53" s="792" t="s">
        <v>3190</v>
      </c>
      <c r="AS53" s="792" t="s">
        <v>3191</v>
      </c>
      <c r="AT53" s="52" t="s">
        <v>2151</v>
      </c>
      <c r="AU53" s="9"/>
      <c r="AV53" s="6" t="s">
        <v>5198</v>
      </c>
      <c r="AW53" s="9"/>
      <c r="AX53" s="6" t="s">
        <v>5199</v>
      </c>
      <c r="AY53" s="9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275" t="s">
        <v>942</v>
      </c>
      <c r="BK53" s="115" t="s">
        <v>4981</v>
      </c>
      <c r="BL53" s="115" t="s">
        <v>4991</v>
      </c>
      <c r="BM53" s="274" t="s">
        <v>5200</v>
      </c>
      <c r="BN53" s="273" t="s">
        <v>3739</v>
      </c>
      <c r="BO53" s="273" t="s">
        <v>3739</v>
      </c>
    </row>
    <row r="54" spans="1:67" ht="36">
      <c r="A54" s="143" t="s">
        <v>5137</v>
      </c>
      <c r="B54" s="6" t="s">
        <v>942</v>
      </c>
      <c r="C54" s="161" t="s">
        <v>5201</v>
      </c>
      <c r="D54" s="8" t="s">
        <v>5040</v>
      </c>
      <c r="E54" s="8">
        <v>2022</v>
      </c>
      <c r="F54" s="8">
        <v>2022</v>
      </c>
      <c r="G54" s="8"/>
      <c r="H54" s="6" t="s">
        <v>5141</v>
      </c>
      <c r="I54" s="482"/>
      <c r="J54" s="458">
        <v>10000000</v>
      </c>
      <c r="K54" s="8">
        <v>7</v>
      </c>
      <c r="L54" s="6" t="s">
        <v>4978</v>
      </c>
      <c r="M54" s="9" t="s">
        <v>3223</v>
      </c>
      <c r="N54" s="8" t="s">
        <v>3215</v>
      </c>
      <c r="O54" s="15" t="s">
        <v>4951</v>
      </c>
      <c r="P54" s="7" t="s">
        <v>5848</v>
      </c>
      <c r="Q54" s="109">
        <f>Table6[[#This Row],[Dana Disetujui]]</f>
        <v>10000000</v>
      </c>
      <c r="R54" s="6" t="s">
        <v>3216</v>
      </c>
      <c r="S54" s="6" t="s">
        <v>165</v>
      </c>
      <c r="T54" s="57">
        <f>Table6[[#This Row],[Dana Disetujui]]</f>
        <v>10000000</v>
      </c>
      <c r="U54" s="6" t="s">
        <v>3216</v>
      </c>
      <c r="V54" s="6" t="s">
        <v>26</v>
      </c>
      <c r="W54" s="57">
        <f>Table6[[#This Row],[Dana Disetujui]]</f>
        <v>10000000</v>
      </c>
      <c r="X54" s="6" t="s">
        <v>3216</v>
      </c>
      <c r="Y54" s="33"/>
      <c r="Z54" s="233"/>
      <c r="AA54" s="33"/>
      <c r="AB54" s="33"/>
      <c r="AC54" s="233"/>
      <c r="AD54" s="33"/>
      <c r="AE54" s="33"/>
      <c r="AF54" s="233"/>
      <c r="AG54" s="33"/>
      <c r="AH54" s="33"/>
      <c r="AI54" s="233"/>
      <c r="AJ54" s="33"/>
      <c r="AK54" s="33"/>
      <c r="AL54" s="33"/>
      <c r="AM54" s="33"/>
      <c r="AN54" s="33"/>
      <c r="AO54" s="33"/>
      <c r="AP54" s="33"/>
      <c r="AQ54" s="789"/>
      <c r="AR54" s="160" t="s">
        <v>3190</v>
      </c>
      <c r="AS54" s="160" t="s">
        <v>3191</v>
      </c>
      <c r="AT54" s="52"/>
      <c r="AU54" s="9"/>
      <c r="AV54" s="6"/>
      <c r="AW54" s="9"/>
      <c r="AX54" s="6"/>
      <c r="AY54" s="9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115" t="s">
        <v>3061</v>
      </c>
      <c r="BK54" s="273" t="s">
        <v>3739</v>
      </c>
      <c r="BL54" s="273" t="s">
        <v>3739</v>
      </c>
      <c r="BM54" s="115" t="s">
        <v>5202</v>
      </c>
      <c r="BN54" s="273" t="s">
        <v>3739</v>
      </c>
      <c r="BO54" s="273" t="s">
        <v>3739</v>
      </c>
    </row>
    <row r="55" spans="1:67" ht="36.6">
      <c r="A55" s="143" t="s">
        <v>5137</v>
      </c>
      <c r="B55" s="143" t="s">
        <v>5203</v>
      </c>
      <c r="C55" s="161" t="s">
        <v>5204</v>
      </c>
      <c r="D55" s="8" t="s">
        <v>4976</v>
      </c>
      <c r="E55" s="8">
        <v>2022</v>
      </c>
      <c r="F55" s="8">
        <v>2022</v>
      </c>
      <c r="G55" s="8"/>
      <c r="H55" s="6" t="s">
        <v>4986</v>
      </c>
      <c r="I55" s="482"/>
      <c r="J55" s="458">
        <v>6971250</v>
      </c>
      <c r="K55" s="8">
        <v>7</v>
      </c>
      <c r="L55" s="6" t="s">
        <v>4978</v>
      </c>
      <c r="M55" s="9" t="s">
        <v>3223</v>
      </c>
      <c r="N55" s="8" t="s">
        <v>3215</v>
      </c>
      <c r="O55" s="15" t="s">
        <v>4951</v>
      </c>
      <c r="P55" s="7" t="s">
        <v>5881</v>
      </c>
      <c r="Q55" s="109">
        <f>Table6[[#This Row],[Dana Disetujui]]</f>
        <v>6971250</v>
      </c>
      <c r="R55" s="6" t="s">
        <v>3216</v>
      </c>
      <c r="S55" s="6" t="s">
        <v>177</v>
      </c>
      <c r="T55" s="57">
        <f>Table6[[#This Row],[Dana Disetujui]]</f>
        <v>6971250</v>
      </c>
      <c r="U55" s="6" t="s">
        <v>3216</v>
      </c>
      <c r="V55" s="6"/>
      <c r="W55" s="57"/>
      <c r="X55" s="33"/>
      <c r="Y55" s="33"/>
      <c r="Z55" s="233"/>
      <c r="AA55" s="33"/>
      <c r="AB55" s="33"/>
      <c r="AC55" s="233"/>
      <c r="AD55" s="33"/>
      <c r="AE55" s="33"/>
      <c r="AF55" s="233"/>
      <c r="AG55" s="33"/>
      <c r="AH55" s="33"/>
      <c r="AI55" s="233"/>
      <c r="AJ55" s="33"/>
      <c r="AK55" s="33"/>
      <c r="AL55" s="33"/>
      <c r="AM55" s="33"/>
      <c r="AN55" s="33"/>
      <c r="AO55" s="33"/>
      <c r="AP55" s="33"/>
      <c r="AQ55" s="789"/>
      <c r="AR55" s="5" t="s">
        <v>3190</v>
      </c>
      <c r="AS55" s="792" t="s">
        <v>3191</v>
      </c>
      <c r="AT55" s="52" t="s">
        <v>2137</v>
      </c>
      <c r="AU55" s="9"/>
      <c r="AV55" s="6" t="s">
        <v>5205</v>
      </c>
      <c r="AW55" s="9"/>
      <c r="AX55" s="6" t="s">
        <v>5206</v>
      </c>
      <c r="AY55" s="9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273" t="s">
        <v>4990</v>
      </c>
      <c r="BK55" s="115" t="s">
        <v>4998</v>
      </c>
      <c r="BL55" s="115" t="s">
        <v>4991</v>
      </c>
      <c r="BM55" s="115" t="s">
        <v>5202</v>
      </c>
      <c r="BN55" s="273" t="s">
        <v>3739</v>
      </c>
      <c r="BO55" s="273" t="s">
        <v>3739</v>
      </c>
    </row>
    <row r="56" spans="1:67" ht="72.599999999999994">
      <c r="A56" s="143" t="s">
        <v>5207</v>
      </c>
      <c r="B56" s="143" t="s">
        <v>5208</v>
      </c>
      <c r="C56" s="161" t="s">
        <v>5209</v>
      </c>
      <c r="D56" s="8" t="s">
        <v>4976</v>
      </c>
      <c r="E56" s="8">
        <v>2022</v>
      </c>
      <c r="F56" s="8">
        <v>2022</v>
      </c>
      <c r="G56" s="8"/>
      <c r="H56" s="6" t="s">
        <v>4977</v>
      </c>
      <c r="I56" s="482"/>
      <c r="J56" s="458">
        <v>6941000</v>
      </c>
      <c r="K56" s="8">
        <v>7</v>
      </c>
      <c r="L56" s="6" t="s">
        <v>4978</v>
      </c>
      <c r="M56" s="9" t="s">
        <v>3223</v>
      </c>
      <c r="N56" s="8" t="s">
        <v>3215</v>
      </c>
      <c r="O56" s="15" t="s">
        <v>4951</v>
      </c>
      <c r="P56" s="7" t="s">
        <v>5882</v>
      </c>
      <c r="Q56" s="109">
        <f>Table6[[#This Row],[Dana Disetujui]]</f>
        <v>6941000</v>
      </c>
      <c r="R56" s="6" t="s">
        <v>3216</v>
      </c>
      <c r="S56" s="6" t="s">
        <v>42</v>
      </c>
      <c r="T56" s="57">
        <f>Table6[[#This Row],[Dana Disetujui]]</f>
        <v>6941000</v>
      </c>
      <c r="U56" s="6" t="s">
        <v>3216</v>
      </c>
      <c r="V56" s="55" t="s">
        <v>5210</v>
      </c>
      <c r="W56" s="57">
        <f>Table6[[#This Row],[Dana Disetujui]]</f>
        <v>6941000</v>
      </c>
      <c r="X56" s="32"/>
      <c r="Y56" s="33"/>
      <c r="Z56" s="233"/>
      <c r="AA56" s="33"/>
      <c r="AB56" s="33"/>
      <c r="AC56" s="233"/>
      <c r="AD56" s="33"/>
      <c r="AE56" s="33"/>
      <c r="AF56" s="233"/>
      <c r="AG56" s="33"/>
      <c r="AH56" s="33"/>
      <c r="AI56" s="233"/>
      <c r="AJ56" s="33"/>
      <c r="AK56" s="33"/>
      <c r="AL56" s="33"/>
      <c r="AM56" s="33"/>
      <c r="AN56" s="33"/>
      <c r="AO56" s="33"/>
      <c r="AP56" s="33"/>
      <c r="AQ56" s="789"/>
      <c r="AR56" s="792" t="s">
        <v>3190</v>
      </c>
      <c r="AS56" s="5" t="s">
        <v>3191</v>
      </c>
      <c r="AT56" s="52" t="s">
        <v>1329</v>
      </c>
      <c r="AU56" s="9"/>
      <c r="AV56" s="6" t="s">
        <v>5211</v>
      </c>
      <c r="AW56" s="9"/>
      <c r="AX56" s="6" t="s">
        <v>5212</v>
      </c>
      <c r="AY56" s="9"/>
      <c r="AZ56" s="33" t="s">
        <v>5213</v>
      </c>
      <c r="BA56" s="33"/>
      <c r="BB56" s="33"/>
      <c r="BC56" s="33"/>
      <c r="BD56" s="33"/>
      <c r="BE56" s="33"/>
      <c r="BF56" s="33"/>
      <c r="BG56" s="33"/>
      <c r="BH56" s="33"/>
      <c r="BI56" s="33"/>
      <c r="BJ56" s="115" t="s">
        <v>3061</v>
      </c>
      <c r="BK56" s="115" t="s">
        <v>4998</v>
      </c>
      <c r="BL56" s="115" t="s">
        <v>4991</v>
      </c>
      <c r="BM56" s="115" t="s">
        <v>5214</v>
      </c>
      <c r="BN56" s="273" t="s">
        <v>3739</v>
      </c>
      <c r="BO56" s="273" t="s">
        <v>3739</v>
      </c>
    </row>
    <row r="57" spans="1:67" ht="36.6">
      <c r="A57" s="143" t="s">
        <v>5207</v>
      </c>
      <c r="B57" s="143" t="s">
        <v>5215</v>
      </c>
      <c r="C57" s="161" t="s">
        <v>5216</v>
      </c>
      <c r="D57" s="8" t="s">
        <v>4976</v>
      </c>
      <c r="E57" s="8">
        <v>2022</v>
      </c>
      <c r="F57" s="8">
        <v>2022</v>
      </c>
      <c r="G57" s="8"/>
      <c r="H57" s="6" t="s">
        <v>4977</v>
      </c>
      <c r="I57" s="482"/>
      <c r="J57" s="458">
        <v>7000000</v>
      </c>
      <c r="K57" s="8">
        <v>7</v>
      </c>
      <c r="L57" s="6" t="s">
        <v>4978</v>
      </c>
      <c r="M57" s="9" t="s">
        <v>3223</v>
      </c>
      <c r="N57" s="8" t="s">
        <v>3215</v>
      </c>
      <c r="O57" s="15" t="s">
        <v>4951</v>
      </c>
      <c r="P57" s="7" t="s">
        <v>5845</v>
      </c>
      <c r="Q57" s="109">
        <f>Table6[[#This Row],[Dana Disetujui]]</f>
        <v>7000000</v>
      </c>
      <c r="R57" s="6" t="s">
        <v>3216</v>
      </c>
      <c r="S57" s="6" t="s">
        <v>26</v>
      </c>
      <c r="T57" s="57">
        <f>Table6[[#This Row],[Dana Disetujui]]</f>
        <v>7000000</v>
      </c>
      <c r="U57" s="6" t="s">
        <v>3216</v>
      </c>
      <c r="V57" s="6" t="s">
        <v>11</v>
      </c>
      <c r="W57" s="57">
        <f>Table6[[#This Row],[Dana Disetujui]]</f>
        <v>7000000</v>
      </c>
      <c r="X57" s="6" t="s">
        <v>3216</v>
      </c>
      <c r="Y57" s="33"/>
      <c r="Z57" s="233"/>
      <c r="AA57" s="33"/>
      <c r="AB57" s="33"/>
      <c r="AC57" s="233"/>
      <c r="AD57" s="33"/>
      <c r="AE57" s="33"/>
      <c r="AF57" s="233"/>
      <c r="AG57" s="33"/>
      <c r="AH57" s="33"/>
      <c r="AI57" s="233"/>
      <c r="AJ57" s="33"/>
      <c r="AK57" s="33"/>
      <c r="AL57" s="33"/>
      <c r="AM57" s="33"/>
      <c r="AN57" s="33"/>
      <c r="AO57" s="33"/>
      <c r="AP57" s="33"/>
      <c r="AQ57" s="789"/>
      <c r="AR57" s="586" t="s">
        <v>3190</v>
      </c>
      <c r="AS57" s="586" t="s">
        <v>3191</v>
      </c>
      <c r="AT57" s="52" t="s">
        <v>1025</v>
      </c>
      <c r="AU57" s="9"/>
      <c r="AV57" s="6" t="s">
        <v>1026</v>
      </c>
      <c r="AW57" s="9"/>
      <c r="AX57" s="6" t="s">
        <v>2808</v>
      </c>
      <c r="AY57" s="9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115" t="s">
        <v>3061</v>
      </c>
      <c r="BK57" s="115" t="s">
        <v>4981</v>
      </c>
      <c r="BL57" s="115" t="s">
        <v>4991</v>
      </c>
      <c r="BM57" s="115" t="s">
        <v>3739</v>
      </c>
      <c r="BN57" s="273" t="s">
        <v>3739</v>
      </c>
      <c r="BO57" s="273" t="s">
        <v>3739</v>
      </c>
    </row>
    <row r="58" spans="1:67" ht="36">
      <c r="A58" s="143" t="s">
        <v>5207</v>
      </c>
      <c r="B58" s="143" t="s">
        <v>5217</v>
      </c>
      <c r="C58" s="161" t="s">
        <v>5218</v>
      </c>
      <c r="D58" s="8" t="s">
        <v>4976</v>
      </c>
      <c r="E58" s="8">
        <v>2022</v>
      </c>
      <c r="F58" s="8">
        <v>2022</v>
      </c>
      <c r="G58" s="8"/>
      <c r="H58" s="6" t="s">
        <v>4977</v>
      </c>
      <c r="I58" s="482"/>
      <c r="J58" s="458">
        <v>6000000</v>
      </c>
      <c r="K58" s="8">
        <v>7</v>
      </c>
      <c r="L58" s="6" t="s">
        <v>4978</v>
      </c>
      <c r="M58" s="9" t="s">
        <v>3223</v>
      </c>
      <c r="N58" s="8" t="s">
        <v>3215</v>
      </c>
      <c r="O58" s="15" t="s">
        <v>4951</v>
      </c>
      <c r="P58" s="7" t="s">
        <v>5883</v>
      </c>
      <c r="Q58" s="109">
        <f>Table6[[#This Row],[Dana Disetujui]]</f>
        <v>6000000</v>
      </c>
      <c r="R58" s="6" t="s">
        <v>3216</v>
      </c>
      <c r="S58" s="6" t="s">
        <v>53</v>
      </c>
      <c r="T58" s="57">
        <f>Table6[[#This Row],[Dana Disetujui]]</f>
        <v>6000000</v>
      </c>
      <c r="U58" s="6" t="s">
        <v>3216</v>
      </c>
      <c r="V58" s="6" t="s">
        <v>761</v>
      </c>
      <c r="W58" s="57">
        <f>Table6[[#This Row],[Dana Disetujui]]</f>
        <v>6000000</v>
      </c>
      <c r="X58" s="6" t="s">
        <v>3216</v>
      </c>
      <c r="Y58" s="33"/>
      <c r="Z58" s="233"/>
      <c r="AA58" s="33"/>
      <c r="AB58" s="33"/>
      <c r="AC58" s="233"/>
      <c r="AD58" s="33"/>
      <c r="AE58" s="33"/>
      <c r="AF58" s="233"/>
      <c r="AG58" s="33"/>
      <c r="AH58" s="33"/>
      <c r="AI58" s="233"/>
      <c r="AJ58" s="33"/>
      <c r="AK58" s="33"/>
      <c r="AL58" s="33"/>
      <c r="AM58" s="33"/>
      <c r="AN58" s="33"/>
      <c r="AO58" s="33"/>
      <c r="AP58" s="33"/>
      <c r="AQ58" s="789"/>
      <c r="AR58" s="586" t="s">
        <v>3190</v>
      </c>
      <c r="AS58" s="586" t="s">
        <v>3191</v>
      </c>
      <c r="AT58" s="52" t="s">
        <v>2045</v>
      </c>
      <c r="AU58" s="9"/>
      <c r="AV58" s="6" t="s">
        <v>2047</v>
      </c>
      <c r="AW58" s="9"/>
      <c r="AX58" s="6" t="s">
        <v>2046</v>
      </c>
      <c r="AY58" s="9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115" t="s">
        <v>3251</v>
      </c>
      <c r="BK58" s="273" t="s">
        <v>3739</v>
      </c>
      <c r="BL58" s="273" t="s">
        <v>3739</v>
      </c>
      <c r="BM58" s="115" t="s">
        <v>5202</v>
      </c>
      <c r="BN58" s="273" t="s">
        <v>3739</v>
      </c>
      <c r="BO58" s="273" t="s">
        <v>3739</v>
      </c>
    </row>
    <row r="59" spans="1:67" ht="48.6">
      <c r="A59" s="143" t="s">
        <v>5207</v>
      </c>
      <c r="B59" s="143" t="s">
        <v>5219</v>
      </c>
      <c r="C59" s="161" t="s">
        <v>5220</v>
      </c>
      <c r="D59" s="8" t="s">
        <v>4976</v>
      </c>
      <c r="E59" s="8">
        <v>2022</v>
      </c>
      <c r="F59" s="8">
        <v>2022</v>
      </c>
      <c r="G59" s="8"/>
      <c r="H59" s="6" t="s">
        <v>4986</v>
      </c>
      <c r="I59" s="482"/>
      <c r="J59" s="458">
        <v>5500000</v>
      </c>
      <c r="K59" s="8">
        <v>7</v>
      </c>
      <c r="L59" s="6" t="s">
        <v>4978</v>
      </c>
      <c r="M59" s="9" t="s">
        <v>3223</v>
      </c>
      <c r="N59" s="8" t="s">
        <v>3215</v>
      </c>
      <c r="O59" s="15" t="s">
        <v>4951</v>
      </c>
      <c r="P59" s="7" t="s">
        <v>5884</v>
      </c>
      <c r="Q59" s="109">
        <f>Table6[[#This Row],[Dana Disetujui]]</f>
        <v>5500000</v>
      </c>
      <c r="R59" s="6" t="s">
        <v>3216</v>
      </c>
      <c r="S59" s="6" t="s">
        <v>180</v>
      </c>
      <c r="T59" s="57">
        <f>Table6[[#This Row],[Dana Disetujui]]</f>
        <v>5500000</v>
      </c>
      <c r="U59" s="6" t="s">
        <v>3216</v>
      </c>
      <c r="V59" s="6" t="s">
        <v>179</v>
      </c>
      <c r="W59" s="57">
        <f>Table6[[#This Row],[Dana Disetujui]]</f>
        <v>5500000</v>
      </c>
      <c r="X59" s="6" t="s">
        <v>3216</v>
      </c>
      <c r="Y59" s="33"/>
      <c r="Z59" s="233"/>
      <c r="AA59" s="33"/>
      <c r="AB59" s="33"/>
      <c r="AC59" s="233"/>
      <c r="AD59" s="33"/>
      <c r="AE59" s="33"/>
      <c r="AF59" s="233"/>
      <c r="AG59" s="33"/>
      <c r="AH59" s="33"/>
      <c r="AI59" s="233"/>
      <c r="AJ59" s="33"/>
      <c r="AK59" s="33"/>
      <c r="AL59" s="33"/>
      <c r="AM59" s="33"/>
      <c r="AN59" s="33"/>
      <c r="AO59" s="33"/>
      <c r="AP59" s="33"/>
      <c r="AQ59" s="789"/>
      <c r="AR59" s="586" t="s">
        <v>3190</v>
      </c>
      <c r="AS59" s="5" t="s">
        <v>3191</v>
      </c>
      <c r="AT59" s="52" t="s">
        <v>2140</v>
      </c>
      <c r="AU59" s="9"/>
      <c r="AV59" s="6" t="s">
        <v>5221</v>
      </c>
      <c r="AW59" s="9"/>
      <c r="AX59" s="6" t="s">
        <v>2142</v>
      </c>
      <c r="AY59" s="9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115" t="s">
        <v>3061</v>
      </c>
      <c r="BK59" s="115" t="s">
        <v>4981</v>
      </c>
      <c r="BL59" s="115" t="s">
        <v>4991</v>
      </c>
      <c r="BM59" s="115" t="s">
        <v>5222</v>
      </c>
      <c r="BN59" s="273" t="s">
        <v>3739</v>
      </c>
      <c r="BO59" s="273" t="s">
        <v>3739</v>
      </c>
    </row>
    <row r="60" spans="1:67" ht="36.6">
      <c r="A60" s="143" t="s">
        <v>5207</v>
      </c>
      <c r="B60" s="143" t="s">
        <v>5223</v>
      </c>
      <c r="C60" s="161" t="s">
        <v>5224</v>
      </c>
      <c r="D60" s="8" t="s">
        <v>4976</v>
      </c>
      <c r="E60" s="8">
        <v>2022</v>
      </c>
      <c r="F60" s="8">
        <v>2022</v>
      </c>
      <c r="G60" s="8"/>
      <c r="H60" s="6" t="s">
        <v>4986</v>
      </c>
      <c r="I60" s="482"/>
      <c r="J60" s="458">
        <v>6960000</v>
      </c>
      <c r="K60" s="8">
        <v>7</v>
      </c>
      <c r="L60" s="6" t="s">
        <v>4978</v>
      </c>
      <c r="M60" s="9" t="s">
        <v>3223</v>
      </c>
      <c r="N60" s="8" t="s">
        <v>3215</v>
      </c>
      <c r="O60" s="15" t="s">
        <v>4951</v>
      </c>
      <c r="P60" s="7" t="s">
        <v>5885</v>
      </c>
      <c r="Q60" s="109">
        <f>Table6[[#This Row],[Dana Disetujui]]</f>
        <v>6960000</v>
      </c>
      <c r="R60" s="6" t="s">
        <v>3216</v>
      </c>
      <c r="S60" s="6" t="s">
        <v>44</v>
      </c>
      <c r="T60" s="57">
        <f>Table6[[#This Row],[Dana Disetujui]]</f>
        <v>6960000</v>
      </c>
      <c r="U60" s="6" t="s">
        <v>3216</v>
      </c>
      <c r="V60" s="6" t="s">
        <v>71</v>
      </c>
      <c r="W60" s="57">
        <f>Table6[[#This Row],[Dana Disetujui]]</f>
        <v>6960000</v>
      </c>
      <c r="X60" s="6" t="s">
        <v>3216</v>
      </c>
      <c r="Y60" s="33"/>
      <c r="Z60" s="233"/>
      <c r="AA60" s="33"/>
      <c r="AB60" s="33"/>
      <c r="AC60" s="233"/>
      <c r="AD60" s="33"/>
      <c r="AE60" s="33"/>
      <c r="AF60" s="233"/>
      <c r="AG60" s="33"/>
      <c r="AH60" s="33"/>
      <c r="AI60" s="233"/>
      <c r="AJ60" s="33"/>
      <c r="AK60" s="33"/>
      <c r="AL60" s="33"/>
      <c r="AM60" s="33"/>
      <c r="AN60" s="33"/>
      <c r="AO60" s="33"/>
      <c r="AP60" s="33"/>
      <c r="AQ60" s="789"/>
      <c r="AR60" s="586" t="s">
        <v>3190</v>
      </c>
      <c r="AS60" s="586" t="s">
        <v>3191</v>
      </c>
      <c r="AT60" s="52" t="s">
        <v>1757</v>
      </c>
      <c r="AU60" s="9" t="s">
        <v>3757</v>
      </c>
      <c r="AV60" s="6" t="s">
        <v>5225</v>
      </c>
      <c r="AW60" s="9" t="s">
        <v>3757</v>
      </c>
      <c r="AX60" s="6" t="s">
        <v>5226</v>
      </c>
      <c r="AY60" s="9" t="s">
        <v>3757</v>
      </c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115" t="s">
        <v>3061</v>
      </c>
      <c r="BK60" s="115" t="s">
        <v>4998</v>
      </c>
      <c r="BL60" s="115" t="s">
        <v>4991</v>
      </c>
      <c r="BM60" s="115" t="s">
        <v>5202</v>
      </c>
      <c r="BN60" s="115" t="s">
        <v>5227</v>
      </c>
      <c r="BO60" s="273" t="s">
        <v>3739</v>
      </c>
    </row>
    <row r="61" spans="1:67" ht="60.6">
      <c r="A61" s="143" t="s">
        <v>5207</v>
      </c>
      <c r="B61" s="143" t="s">
        <v>5228</v>
      </c>
      <c r="C61" s="161" t="s">
        <v>5229</v>
      </c>
      <c r="D61" s="8" t="s">
        <v>4976</v>
      </c>
      <c r="E61" s="8">
        <v>2022</v>
      </c>
      <c r="F61" s="8">
        <v>2022</v>
      </c>
      <c r="G61" s="8">
        <v>7</v>
      </c>
      <c r="H61" s="6" t="s">
        <v>4986</v>
      </c>
      <c r="I61" s="482"/>
      <c r="J61" s="458">
        <v>6000000</v>
      </c>
      <c r="K61" s="8">
        <v>7</v>
      </c>
      <c r="L61" s="6" t="s">
        <v>4978</v>
      </c>
      <c r="M61" s="9" t="s">
        <v>3223</v>
      </c>
      <c r="N61" s="8" t="s">
        <v>3215</v>
      </c>
      <c r="O61" s="15" t="s">
        <v>4951</v>
      </c>
      <c r="P61" s="7" t="s">
        <v>5846</v>
      </c>
      <c r="Q61" s="109">
        <f>Table6[[#This Row],[Dana Disetujui]]</f>
        <v>6000000</v>
      </c>
      <c r="R61" s="6" t="s">
        <v>3216</v>
      </c>
      <c r="S61" s="6" t="s">
        <v>88</v>
      </c>
      <c r="T61" s="57">
        <f>Table6[[#This Row],[Dana Disetujui]]</f>
        <v>6000000</v>
      </c>
      <c r="U61" s="6" t="s">
        <v>3216</v>
      </c>
      <c r="V61" s="6" t="s">
        <v>56</v>
      </c>
      <c r="W61" s="57">
        <f>Table6[[#This Row],[Dana Disetujui]]</f>
        <v>6000000</v>
      </c>
      <c r="X61" s="6" t="s">
        <v>3216</v>
      </c>
      <c r="Y61" s="33"/>
      <c r="Z61" s="233"/>
      <c r="AA61" s="33"/>
      <c r="AB61" s="33"/>
      <c r="AC61" s="233"/>
      <c r="AD61" s="33"/>
      <c r="AE61" s="33"/>
      <c r="AF61" s="233"/>
      <c r="AG61" s="33"/>
      <c r="AH61" s="33"/>
      <c r="AI61" s="233"/>
      <c r="AJ61" s="33"/>
      <c r="AK61" s="33"/>
      <c r="AL61" s="33"/>
      <c r="AM61" s="33"/>
      <c r="AN61" s="33"/>
      <c r="AO61" s="33"/>
      <c r="AP61" s="33"/>
      <c r="AQ61" s="789"/>
      <c r="AR61" s="586" t="s">
        <v>3190</v>
      </c>
      <c r="AS61" s="586" t="s">
        <v>3191</v>
      </c>
      <c r="AT61" s="52" t="s">
        <v>5230</v>
      </c>
      <c r="AU61" s="9"/>
      <c r="AV61" s="6" t="s">
        <v>1914</v>
      </c>
      <c r="AW61" s="9"/>
      <c r="AX61" s="6"/>
      <c r="AY61" s="9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115" t="s">
        <v>3251</v>
      </c>
      <c r="BK61" s="115" t="s">
        <v>4981</v>
      </c>
      <c r="BL61" s="115" t="s">
        <v>5009</v>
      </c>
      <c r="BM61" s="115" t="s">
        <v>5231</v>
      </c>
      <c r="BN61" s="115" t="s">
        <v>4998</v>
      </c>
      <c r="BO61" s="273" t="s">
        <v>3528</v>
      </c>
    </row>
    <row r="62" spans="1:67" ht="48">
      <c r="A62" s="143" t="s">
        <v>5207</v>
      </c>
      <c r="B62" s="143" t="s">
        <v>5232</v>
      </c>
      <c r="C62" s="161" t="s">
        <v>5233</v>
      </c>
      <c r="D62" s="8" t="s">
        <v>4976</v>
      </c>
      <c r="E62" s="8">
        <v>2022</v>
      </c>
      <c r="F62" s="8">
        <v>2022</v>
      </c>
      <c r="G62" s="8"/>
      <c r="H62" s="6" t="s">
        <v>4986</v>
      </c>
      <c r="I62" s="482"/>
      <c r="J62" s="458">
        <v>5250000</v>
      </c>
      <c r="K62" s="8">
        <v>7</v>
      </c>
      <c r="L62" s="6" t="s">
        <v>4978</v>
      </c>
      <c r="M62" s="9" t="s">
        <v>3223</v>
      </c>
      <c r="N62" s="8" t="s">
        <v>3215</v>
      </c>
      <c r="O62" s="15" t="s">
        <v>4951</v>
      </c>
      <c r="P62" s="7" t="s">
        <v>5886</v>
      </c>
      <c r="Q62" s="109">
        <f>Table6[[#This Row],[Dana Disetujui]]</f>
        <v>5250000</v>
      </c>
      <c r="R62" s="6" t="s">
        <v>3216</v>
      </c>
      <c r="S62" s="6" t="s">
        <v>18</v>
      </c>
      <c r="T62" s="57">
        <f>Table6[[#This Row],[Dana Disetujui]]</f>
        <v>5250000</v>
      </c>
      <c r="U62" s="6" t="s">
        <v>3216</v>
      </c>
      <c r="V62" s="6" t="s">
        <v>30</v>
      </c>
      <c r="W62" s="57">
        <f>Table6[[#This Row],[Dana Disetujui]]</f>
        <v>5250000</v>
      </c>
      <c r="X62" s="6" t="s">
        <v>3216</v>
      </c>
      <c r="Y62" s="33"/>
      <c r="Z62" s="233"/>
      <c r="AA62" s="33"/>
      <c r="AB62" s="33"/>
      <c r="AC62" s="233"/>
      <c r="AD62" s="33"/>
      <c r="AE62" s="33"/>
      <c r="AF62" s="233"/>
      <c r="AG62" s="33"/>
      <c r="AH62" s="33"/>
      <c r="AI62" s="233"/>
      <c r="AJ62" s="33"/>
      <c r="AK62" s="33"/>
      <c r="AL62" s="33"/>
      <c r="AM62" s="33"/>
      <c r="AN62" s="33"/>
      <c r="AO62" s="33"/>
      <c r="AP62" s="33"/>
      <c r="AQ62" s="789"/>
      <c r="AR62" s="792" t="s">
        <v>3190</v>
      </c>
      <c r="AS62" s="792" t="s">
        <v>3191</v>
      </c>
      <c r="AT62" s="52" t="s">
        <v>5235</v>
      </c>
      <c r="AU62" s="9" t="s">
        <v>3713</v>
      </c>
      <c r="AV62" s="6" t="s">
        <v>5236</v>
      </c>
      <c r="AW62" s="9" t="s">
        <v>3713</v>
      </c>
      <c r="AX62" s="6" t="s">
        <v>5237</v>
      </c>
      <c r="AY62" s="9" t="s">
        <v>3713</v>
      </c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273" t="s">
        <v>4990</v>
      </c>
      <c r="BK62" s="273" t="s">
        <v>4998</v>
      </c>
      <c r="BL62" s="273" t="s">
        <v>3739</v>
      </c>
      <c r="BM62" s="115" t="s">
        <v>5238</v>
      </c>
      <c r="BN62" s="273" t="s">
        <v>3739</v>
      </c>
      <c r="BO62" s="273" t="s">
        <v>3739</v>
      </c>
    </row>
    <row r="63" spans="1:67" ht="36">
      <c r="A63" s="143" t="s">
        <v>5207</v>
      </c>
      <c r="B63" s="6" t="s">
        <v>942</v>
      </c>
      <c r="C63" s="161" t="s">
        <v>5239</v>
      </c>
      <c r="D63" s="8" t="s">
        <v>4976</v>
      </c>
      <c r="E63" s="8">
        <v>2022</v>
      </c>
      <c r="F63" s="8">
        <v>2022</v>
      </c>
      <c r="G63" s="8"/>
      <c r="H63" s="6" t="s">
        <v>4986</v>
      </c>
      <c r="I63" s="482"/>
      <c r="J63" s="458">
        <v>6000000</v>
      </c>
      <c r="K63" s="8">
        <v>7</v>
      </c>
      <c r="L63" s="6" t="s">
        <v>4978</v>
      </c>
      <c r="M63" s="9" t="s">
        <v>3223</v>
      </c>
      <c r="N63" s="8" t="s">
        <v>3215</v>
      </c>
      <c r="O63" s="15" t="s">
        <v>4951</v>
      </c>
      <c r="P63" s="7" t="s">
        <v>5851</v>
      </c>
      <c r="Q63" s="109">
        <f>Table6[[#This Row],[Dana Disetujui]]</f>
        <v>6000000</v>
      </c>
      <c r="R63" s="6" t="s">
        <v>3216</v>
      </c>
      <c r="S63" s="6" t="s">
        <v>178</v>
      </c>
      <c r="T63" s="57">
        <f>Table6[[#This Row],[Dana Disetujui]]</f>
        <v>6000000</v>
      </c>
      <c r="U63" s="6" t="s">
        <v>3216</v>
      </c>
      <c r="V63" s="6" t="s">
        <v>39</v>
      </c>
      <c r="W63" s="57">
        <f>Table6[[#This Row],[Dana Disetujui]]</f>
        <v>6000000</v>
      </c>
      <c r="X63" s="6" t="s">
        <v>3216</v>
      </c>
      <c r="Y63" s="241"/>
      <c r="Z63" s="299"/>
      <c r="AA63" s="33"/>
      <c r="AB63" s="33"/>
      <c r="AC63" s="233"/>
      <c r="AD63" s="33"/>
      <c r="AE63" s="33"/>
      <c r="AF63" s="233"/>
      <c r="AG63" s="33"/>
      <c r="AH63" s="33"/>
      <c r="AI63" s="233"/>
      <c r="AJ63" s="33"/>
      <c r="AK63" s="33"/>
      <c r="AL63" s="33"/>
      <c r="AM63" s="33"/>
      <c r="AN63" s="33"/>
      <c r="AO63" s="33"/>
      <c r="AP63" s="33"/>
      <c r="AQ63" s="789"/>
      <c r="AR63" s="8" t="s">
        <v>3190</v>
      </c>
      <c r="AS63" s="8" t="s">
        <v>3191</v>
      </c>
      <c r="AT63" s="52" t="s">
        <v>5235</v>
      </c>
      <c r="AU63" s="9" t="s">
        <v>3713</v>
      </c>
      <c r="AV63" s="6" t="s">
        <v>5236</v>
      </c>
      <c r="AW63" s="9" t="s">
        <v>3713</v>
      </c>
      <c r="AX63" s="6" t="s">
        <v>5240</v>
      </c>
      <c r="AY63" s="9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275" t="s">
        <v>942</v>
      </c>
      <c r="BK63" s="275" t="s">
        <v>942</v>
      </c>
      <c r="BL63" s="275" t="s">
        <v>942</v>
      </c>
      <c r="BM63" s="115" t="s">
        <v>3739</v>
      </c>
      <c r="BN63" s="273" t="s">
        <v>3739</v>
      </c>
      <c r="BO63" s="273" t="s">
        <v>3739</v>
      </c>
    </row>
    <row r="64" spans="1:67" ht="36.6">
      <c r="A64" s="143" t="s">
        <v>5207</v>
      </c>
      <c r="B64" s="6" t="s">
        <v>942</v>
      </c>
      <c r="C64" s="161" t="s">
        <v>5241</v>
      </c>
      <c r="D64" s="8" t="s">
        <v>4976</v>
      </c>
      <c r="E64" s="8">
        <v>2022</v>
      </c>
      <c r="F64" s="8">
        <v>2022</v>
      </c>
      <c r="G64" s="8"/>
      <c r="H64" s="6" t="s">
        <v>4986</v>
      </c>
      <c r="I64" s="482"/>
      <c r="J64" s="458">
        <v>13600000</v>
      </c>
      <c r="K64" s="8">
        <v>7</v>
      </c>
      <c r="L64" s="6" t="s">
        <v>4978</v>
      </c>
      <c r="M64" s="9" t="s">
        <v>3223</v>
      </c>
      <c r="N64" s="8" t="s">
        <v>3215</v>
      </c>
      <c r="O64" s="15" t="s">
        <v>4951</v>
      </c>
      <c r="P64" s="7" t="s">
        <v>57</v>
      </c>
      <c r="Q64" s="109">
        <f>Table6[[#This Row],[Dana Disetujui]]</f>
        <v>13600000</v>
      </c>
      <c r="R64" s="6" t="s">
        <v>3216</v>
      </c>
      <c r="S64" s="6" t="s">
        <v>67</v>
      </c>
      <c r="T64" s="57">
        <f>Table6[[#This Row],[Dana Disetujui]]</f>
        <v>13600000</v>
      </c>
      <c r="U64" s="6" t="s">
        <v>3216</v>
      </c>
      <c r="V64" s="6" t="s">
        <v>32</v>
      </c>
      <c r="W64" s="57">
        <f>Table6[[#This Row],[Dana Disetujui]]</f>
        <v>13600000</v>
      </c>
      <c r="X64" s="6" t="s">
        <v>3216</v>
      </c>
      <c r="Y64" s="6" t="s">
        <v>26</v>
      </c>
      <c r="Z64" s="57">
        <f>Table6[[#This Row],[Dana Disetujui]]</f>
        <v>13600000</v>
      </c>
      <c r="AA64" s="6" t="s">
        <v>3216</v>
      </c>
      <c r="AB64" s="33"/>
      <c r="AC64" s="233"/>
      <c r="AD64" s="33"/>
      <c r="AE64" s="33"/>
      <c r="AF64" s="233"/>
      <c r="AG64" s="33"/>
      <c r="AH64" s="33"/>
      <c r="AI64" s="233"/>
      <c r="AJ64" s="33"/>
      <c r="AK64" s="33"/>
      <c r="AL64" s="33"/>
      <c r="AM64" s="33"/>
      <c r="AN64" s="33"/>
      <c r="AO64" s="33"/>
      <c r="AP64" s="33"/>
      <c r="AQ64" s="33"/>
      <c r="AR64" s="5" t="s">
        <v>3190</v>
      </c>
      <c r="AS64" s="790" t="s">
        <v>3191</v>
      </c>
      <c r="AT64" s="6" t="s">
        <v>1043</v>
      </c>
      <c r="AU64" s="9"/>
      <c r="AV64" s="6" t="s">
        <v>5242</v>
      </c>
      <c r="AW64" s="9"/>
      <c r="AX64" s="6" t="s">
        <v>1051</v>
      </c>
      <c r="AY64" s="9"/>
      <c r="AZ64" s="33" t="s">
        <v>1025</v>
      </c>
      <c r="BA64" s="33"/>
      <c r="BB64" s="33"/>
      <c r="BC64" s="33"/>
      <c r="BD64" s="33"/>
      <c r="BE64" s="33"/>
      <c r="BF64" s="33"/>
      <c r="BG64" s="33"/>
      <c r="BH64" s="33"/>
      <c r="BI64" s="33"/>
      <c r="BJ64" s="115" t="s">
        <v>3061</v>
      </c>
      <c r="BK64" s="273" t="s">
        <v>3739</v>
      </c>
      <c r="BL64" s="273" t="s">
        <v>3739</v>
      </c>
      <c r="BM64" s="274" t="s">
        <v>5243</v>
      </c>
      <c r="BN64" s="273" t="s">
        <v>3739</v>
      </c>
      <c r="BO64" s="273" t="s">
        <v>3739</v>
      </c>
    </row>
    <row r="65" spans="1:70" ht="96.6">
      <c r="A65" s="143" t="s">
        <v>5207</v>
      </c>
      <c r="B65" s="143" t="s">
        <v>5244</v>
      </c>
      <c r="C65" s="161" t="s">
        <v>2616</v>
      </c>
      <c r="D65" s="8" t="s">
        <v>4976</v>
      </c>
      <c r="E65" s="8">
        <v>2022</v>
      </c>
      <c r="F65" s="8">
        <v>2022</v>
      </c>
      <c r="G65" s="8"/>
      <c r="H65" s="6" t="s">
        <v>4977</v>
      </c>
      <c r="I65" s="482"/>
      <c r="J65" s="458">
        <v>5000000</v>
      </c>
      <c r="K65" s="8">
        <v>7</v>
      </c>
      <c r="L65" s="6" t="s">
        <v>4978</v>
      </c>
      <c r="M65" s="9" t="s">
        <v>3223</v>
      </c>
      <c r="N65" s="8" t="s">
        <v>3215</v>
      </c>
      <c r="O65" s="15" t="s">
        <v>4951</v>
      </c>
      <c r="P65" s="7" t="s">
        <v>5887</v>
      </c>
      <c r="Q65" s="109">
        <f>Table6[[#This Row],[Dana Disetujui]]</f>
        <v>5000000</v>
      </c>
      <c r="R65" s="6" t="s">
        <v>3216</v>
      </c>
      <c r="S65" s="6" t="s">
        <v>79</v>
      </c>
      <c r="T65" s="57">
        <f>Table6[[#This Row],[Dana Disetujui]]</f>
        <v>5000000</v>
      </c>
      <c r="U65" s="6" t="s">
        <v>3216</v>
      </c>
      <c r="V65" s="6" t="s">
        <v>75</v>
      </c>
      <c r="W65" s="57">
        <f>Table6[[#This Row],[Dana Disetujui]]</f>
        <v>5000000</v>
      </c>
      <c r="X65" s="6" t="s">
        <v>3216</v>
      </c>
      <c r="Y65" s="33"/>
      <c r="Z65" s="233"/>
      <c r="AA65" s="33"/>
      <c r="AB65" s="33"/>
      <c r="AC65" s="233"/>
      <c r="AD65" s="33"/>
      <c r="AE65" s="33"/>
      <c r="AF65" s="233"/>
      <c r="AG65" s="33"/>
      <c r="AH65" s="33"/>
      <c r="AI65" s="233"/>
      <c r="AJ65" s="33"/>
      <c r="AK65" s="33"/>
      <c r="AL65" s="33"/>
      <c r="AM65" s="33"/>
      <c r="AN65" s="33"/>
      <c r="AO65" s="33"/>
      <c r="AP65" s="33"/>
      <c r="AQ65" s="33"/>
      <c r="AR65" s="5" t="s">
        <v>3190</v>
      </c>
      <c r="AS65" s="794" t="s">
        <v>3191</v>
      </c>
      <c r="AT65" s="6" t="s">
        <v>5245</v>
      </c>
      <c r="AU65" s="9"/>
      <c r="AV65" s="6" t="s">
        <v>5246</v>
      </c>
      <c r="AW65" s="9"/>
      <c r="AX65" s="6" t="s">
        <v>2624</v>
      </c>
      <c r="AY65" s="9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115" t="s">
        <v>3061</v>
      </c>
      <c r="BK65" s="115" t="s">
        <v>4981</v>
      </c>
      <c r="BL65" s="115" t="s">
        <v>4991</v>
      </c>
      <c r="BM65" s="274" t="s">
        <v>5247</v>
      </c>
      <c r="BN65" s="273" t="s">
        <v>3739</v>
      </c>
      <c r="BO65" s="273" t="s">
        <v>3739</v>
      </c>
    </row>
    <row r="66" spans="1:70" ht="36.6">
      <c r="A66" s="143" t="s">
        <v>5207</v>
      </c>
      <c r="B66" s="143" t="s">
        <v>5248</v>
      </c>
      <c r="C66" s="161" t="s">
        <v>5249</v>
      </c>
      <c r="D66" s="8" t="s">
        <v>4976</v>
      </c>
      <c r="E66" s="8">
        <v>2022</v>
      </c>
      <c r="F66" s="8">
        <v>2022</v>
      </c>
      <c r="G66" s="8"/>
      <c r="H66" s="6" t="s">
        <v>4977</v>
      </c>
      <c r="I66" s="482"/>
      <c r="J66" s="458">
        <v>6330000</v>
      </c>
      <c r="K66" s="8">
        <v>7</v>
      </c>
      <c r="L66" s="6" t="s">
        <v>4978</v>
      </c>
      <c r="M66" s="9" t="s">
        <v>3223</v>
      </c>
      <c r="N66" s="8" t="s">
        <v>3215</v>
      </c>
      <c r="O66" s="15" t="s">
        <v>4951</v>
      </c>
      <c r="P66" s="7" t="s">
        <v>5888</v>
      </c>
      <c r="Q66" s="109">
        <f>Table6[[#This Row],[Dana Disetujui]]</f>
        <v>6330000</v>
      </c>
      <c r="R66" s="6" t="s">
        <v>3216</v>
      </c>
      <c r="S66" s="6" t="s">
        <v>9</v>
      </c>
      <c r="T66" s="57">
        <f>Table6[[#This Row],[Dana Disetujui]]</f>
        <v>6330000</v>
      </c>
      <c r="U66" s="6" t="s">
        <v>3216</v>
      </c>
      <c r="V66" s="6" t="s">
        <v>176</v>
      </c>
      <c r="W66" s="57">
        <f>Table6[[#This Row],[Dana Disetujui]]</f>
        <v>6330000</v>
      </c>
      <c r="X66" s="6" t="s">
        <v>3216</v>
      </c>
      <c r="Y66" s="33"/>
      <c r="Z66" s="233"/>
      <c r="AA66" s="33"/>
      <c r="AB66" s="33"/>
      <c r="AC66" s="233"/>
      <c r="AD66" s="33"/>
      <c r="AE66" s="33"/>
      <c r="AF66" s="233"/>
      <c r="AG66" s="33"/>
      <c r="AH66" s="33"/>
      <c r="AI66" s="233"/>
      <c r="AJ66" s="33"/>
      <c r="AK66" s="33"/>
      <c r="AL66" s="33"/>
      <c r="AM66" s="33"/>
      <c r="AN66" s="33"/>
      <c r="AO66" s="33"/>
      <c r="AP66" s="33"/>
      <c r="AQ66" s="33"/>
      <c r="AR66" s="5" t="s">
        <v>3190</v>
      </c>
      <c r="AS66" s="5" t="s">
        <v>3191</v>
      </c>
      <c r="AT66" s="6" t="s">
        <v>5250</v>
      </c>
      <c r="AU66" s="9"/>
      <c r="AV66" s="6" t="s">
        <v>5251</v>
      </c>
      <c r="AW66" s="9"/>
      <c r="AX66" s="6" t="s">
        <v>5252</v>
      </c>
      <c r="AY66" s="9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115" t="s">
        <v>3061</v>
      </c>
      <c r="BK66" s="273" t="s">
        <v>4998</v>
      </c>
      <c r="BL66" s="115" t="s">
        <v>4991</v>
      </c>
      <c r="BM66" s="115" t="s">
        <v>5253</v>
      </c>
      <c r="BN66" s="273" t="s">
        <v>3739</v>
      </c>
      <c r="BO66" s="273" t="s">
        <v>3739</v>
      </c>
      <c r="BP66" s="177"/>
      <c r="BQ66" s="177"/>
      <c r="BR66" s="177"/>
    </row>
    <row r="67" spans="1:70" ht="24">
      <c r="A67" s="148" t="s">
        <v>942</v>
      </c>
      <c r="B67" s="148" t="s">
        <v>942</v>
      </c>
      <c r="C67" s="777" t="s">
        <v>5254</v>
      </c>
      <c r="D67" s="178" t="s">
        <v>5255</v>
      </c>
      <c r="E67" s="178">
        <v>2022</v>
      </c>
      <c r="F67" s="178">
        <v>2022</v>
      </c>
      <c r="G67" s="178"/>
      <c r="H67" s="148" t="s">
        <v>4977</v>
      </c>
      <c r="I67" s="483"/>
      <c r="J67" s="459">
        <v>100000000</v>
      </c>
      <c r="K67" s="8">
        <v>7</v>
      </c>
      <c r="L67" s="149"/>
      <c r="M67" s="151" t="s">
        <v>3077</v>
      </c>
      <c r="N67" s="178" t="s">
        <v>3215</v>
      </c>
      <c r="O67" s="148" t="s">
        <v>4961</v>
      </c>
      <c r="P67" s="149" t="s">
        <v>5833</v>
      </c>
      <c r="Q67" s="109">
        <f>Table6[[#This Row],[Dana Disetujui]]</f>
        <v>100000000</v>
      </c>
      <c r="R67" s="148" t="s">
        <v>3216</v>
      </c>
      <c r="S67" s="148" t="s">
        <v>3126</v>
      </c>
      <c r="T67" s="57">
        <f>Table6[[#This Row],[Dana Disetujui]]</f>
        <v>100000000</v>
      </c>
      <c r="U67" s="148" t="s">
        <v>3216</v>
      </c>
      <c r="V67" s="148" t="s">
        <v>56</v>
      </c>
      <c r="W67" s="57">
        <f>Table6[[#This Row],[Dana Disetujui]]</f>
        <v>100000000</v>
      </c>
      <c r="X67" s="148" t="s">
        <v>3216</v>
      </c>
      <c r="Y67" s="181"/>
      <c r="Z67" s="181"/>
      <c r="AA67" s="181"/>
      <c r="AB67" s="181"/>
      <c r="AC67" s="181"/>
      <c r="AD67" s="181"/>
      <c r="AE67" s="181"/>
      <c r="AF67" s="233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78" t="s">
        <v>3190</v>
      </c>
      <c r="AS67" s="178" t="s">
        <v>3191</v>
      </c>
      <c r="AT67" s="148" t="s">
        <v>3893</v>
      </c>
      <c r="AU67" s="151" t="s">
        <v>155</v>
      </c>
      <c r="AV67" s="148" t="s">
        <v>3082</v>
      </c>
      <c r="AW67" s="151" t="s">
        <v>155</v>
      </c>
      <c r="AX67" s="148" t="s">
        <v>3080</v>
      </c>
      <c r="AY67" s="151" t="s">
        <v>155</v>
      </c>
      <c r="AZ67" s="148" t="s">
        <v>487</v>
      </c>
      <c r="BA67" s="151" t="s">
        <v>155</v>
      </c>
      <c r="BB67" s="148" t="s">
        <v>5256</v>
      </c>
      <c r="BC67" s="151" t="s">
        <v>155</v>
      </c>
      <c r="BD67" s="148" t="s">
        <v>3934</v>
      </c>
      <c r="BE67" s="151" t="s">
        <v>155</v>
      </c>
      <c r="BF67" s="148" t="s">
        <v>3935</v>
      </c>
      <c r="BG67" s="151" t="s">
        <v>155</v>
      </c>
      <c r="BH67" s="148" t="s">
        <v>2554</v>
      </c>
      <c r="BI67" s="151" t="s">
        <v>160</v>
      </c>
      <c r="BJ67" s="178"/>
      <c r="BK67" s="151"/>
      <c r="BL67" s="148"/>
      <c r="BM67" s="151"/>
      <c r="BN67" s="148"/>
      <c r="BO67" s="181"/>
    </row>
    <row r="68" spans="1:70" ht="36">
      <c r="A68" s="6" t="s">
        <v>942</v>
      </c>
      <c r="B68" s="6" t="s">
        <v>942</v>
      </c>
      <c r="C68" s="775" t="s">
        <v>5257</v>
      </c>
      <c r="D68" s="6" t="s">
        <v>5133</v>
      </c>
      <c r="E68" s="8">
        <v>2022</v>
      </c>
      <c r="F68" s="8">
        <v>2022</v>
      </c>
      <c r="G68" s="8"/>
      <c r="H68" s="6"/>
      <c r="I68" s="482"/>
      <c r="J68" s="458">
        <v>50000000</v>
      </c>
      <c r="K68" s="8">
        <v>7</v>
      </c>
      <c r="L68" s="7"/>
      <c r="M68" s="14" t="s">
        <v>3077</v>
      </c>
      <c r="N68" s="8" t="s">
        <v>3215</v>
      </c>
      <c r="O68" s="148" t="s">
        <v>4961</v>
      </c>
      <c r="P68" s="7" t="s">
        <v>5879</v>
      </c>
      <c r="Q68" s="109">
        <f>Table6[[#This Row],[Dana Disetujui]]</f>
        <v>50000000</v>
      </c>
      <c r="R68" s="6" t="s">
        <v>3216</v>
      </c>
      <c r="S68" s="6" t="s">
        <v>57</v>
      </c>
      <c r="T68" s="57">
        <f>Table6[[#This Row],[Dana Disetujui]]</f>
        <v>50000000</v>
      </c>
      <c r="U68" s="6" t="s">
        <v>3216</v>
      </c>
      <c r="V68" s="55" t="s">
        <v>5258</v>
      </c>
      <c r="W68" s="57">
        <f>Table6[[#This Row],[Dana Disetujui]]</f>
        <v>50000000</v>
      </c>
      <c r="X68" s="32"/>
      <c r="Y68" s="33"/>
      <c r="Z68" s="233"/>
      <c r="AA68" s="33"/>
      <c r="AB68" s="33"/>
      <c r="AC68" s="233"/>
      <c r="AD68" s="33"/>
      <c r="AE68" s="33"/>
      <c r="AF68" s="233"/>
      <c r="AG68" s="33"/>
      <c r="AH68" s="33"/>
      <c r="AI68" s="233"/>
      <c r="AJ68" s="33"/>
      <c r="AK68" s="33"/>
      <c r="AL68" s="33"/>
      <c r="AM68" s="33"/>
      <c r="AN68" s="33"/>
      <c r="AO68" s="33"/>
      <c r="AP68" s="33"/>
      <c r="AQ68" s="33"/>
      <c r="AR68" s="160" t="s">
        <v>3190</v>
      </c>
      <c r="AS68" s="163" t="s">
        <v>3191</v>
      </c>
      <c r="AT68" s="6" t="s">
        <v>2316</v>
      </c>
      <c r="AU68" s="9"/>
      <c r="AV68" s="6" t="s">
        <v>1383</v>
      </c>
      <c r="AW68" s="9"/>
      <c r="AX68" s="6"/>
      <c r="AY68" s="9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</row>
    <row r="69" spans="1:70" ht="36">
      <c r="A69" s="55" t="s">
        <v>942</v>
      </c>
      <c r="B69" s="6" t="s">
        <v>942</v>
      </c>
      <c r="C69" s="775" t="s">
        <v>5259</v>
      </c>
      <c r="D69" s="6" t="s">
        <v>5067</v>
      </c>
      <c r="E69" s="8">
        <v>2022</v>
      </c>
      <c r="F69" s="8">
        <v>2022</v>
      </c>
      <c r="G69" s="8"/>
      <c r="H69" s="6" t="s">
        <v>4986</v>
      </c>
      <c r="I69" s="482"/>
      <c r="J69" s="458">
        <v>46175000</v>
      </c>
      <c r="K69" s="8">
        <v>7</v>
      </c>
      <c r="L69" s="7"/>
      <c r="M69" s="14" t="s">
        <v>3077</v>
      </c>
      <c r="N69" s="8" t="s">
        <v>3215</v>
      </c>
      <c r="O69" s="6" t="s">
        <v>4972</v>
      </c>
      <c r="P69" s="7" t="s">
        <v>5872</v>
      </c>
      <c r="Q69" s="109">
        <f>Table6[[#This Row],[Dana Disetujui]]</f>
        <v>46175000</v>
      </c>
      <c r="R69" s="6" t="s">
        <v>3216</v>
      </c>
      <c r="S69" s="6" t="s">
        <v>28</v>
      </c>
      <c r="T69" s="57">
        <f>Table6[[#This Row],[Dana Disetujui]]</f>
        <v>46175000</v>
      </c>
      <c r="U69" s="6" t="s">
        <v>3216</v>
      </c>
      <c r="V69" s="6" t="s">
        <v>10</v>
      </c>
      <c r="W69" s="57">
        <f>Table6[[#This Row],[Dana Disetujui]]</f>
        <v>46175000</v>
      </c>
      <c r="X69" s="6" t="s">
        <v>3216</v>
      </c>
      <c r="Y69" s="33"/>
      <c r="Z69" s="233"/>
      <c r="AA69" s="33"/>
      <c r="AB69" s="33"/>
      <c r="AC69" s="233"/>
      <c r="AD69" s="33"/>
      <c r="AE69" s="33"/>
      <c r="AF69" s="233"/>
      <c r="AG69" s="33"/>
      <c r="AH69" s="33"/>
      <c r="AI69" s="233"/>
      <c r="AJ69" s="33"/>
      <c r="AK69" s="33"/>
      <c r="AL69" s="33"/>
      <c r="AM69" s="33"/>
      <c r="AN69" s="33"/>
      <c r="AO69" s="33"/>
      <c r="AP69" s="33"/>
      <c r="AQ69" s="33"/>
      <c r="AR69" s="163" t="s">
        <v>3190</v>
      </c>
      <c r="AS69" s="163" t="s">
        <v>3191</v>
      </c>
      <c r="AT69" s="6"/>
      <c r="AU69" s="9"/>
      <c r="AV69" s="6"/>
      <c r="AW69" s="9"/>
      <c r="AX69" s="6"/>
      <c r="AY69" s="9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</row>
    <row r="70" spans="1:70" ht="36">
      <c r="A70" s="308" t="s">
        <v>5260</v>
      </c>
      <c r="B70" s="143" t="s">
        <v>5261</v>
      </c>
      <c r="C70" s="775" t="s">
        <v>5262</v>
      </c>
      <c r="D70" s="6" t="s">
        <v>5067</v>
      </c>
      <c r="E70" s="8">
        <v>2022</v>
      </c>
      <c r="F70" s="8">
        <v>2022</v>
      </c>
      <c r="G70" s="8"/>
      <c r="H70" s="6" t="s">
        <v>5263</v>
      </c>
      <c r="I70" s="482"/>
      <c r="J70" s="458">
        <v>46500000</v>
      </c>
      <c r="K70" s="8">
        <v>7</v>
      </c>
      <c r="L70" s="7"/>
      <c r="M70" s="14" t="s">
        <v>3077</v>
      </c>
      <c r="N70" s="8" t="s">
        <v>3215</v>
      </c>
      <c r="O70" s="6" t="s">
        <v>4972</v>
      </c>
      <c r="P70" s="7" t="s">
        <v>5868</v>
      </c>
      <c r="Q70" s="109">
        <f>Table6[[#This Row],[Dana Disetujui]]</f>
        <v>46500000</v>
      </c>
      <c r="R70" s="6" t="s">
        <v>3216</v>
      </c>
      <c r="S70" s="6" t="s">
        <v>6</v>
      </c>
      <c r="T70" s="57">
        <f>Table6[[#This Row],[Dana Disetujui]]</f>
        <v>46500000</v>
      </c>
      <c r="U70" s="6" t="s">
        <v>3216</v>
      </c>
      <c r="V70" s="6" t="s">
        <v>94</v>
      </c>
      <c r="W70" s="57">
        <f>Table6[[#This Row],[Dana Disetujui]]</f>
        <v>46500000</v>
      </c>
      <c r="X70" s="6" t="s">
        <v>3216</v>
      </c>
      <c r="Y70" s="33"/>
      <c r="Z70" s="233"/>
      <c r="AA70" s="33"/>
      <c r="AB70" s="33"/>
      <c r="AC70" s="233"/>
      <c r="AD70" s="33"/>
      <c r="AE70" s="33"/>
      <c r="AF70" s="233"/>
      <c r="AG70" s="33"/>
      <c r="AH70" s="33"/>
      <c r="AI70" s="233"/>
      <c r="AJ70" s="33"/>
      <c r="AK70" s="33"/>
      <c r="AL70" s="33"/>
      <c r="AM70" s="33"/>
      <c r="AN70" s="33"/>
      <c r="AO70" s="33"/>
      <c r="AP70" s="33"/>
      <c r="AQ70" s="33"/>
      <c r="AR70" s="256" t="s">
        <v>3190</v>
      </c>
      <c r="AS70" s="256" t="s">
        <v>3191</v>
      </c>
      <c r="AT70" s="6"/>
      <c r="AU70" s="9"/>
      <c r="AV70" s="6"/>
      <c r="AW70" s="9"/>
      <c r="AX70" s="6"/>
      <c r="AY70" s="9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</row>
    <row r="71" spans="1:70" ht="36">
      <c r="A71" s="55" t="s">
        <v>942</v>
      </c>
      <c r="B71" s="6" t="s">
        <v>942</v>
      </c>
      <c r="C71" s="775" t="s">
        <v>5264</v>
      </c>
      <c r="D71" s="6" t="s">
        <v>5067</v>
      </c>
      <c r="E71" s="8">
        <v>2022</v>
      </c>
      <c r="F71" s="8">
        <v>2022</v>
      </c>
      <c r="G71" s="8"/>
      <c r="H71" s="6" t="s">
        <v>4796</v>
      </c>
      <c r="I71" s="482"/>
      <c r="J71" s="458">
        <v>43200000</v>
      </c>
      <c r="K71" s="8">
        <v>7</v>
      </c>
      <c r="L71" s="7"/>
      <c r="M71" s="14" t="s">
        <v>3077</v>
      </c>
      <c r="N71" s="8" t="s">
        <v>3215</v>
      </c>
      <c r="O71" s="6" t="s">
        <v>4972</v>
      </c>
      <c r="P71" s="7" t="s">
        <v>5855</v>
      </c>
      <c r="Q71" s="109">
        <f>Table6[[#This Row],[Dana Disetujui]]</f>
        <v>43200000</v>
      </c>
      <c r="R71" s="6" t="s">
        <v>3216</v>
      </c>
      <c r="S71" s="6" t="s">
        <v>26</v>
      </c>
      <c r="T71" s="57">
        <f>Table6[[#This Row],[Dana Disetujui]]</f>
        <v>43200000</v>
      </c>
      <c r="U71" s="6" t="s">
        <v>3216</v>
      </c>
      <c r="V71" s="6" t="s">
        <v>8</v>
      </c>
      <c r="W71" s="57">
        <f>Table6[[#This Row],[Dana Disetujui]]</f>
        <v>43200000</v>
      </c>
      <c r="X71" s="6" t="s">
        <v>3216</v>
      </c>
      <c r="Y71" s="33"/>
      <c r="Z71" s="233"/>
      <c r="AA71" s="33"/>
      <c r="AB71" s="33"/>
      <c r="AC71" s="233"/>
      <c r="AD71" s="33"/>
      <c r="AE71" s="33"/>
      <c r="AF71" s="233"/>
      <c r="AG71" s="33"/>
      <c r="AH71" s="33"/>
      <c r="AI71" s="233"/>
      <c r="AJ71" s="33"/>
      <c r="AK71" s="33"/>
      <c r="AL71" s="33"/>
      <c r="AM71" s="33"/>
      <c r="AN71" s="33"/>
      <c r="AO71" s="33"/>
      <c r="AP71" s="33"/>
      <c r="AQ71" s="33"/>
      <c r="AR71" s="163" t="s">
        <v>3190</v>
      </c>
      <c r="AS71" s="163" t="s">
        <v>3191</v>
      </c>
      <c r="AT71" s="6"/>
      <c r="AU71" s="9"/>
      <c r="AV71" s="6"/>
      <c r="AW71" s="9"/>
      <c r="AX71" s="6"/>
      <c r="AY71" s="9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</row>
    <row r="72" spans="1:70" ht="36.6">
      <c r="A72" s="774" t="s">
        <v>5265</v>
      </c>
      <c r="B72" s="144" t="s">
        <v>5266</v>
      </c>
      <c r="C72" s="151" t="s">
        <v>5267</v>
      </c>
      <c r="D72" s="6" t="s">
        <v>5268</v>
      </c>
      <c r="E72" s="8">
        <v>2022</v>
      </c>
      <c r="F72" s="8">
        <v>2022</v>
      </c>
      <c r="G72" s="8"/>
      <c r="H72" s="6" t="s">
        <v>4977</v>
      </c>
      <c r="I72" s="482"/>
      <c r="J72" s="458">
        <v>5000000</v>
      </c>
      <c r="K72" s="8">
        <v>7</v>
      </c>
      <c r="L72" s="7" t="s">
        <v>5269</v>
      </c>
      <c r="M72" s="9" t="s">
        <v>3223</v>
      </c>
      <c r="N72" s="8" t="s">
        <v>3215</v>
      </c>
      <c r="O72" s="15" t="s">
        <v>4951</v>
      </c>
      <c r="P72" s="7" t="s">
        <v>5889</v>
      </c>
      <c r="Q72" s="109">
        <f>Table6[[#This Row],[Dana Disetujui]]</f>
        <v>5000000</v>
      </c>
      <c r="R72" s="6" t="s">
        <v>3216</v>
      </c>
      <c r="S72" s="6" t="s">
        <v>121</v>
      </c>
      <c r="T72" s="57">
        <f>Table6[[#This Row],[Dana Disetujui]]</f>
        <v>5000000</v>
      </c>
      <c r="U72" s="6" t="s">
        <v>3216</v>
      </c>
      <c r="V72" s="6" t="s">
        <v>4331</v>
      </c>
      <c r="W72" s="57">
        <f>Table6[[#This Row],[Dana Disetujui]]</f>
        <v>5000000</v>
      </c>
      <c r="X72" s="6" t="s">
        <v>3216</v>
      </c>
      <c r="Y72" s="33"/>
      <c r="Z72" s="233"/>
      <c r="AA72" s="33"/>
      <c r="AB72" s="33"/>
      <c r="AC72" s="233"/>
      <c r="AD72" s="33"/>
      <c r="AE72" s="33"/>
      <c r="AF72" s="233"/>
      <c r="AG72" s="33"/>
      <c r="AH72" s="33"/>
      <c r="AI72" s="233"/>
      <c r="AJ72" s="33"/>
      <c r="AK72" s="33"/>
      <c r="AL72" s="33"/>
      <c r="AM72" s="33"/>
      <c r="AN72" s="33"/>
      <c r="AO72" s="33"/>
      <c r="AP72" s="33"/>
      <c r="AQ72" s="33"/>
      <c r="AR72" s="256" t="s">
        <v>3190</v>
      </c>
      <c r="AS72" s="256" t="s">
        <v>3191</v>
      </c>
      <c r="AT72" s="6"/>
      <c r="AU72" s="9"/>
      <c r="AV72" s="6"/>
      <c r="AW72" s="9"/>
      <c r="AX72" s="6"/>
      <c r="AY72" s="9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115" t="s">
        <v>3061</v>
      </c>
      <c r="BK72" s="33"/>
      <c r="BL72" s="33"/>
      <c r="BM72" s="33" t="s">
        <v>5270</v>
      </c>
      <c r="BN72" s="33" t="s">
        <v>5271</v>
      </c>
      <c r="BO72" s="33" t="s">
        <v>5272</v>
      </c>
    </row>
    <row r="73" spans="1:70" ht="36">
      <c r="A73" s="6" t="s">
        <v>5273</v>
      </c>
      <c r="B73" s="6" t="s">
        <v>5274</v>
      </c>
      <c r="C73" s="9" t="s">
        <v>5275</v>
      </c>
      <c r="D73" s="6" t="s">
        <v>5276</v>
      </c>
      <c r="E73" s="8">
        <v>2022</v>
      </c>
      <c r="F73" s="8">
        <v>2022</v>
      </c>
      <c r="G73" s="8">
        <v>6</v>
      </c>
      <c r="H73" s="6" t="s">
        <v>4977</v>
      </c>
      <c r="I73" s="482"/>
      <c r="J73" s="460">
        <v>13201608</v>
      </c>
      <c r="K73" s="8">
        <v>7</v>
      </c>
      <c r="L73" s="7"/>
      <c r="M73" s="9" t="s">
        <v>3077</v>
      </c>
      <c r="N73" s="8"/>
      <c r="O73" s="15" t="s">
        <v>4951</v>
      </c>
      <c r="P73" s="7" t="s">
        <v>5870</v>
      </c>
      <c r="Q73" s="109">
        <f>Table6[[#This Row],[Dana Disetujui]]</f>
        <v>13201608</v>
      </c>
      <c r="R73" s="6"/>
      <c r="S73" s="6"/>
      <c r="T73" s="57"/>
      <c r="U73" s="6"/>
      <c r="V73" s="6"/>
      <c r="W73" s="57"/>
      <c r="X73" s="6"/>
      <c r="Y73" s="33"/>
      <c r="Z73" s="33"/>
      <c r="AA73" s="33"/>
      <c r="AB73" s="33"/>
      <c r="AC73" s="33"/>
      <c r="AD73" s="33"/>
      <c r="AE73" s="33"/>
      <c r="AF73" s="2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163" t="s">
        <v>3190</v>
      </c>
      <c r="AS73" s="163" t="s">
        <v>3191</v>
      </c>
      <c r="AT73" s="6" t="s">
        <v>1043</v>
      </c>
      <c r="AU73" s="9" t="s">
        <v>3832</v>
      </c>
      <c r="AV73" s="6" t="s">
        <v>2164</v>
      </c>
      <c r="AW73" s="9" t="s">
        <v>3832</v>
      </c>
      <c r="AX73" s="6" t="s">
        <v>5277</v>
      </c>
      <c r="AY73" s="9" t="s">
        <v>3832</v>
      </c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</row>
    <row r="74" spans="1:70" ht="36">
      <c r="A74" s="6" t="s">
        <v>5273</v>
      </c>
      <c r="B74" s="6" t="s">
        <v>5278</v>
      </c>
      <c r="C74" s="9" t="s">
        <v>5279</v>
      </c>
      <c r="D74" s="6" t="s">
        <v>5276</v>
      </c>
      <c r="E74" s="8">
        <v>2022</v>
      </c>
      <c r="F74" s="8">
        <v>2022</v>
      </c>
      <c r="G74" s="8">
        <v>6</v>
      </c>
      <c r="H74" s="6" t="s">
        <v>4977</v>
      </c>
      <c r="I74" s="482"/>
      <c r="J74" s="460">
        <v>17034333</v>
      </c>
      <c r="K74" s="8">
        <v>7</v>
      </c>
      <c r="L74" s="7"/>
      <c r="M74" s="9" t="s">
        <v>3223</v>
      </c>
      <c r="N74" s="8"/>
      <c r="O74" s="15" t="s">
        <v>4951</v>
      </c>
      <c r="P74" s="7" t="s">
        <v>5890</v>
      </c>
      <c r="Q74" s="109">
        <f>Table6[[#This Row],[Dana Disetujui]]</f>
        <v>17034333</v>
      </c>
      <c r="R74" s="6"/>
      <c r="S74" s="6"/>
      <c r="T74" s="57"/>
      <c r="U74" s="6"/>
      <c r="V74" s="6"/>
      <c r="W74" s="57"/>
      <c r="X74" s="6"/>
      <c r="Y74" s="33"/>
      <c r="Z74" s="33"/>
      <c r="AA74" s="33"/>
      <c r="AB74" s="33"/>
      <c r="AC74" s="33"/>
      <c r="AD74" s="33"/>
      <c r="AE74" s="33"/>
      <c r="AF74" s="2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163" t="s">
        <v>3190</v>
      </c>
      <c r="AS74" s="163" t="s">
        <v>3191</v>
      </c>
      <c r="AT74" s="6" t="s">
        <v>3103</v>
      </c>
      <c r="AU74" s="9" t="s">
        <v>3862</v>
      </c>
      <c r="AV74" s="6" t="s">
        <v>5280</v>
      </c>
      <c r="AW74" s="9" t="s">
        <v>3862</v>
      </c>
      <c r="AX74" s="6" t="s">
        <v>3105</v>
      </c>
      <c r="AY74" s="9" t="s">
        <v>3862</v>
      </c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</row>
    <row r="75" spans="1:70" s="253" customFormat="1" ht="36">
      <c r="A75" s="6" t="s">
        <v>5273</v>
      </c>
      <c r="B75" s="6" t="s">
        <v>5281</v>
      </c>
      <c r="C75" s="9" t="s">
        <v>5282</v>
      </c>
      <c r="D75" s="6" t="s">
        <v>5276</v>
      </c>
      <c r="E75" s="8">
        <v>2022</v>
      </c>
      <c r="F75" s="8">
        <v>2022</v>
      </c>
      <c r="G75" s="8">
        <v>6</v>
      </c>
      <c r="H75" s="6" t="s">
        <v>4986</v>
      </c>
      <c r="I75" s="482"/>
      <c r="J75" s="460">
        <v>15083902</v>
      </c>
      <c r="K75" s="8">
        <v>7</v>
      </c>
      <c r="L75" s="7"/>
      <c r="M75" s="9" t="s">
        <v>3223</v>
      </c>
      <c r="N75" s="8"/>
      <c r="O75" s="15" t="s">
        <v>4951</v>
      </c>
      <c r="P75" s="23" t="s">
        <v>5850</v>
      </c>
      <c r="Q75" s="109">
        <f>Table6[[#This Row],[Dana Disetujui]]</f>
        <v>15083902</v>
      </c>
      <c r="R75" s="6"/>
      <c r="S75" s="6"/>
      <c r="T75" s="57"/>
      <c r="U75" s="6"/>
      <c r="V75" s="6"/>
      <c r="W75" s="57"/>
      <c r="X75" s="6"/>
      <c r="Y75" s="33"/>
      <c r="Z75" s="33"/>
      <c r="AA75" s="33"/>
      <c r="AB75" s="33"/>
      <c r="AC75" s="33"/>
      <c r="AD75" s="33"/>
      <c r="AE75" s="33"/>
      <c r="AF75" s="2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163" t="s">
        <v>3190</v>
      </c>
      <c r="AS75" s="163" t="s">
        <v>3191</v>
      </c>
      <c r="AT75" s="6" t="s">
        <v>5283</v>
      </c>
      <c r="AU75" s="9" t="s">
        <v>4216</v>
      </c>
      <c r="AV75" s="6" t="s">
        <v>5284</v>
      </c>
      <c r="AW75" s="9" t="s">
        <v>4216</v>
      </c>
      <c r="AX75" s="6" t="s">
        <v>5285</v>
      </c>
      <c r="AY75" s="9" t="s">
        <v>4216</v>
      </c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</row>
    <row r="76" spans="1:70" s="314" customFormat="1">
      <c r="A76" s="737"/>
      <c r="B76" s="737"/>
      <c r="C76" s="737"/>
      <c r="D76" s="737"/>
      <c r="E76" s="737"/>
      <c r="F76" s="737"/>
      <c r="G76" s="737"/>
      <c r="H76" s="737"/>
      <c r="I76" s="737"/>
      <c r="J76" s="737"/>
      <c r="K76" s="738"/>
      <c r="L76" s="737"/>
      <c r="M76" s="737"/>
      <c r="N76" s="737"/>
      <c r="O76" s="764"/>
      <c r="P76" s="737" t="s">
        <v>3071</v>
      </c>
      <c r="Q76" s="737"/>
      <c r="R76" s="737"/>
      <c r="S76" s="737"/>
      <c r="T76" s="737"/>
      <c r="U76" s="737"/>
      <c r="V76" s="737"/>
      <c r="W76" s="737"/>
      <c r="X76" s="737"/>
      <c r="Y76" s="737"/>
      <c r="Z76" s="737"/>
      <c r="AA76" s="737"/>
      <c r="AB76" s="737"/>
      <c r="AC76" s="737"/>
      <c r="AD76" s="737"/>
      <c r="AE76" s="737"/>
      <c r="AF76" s="737"/>
      <c r="AG76" s="737"/>
      <c r="AH76" s="737"/>
      <c r="AI76" s="737"/>
      <c r="AJ76" s="737"/>
      <c r="AK76" s="737"/>
      <c r="AL76" s="737"/>
      <c r="AM76" s="737"/>
      <c r="AN76" s="737"/>
      <c r="AO76" s="737"/>
      <c r="AP76" s="737"/>
      <c r="AQ76" s="737"/>
      <c r="AR76" s="737"/>
      <c r="AS76" s="737"/>
      <c r="AT76" s="737"/>
      <c r="AU76" s="737"/>
      <c r="AV76" s="737"/>
      <c r="AW76" s="737"/>
      <c r="AX76" s="737"/>
      <c r="AY76" s="737"/>
      <c r="AZ76" s="737"/>
      <c r="BA76" s="737"/>
      <c r="BB76" s="737"/>
      <c r="BC76" s="737"/>
      <c r="BD76" s="737"/>
      <c r="BE76" s="737"/>
      <c r="BF76" s="737"/>
      <c r="BG76" s="737"/>
      <c r="BH76" s="737"/>
      <c r="BI76" s="737"/>
      <c r="BJ76" s="737"/>
      <c r="BK76" s="737"/>
      <c r="BL76" s="737"/>
      <c r="BM76" s="737"/>
      <c r="BN76" s="737"/>
      <c r="BO76" s="737"/>
    </row>
    <row r="77" spans="1:70" ht="36">
      <c r="A77" s="143" t="s">
        <v>5286</v>
      </c>
      <c r="B77" s="143" t="s">
        <v>5287</v>
      </c>
      <c r="C77" s="9" t="s">
        <v>5288</v>
      </c>
      <c r="D77" s="8" t="s">
        <v>4976</v>
      </c>
      <c r="E77" s="8">
        <v>2023</v>
      </c>
      <c r="F77" s="8">
        <v>2023</v>
      </c>
      <c r="G77" s="8">
        <v>6</v>
      </c>
      <c r="H77" s="6" t="s">
        <v>5289</v>
      </c>
      <c r="I77" s="482"/>
      <c r="J77" s="458">
        <v>6000000</v>
      </c>
      <c r="K77" s="8">
        <v>6</v>
      </c>
      <c r="L77" s="7" t="s">
        <v>5290</v>
      </c>
      <c r="M77" s="9" t="s">
        <v>3223</v>
      </c>
      <c r="N77" s="8" t="s">
        <v>3215</v>
      </c>
      <c r="O77" s="15" t="s">
        <v>4951</v>
      </c>
      <c r="P77" s="7" t="s">
        <v>5891</v>
      </c>
      <c r="Q77" s="109">
        <f>Table6[[#This Row],[Dana Disetujui]]</f>
        <v>6000000</v>
      </c>
      <c r="R77" s="6" t="s">
        <v>3216</v>
      </c>
      <c r="S77" s="6" t="s">
        <v>37</v>
      </c>
      <c r="T77" s="109">
        <f>Table6[[#This Row],[Dana Disetujui]]</f>
        <v>6000000</v>
      </c>
      <c r="U77" s="6" t="s">
        <v>3216</v>
      </c>
      <c r="V77" s="6" t="s">
        <v>41</v>
      </c>
      <c r="W77" s="109">
        <f>Table6[[#This Row],[Dana Disetujui]]</f>
        <v>6000000</v>
      </c>
      <c r="X77" s="6" t="s">
        <v>3216</v>
      </c>
      <c r="Y77" s="33"/>
      <c r="Z77" s="233"/>
      <c r="AA77" s="33"/>
      <c r="AB77" s="33"/>
      <c r="AC77" s="233"/>
      <c r="AD77" s="33"/>
      <c r="AE77" s="33"/>
      <c r="AF77" s="233"/>
      <c r="AG77" s="33"/>
      <c r="AH77" s="33"/>
      <c r="AI77" s="233"/>
      <c r="AJ77" s="33"/>
      <c r="AK77" s="33"/>
      <c r="AL77" s="33"/>
      <c r="AM77" s="33"/>
      <c r="AN77" s="33"/>
      <c r="AO77" s="33"/>
      <c r="AP77" s="33"/>
      <c r="AQ77" s="33"/>
      <c r="AR77" s="160" t="s">
        <v>3190</v>
      </c>
      <c r="AS77" s="160" t="s">
        <v>3191</v>
      </c>
      <c r="AT77" s="6" t="s">
        <v>5291</v>
      </c>
      <c r="AU77" s="9" t="s">
        <v>3832</v>
      </c>
      <c r="AV77" s="6" t="s">
        <v>5292</v>
      </c>
      <c r="AW77" s="9" t="s">
        <v>3832</v>
      </c>
      <c r="AX77" s="6" t="s">
        <v>5293</v>
      </c>
      <c r="AY77" s="9" t="s">
        <v>3832</v>
      </c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115" t="s">
        <v>5294</v>
      </c>
      <c r="BK77" s="115" t="s">
        <v>3739</v>
      </c>
      <c r="BL77" s="115" t="s">
        <v>3739</v>
      </c>
      <c r="BM77" s="276" t="s">
        <v>5295</v>
      </c>
      <c r="BN77" s="115" t="s">
        <v>3739</v>
      </c>
      <c r="BO77" s="115" t="s">
        <v>3739</v>
      </c>
    </row>
    <row r="78" spans="1:70" ht="36.6">
      <c r="A78" s="143" t="s">
        <v>5286</v>
      </c>
      <c r="B78" s="143" t="s">
        <v>5296</v>
      </c>
      <c r="C78" s="9" t="s">
        <v>5297</v>
      </c>
      <c r="D78" s="8" t="s">
        <v>4976</v>
      </c>
      <c r="E78" s="8">
        <v>2023</v>
      </c>
      <c r="F78" s="8">
        <v>2023</v>
      </c>
      <c r="G78" s="8">
        <v>6</v>
      </c>
      <c r="H78" s="6" t="s">
        <v>5298</v>
      </c>
      <c r="I78" s="482"/>
      <c r="J78" s="458">
        <v>6000000</v>
      </c>
      <c r="K78" s="8">
        <v>6</v>
      </c>
      <c r="L78" s="7" t="s">
        <v>5290</v>
      </c>
      <c r="M78" s="9" t="s">
        <v>3223</v>
      </c>
      <c r="N78" s="8" t="s">
        <v>3215</v>
      </c>
      <c r="O78" s="15" t="s">
        <v>4951</v>
      </c>
      <c r="P78" s="7" t="s">
        <v>5892</v>
      </c>
      <c r="Q78" s="109">
        <f>Table6[[#This Row],[Dana Disetujui]]</f>
        <v>6000000</v>
      </c>
      <c r="R78" s="6" t="s">
        <v>3216</v>
      </c>
      <c r="S78" s="6" t="s">
        <v>775</v>
      </c>
      <c r="T78" s="109">
        <f>Table6[[#This Row],[Dana Disetujui]]</f>
        <v>6000000</v>
      </c>
      <c r="U78" s="6" t="s">
        <v>3216</v>
      </c>
      <c r="V78" s="6" t="s">
        <v>2123</v>
      </c>
      <c r="W78" s="109">
        <f>Table6[[#This Row],[Dana Disetujui]]</f>
        <v>6000000</v>
      </c>
      <c r="X78" s="6" t="s">
        <v>3216</v>
      </c>
      <c r="Y78" s="33"/>
      <c r="Z78" s="233"/>
      <c r="AA78" s="33"/>
      <c r="AB78" s="33"/>
      <c r="AC78" s="233"/>
      <c r="AD78" s="33"/>
      <c r="AE78" s="33"/>
      <c r="AF78" s="233"/>
      <c r="AG78" s="33"/>
      <c r="AH78" s="33"/>
      <c r="AI78" s="233"/>
      <c r="AJ78" s="33"/>
      <c r="AK78" s="33"/>
      <c r="AL78" s="33"/>
      <c r="AM78" s="33"/>
      <c r="AN78" s="33"/>
      <c r="AO78" s="33"/>
      <c r="AP78" s="33"/>
      <c r="AQ78" s="33"/>
      <c r="AR78" s="586" t="s">
        <v>3190</v>
      </c>
      <c r="AS78" s="586" t="s">
        <v>3191</v>
      </c>
      <c r="AT78" s="6" t="s">
        <v>5300</v>
      </c>
      <c r="AU78" s="9" t="s">
        <v>3857</v>
      </c>
      <c r="AV78" s="6" t="s">
        <v>5301</v>
      </c>
      <c r="AW78" s="9" t="s">
        <v>3857</v>
      </c>
      <c r="AX78" s="6" t="s">
        <v>5302</v>
      </c>
      <c r="AY78" s="9" t="s">
        <v>3990</v>
      </c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115" t="s">
        <v>3251</v>
      </c>
      <c r="BK78" s="115" t="s">
        <v>4981</v>
      </c>
      <c r="BL78" s="115" t="s">
        <v>5009</v>
      </c>
      <c r="BM78" s="277" t="s">
        <v>5303</v>
      </c>
      <c r="BN78" s="115" t="s">
        <v>5304</v>
      </c>
      <c r="BO78" s="115" t="s">
        <v>5305</v>
      </c>
    </row>
    <row r="79" spans="1:70" ht="72.599999999999994">
      <c r="A79" s="143" t="s">
        <v>5286</v>
      </c>
      <c r="B79" s="143" t="s">
        <v>5306</v>
      </c>
      <c r="C79" s="9" t="s">
        <v>5307</v>
      </c>
      <c r="D79" s="8" t="s">
        <v>4976</v>
      </c>
      <c r="E79" s="8">
        <v>2023</v>
      </c>
      <c r="F79" s="8">
        <v>2023</v>
      </c>
      <c r="G79" s="8">
        <v>6</v>
      </c>
      <c r="H79" s="6" t="s">
        <v>5289</v>
      </c>
      <c r="I79" s="482"/>
      <c r="J79" s="458">
        <v>7000000</v>
      </c>
      <c r="K79" s="8">
        <v>6</v>
      </c>
      <c r="L79" s="7" t="s">
        <v>5290</v>
      </c>
      <c r="M79" s="9" t="s">
        <v>3223</v>
      </c>
      <c r="N79" s="8" t="s">
        <v>3215</v>
      </c>
      <c r="O79" s="15" t="s">
        <v>4951</v>
      </c>
      <c r="P79" s="7" t="s">
        <v>5893</v>
      </c>
      <c r="Q79" s="109">
        <f>Table6[[#This Row],[Dana Disetujui]]</f>
        <v>7000000</v>
      </c>
      <c r="R79" s="6" t="s">
        <v>3216</v>
      </c>
      <c r="S79" s="6" t="s">
        <v>183</v>
      </c>
      <c r="T79" s="109">
        <f>Table6[[#This Row],[Dana Disetujui]]</f>
        <v>7000000</v>
      </c>
      <c r="U79" s="6" t="s">
        <v>3216</v>
      </c>
      <c r="V79" s="6" t="s">
        <v>185</v>
      </c>
      <c r="W79" s="109">
        <f>Table6[[#This Row],[Dana Disetujui]]</f>
        <v>7000000</v>
      </c>
      <c r="X79" s="6" t="s">
        <v>3216</v>
      </c>
      <c r="Y79" s="33"/>
      <c r="Z79" s="233"/>
      <c r="AA79" s="33"/>
      <c r="AB79" s="33"/>
      <c r="AC79" s="233"/>
      <c r="AD79" s="33"/>
      <c r="AE79" s="33"/>
      <c r="AF79" s="233"/>
      <c r="AG79" s="33"/>
      <c r="AH79" s="33"/>
      <c r="AI79" s="233"/>
      <c r="AJ79" s="33"/>
      <c r="AK79" s="33"/>
      <c r="AL79" s="33"/>
      <c r="AM79" s="33"/>
      <c r="AN79" s="33"/>
      <c r="AO79" s="33"/>
      <c r="AP79" s="33"/>
      <c r="AQ79" s="33"/>
      <c r="AR79" s="160" t="s">
        <v>3190</v>
      </c>
      <c r="AS79" s="160" t="s">
        <v>3191</v>
      </c>
      <c r="AT79" s="6" t="s">
        <v>5308</v>
      </c>
      <c r="AU79" s="9" t="s">
        <v>3832</v>
      </c>
      <c r="AV79" s="6" t="s">
        <v>5309</v>
      </c>
      <c r="AW79" s="9" t="s">
        <v>3832</v>
      </c>
      <c r="AX79" s="6" t="s">
        <v>5310</v>
      </c>
      <c r="AY79" s="9" t="s">
        <v>3832</v>
      </c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115" t="s">
        <v>3251</v>
      </c>
      <c r="BK79" s="115" t="s">
        <v>4981</v>
      </c>
      <c r="BL79" s="115" t="s">
        <v>5009</v>
      </c>
      <c r="BM79" s="276" t="s">
        <v>5311</v>
      </c>
      <c r="BN79" s="115" t="s">
        <v>3739</v>
      </c>
      <c r="BO79" s="115" t="s">
        <v>3739</v>
      </c>
      <c r="BP79" s="113"/>
      <c r="BQ79" s="113"/>
      <c r="BR79" s="113"/>
    </row>
    <row r="80" spans="1:70" ht="36.6">
      <c r="A80" s="143" t="s">
        <v>5286</v>
      </c>
      <c r="B80" s="143" t="s">
        <v>5312</v>
      </c>
      <c r="C80" s="139" t="s">
        <v>5313</v>
      </c>
      <c r="D80" s="259" t="s">
        <v>4976</v>
      </c>
      <c r="E80" s="259">
        <v>2023</v>
      </c>
      <c r="F80" s="259">
        <v>2023</v>
      </c>
      <c r="G80" s="259">
        <v>6</v>
      </c>
      <c r="H80" s="138" t="s">
        <v>5289</v>
      </c>
      <c r="I80" s="484"/>
      <c r="J80" s="461">
        <v>6074000</v>
      </c>
      <c r="K80" s="259">
        <v>6</v>
      </c>
      <c r="L80" s="123" t="s">
        <v>5290</v>
      </c>
      <c r="M80" s="9" t="s">
        <v>3223</v>
      </c>
      <c r="N80" s="259" t="s">
        <v>3215</v>
      </c>
      <c r="O80" s="15" t="s">
        <v>4951</v>
      </c>
      <c r="P80" s="123" t="s">
        <v>5894</v>
      </c>
      <c r="Q80" s="109">
        <f>Table6[[#This Row],[Dana Disetujui]]</f>
        <v>6074000</v>
      </c>
      <c r="R80" s="138" t="s">
        <v>3216</v>
      </c>
      <c r="S80" s="138" t="s">
        <v>26</v>
      </c>
      <c r="T80" s="109">
        <f>Table6[[#This Row],[Dana Disetujui]]</f>
        <v>6074000</v>
      </c>
      <c r="U80" s="138" t="s">
        <v>3216</v>
      </c>
      <c r="V80" s="138" t="s">
        <v>11</v>
      </c>
      <c r="W80" s="109">
        <f>Table6[[#This Row],[Dana Disetujui]]</f>
        <v>6074000</v>
      </c>
      <c r="X80" s="138" t="s">
        <v>3216</v>
      </c>
      <c r="Y80" s="122"/>
      <c r="Z80" s="122"/>
      <c r="AA80" s="122"/>
      <c r="AB80" s="122"/>
      <c r="AC80" s="122"/>
      <c r="AD80" s="122"/>
      <c r="AE80" s="122"/>
      <c r="AF80" s="284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586" t="s">
        <v>3190</v>
      </c>
      <c r="AS80" s="586" t="s">
        <v>3191</v>
      </c>
      <c r="AT80" s="138" t="s">
        <v>5314</v>
      </c>
      <c r="AU80" s="139" t="s">
        <v>5315</v>
      </c>
      <c r="AV80" s="138" t="s">
        <v>5316</v>
      </c>
      <c r="AW80" s="139" t="s">
        <v>5315</v>
      </c>
      <c r="AX80" s="138"/>
      <c r="AY80" s="139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15" t="s">
        <v>5294</v>
      </c>
      <c r="BK80" s="115" t="s">
        <v>5317</v>
      </c>
      <c r="BL80" s="115" t="s">
        <v>5009</v>
      </c>
      <c r="BM80" s="280" t="s">
        <v>5318</v>
      </c>
      <c r="BN80" s="281" t="s">
        <v>942</v>
      </c>
      <c r="BO80" s="281" t="s">
        <v>942</v>
      </c>
    </row>
    <row r="81" spans="1:70" ht="36.6">
      <c r="A81" s="143" t="s">
        <v>5286</v>
      </c>
      <c r="B81" s="143" t="s">
        <v>5319</v>
      </c>
      <c r="C81" s="9" t="s">
        <v>5320</v>
      </c>
      <c r="D81" s="8" t="s">
        <v>4976</v>
      </c>
      <c r="E81" s="8">
        <v>2023</v>
      </c>
      <c r="F81" s="8">
        <v>2023</v>
      </c>
      <c r="G81" s="8">
        <v>6</v>
      </c>
      <c r="H81" s="6" t="s">
        <v>5298</v>
      </c>
      <c r="I81" s="482"/>
      <c r="J81" s="458">
        <v>7000000</v>
      </c>
      <c r="K81" s="8">
        <v>3</v>
      </c>
      <c r="L81" s="7" t="s">
        <v>5290</v>
      </c>
      <c r="M81" s="9" t="s">
        <v>3223</v>
      </c>
      <c r="N81" s="8" t="s">
        <v>3215</v>
      </c>
      <c r="O81" s="15" t="s">
        <v>4951</v>
      </c>
      <c r="P81" s="7" t="s">
        <v>5895</v>
      </c>
      <c r="Q81" s="109">
        <f>Table6[[#This Row],[Dana Disetujui]]</f>
        <v>7000000</v>
      </c>
      <c r="R81" s="6" t="s">
        <v>3216</v>
      </c>
      <c r="S81" s="6" t="s">
        <v>50</v>
      </c>
      <c r="T81" s="109">
        <f>Table6[[#This Row],[Dana Disetujui]]</f>
        <v>7000000</v>
      </c>
      <c r="U81" s="6" t="s">
        <v>3216</v>
      </c>
      <c r="V81" s="6"/>
      <c r="W81" s="57"/>
      <c r="X81" s="33"/>
      <c r="Y81" s="33"/>
      <c r="Z81" s="233"/>
      <c r="AA81" s="33"/>
      <c r="AB81" s="33"/>
      <c r="AC81" s="233"/>
      <c r="AD81" s="33"/>
      <c r="AE81" s="33"/>
      <c r="AF81" s="233"/>
      <c r="AG81" s="33"/>
      <c r="AH81" s="33"/>
      <c r="AI81" s="233"/>
      <c r="AJ81" s="33"/>
      <c r="AK81" s="33"/>
      <c r="AL81" s="33"/>
      <c r="AM81" s="33"/>
      <c r="AN81" s="33"/>
      <c r="AO81" s="33"/>
      <c r="AP81" s="33"/>
      <c r="AQ81" s="33"/>
      <c r="AR81" s="586" t="s">
        <v>3190</v>
      </c>
      <c r="AS81" s="586" t="s">
        <v>3191</v>
      </c>
      <c r="AT81" s="6" t="s">
        <v>5321</v>
      </c>
      <c r="AU81" s="9" t="s">
        <v>3958</v>
      </c>
      <c r="AV81" s="6" t="s">
        <v>5322</v>
      </c>
      <c r="AW81" s="9" t="s">
        <v>3958</v>
      </c>
      <c r="AX81" s="6" t="s">
        <v>5323</v>
      </c>
      <c r="AY81" s="9" t="s">
        <v>3958</v>
      </c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115" t="s">
        <v>5294</v>
      </c>
      <c r="BK81" s="115" t="s">
        <v>4981</v>
      </c>
      <c r="BL81" s="115" t="s">
        <v>4991</v>
      </c>
      <c r="BM81" s="276" t="s">
        <v>5324</v>
      </c>
      <c r="BN81" s="115" t="s">
        <v>5325</v>
      </c>
      <c r="BO81" s="281" t="s">
        <v>942</v>
      </c>
    </row>
    <row r="82" spans="1:70" ht="36.6">
      <c r="A82" s="143" t="s">
        <v>5286</v>
      </c>
      <c r="B82" s="143" t="s">
        <v>5326</v>
      </c>
      <c r="C82" s="9" t="s">
        <v>5327</v>
      </c>
      <c r="D82" s="8" t="s">
        <v>4976</v>
      </c>
      <c r="E82" s="8">
        <v>2023</v>
      </c>
      <c r="F82" s="8">
        <v>2023</v>
      </c>
      <c r="G82" s="8">
        <v>6</v>
      </c>
      <c r="H82" s="6" t="s">
        <v>5298</v>
      </c>
      <c r="I82" s="482"/>
      <c r="J82" s="458">
        <v>6500000</v>
      </c>
      <c r="K82" s="8">
        <v>3</v>
      </c>
      <c r="L82" s="7"/>
      <c r="M82" s="9" t="s">
        <v>3223</v>
      </c>
      <c r="N82" s="8" t="s">
        <v>3215</v>
      </c>
      <c r="O82" s="15" t="s">
        <v>4951</v>
      </c>
      <c r="P82" s="7" t="s">
        <v>5896</v>
      </c>
      <c r="Q82" s="109">
        <f>Table6[[#This Row],[Dana Disetujui]]</f>
        <v>6500000</v>
      </c>
      <c r="R82" s="6" t="s">
        <v>3216</v>
      </c>
      <c r="S82" s="6" t="s">
        <v>40</v>
      </c>
      <c r="T82" s="109">
        <f>Table6[[#This Row],[Dana Disetujui]]</f>
        <v>6500000</v>
      </c>
      <c r="U82" s="6" t="s">
        <v>3216</v>
      </c>
      <c r="V82" s="6" t="s">
        <v>6</v>
      </c>
      <c r="W82" s="109">
        <f>Table6[[#This Row],[Dana Disetujui]]</f>
        <v>6500000</v>
      </c>
      <c r="X82" s="6" t="s">
        <v>3216</v>
      </c>
      <c r="Y82" s="33"/>
      <c r="Z82" s="233"/>
      <c r="AA82" s="33"/>
      <c r="AB82" s="33"/>
      <c r="AC82" s="233"/>
      <c r="AD82" s="33"/>
      <c r="AE82" s="33"/>
      <c r="AF82" s="233"/>
      <c r="AG82" s="33"/>
      <c r="AH82" s="33"/>
      <c r="AI82" s="233"/>
      <c r="AJ82" s="33"/>
      <c r="AK82" s="33"/>
      <c r="AL82" s="33"/>
      <c r="AM82" s="33"/>
      <c r="AN82" s="33"/>
      <c r="AO82" s="33"/>
      <c r="AP82" s="33"/>
      <c r="AQ82" s="33"/>
      <c r="AR82" s="586" t="s">
        <v>3190</v>
      </c>
      <c r="AS82" s="586" t="s">
        <v>3191</v>
      </c>
      <c r="AT82" s="6" t="s">
        <v>5328</v>
      </c>
      <c r="AU82" s="9" t="s">
        <v>3958</v>
      </c>
      <c r="AV82" s="6" t="s">
        <v>5329</v>
      </c>
      <c r="AW82" s="9" t="s">
        <v>3958</v>
      </c>
      <c r="AX82" s="6"/>
      <c r="AY82" s="9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115" t="s">
        <v>5294</v>
      </c>
      <c r="BK82" s="115" t="s">
        <v>4981</v>
      </c>
      <c r="BL82" s="115" t="s">
        <v>4991</v>
      </c>
      <c r="BM82" s="276" t="s">
        <v>5324</v>
      </c>
      <c r="BN82" s="115" t="s">
        <v>3739</v>
      </c>
      <c r="BO82" s="115" t="s">
        <v>3739</v>
      </c>
    </row>
    <row r="83" spans="1:70" ht="36">
      <c r="A83" s="143" t="s">
        <v>5286</v>
      </c>
      <c r="B83" s="143" t="s">
        <v>5330</v>
      </c>
      <c r="C83" s="9" t="s">
        <v>5331</v>
      </c>
      <c r="D83" s="8" t="s">
        <v>4976</v>
      </c>
      <c r="E83" s="8">
        <v>2023</v>
      </c>
      <c r="F83" s="8">
        <v>2023</v>
      </c>
      <c r="G83" s="8">
        <v>6</v>
      </c>
      <c r="H83" s="6" t="s">
        <v>5289</v>
      </c>
      <c r="I83" s="482"/>
      <c r="J83" s="458">
        <v>6995000</v>
      </c>
      <c r="K83" s="8">
        <v>7</v>
      </c>
      <c r="L83" s="7"/>
      <c r="M83" s="9" t="s">
        <v>3223</v>
      </c>
      <c r="N83" s="8" t="s">
        <v>3215</v>
      </c>
      <c r="O83" s="15" t="s">
        <v>4951</v>
      </c>
      <c r="P83" s="7" t="s">
        <v>5875</v>
      </c>
      <c r="Q83" s="109">
        <f>Table6[[#This Row],[Dana Disetujui]]</f>
        <v>6995000</v>
      </c>
      <c r="R83" s="6" t="s">
        <v>3216</v>
      </c>
      <c r="S83" s="6" t="s">
        <v>191</v>
      </c>
      <c r="T83" s="109">
        <f>Table6[[#This Row],[Dana Disetujui]]</f>
        <v>6995000</v>
      </c>
      <c r="U83" s="6" t="s">
        <v>3216</v>
      </c>
      <c r="V83" s="6"/>
      <c r="W83" s="57"/>
      <c r="X83" s="33"/>
      <c r="Y83" s="33"/>
      <c r="Z83" s="233"/>
      <c r="AA83" s="33"/>
      <c r="AB83" s="33"/>
      <c r="AC83" s="233"/>
      <c r="AD83" s="33"/>
      <c r="AE83" s="33"/>
      <c r="AF83" s="233"/>
      <c r="AG83" s="33"/>
      <c r="AH83" s="33"/>
      <c r="AI83" s="233"/>
      <c r="AJ83" s="33"/>
      <c r="AK83" s="33"/>
      <c r="AL83" s="33"/>
      <c r="AM83" s="33"/>
      <c r="AN83" s="33"/>
      <c r="AO83" s="33"/>
      <c r="AP83" s="33"/>
      <c r="AQ83" s="33"/>
      <c r="AR83" s="160" t="s">
        <v>3190</v>
      </c>
      <c r="AS83" s="160" t="s">
        <v>3191</v>
      </c>
      <c r="AT83" s="6" t="s">
        <v>5332</v>
      </c>
      <c r="AU83" s="9" t="s">
        <v>5315</v>
      </c>
      <c r="AV83" s="6"/>
      <c r="AW83" s="9"/>
      <c r="AX83" s="6"/>
      <c r="AY83" s="9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115" t="s">
        <v>5294</v>
      </c>
      <c r="BK83" s="115" t="s">
        <v>4981</v>
      </c>
      <c r="BL83" s="115" t="s">
        <v>5009</v>
      </c>
      <c r="BM83" s="276" t="s">
        <v>5324</v>
      </c>
      <c r="BN83" s="115" t="s">
        <v>3739</v>
      </c>
      <c r="BO83" s="115" t="s">
        <v>3739</v>
      </c>
    </row>
    <row r="84" spans="1:70" ht="36">
      <c r="A84" s="143" t="s">
        <v>5286</v>
      </c>
      <c r="B84" s="143" t="s">
        <v>5333</v>
      </c>
      <c r="C84" s="9" t="s">
        <v>5334</v>
      </c>
      <c r="D84" s="8" t="s">
        <v>4976</v>
      </c>
      <c r="E84" s="8">
        <v>2023</v>
      </c>
      <c r="F84" s="8">
        <v>2023</v>
      </c>
      <c r="G84" s="8">
        <v>8</v>
      </c>
      <c r="H84" s="6" t="s">
        <v>5298</v>
      </c>
      <c r="I84" s="482"/>
      <c r="J84" s="458">
        <v>7000000</v>
      </c>
      <c r="K84" s="8">
        <v>3</v>
      </c>
      <c r="L84" s="7"/>
      <c r="M84" s="9" t="s">
        <v>3223</v>
      </c>
      <c r="N84" s="8" t="s">
        <v>3215</v>
      </c>
      <c r="O84" s="15" t="s">
        <v>4951</v>
      </c>
      <c r="P84" s="7" t="s">
        <v>5897</v>
      </c>
      <c r="Q84" s="109">
        <f>Table6[[#This Row],[Dana Disetujui]]</f>
        <v>7000000</v>
      </c>
      <c r="R84" s="6" t="s">
        <v>3216</v>
      </c>
      <c r="S84" s="6" t="s">
        <v>16</v>
      </c>
      <c r="T84" s="109">
        <f>Table6[[#This Row],[Dana Disetujui]]</f>
        <v>7000000</v>
      </c>
      <c r="U84" s="6" t="s">
        <v>3216</v>
      </c>
      <c r="V84" s="6" t="s">
        <v>87</v>
      </c>
      <c r="W84" s="109">
        <f>Table6[[#This Row],[Dana Disetujui]]</f>
        <v>7000000</v>
      </c>
      <c r="X84" s="6" t="s">
        <v>3216</v>
      </c>
      <c r="Y84" s="33"/>
      <c r="Z84" s="233"/>
      <c r="AA84" s="33"/>
      <c r="AB84" s="33"/>
      <c r="AC84" s="233"/>
      <c r="AD84" s="33"/>
      <c r="AE84" s="33"/>
      <c r="AF84" s="233"/>
      <c r="AG84" s="33"/>
      <c r="AH84" s="33"/>
      <c r="AI84" s="233"/>
      <c r="AJ84" s="33"/>
      <c r="AK84" s="33"/>
      <c r="AL84" s="33"/>
      <c r="AM84" s="33"/>
      <c r="AN84" s="33"/>
      <c r="AO84" s="33"/>
      <c r="AP84" s="33"/>
      <c r="AQ84" s="33"/>
      <c r="AR84" s="5" t="s">
        <v>3190</v>
      </c>
      <c r="AS84" s="5" t="s">
        <v>3191</v>
      </c>
      <c r="AT84" s="6" t="s">
        <v>5335</v>
      </c>
      <c r="AU84" s="9" t="s">
        <v>4216</v>
      </c>
      <c r="AV84" s="6" t="s">
        <v>5336</v>
      </c>
      <c r="AW84" s="9" t="s">
        <v>4216</v>
      </c>
      <c r="AX84" s="6" t="s">
        <v>5337</v>
      </c>
      <c r="AY84" s="9" t="s">
        <v>4216</v>
      </c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275" t="s">
        <v>942</v>
      </c>
      <c r="BK84" s="275" t="s">
        <v>942</v>
      </c>
      <c r="BL84" s="275" t="s">
        <v>942</v>
      </c>
      <c r="BM84" s="276" t="s">
        <v>3739</v>
      </c>
      <c r="BN84" s="273" t="s">
        <v>3739</v>
      </c>
      <c r="BO84" s="273" t="s">
        <v>3739</v>
      </c>
    </row>
    <row r="85" spans="1:70" ht="36.6">
      <c r="A85" s="143" t="s">
        <v>5286</v>
      </c>
      <c r="B85" s="143" t="s">
        <v>5338</v>
      </c>
      <c r="C85" s="9" t="s">
        <v>5339</v>
      </c>
      <c r="D85" s="8" t="s">
        <v>4976</v>
      </c>
      <c r="E85" s="8">
        <v>2023</v>
      </c>
      <c r="F85" s="8">
        <v>2023</v>
      </c>
      <c r="G85" s="8">
        <v>6</v>
      </c>
      <c r="H85" s="6" t="s">
        <v>5298</v>
      </c>
      <c r="I85" s="482"/>
      <c r="J85" s="458">
        <v>6961000</v>
      </c>
      <c r="K85" s="8">
        <v>3</v>
      </c>
      <c r="L85" s="7"/>
      <c r="M85" s="9" t="s">
        <v>3223</v>
      </c>
      <c r="N85" s="8" t="s">
        <v>3215</v>
      </c>
      <c r="O85" s="15" t="s">
        <v>4951</v>
      </c>
      <c r="P85" s="7" t="s">
        <v>5882</v>
      </c>
      <c r="Q85" s="109">
        <f>Table6[[#This Row],[Dana Disetujui]]</f>
        <v>6961000</v>
      </c>
      <c r="R85" s="6" t="s">
        <v>3216</v>
      </c>
      <c r="S85" s="6" t="s">
        <v>174</v>
      </c>
      <c r="T85" s="109">
        <f>Table6[[#This Row],[Dana Disetujui]]</f>
        <v>6961000</v>
      </c>
      <c r="U85" s="6" t="s">
        <v>3216</v>
      </c>
      <c r="V85" s="6" t="s">
        <v>139</v>
      </c>
      <c r="W85" s="109">
        <f>Table6[[#This Row],[Dana Disetujui]]</f>
        <v>6961000</v>
      </c>
      <c r="X85" s="6" t="s">
        <v>3216</v>
      </c>
      <c r="Y85" s="33"/>
      <c r="Z85" s="233"/>
      <c r="AA85" s="33"/>
      <c r="AB85" s="33"/>
      <c r="AC85" s="233"/>
      <c r="AD85" s="33"/>
      <c r="AE85" s="33"/>
      <c r="AF85" s="233"/>
      <c r="AG85" s="33"/>
      <c r="AH85" s="33"/>
      <c r="AI85" s="233"/>
      <c r="AJ85" s="33"/>
      <c r="AK85" s="33"/>
      <c r="AL85" s="33"/>
      <c r="AM85" s="33"/>
      <c r="AN85" s="33"/>
      <c r="AO85" s="33"/>
      <c r="AP85" s="33"/>
      <c r="AQ85" s="33"/>
      <c r="AR85" s="160" t="s">
        <v>3190</v>
      </c>
      <c r="AS85" s="160" t="s">
        <v>3191</v>
      </c>
      <c r="AT85" s="6" t="s">
        <v>5341</v>
      </c>
      <c r="AU85" s="9" t="s">
        <v>3990</v>
      </c>
      <c r="AV85" s="6" t="s">
        <v>5342</v>
      </c>
      <c r="AW85" s="9" t="s">
        <v>3990</v>
      </c>
      <c r="AX85" s="6"/>
      <c r="AY85" s="9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115" t="s">
        <v>3251</v>
      </c>
      <c r="BK85" s="115" t="s">
        <v>4981</v>
      </c>
      <c r="BL85" s="275" t="s">
        <v>942</v>
      </c>
      <c r="BM85" s="277" t="s">
        <v>5343</v>
      </c>
      <c r="BN85" s="273" t="s">
        <v>3739</v>
      </c>
      <c r="BO85" s="273" t="s">
        <v>3739</v>
      </c>
    </row>
    <row r="86" spans="1:70" ht="36.6">
      <c r="A86" s="143" t="s">
        <v>5286</v>
      </c>
      <c r="B86" s="143" t="s">
        <v>5344</v>
      </c>
      <c r="C86" s="9" t="s">
        <v>5345</v>
      </c>
      <c r="D86" s="8" t="s">
        <v>4976</v>
      </c>
      <c r="E86" s="8">
        <v>2023</v>
      </c>
      <c r="F86" s="8">
        <v>2023</v>
      </c>
      <c r="G86" s="8">
        <v>6</v>
      </c>
      <c r="H86" s="6" t="s">
        <v>5298</v>
      </c>
      <c r="I86" s="482"/>
      <c r="J86" s="458">
        <v>6480000</v>
      </c>
      <c r="K86" s="8">
        <v>6</v>
      </c>
      <c r="L86" s="7"/>
      <c r="M86" s="9" t="s">
        <v>3223</v>
      </c>
      <c r="N86" s="8" t="s">
        <v>3215</v>
      </c>
      <c r="O86" s="15" t="s">
        <v>4951</v>
      </c>
      <c r="P86" s="7" t="s">
        <v>5898</v>
      </c>
      <c r="Q86" s="109">
        <f>Table6[[#This Row],[Dana Disetujui]]</f>
        <v>6480000</v>
      </c>
      <c r="R86" s="6" t="s">
        <v>3216</v>
      </c>
      <c r="S86" s="6" t="s">
        <v>96</v>
      </c>
      <c r="T86" s="109">
        <f>Table6[[#This Row],[Dana Disetujui]]</f>
        <v>6480000</v>
      </c>
      <c r="U86" s="6" t="s">
        <v>3216</v>
      </c>
      <c r="V86" s="6"/>
      <c r="W86" s="57"/>
      <c r="X86" s="33"/>
      <c r="Y86" s="33"/>
      <c r="Z86" s="233"/>
      <c r="AA86" s="33"/>
      <c r="AB86" s="33"/>
      <c r="AC86" s="233"/>
      <c r="AD86" s="33"/>
      <c r="AE86" s="33"/>
      <c r="AF86" s="233"/>
      <c r="AG86" s="33"/>
      <c r="AH86" s="33"/>
      <c r="AI86" s="233"/>
      <c r="AJ86" s="33"/>
      <c r="AK86" s="33"/>
      <c r="AL86" s="33"/>
      <c r="AM86" s="33"/>
      <c r="AN86" s="33"/>
      <c r="AO86" s="33"/>
      <c r="AP86" s="33"/>
      <c r="AQ86" s="33"/>
      <c r="AR86" s="586" t="s">
        <v>3190</v>
      </c>
      <c r="AS86" s="586" t="s">
        <v>3191</v>
      </c>
      <c r="AT86" s="6" t="s">
        <v>5346</v>
      </c>
      <c r="AU86" s="9" t="s">
        <v>3990</v>
      </c>
      <c r="AV86" s="6" t="s">
        <v>5347</v>
      </c>
      <c r="AW86" s="9" t="s">
        <v>3990</v>
      </c>
      <c r="AX86" s="6" t="s">
        <v>5348</v>
      </c>
      <c r="AY86" s="9" t="s">
        <v>3990</v>
      </c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115" t="s">
        <v>5294</v>
      </c>
      <c r="BK86" s="115" t="s">
        <v>5349</v>
      </c>
      <c r="BL86" s="115" t="s">
        <v>4991</v>
      </c>
      <c r="BM86" s="276" t="s">
        <v>5324</v>
      </c>
      <c r="BN86" s="273" t="s">
        <v>3739</v>
      </c>
      <c r="BO86" s="273" t="s">
        <v>3739</v>
      </c>
      <c r="BP86" s="113"/>
      <c r="BQ86" s="113"/>
      <c r="BR86" s="113"/>
    </row>
    <row r="87" spans="1:70" ht="36.6">
      <c r="A87" s="143" t="s">
        <v>5286</v>
      </c>
      <c r="B87" s="143" t="s">
        <v>5350</v>
      </c>
      <c r="C87" s="139" t="s">
        <v>5351</v>
      </c>
      <c r="D87" s="259" t="s">
        <v>4976</v>
      </c>
      <c r="E87" s="259">
        <v>2023</v>
      </c>
      <c r="F87" s="259">
        <v>2023</v>
      </c>
      <c r="G87" s="259">
        <v>7</v>
      </c>
      <c r="H87" s="138" t="s">
        <v>5298</v>
      </c>
      <c r="I87" s="484"/>
      <c r="J87" s="462">
        <v>7000000</v>
      </c>
      <c r="K87" s="259">
        <v>3</v>
      </c>
      <c r="L87" s="123"/>
      <c r="M87" s="9" t="s">
        <v>3223</v>
      </c>
      <c r="N87" s="259" t="s">
        <v>3215</v>
      </c>
      <c r="O87" s="15" t="s">
        <v>4951</v>
      </c>
      <c r="P87" s="123" t="s">
        <v>5860</v>
      </c>
      <c r="Q87" s="109">
        <f>Table6[[#This Row],[Dana Disetujui]]</f>
        <v>7000000</v>
      </c>
      <c r="R87" s="138" t="s">
        <v>3216</v>
      </c>
      <c r="S87" s="138" t="s">
        <v>97</v>
      </c>
      <c r="T87" s="109">
        <f>Table6[[#This Row],[Dana Disetujui]]</f>
        <v>7000000</v>
      </c>
      <c r="U87" s="138" t="s">
        <v>3216</v>
      </c>
      <c r="V87" s="138" t="s">
        <v>27</v>
      </c>
      <c r="W87" s="109">
        <f>Table6[[#This Row],[Dana Disetujui]]</f>
        <v>7000000</v>
      </c>
      <c r="X87" s="138" t="s">
        <v>3216</v>
      </c>
      <c r="Y87" s="122"/>
      <c r="Z87" s="284"/>
      <c r="AA87" s="122"/>
      <c r="AB87" s="122"/>
      <c r="AC87" s="284"/>
      <c r="AD87" s="122"/>
      <c r="AE87" s="122"/>
      <c r="AF87" s="284"/>
      <c r="AG87" s="122"/>
      <c r="AH87" s="122"/>
      <c r="AI87" s="284"/>
      <c r="AJ87" s="122"/>
      <c r="AK87" s="122"/>
      <c r="AL87" s="122"/>
      <c r="AM87" s="122"/>
      <c r="AN87" s="122"/>
      <c r="AO87" s="122"/>
      <c r="AP87" s="122"/>
      <c r="AQ87" s="122"/>
      <c r="AR87" s="791" t="s">
        <v>3190</v>
      </c>
      <c r="AS87" s="791" t="s">
        <v>3191</v>
      </c>
      <c r="AT87" s="138" t="s">
        <v>5352</v>
      </c>
      <c r="AU87" s="139" t="s">
        <v>3848</v>
      </c>
      <c r="AV87" s="138" t="s">
        <v>5353</v>
      </c>
      <c r="AW87" s="139" t="s">
        <v>3848</v>
      </c>
      <c r="AX87" s="138" t="s">
        <v>5354</v>
      </c>
      <c r="AY87" s="139" t="s">
        <v>3848</v>
      </c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15" t="s">
        <v>5294</v>
      </c>
      <c r="BK87" s="115" t="s">
        <v>5349</v>
      </c>
      <c r="BL87" s="115" t="s">
        <v>5009</v>
      </c>
      <c r="BM87" s="285" t="s">
        <v>5324</v>
      </c>
      <c r="BN87" s="273" t="s">
        <v>3739</v>
      </c>
      <c r="BO87" s="273" t="s">
        <v>3739</v>
      </c>
    </row>
    <row r="88" spans="1:70" ht="36">
      <c r="A88" s="143" t="s">
        <v>5286</v>
      </c>
      <c r="B88" s="143" t="s">
        <v>5355</v>
      </c>
      <c r="C88" s="9" t="s">
        <v>5356</v>
      </c>
      <c r="D88" s="8" t="s">
        <v>4976</v>
      </c>
      <c r="E88" s="8">
        <v>2023</v>
      </c>
      <c r="F88" s="8">
        <v>2023</v>
      </c>
      <c r="G88" s="8">
        <v>6</v>
      </c>
      <c r="H88" s="6" t="s">
        <v>5289</v>
      </c>
      <c r="I88" s="482"/>
      <c r="J88" s="458">
        <v>6470000</v>
      </c>
      <c r="K88" s="8">
        <v>3</v>
      </c>
      <c r="L88" s="7"/>
      <c r="M88" s="9" t="s">
        <v>3223</v>
      </c>
      <c r="N88" s="8" t="s">
        <v>3215</v>
      </c>
      <c r="O88" s="15" t="s">
        <v>4951</v>
      </c>
      <c r="P88" s="7" t="s">
        <v>5867</v>
      </c>
      <c r="Q88" s="109">
        <f>Table6[[#This Row],[Dana Disetujui]]</f>
        <v>6470000</v>
      </c>
      <c r="R88" s="6" t="s">
        <v>3216</v>
      </c>
      <c r="S88" s="6" t="s">
        <v>36</v>
      </c>
      <c r="T88" s="109">
        <f>Table6[[#This Row],[Dana Disetujui]]</f>
        <v>6470000</v>
      </c>
      <c r="U88" s="6" t="s">
        <v>3216</v>
      </c>
      <c r="V88" s="6" t="s">
        <v>187</v>
      </c>
      <c r="W88" s="109">
        <f>Table6[[#This Row],[Dana Disetujui]]</f>
        <v>6470000</v>
      </c>
      <c r="X88" s="6" t="s">
        <v>3216</v>
      </c>
      <c r="Y88" s="33"/>
      <c r="Z88" s="233"/>
      <c r="AA88" s="33"/>
      <c r="AB88" s="33"/>
      <c r="AC88" s="233"/>
      <c r="AD88" s="33"/>
      <c r="AE88" s="33"/>
      <c r="AF88" s="233"/>
      <c r="AG88" s="33"/>
      <c r="AH88" s="33"/>
      <c r="AI88" s="233"/>
      <c r="AJ88" s="33"/>
      <c r="AK88" s="33"/>
      <c r="AL88" s="33"/>
      <c r="AM88" s="33"/>
      <c r="AN88" s="33"/>
      <c r="AO88" s="33"/>
      <c r="AP88" s="33"/>
      <c r="AQ88" s="33"/>
      <c r="AR88" s="586" t="s">
        <v>3190</v>
      </c>
      <c r="AS88" s="586" t="s">
        <v>3191</v>
      </c>
      <c r="AT88" s="6" t="s">
        <v>4294</v>
      </c>
      <c r="AU88" s="9" t="s">
        <v>5357</v>
      </c>
      <c r="AV88" s="6" t="s">
        <v>5358</v>
      </c>
      <c r="AW88" s="9" t="s">
        <v>5357</v>
      </c>
      <c r="AX88" s="6" t="s">
        <v>3863</v>
      </c>
      <c r="AY88" s="9" t="s">
        <v>5357</v>
      </c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115" t="s">
        <v>5294</v>
      </c>
      <c r="BK88" s="115" t="s">
        <v>5359</v>
      </c>
      <c r="BL88" s="115" t="s">
        <v>5009</v>
      </c>
      <c r="BM88" s="276" t="s">
        <v>5360</v>
      </c>
      <c r="BN88" s="115" t="s">
        <v>5361</v>
      </c>
      <c r="BO88" s="273" t="s">
        <v>5362</v>
      </c>
    </row>
    <row r="89" spans="1:70" ht="36.6">
      <c r="A89" s="143" t="s">
        <v>5286</v>
      </c>
      <c r="B89" s="143" t="s">
        <v>5363</v>
      </c>
      <c r="C89" s="9" t="s">
        <v>2149</v>
      </c>
      <c r="D89" s="8" t="s">
        <v>4976</v>
      </c>
      <c r="E89" s="8">
        <v>2023</v>
      </c>
      <c r="F89" s="8">
        <v>2023</v>
      </c>
      <c r="G89" s="8">
        <v>6</v>
      </c>
      <c r="H89" s="6" t="s">
        <v>5289</v>
      </c>
      <c r="I89" s="482"/>
      <c r="J89" s="458">
        <v>7000000</v>
      </c>
      <c r="K89" s="8">
        <v>7</v>
      </c>
      <c r="L89" s="7"/>
      <c r="M89" s="9" t="s">
        <v>3223</v>
      </c>
      <c r="N89" s="8" t="s">
        <v>3215</v>
      </c>
      <c r="O89" s="15" t="s">
        <v>4951</v>
      </c>
      <c r="P89" s="7" t="s">
        <v>5899</v>
      </c>
      <c r="Q89" s="109">
        <f>Table6[[#This Row],[Dana Disetujui]]</f>
        <v>7000000</v>
      </c>
      <c r="R89" s="6" t="s">
        <v>3216</v>
      </c>
      <c r="S89" s="165" t="s">
        <v>704</v>
      </c>
      <c r="T89" s="109">
        <f>Table6[[#This Row],[Dana Disetujui]]</f>
        <v>7000000</v>
      </c>
      <c r="U89" s="165" t="s">
        <v>3216</v>
      </c>
      <c r="V89" s="239" t="s">
        <v>190</v>
      </c>
      <c r="W89" s="109">
        <f>Table6[[#This Row],[Dana Disetujui]]</f>
        <v>7000000</v>
      </c>
      <c r="X89" s="6" t="s">
        <v>3216</v>
      </c>
      <c r="Y89" s="33"/>
      <c r="Z89" s="233"/>
      <c r="AA89" s="33"/>
      <c r="AB89" s="33"/>
      <c r="AC89" s="233"/>
      <c r="AD89" s="33"/>
      <c r="AE89" s="33"/>
      <c r="AF89" s="233"/>
      <c r="AG89" s="33"/>
      <c r="AH89" s="33"/>
      <c r="AI89" s="233"/>
      <c r="AJ89" s="33"/>
      <c r="AK89" s="33"/>
      <c r="AL89" s="33"/>
      <c r="AM89" s="33"/>
      <c r="AN89" s="33"/>
      <c r="AO89" s="33"/>
      <c r="AP89" s="33"/>
      <c r="AQ89" s="33"/>
      <c r="AR89" s="586" t="s">
        <v>3190</v>
      </c>
      <c r="AS89" s="586" t="s">
        <v>3191</v>
      </c>
      <c r="AT89" s="6" t="s">
        <v>4300</v>
      </c>
      <c r="AU89" s="9" t="s">
        <v>3848</v>
      </c>
      <c r="AV89" s="6" t="s">
        <v>4158</v>
      </c>
      <c r="AW89" s="9" t="s">
        <v>3848</v>
      </c>
      <c r="AX89" s="55"/>
      <c r="AY89" s="12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115" t="s">
        <v>5294</v>
      </c>
      <c r="BK89" s="115" t="s">
        <v>5349</v>
      </c>
      <c r="BL89" s="115" t="s">
        <v>5009</v>
      </c>
      <c r="BM89" s="280" t="s">
        <v>5202</v>
      </c>
      <c r="BN89" s="273" t="s">
        <v>3739</v>
      </c>
      <c r="BO89" s="273" t="s">
        <v>3739</v>
      </c>
    </row>
    <row r="90" spans="1:70" ht="36.6">
      <c r="A90" s="143" t="s">
        <v>5286</v>
      </c>
      <c r="B90" s="143" t="s">
        <v>5364</v>
      </c>
      <c r="C90" s="9" t="s">
        <v>2428</v>
      </c>
      <c r="D90" s="8" t="s">
        <v>4976</v>
      </c>
      <c r="E90" s="8">
        <v>2023</v>
      </c>
      <c r="F90" s="8">
        <v>2023</v>
      </c>
      <c r="G90" s="8">
        <v>10</v>
      </c>
      <c r="H90" s="6" t="s">
        <v>5289</v>
      </c>
      <c r="I90" s="482"/>
      <c r="J90" s="458">
        <v>7000000</v>
      </c>
      <c r="K90" s="8">
        <v>3</v>
      </c>
      <c r="L90" s="7"/>
      <c r="M90" s="9" t="s">
        <v>3223</v>
      </c>
      <c r="N90" s="8" t="s">
        <v>3215</v>
      </c>
      <c r="O90" s="15" t="s">
        <v>4951</v>
      </c>
      <c r="P90" s="7" t="s">
        <v>2098</v>
      </c>
      <c r="Q90" s="109">
        <f>Table6[[#This Row],[Dana Disetujui]]</f>
        <v>7000000</v>
      </c>
      <c r="R90" s="6" t="s">
        <v>3216</v>
      </c>
      <c r="S90" s="239" t="s">
        <v>190</v>
      </c>
      <c r="T90" s="109">
        <f>Table6[[#This Row],[Dana Disetujui]]</f>
        <v>7000000</v>
      </c>
      <c r="U90" s="165" t="s">
        <v>3216</v>
      </c>
      <c r="V90" s="165" t="s">
        <v>10</v>
      </c>
      <c r="W90" s="109">
        <f>Table6[[#This Row],[Dana Disetujui]]</f>
        <v>7000000</v>
      </c>
      <c r="X90" s="6" t="s">
        <v>3216</v>
      </c>
      <c r="Y90" s="33"/>
      <c r="Z90" s="233"/>
      <c r="AA90" s="33"/>
      <c r="AB90" s="33"/>
      <c r="AC90" s="233"/>
      <c r="AD90" s="33"/>
      <c r="AE90" s="33"/>
      <c r="AF90" s="233"/>
      <c r="AG90" s="33"/>
      <c r="AH90" s="33"/>
      <c r="AI90" s="233"/>
      <c r="AJ90" s="33"/>
      <c r="AK90" s="33"/>
      <c r="AL90" s="33"/>
      <c r="AM90" s="33"/>
      <c r="AN90" s="33"/>
      <c r="AO90" s="33"/>
      <c r="AP90" s="33"/>
      <c r="AQ90" s="33"/>
      <c r="AR90" s="586" t="s">
        <v>3190</v>
      </c>
      <c r="AS90" s="586" t="s">
        <v>3191</v>
      </c>
      <c r="AT90" s="6" t="s">
        <v>5365</v>
      </c>
      <c r="AU90" s="9" t="s">
        <v>3848</v>
      </c>
      <c r="AV90" s="6" t="s">
        <v>4899</v>
      </c>
      <c r="AW90" s="9" t="s">
        <v>3848</v>
      </c>
      <c r="AX90" s="6" t="s">
        <v>5366</v>
      </c>
      <c r="AY90" s="9" t="s">
        <v>3848</v>
      </c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115" t="s">
        <v>5294</v>
      </c>
      <c r="BK90" s="115" t="s">
        <v>4981</v>
      </c>
      <c r="BL90" s="273" t="s">
        <v>3739</v>
      </c>
      <c r="BM90" s="280" t="s">
        <v>5367</v>
      </c>
      <c r="BN90" s="273" t="s">
        <v>3739</v>
      </c>
      <c r="BO90" s="273" t="s">
        <v>3739</v>
      </c>
      <c r="BP90" s="113"/>
      <c r="BQ90" s="113"/>
      <c r="BR90" s="113"/>
    </row>
    <row r="91" spans="1:70" ht="48.6">
      <c r="A91" s="143" t="s">
        <v>5286</v>
      </c>
      <c r="B91" s="143" t="s">
        <v>5368</v>
      </c>
      <c r="C91" s="139" t="s">
        <v>5369</v>
      </c>
      <c r="D91" s="259" t="s">
        <v>4976</v>
      </c>
      <c r="E91" s="259">
        <v>2023</v>
      </c>
      <c r="F91" s="259">
        <v>2023</v>
      </c>
      <c r="G91" s="259">
        <v>6</v>
      </c>
      <c r="H91" s="138" t="s">
        <v>5289</v>
      </c>
      <c r="I91" s="484"/>
      <c r="J91" s="462">
        <v>7000000</v>
      </c>
      <c r="K91" s="259">
        <v>3</v>
      </c>
      <c r="L91" s="123"/>
      <c r="M91" s="9" t="s">
        <v>3223</v>
      </c>
      <c r="N91" s="259" t="s">
        <v>3215</v>
      </c>
      <c r="O91" s="15" t="s">
        <v>4951</v>
      </c>
      <c r="P91" s="286" t="s">
        <v>5884</v>
      </c>
      <c r="Q91" s="109">
        <f>Table6[[#This Row],[Dana Disetujui]]</f>
        <v>7000000</v>
      </c>
      <c r="R91" s="138" t="s">
        <v>3216</v>
      </c>
      <c r="S91" s="289" t="s">
        <v>35</v>
      </c>
      <c r="T91" s="109">
        <f>Table6[[#This Row],[Dana Disetujui]]</f>
        <v>7000000</v>
      </c>
      <c r="U91" s="138" t="s">
        <v>3216</v>
      </c>
      <c r="V91" s="288" t="s">
        <v>188</v>
      </c>
      <c r="W91" s="109">
        <f>Table6[[#This Row],[Dana Disetujui]]</f>
        <v>7000000</v>
      </c>
      <c r="X91" s="138" t="s">
        <v>3216</v>
      </c>
      <c r="Y91" s="122"/>
      <c r="Z91" s="284"/>
      <c r="AA91" s="122"/>
      <c r="AB91" s="122"/>
      <c r="AC91" s="284"/>
      <c r="AD91" s="122"/>
      <c r="AE91" s="122"/>
      <c r="AF91" s="284"/>
      <c r="AG91" s="122"/>
      <c r="AH91" s="122"/>
      <c r="AI91" s="284"/>
      <c r="AJ91" s="122"/>
      <c r="AK91" s="122"/>
      <c r="AL91" s="122"/>
      <c r="AM91" s="122"/>
      <c r="AN91" s="122"/>
      <c r="AO91" s="122"/>
      <c r="AP91" s="122"/>
      <c r="AQ91" s="122"/>
      <c r="AR91" s="586" t="s">
        <v>3190</v>
      </c>
      <c r="AS91" s="586" t="s">
        <v>3191</v>
      </c>
      <c r="AT91" s="288" t="s">
        <v>5370</v>
      </c>
      <c r="AU91" s="291" t="s">
        <v>3832</v>
      </c>
      <c r="AV91" s="288" t="s">
        <v>5371</v>
      </c>
      <c r="AW91" s="291" t="s">
        <v>3832</v>
      </c>
      <c r="AX91" s="288" t="s">
        <v>5372</v>
      </c>
      <c r="AY91" s="291" t="s">
        <v>3832</v>
      </c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15" t="s">
        <v>5294</v>
      </c>
      <c r="BK91" s="115" t="s">
        <v>5349</v>
      </c>
      <c r="BL91" s="115" t="s">
        <v>4991</v>
      </c>
      <c r="BM91" s="277" t="s">
        <v>5373</v>
      </c>
      <c r="BN91" s="273" t="s">
        <v>3739</v>
      </c>
      <c r="BO91" s="273" t="s">
        <v>3739</v>
      </c>
    </row>
    <row r="92" spans="1:70" ht="36.6">
      <c r="A92" s="143" t="s">
        <v>5286</v>
      </c>
      <c r="B92" s="143" t="s">
        <v>5374</v>
      </c>
      <c r="C92" s="9" t="s">
        <v>5375</v>
      </c>
      <c r="D92" s="6" t="s">
        <v>5031</v>
      </c>
      <c r="E92" s="8">
        <v>2023</v>
      </c>
      <c r="F92" s="8">
        <v>2023</v>
      </c>
      <c r="G92" s="8">
        <v>6</v>
      </c>
      <c r="H92" s="6" t="s">
        <v>5289</v>
      </c>
      <c r="I92" s="482"/>
      <c r="J92" s="458">
        <v>15500000</v>
      </c>
      <c r="K92" s="8">
        <v>3</v>
      </c>
      <c r="L92" s="7"/>
      <c r="M92" s="9" t="s">
        <v>3223</v>
      </c>
      <c r="N92" s="8" t="s">
        <v>3215</v>
      </c>
      <c r="O92" s="15" t="s">
        <v>4951</v>
      </c>
      <c r="P92" s="7" t="s">
        <v>5900</v>
      </c>
      <c r="Q92" s="109">
        <f>Table6[[#This Row],[Dana Disetujui]]</f>
        <v>15500000</v>
      </c>
      <c r="R92" s="6" t="s">
        <v>3216</v>
      </c>
      <c r="S92" s="6" t="s">
        <v>57</v>
      </c>
      <c r="T92" s="109">
        <f>Table6[[#This Row],[Dana Disetujui]]</f>
        <v>15500000</v>
      </c>
      <c r="U92" s="6" t="s">
        <v>3216</v>
      </c>
      <c r="V92" s="6" t="s">
        <v>30</v>
      </c>
      <c r="W92" s="109">
        <f>Table6[[#This Row],[Dana Disetujui]]</f>
        <v>15500000</v>
      </c>
      <c r="X92" s="6" t="s">
        <v>3216</v>
      </c>
      <c r="Y92" s="33"/>
      <c r="Z92" s="233"/>
      <c r="AA92" s="33"/>
      <c r="AB92" s="33"/>
      <c r="AC92" s="233"/>
      <c r="AD92" s="33"/>
      <c r="AE92" s="33"/>
      <c r="AF92" s="233"/>
      <c r="AG92" s="33"/>
      <c r="AH92" s="33"/>
      <c r="AI92" s="233"/>
      <c r="AJ92" s="33"/>
      <c r="AK92" s="33"/>
      <c r="AL92" s="33"/>
      <c r="AM92" s="33"/>
      <c r="AN92" s="33"/>
      <c r="AO92" s="33"/>
      <c r="AP92" s="33"/>
      <c r="AQ92" s="33"/>
      <c r="AR92" s="160" t="s">
        <v>3190</v>
      </c>
      <c r="AS92" s="163" t="s">
        <v>3191</v>
      </c>
      <c r="AT92" s="6" t="s">
        <v>5376</v>
      </c>
      <c r="AU92" s="9" t="s">
        <v>3857</v>
      </c>
      <c r="AV92" s="6" t="s">
        <v>5377</v>
      </c>
      <c r="AW92" s="9" t="s">
        <v>3857</v>
      </c>
      <c r="AX92" s="6" t="s">
        <v>5378</v>
      </c>
      <c r="AY92" s="9" t="s">
        <v>3857</v>
      </c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115" t="s">
        <v>3251</v>
      </c>
      <c r="BK92" s="115" t="s">
        <v>5349</v>
      </c>
      <c r="BL92" s="115" t="s">
        <v>4991</v>
      </c>
      <c r="BM92" s="285" t="s">
        <v>942</v>
      </c>
      <c r="BN92" s="115" t="s">
        <v>5379</v>
      </c>
      <c r="BO92" s="273" t="s">
        <v>3739</v>
      </c>
    </row>
    <row r="93" spans="1:70" ht="48">
      <c r="A93" s="143" t="s">
        <v>5380</v>
      </c>
      <c r="B93" s="250" t="s">
        <v>4210</v>
      </c>
      <c r="C93" s="9" t="s">
        <v>5381</v>
      </c>
      <c r="D93" s="6" t="s">
        <v>5133</v>
      </c>
      <c r="E93" s="8">
        <v>2023</v>
      </c>
      <c r="F93" s="8">
        <v>2023</v>
      </c>
      <c r="G93" s="8">
        <v>3</v>
      </c>
      <c r="H93" s="6" t="s">
        <v>5289</v>
      </c>
      <c r="I93" s="485"/>
      <c r="J93" s="458">
        <v>25600000</v>
      </c>
      <c r="K93" s="8"/>
      <c r="L93" s="7"/>
      <c r="M93" s="241" t="s">
        <v>3077</v>
      </c>
      <c r="N93" s="8" t="s">
        <v>3215</v>
      </c>
      <c r="O93" s="15" t="s">
        <v>4951</v>
      </c>
      <c r="P93" s="7" t="s">
        <v>5901</v>
      </c>
      <c r="Q93" s="109">
        <f>Table6[[#This Row],[Dana Disetujui]]</f>
        <v>25600000</v>
      </c>
      <c r="R93" s="6" t="s">
        <v>3216</v>
      </c>
      <c r="S93" s="6" t="s">
        <v>108</v>
      </c>
      <c r="T93" s="109">
        <f>Table6[[#This Row],[Dana Disetujui]]</f>
        <v>25600000</v>
      </c>
      <c r="U93" s="6" t="s">
        <v>3216</v>
      </c>
      <c r="V93" s="6" t="s">
        <v>23</v>
      </c>
      <c r="W93" s="109">
        <f>Table6[[#This Row],[Dana Disetujui]]</f>
        <v>25600000</v>
      </c>
      <c r="X93" s="6" t="s">
        <v>3216</v>
      </c>
      <c r="Y93" s="241"/>
      <c r="Z93" s="299"/>
      <c r="AA93" s="241"/>
      <c r="AB93" s="241"/>
      <c r="AC93" s="299"/>
      <c r="AD93" s="241"/>
      <c r="AE93" s="241"/>
      <c r="AF93" s="299"/>
      <c r="AG93" s="241"/>
      <c r="AH93" s="241"/>
      <c r="AI93" s="299"/>
      <c r="AJ93" s="241"/>
      <c r="AK93" s="241"/>
      <c r="AL93" s="241"/>
      <c r="AM93" s="241"/>
      <c r="AN93" s="241"/>
      <c r="AO93" s="241"/>
      <c r="AP93" s="241"/>
      <c r="AQ93" s="241"/>
      <c r="AR93" s="8" t="s">
        <v>3190</v>
      </c>
      <c r="AS93" s="163" t="s">
        <v>3191</v>
      </c>
      <c r="AT93" s="301" t="s">
        <v>5382</v>
      </c>
      <c r="AU93" s="302"/>
      <c r="AV93" s="301" t="s">
        <v>5383</v>
      </c>
      <c r="AW93" s="302"/>
      <c r="AX93" s="303" t="s">
        <v>5384</v>
      </c>
      <c r="AY93" s="302"/>
      <c r="AZ93" s="241"/>
      <c r="BA93" s="241"/>
      <c r="BB93" s="241"/>
      <c r="BC93" s="241"/>
      <c r="BD93" s="241"/>
      <c r="BE93" s="241"/>
      <c r="BF93" s="241"/>
      <c r="BG93" s="241"/>
      <c r="BH93" s="241"/>
      <c r="BI93" s="241"/>
      <c r="BJ93" s="241" t="s">
        <v>3251</v>
      </c>
      <c r="BK93" s="241" t="s">
        <v>942</v>
      </c>
      <c r="BL93" s="241" t="s">
        <v>942</v>
      </c>
      <c r="BM93" s="241"/>
      <c r="BN93" s="241" t="s">
        <v>3868</v>
      </c>
      <c r="BO93" s="241"/>
    </row>
    <row r="94" spans="1:70" ht="36">
      <c r="A94" s="143" t="s">
        <v>5385</v>
      </c>
      <c r="B94" s="144" t="s">
        <v>5386</v>
      </c>
      <c r="C94" s="775" t="s">
        <v>3100</v>
      </c>
      <c r="D94" s="6" t="s">
        <v>5067</v>
      </c>
      <c r="E94" s="8">
        <v>2023</v>
      </c>
      <c r="F94" s="8">
        <v>2023</v>
      </c>
      <c r="G94" s="8">
        <v>12</v>
      </c>
      <c r="H94" s="6" t="s">
        <v>5387</v>
      </c>
      <c r="I94" s="486">
        <v>50000000</v>
      </c>
      <c r="J94" s="458">
        <v>45000000</v>
      </c>
      <c r="K94" s="8" t="s">
        <v>942</v>
      </c>
      <c r="L94" s="7" t="s">
        <v>5388</v>
      </c>
      <c r="M94" s="241" t="s">
        <v>3077</v>
      </c>
      <c r="N94" s="8" t="s">
        <v>3215</v>
      </c>
      <c r="O94" s="765" t="s">
        <v>4972</v>
      </c>
      <c r="P94" s="7" t="s">
        <v>5872</v>
      </c>
      <c r="Q94" s="109">
        <f>Table6[[#This Row],[Dana Disetujui]]</f>
        <v>45000000</v>
      </c>
      <c r="R94" s="6" t="s">
        <v>3216</v>
      </c>
      <c r="S94" s="6" t="s">
        <v>92</v>
      </c>
      <c r="T94" s="109">
        <f>Table6[[#This Row],[Dana Disetujui]]</f>
        <v>45000000</v>
      </c>
      <c r="U94" s="6" t="s">
        <v>3216</v>
      </c>
      <c r="V94" s="6" t="s">
        <v>6</v>
      </c>
      <c r="W94" s="109">
        <f>Table6[[#This Row],[Dana Disetujui]]</f>
        <v>45000000</v>
      </c>
      <c r="X94" s="6" t="s">
        <v>3216</v>
      </c>
      <c r="Y94" s="241"/>
      <c r="Z94" s="299"/>
      <c r="AA94" s="241"/>
      <c r="AB94" s="241"/>
      <c r="AC94" s="299"/>
      <c r="AD94" s="241"/>
      <c r="AE94" s="241"/>
      <c r="AF94" s="299"/>
      <c r="AG94" s="241"/>
      <c r="AH94" s="241"/>
      <c r="AI94" s="299"/>
      <c r="AJ94" s="241"/>
      <c r="AK94" s="241"/>
      <c r="AL94" s="241"/>
      <c r="AM94" s="241"/>
      <c r="AN94" s="241"/>
      <c r="AO94" s="241"/>
      <c r="AP94" s="241"/>
      <c r="AQ94" s="241"/>
      <c r="AR94" s="8" t="s">
        <v>3190</v>
      </c>
      <c r="AS94" s="163" t="s">
        <v>3191</v>
      </c>
      <c r="AT94" s="6" t="s">
        <v>5390</v>
      </c>
      <c r="AU94" s="9" t="s">
        <v>3848</v>
      </c>
      <c r="AV94" s="304" t="s">
        <v>5391</v>
      </c>
      <c r="AW94" s="9" t="s">
        <v>3841</v>
      </c>
      <c r="AX94" s="304" t="s">
        <v>5392</v>
      </c>
      <c r="AY94" s="9" t="s">
        <v>3841</v>
      </c>
      <c r="AZ94" s="304" t="s">
        <v>5393</v>
      </c>
      <c r="BA94" s="9" t="s">
        <v>3958</v>
      </c>
      <c r="BB94" s="241"/>
      <c r="BC94" s="241"/>
      <c r="BD94" s="241"/>
      <c r="BE94" s="241"/>
      <c r="BF94" s="241"/>
      <c r="BG94" s="241"/>
      <c r="BH94" s="241"/>
      <c r="BI94" s="241"/>
      <c r="BJ94" s="241" t="s">
        <v>5394</v>
      </c>
      <c r="BK94" s="241" t="s">
        <v>5395</v>
      </c>
      <c r="BL94" s="241" t="s">
        <v>5396</v>
      </c>
      <c r="BM94" s="241"/>
      <c r="BN94" s="241"/>
      <c r="BO94" s="241"/>
    </row>
    <row r="95" spans="1:70" s="5" customFormat="1" ht="36">
      <c r="A95" s="143" t="s">
        <v>5385</v>
      </c>
      <c r="B95" s="144" t="s">
        <v>5397</v>
      </c>
      <c r="C95" s="775" t="s">
        <v>5398</v>
      </c>
      <c r="D95" s="6" t="s">
        <v>5067</v>
      </c>
      <c r="E95" s="8">
        <v>2023</v>
      </c>
      <c r="F95" s="8">
        <v>2023</v>
      </c>
      <c r="G95" s="8">
        <v>12</v>
      </c>
      <c r="H95" s="6" t="s">
        <v>5399</v>
      </c>
      <c r="I95" s="486">
        <v>50000000</v>
      </c>
      <c r="J95" s="458">
        <v>47500000</v>
      </c>
      <c r="K95" s="8" t="s">
        <v>942</v>
      </c>
      <c r="L95" s="7" t="s">
        <v>5388</v>
      </c>
      <c r="M95" s="241" t="s">
        <v>3077</v>
      </c>
      <c r="N95" s="8" t="s">
        <v>3215</v>
      </c>
      <c r="O95" s="765" t="s">
        <v>4972</v>
      </c>
      <c r="P95" s="7" t="s">
        <v>5874</v>
      </c>
      <c r="Q95" s="109">
        <f>Table6[[#This Row],[Dana Disetujui]]</f>
        <v>47500000</v>
      </c>
      <c r="R95" s="6" t="s">
        <v>3216</v>
      </c>
      <c r="S95" s="6" t="s">
        <v>5400</v>
      </c>
      <c r="T95" s="109">
        <f>Table6[[#This Row],[Dana Disetujui]]</f>
        <v>47500000</v>
      </c>
      <c r="U95" s="6" t="s">
        <v>3216</v>
      </c>
      <c r="V95" s="6" t="s">
        <v>85</v>
      </c>
      <c r="W95" s="109">
        <f>Table6[[#This Row],[Dana Disetujui]]</f>
        <v>47500000</v>
      </c>
      <c r="X95" s="6" t="s">
        <v>3216</v>
      </c>
      <c r="Y95" s="241"/>
      <c r="Z95" s="299"/>
      <c r="AA95" s="241"/>
      <c r="AB95" s="241"/>
      <c r="AC95" s="299"/>
      <c r="AD95" s="241"/>
      <c r="AE95" s="241"/>
      <c r="AF95" s="299"/>
      <c r="AG95" s="241"/>
      <c r="AH95" s="241"/>
      <c r="AI95" s="299"/>
      <c r="AJ95" s="241"/>
      <c r="AK95" s="241"/>
      <c r="AL95" s="241"/>
      <c r="AM95" s="241"/>
      <c r="AN95" s="241"/>
      <c r="AO95" s="241"/>
      <c r="AP95" s="241"/>
      <c r="AQ95" s="241"/>
      <c r="AR95" s="8" t="s">
        <v>3190</v>
      </c>
      <c r="AS95" s="163" t="s">
        <v>3191</v>
      </c>
      <c r="AT95" s="304" t="s">
        <v>5402</v>
      </c>
      <c r="AU95" s="9" t="s">
        <v>3848</v>
      </c>
      <c r="AV95" s="304" t="s">
        <v>5393</v>
      </c>
      <c r="AW95" s="9" t="s">
        <v>3958</v>
      </c>
      <c r="AX95" s="304" t="s">
        <v>5403</v>
      </c>
      <c r="AY95" s="9" t="s">
        <v>3841</v>
      </c>
      <c r="AZ95" s="241"/>
      <c r="BA95" s="241"/>
      <c r="BB95" s="241"/>
      <c r="BC95" s="241"/>
      <c r="BD95" s="241"/>
      <c r="BE95" s="241"/>
      <c r="BF95" s="241"/>
      <c r="BG95" s="241"/>
      <c r="BH95" s="241"/>
      <c r="BI95" s="241"/>
      <c r="BJ95" s="241" t="s">
        <v>5394</v>
      </c>
      <c r="BK95" s="241" t="s">
        <v>5395</v>
      </c>
      <c r="BL95" s="241" t="s">
        <v>5404</v>
      </c>
      <c r="BM95" s="241"/>
      <c r="BN95" s="241"/>
      <c r="BO95" s="241"/>
    </row>
    <row r="96" spans="1:70" ht="36">
      <c r="A96" s="143" t="s">
        <v>5405</v>
      </c>
      <c r="B96" s="143" t="s">
        <v>5406</v>
      </c>
      <c r="C96" s="9" t="s">
        <v>5407</v>
      </c>
      <c r="D96" s="6" t="s">
        <v>5408</v>
      </c>
      <c r="E96" s="8">
        <v>2023</v>
      </c>
      <c r="F96" s="8">
        <v>2023</v>
      </c>
      <c r="G96" s="8">
        <v>6</v>
      </c>
      <c r="H96" s="6" t="s">
        <v>5289</v>
      </c>
      <c r="I96" s="487">
        <v>7000000</v>
      </c>
      <c r="J96" s="463">
        <v>6775000</v>
      </c>
      <c r="K96" s="8">
        <v>6</v>
      </c>
      <c r="L96" s="6"/>
      <c r="M96" s="9" t="s">
        <v>3223</v>
      </c>
      <c r="N96" s="8"/>
      <c r="O96" s="15" t="s">
        <v>4951</v>
      </c>
      <c r="P96" s="6" t="s">
        <v>5902</v>
      </c>
      <c r="Q96" s="109">
        <f>Table6[[#This Row],[Dana Disetujui]]</f>
        <v>6775000</v>
      </c>
      <c r="R96" s="6" t="s">
        <v>3216</v>
      </c>
      <c r="S96" s="6" t="s">
        <v>775</v>
      </c>
      <c r="T96" s="109">
        <f>Table6[[#This Row],[Dana Disetujui]]</f>
        <v>6775000</v>
      </c>
      <c r="U96" s="6" t="s">
        <v>3216</v>
      </c>
      <c r="V96" s="6" t="s">
        <v>54</v>
      </c>
      <c r="W96" s="109">
        <f>Table6[[#This Row],[Dana Disetujui]]</f>
        <v>6775000</v>
      </c>
      <c r="X96" s="6" t="s">
        <v>3216</v>
      </c>
      <c r="Y96" s="8"/>
      <c r="Z96" s="292"/>
      <c r="AA96" s="8"/>
      <c r="AB96" s="8"/>
      <c r="AC96" s="292"/>
      <c r="AD96" s="8"/>
      <c r="AE96" s="8"/>
      <c r="AF96" s="292"/>
      <c r="AG96" s="8"/>
      <c r="AH96" s="8"/>
      <c r="AI96" s="292"/>
      <c r="AJ96" s="8"/>
      <c r="AK96" s="8"/>
      <c r="AL96" s="8"/>
      <c r="AM96" s="8"/>
      <c r="AN96" s="8"/>
      <c r="AO96" s="8"/>
      <c r="AP96" s="8"/>
      <c r="AQ96" s="8"/>
      <c r="AR96" s="586" t="s">
        <v>3190</v>
      </c>
      <c r="AS96" s="763" t="s">
        <v>3191</v>
      </c>
      <c r="AT96" s="6"/>
      <c r="AU96" s="6"/>
      <c r="AV96" s="6"/>
      <c r="AW96" s="6"/>
      <c r="AX96" s="6"/>
      <c r="AY96" s="6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6" t="s">
        <v>5409</v>
      </c>
      <c r="BK96" s="6" t="s">
        <v>5410</v>
      </c>
      <c r="BL96" s="6" t="s">
        <v>5411</v>
      </c>
      <c r="BM96" s="8"/>
      <c r="BN96" s="8"/>
      <c r="BO96" s="8"/>
    </row>
    <row r="97" spans="1:70" ht="36">
      <c r="A97" s="143" t="s">
        <v>5405</v>
      </c>
      <c r="B97" s="143" t="s">
        <v>5412</v>
      </c>
      <c r="C97" s="9" t="s">
        <v>5413</v>
      </c>
      <c r="D97" s="6" t="s">
        <v>5408</v>
      </c>
      <c r="E97" s="8">
        <v>2023</v>
      </c>
      <c r="F97" s="8">
        <v>2023</v>
      </c>
      <c r="G97" s="8">
        <v>6</v>
      </c>
      <c r="H97" s="6" t="s">
        <v>5289</v>
      </c>
      <c r="I97" s="486">
        <v>7000000</v>
      </c>
      <c r="J97" s="458">
        <v>5325000</v>
      </c>
      <c r="K97" s="8">
        <v>3</v>
      </c>
      <c r="L97" s="7"/>
      <c r="M97" s="9" t="s">
        <v>3223</v>
      </c>
      <c r="N97" s="241"/>
      <c r="O97" s="15" t="s">
        <v>4951</v>
      </c>
      <c r="P97" s="7" t="s">
        <v>5854</v>
      </c>
      <c r="Q97" s="109">
        <f>Table6[[#This Row],[Dana Disetujui]]</f>
        <v>5325000</v>
      </c>
      <c r="R97" s="6" t="s">
        <v>3216</v>
      </c>
      <c r="S97" s="6" t="s">
        <v>134</v>
      </c>
      <c r="T97" s="109">
        <f>Table6[[#This Row],[Dana Disetujui]]</f>
        <v>5325000</v>
      </c>
      <c r="U97" s="6" t="s">
        <v>3216</v>
      </c>
      <c r="V97" s="6"/>
      <c r="W97" s="57"/>
      <c r="X97" s="6"/>
      <c r="Y97" s="241"/>
      <c r="Z97" s="299"/>
      <c r="AA97" s="241"/>
      <c r="AB97" s="241"/>
      <c r="AC97" s="299"/>
      <c r="AD97" s="241"/>
      <c r="AE97" s="241"/>
      <c r="AF97" s="299"/>
      <c r="AG97" s="241"/>
      <c r="AH97" s="241"/>
      <c r="AI97" s="299"/>
      <c r="AJ97" s="241"/>
      <c r="AK97" s="241"/>
      <c r="AL97" s="241"/>
      <c r="AM97" s="241"/>
      <c r="AN97" s="241"/>
      <c r="AO97" s="241"/>
      <c r="AP97" s="241"/>
      <c r="AQ97" s="241"/>
      <c r="AR97" s="586" t="s">
        <v>3190</v>
      </c>
      <c r="AS97" s="763" t="s">
        <v>3191</v>
      </c>
      <c r="AT97" s="304"/>
      <c r="AU97" s="9"/>
      <c r="AV97" s="304"/>
      <c r="AW97" s="9"/>
      <c r="AX97" s="304"/>
      <c r="AY97" s="9"/>
      <c r="AZ97" s="241"/>
      <c r="BA97" s="241"/>
      <c r="BB97" s="241"/>
      <c r="BC97" s="241"/>
      <c r="BD97" s="241"/>
      <c r="BE97" s="241"/>
      <c r="BF97" s="241"/>
      <c r="BG97" s="241"/>
      <c r="BH97" s="241"/>
      <c r="BI97" s="241"/>
      <c r="BJ97" s="7" t="s">
        <v>5414</v>
      </c>
      <c r="BK97" s="7" t="s">
        <v>5410</v>
      </c>
      <c r="BL97" s="33" t="s">
        <v>5415</v>
      </c>
      <c r="BM97" s="241"/>
      <c r="BN97" s="241"/>
      <c r="BO97" s="241"/>
    </row>
    <row r="98" spans="1:70" ht="36">
      <c r="A98" s="143" t="s">
        <v>5405</v>
      </c>
      <c r="B98" s="143" t="s">
        <v>5416</v>
      </c>
      <c r="C98" s="9" t="s">
        <v>5417</v>
      </c>
      <c r="D98" s="6" t="s">
        <v>5408</v>
      </c>
      <c r="E98" s="8">
        <v>2023</v>
      </c>
      <c r="F98" s="8">
        <v>2023</v>
      </c>
      <c r="G98" s="8">
        <v>6</v>
      </c>
      <c r="H98" s="6" t="s">
        <v>5289</v>
      </c>
      <c r="I98" s="488">
        <v>7000000</v>
      </c>
      <c r="J98" s="458">
        <v>6700000</v>
      </c>
      <c r="K98" s="8">
        <v>3</v>
      </c>
      <c r="L98" s="7"/>
      <c r="M98" s="9" t="s">
        <v>3223</v>
      </c>
      <c r="N98" s="241"/>
      <c r="O98" s="15" t="s">
        <v>4951</v>
      </c>
      <c r="P98" s="7" t="s">
        <v>5852</v>
      </c>
      <c r="Q98" s="109">
        <f>Table6[[#This Row],[Dana Disetujui]]</f>
        <v>6700000</v>
      </c>
      <c r="R98" s="6" t="s">
        <v>3216</v>
      </c>
      <c r="S98" s="6" t="s">
        <v>28</v>
      </c>
      <c r="T98" s="109">
        <f>Table6[[#This Row],[Dana Disetujui]]</f>
        <v>6700000</v>
      </c>
      <c r="U98" s="6" t="s">
        <v>3216</v>
      </c>
      <c r="V98" s="6" t="s">
        <v>47</v>
      </c>
      <c r="W98" s="109">
        <f>Table6[[#This Row],[Dana Disetujui]]</f>
        <v>6700000</v>
      </c>
      <c r="X98" s="6" t="s">
        <v>3216</v>
      </c>
      <c r="Y98" s="241"/>
      <c r="Z98" s="299"/>
      <c r="AA98" s="241"/>
      <c r="AB98" s="241"/>
      <c r="AC98" s="299"/>
      <c r="AD98" s="241"/>
      <c r="AE98" s="241"/>
      <c r="AF98" s="299"/>
      <c r="AG98" s="241"/>
      <c r="AH98" s="241"/>
      <c r="AI98" s="299"/>
      <c r="AJ98" s="241"/>
      <c r="AK98" s="241"/>
      <c r="AL98" s="241"/>
      <c r="AM98" s="241"/>
      <c r="AN98" s="241"/>
      <c r="AO98" s="241"/>
      <c r="AP98" s="241"/>
      <c r="AQ98" s="241"/>
      <c r="AR98" s="586" t="s">
        <v>3190</v>
      </c>
      <c r="AS98" s="763" t="s">
        <v>3191</v>
      </c>
      <c r="AT98" s="304"/>
      <c r="AU98" s="9"/>
      <c r="AV98" s="304"/>
      <c r="AW98" s="9"/>
      <c r="AX98" s="304"/>
      <c r="AY98" s="9"/>
      <c r="AZ98" s="241"/>
      <c r="BA98" s="241"/>
      <c r="BB98" s="241"/>
      <c r="BC98" s="241"/>
      <c r="BD98" s="241"/>
      <c r="BE98" s="241"/>
      <c r="BF98" s="241"/>
      <c r="BG98" s="241"/>
      <c r="BH98" s="241"/>
      <c r="BI98" s="241"/>
      <c r="BJ98" s="7" t="s">
        <v>5414</v>
      </c>
      <c r="BK98" s="7" t="s">
        <v>5418</v>
      </c>
      <c r="BL98" s="7" t="s">
        <v>5419</v>
      </c>
      <c r="BM98" s="241"/>
      <c r="BN98" s="241"/>
      <c r="BO98" s="241"/>
    </row>
    <row r="99" spans="1:70" ht="36">
      <c r="A99" s="143" t="s">
        <v>5405</v>
      </c>
      <c r="B99" s="143" t="s">
        <v>5420</v>
      </c>
      <c r="C99" s="9" t="s">
        <v>5421</v>
      </c>
      <c r="D99" s="6" t="s">
        <v>5408</v>
      </c>
      <c r="E99" s="8">
        <v>2023</v>
      </c>
      <c r="F99" s="8">
        <v>2023</v>
      </c>
      <c r="G99" s="8">
        <v>6</v>
      </c>
      <c r="H99" s="6" t="s">
        <v>5289</v>
      </c>
      <c r="I99" s="486">
        <v>6405000</v>
      </c>
      <c r="J99" s="458">
        <v>6702500</v>
      </c>
      <c r="K99" s="8">
        <v>3</v>
      </c>
      <c r="L99" s="7"/>
      <c r="M99" s="9" t="s">
        <v>3223</v>
      </c>
      <c r="N99" s="241"/>
      <c r="O99" s="15" t="s">
        <v>4951</v>
      </c>
      <c r="P99" s="7" t="s">
        <v>5870</v>
      </c>
      <c r="Q99" s="109">
        <f>Table6[[#This Row],[Dana Disetujui]]</f>
        <v>6702500</v>
      </c>
      <c r="R99" s="6" t="s">
        <v>3216</v>
      </c>
      <c r="S99" s="6" t="s">
        <v>54</v>
      </c>
      <c r="T99" s="109">
        <f>Table6[[#This Row],[Dana Disetujui]]</f>
        <v>6702500</v>
      </c>
      <c r="U99" s="6" t="s">
        <v>3216</v>
      </c>
      <c r="V99" s="6"/>
      <c r="W99" s="57"/>
      <c r="X99" s="6"/>
      <c r="Y99" s="241"/>
      <c r="Z99" s="299"/>
      <c r="AA99" s="241"/>
      <c r="AB99" s="241"/>
      <c r="AC99" s="299"/>
      <c r="AD99" s="241"/>
      <c r="AE99" s="241"/>
      <c r="AF99" s="299"/>
      <c r="AG99" s="241"/>
      <c r="AH99" s="241"/>
      <c r="AI99" s="299"/>
      <c r="AJ99" s="241"/>
      <c r="AK99" s="241"/>
      <c r="AL99" s="241"/>
      <c r="AM99" s="241"/>
      <c r="AN99" s="241"/>
      <c r="AO99" s="241"/>
      <c r="AP99" s="241"/>
      <c r="AQ99" s="241"/>
      <c r="AR99" s="160" t="s">
        <v>3190</v>
      </c>
      <c r="AS99" s="163" t="s">
        <v>3191</v>
      </c>
      <c r="AT99" s="304"/>
      <c r="AU99" s="9"/>
      <c r="AV99" s="304"/>
      <c r="AW99" s="9"/>
      <c r="AX99" s="304"/>
      <c r="AY99" s="9"/>
      <c r="AZ99" s="241"/>
      <c r="BA99" s="241"/>
      <c r="BB99" s="241"/>
      <c r="BC99" s="241"/>
      <c r="BD99" s="241"/>
      <c r="BE99" s="241"/>
      <c r="BF99" s="241"/>
      <c r="BG99" s="241"/>
      <c r="BH99" s="241"/>
      <c r="BI99" s="241"/>
      <c r="BJ99" s="7" t="s">
        <v>5424</v>
      </c>
      <c r="BK99" s="7" t="s">
        <v>5425</v>
      </c>
      <c r="BL99" s="7" t="s">
        <v>5426</v>
      </c>
      <c r="BM99" s="241" t="s">
        <v>5427</v>
      </c>
      <c r="BN99" s="241"/>
      <c r="BO99" s="241"/>
    </row>
    <row r="100" spans="1:70" ht="36">
      <c r="A100" s="143" t="s">
        <v>5405</v>
      </c>
      <c r="B100" s="143" t="s">
        <v>5428</v>
      </c>
      <c r="C100" s="9" t="s">
        <v>5429</v>
      </c>
      <c r="D100" s="6" t="s">
        <v>5408</v>
      </c>
      <c r="E100" s="8">
        <v>2023</v>
      </c>
      <c r="F100" s="8">
        <v>2023</v>
      </c>
      <c r="G100" s="8">
        <v>6</v>
      </c>
      <c r="H100" s="6" t="s">
        <v>5289</v>
      </c>
      <c r="I100" s="486">
        <v>7000000</v>
      </c>
      <c r="J100" s="458">
        <v>7000000</v>
      </c>
      <c r="K100" s="8">
        <v>6</v>
      </c>
      <c r="L100" s="7"/>
      <c r="M100" s="9" t="s">
        <v>3223</v>
      </c>
      <c r="N100" s="241"/>
      <c r="O100" s="15" t="s">
        <v>4951</v>
      </c>
      <c r="P100" s="7" t="s">
        <v>5903</v>
      </c>
      <c r="Q100" s="109">
        <f>Table6[[#This Row],[Dana Disetujui]]</f>
        <v>7000000</v>
      </c>
      <c r="R100" s="6" t="s">
        <v>3216</v>
      </c>
      <c r="S100" s="6" t="s">
        <v>12</v>
      </c>
      <c r="T100" s="109">
        <f>Table6[[#This Row],[Dana Disetujui]]</f>
        <v>7000000</v>
      </c>
      <c r="U100" s="6" t="s">
        <v>3216</v>
      </c>
      <c r="V100" s="6" t="s">
        <v>8</v>
      </c>
      <c r="W100" s="109">
        <f>Table6[[#This Row],[Dana Disetujui]]</f>
        <v>7000000</v>
      </c>
      <c r="X100" s="6" t="s">
        <v>3216</v>
      </c>
      <c r="Y100" s="241"/>
      <c r="Z100" s="299"/>
      <c r="AA100" s="241"/>
      <c r="AB100" s="241"/>
      <c r="AC100" s="299"/>
      <c r="AD100" s="241"/>
      <c r="AE100" s="241"/>
      <c r="AF100" s="299"/>
      <c r="AG100" s="241"/>
      <c r="AH100" s="241"/>
      <c r="AI100" s="299"/>
      <c r="AJ100" s="241"/>
      <c r="AK100" s="241"/>
      <c r="AL100" s="241"/>
      <c r="AM100" s="241"/>
      <c r="AN100" s="241"/>
      <c r="AO100" s="241"/>
      <c r="AP100" s="241"/>
      <c r="AQ100" s="241"/>
      <c r="AR100" s="791" t="s">
        <v>3190</v>
      </c>
      <c r="AS100" s="763" t="s">
        <v>3191</v>
      </c>
      <c r="AT100" s="304"/>
      <c r="AU100" s="9"/>
      <c r="AV100" s="304"/>
      <c r="AW100" s="9"/>
      <c r="AX100" s="304"/>
      <c r="AY100" s="9"/>
      <c r="AZ100" s="241"/>
      <c r="BA100" s="241"/>
      <c r="BB100" s="241"/>
      <c r="BC100" s="241"/>
      <c r="BD100" s="241"/>
      <c r="BE100" s="241"/>
      <c r="BF100" s="241"/>
      <c r="BG100" s="241"/>
      <c r="BH100" s="241"/>
      <c r="BI100" s="241"/>
      <c r="BJ100" s="7" t="s">
        <v>5430</v>
      </c>
      <c r="BK100" s="7" t="s">
        <v>5431</v>
      </c>
      <c r="BL100" s="7" t="s">
        <v>5432</v>
      </c>
      <c r="BM100" s="241" t="s">
        <v>5270</v>
      </c>
      <c r="BN100" s="241" t="s">
        <v>3528</v>
      </c>
      <c r="BO100" s="241"/>
    </row>
    <row r="101" spans="1:70" ht="72">
      <c r="A101" s="143" t="s">
        <v>5405</v>
      </c>
      <c r="B101" s="143" t="s">
        <v>5433</v>
      </c>
      <c r="C101" s="9" t="s">
        <v>5434</v>
      </c>
      <c r="D101" s="6" t="s">
        <v>5408</v>
      </c>
      <c r="E101" s="8">
        <v>2023</v>
      </c>
      <c r="F101" s="8">
        <v>2023</v>
      </c>
      <c r="G101" s="8">
        <v>4</v>
      </c>
      <c r="H101" s="6" t="s">
        <v>5298</v>
      </c>
      <c r="I101" s="486">
        <v>7000000</v>
      </c>
      <c r="J101" s="458">
        <v>7000000</v>
      </c>
      <c r="K101" s="8">
        <v>3</v>
      </c>
      <c r="L101" s="7"/>
      <c r="M101" s="9" t="s">
        <v>3223</v>
      </c>
      <c r="N101" s="241"/>
      <c r="O101" s="15" t="s">
        <v>4951</v>
      </c>
      <c r="P101" s="7" t="s">
        <v>5855</v>
      </c>
      <c r="Q101" s="109">
        <f>Table6[[#This Row],[Dana Disetujui]]</f>
        <v>7000000</v>
      </c>
      <c r="R101" s="6" t="s">
        <v>3216</v>
      </c>
      <c r="S101" s="6" t="s">
        <v>177</v>
      </c>
      <c r="T101" s="109">
        <f>Table6[[#This Row],[Dana Disetujui]]</f>
        <v>7000000</v>
      </c>
      <c r="U101" s="6" t="s">
        <v>3216</v>
      </c>
      <c r="V101" s="6" t="s">
        <v>85</v>
      </c>
      <c r="W101" s="109">
        <f>Table6[[#This Row],[Dana Disetujui]]</f>
        <v>7000000</v>
      </c>
      <c r="X101" s="6" t="s">
        <v>3216</v>
      </c>
      <c r="Y101" s="241"/>
      <c r="Z101" s="299"/>
      <c r="AA101" s="241"/>
      <c r="AB101" s="241"/>
      <c r="AC101" s="299"/>
      <c r="AD101" s="241"/>
      <c r="AE101" s="241"/>
      <c r="AF101" s="299"/>
      <c r="AG101" s="241"/>
      <c r="AH101" s="241"/>
      <c r="AI101" s="299"/>
      <c r="AJ101" s="241"/>
      <c r="AK101" s="241"/>
      <c r="AL101" s="241"/>
      <c r="AM101" s="241"/>
      <c r="AN101" s="241"/>
      <c r="AO101" s="241"/>
      <c r="AP101" s="241"/>
      <c r="AQ101" s="241"/>
      <c r="AR101" s="791" t="s">
        <v>3190</v>
      </c>
      <c r="AS101" s="763" t="s">
        <v>3191</v>
      </c>
      <c r="AT101" s="304"/>
      <c r="AU101" s="9"/>
      <c r="AV101" s="304"/>
      <c r="AW101" s="9"/>
      <c r="AX101" s="304"/>
      <c r="AY101" s="9"/>
      <c r="AZ101" s="241"/>
      <c r="BA101" s="241"/>
      <c r="BB101" s="241"/>
      <c r="BC101" s="241"/>
      <c r="BD101" s="241"/>
      <c r="BE101" s="241"/>
      <c r="BF101" s="241"/>
      <c r="BG101" s="241"/>
      <c r="BH101" s="241"/>
      <c r="BI101" s="241"/>
      <c r="BJ101" s="7" t="s">
        <v>5435</v>
      </c>
      <c r="BK101" s="7" t="s">
        <v>5436</v>
      </c>
      <c r="BL101" s="7" t="s">
        <v>5437</v>
      </c>
      <c r="BM101" s="241" t="s">
        <v>3528</v>
      </c>
      <c r="BN101" s="241"/>
      <c r="BO101" s="241"/>
      <c r="BP101" s="136"/>
      <c r="BQ101" s="136"/>
      <c r="BR101" s="136"/>
    </row>
    <row r="102" spans="1:70" ht="36">
      <c r="A102" s="143" t="s">
        <v>5405</v>
      </c>
      <c r="B102" s="143" t="s">
        <v>5438</v>
      </c>
      <c r="C102" s="166" t="s">
        <v>5439</v>
      </c>
      <c r="D102" s="165" t="s">
        <v>5408</v>
      </c>
      <c r="E102" s="135">
        <v>2023</v>
      </c>
      <c r="F102" s="135">
        <v>2023</v>
      </c>
      <c r="G102" s="135">
        <v>6</v>
      </c>
      <c r="H102" s="165" t="s">
        <v>5289</v>
      </c>
      <c r="I102" s="488">
        <v>7000000</v>
      </c>
      <c r="J102" s="464">
        <v>7000000</v>
      </c>
      <c r="K102" s="135">
        <v>3</v>
      </c>
      <c r="L102" s="171"/>
      <c r="M102" s="9" t="s">
        <v>3223</v>
      </c>
      <c r="N102" s="246"/>
      <c r="O102" s="15" t="s">
        <v>4951</v>
      </c>
      <c r="P102" s="171" t="s">
        <v>5871</v>
      </c>
      <c r="Q102" s="109">
        <f>Table6[[#This Row],[Dana Disetujui]]</f>
        <v>7000000</v>
      </c>
      <c r="R102" s="165" t="s">
        <v>3216</v>
      </c>
      <c r="S102" s="165" t="s">
        <v>75</v>
      </c>
      <c r="T102" s="109">
        <f>Table6[[#This Row],[Dana Disetujui]]</f>
        <v>7000000</v>
      </c>
      <c r="U102" s="165" t="s">
        <v>3216</v>
      </c>
      <c r="V102" s="165" t="s">
        <v>13</v>
      </c>
      <c r="W102" s="109">
        <f>Table6[[#This Row],[Dana Disetujui]]</f>
        <v>7000000</v>
      </c>
      <c r="X102" s="165" t="s">
        <v>3216</v>
      </c>
      <c r="Y102" s="246"/>
      <c r="Z102" s="246"/>
      <c r="AA102" s="246"/>
      <c r="AB102" s="246"/>
      <c r="AC102" s="246"/>
      <c r="AD102" s="246"/>
      <c r="AE102" s="246"/>
      <c r="AF102" s="307"/>
      <c r="AG102" s="246"/>
      <c r="AH102" s="246"/>
      <c r="AI102" s="246"/>
      <c r="AJ102" s="246"/>
      <c r="AK102" s="246"/>
      <c r="AL102" s="246"/>
      <c r="AM102" s="246"/>
      <c r="AN102" s="246"/>
      <c r="AO102" s="246"/>
      <c r="AP102" s="246"/>
      <c r="AQ102" s="246"/>
      <c r="AR102" s="5" t="s">
        <v>3190</v>
      </c>
      <c r="AS102" s="163" t="s">
        <v>3191</v>
      </c>
      <c r="AT102" s="306"/>
      <c r="AU102" s="166"/>
      <c r="AV102" s="306"/>
      <c r="AW102" s="166"/>
      <c r="AX102" s="306"/>
      <c r="AY102" s="166"/>
      <c r="AZ102" s="246"/>
      <c r="BA102" s="246"/>
      <c r="BB102" s="246"/>
      <c r="BC102" s="246"/>
      <c r="BD102" s="246"/>
      <c r="BE102" s="246"/>
      <c r="BF102" s="246"/>
      <c r="BG102" s="246"/>
      <c r="BH102" s="246"/>
      <c r="BI102" s="246"/>
      <c r="BJ102" s="171" t="s">
        <v>5440</v>
      </c>
      <c r="BK102" s="171" t="s">
        <v>5441</v>
      </c>
      <c r="BL102" s="171" t="s">
        <v>5442</v>
      </c>
      <c r="BM102" s="246"/>
      <c r="BN102" s="246"/>
      <c r="BO102" s="246"/>
    </row>
    <row r="103" spans="1:70" ht="36">
      <c r="A103" s="143" t="s">
        <v>5405</v>
      </c>
      <c r="B103" s="143" t="s">
        <v>5443</v>
      </c>
      <c r="C103" s="9" t="s">
        <v>5444</v>
      </c>
      <c r="D103" s="6" t="s">
        <v>5408</v>
      </c>
      <c r="E103" s="8">
        <v>2023</v>
      </c>
      <c r="F103" s="8">
        <v>2023</v>
      </c>
      <c r="G103" s="8">
        <v>6</v>
      </c>
      <c r="H103" s="6" t="s">
        <v>5289</v>
      </c>
      <c r="I103" s="488">
        <v>7000000</v>
      </c>
      <c r="J103" s="458">
        <v>6895000</v>
      </c>
      <c r="K103" s="8">
        <v>3</v>
      </c>
      <c r="L103" s="7"/>
      <c r="M103" s="9" t="s">
        <v>3223</v>
      </c>
      <c r="N103" s="241"/>
      <c r="O103" s="15" t="s">
        <v>4951</v>
      </c>
      <c r="P103" s="7" t="s">
        <v>5879</v>
      </c>
      <c r="Q103" s="109">
        <f>Table6[[#This Row],[Dana Disetujui]]</f>
        <v>6895000</v>
      </c>
      <c r="R103" s="6" t="s">
        <v>3216</v>
      </c>
      <c r="S103" s="6" t="s">
        <v>25</v>
      </c>
      <c r="T103" s="109">
        <f>Table6[[#This Row],[Dana Disetujui]]</f>
        <v>6895000</v>
      </c>
      <c r="U103" s="6" t="s">
        <v>3216</v>
      </c>
      <c r="V103" s="6" t="s">
        <v>180</v>
      </c>
      <c r="W103" s="109">
        <f>Table6[[#This Row],[Dana Disetujui]]</f>
        <v>6895000</v>
      </c>
      <c r="X103" s="6" t="s">
        <v>3216</v>
      </c>
      <c r="Y103" s="241"/>
      <c r="Z103" s="299"/>
      <c r="AA103" s="241"/>
      <c r="AB103" s="241"/>
      <c r="AC103" s="299"/>
      <c r="AD103" s="241"/>
      <c r="AE103" s="241"/>
      <c r="AF103" s="299"/>
      <c r="AG103" s="241"/>
      <c r="AH103" s="241"/>
      <c r="AI103" s="299"/>
      <c r="AJ103" s="241"/>
      <c r="AK103" s="241"/>
      <c r="AL103" s="241"/>
      <c r="AM103" s="241"/>
      <c r="AN103" s="241"/>
      <c r="AO103" s="241"/>
      <c r="AP103" s="241"/>
      <c r="AQ103" s="241"/>
      <c r="AR103" s="586" t="s">
        <v>3190</v>
      </c>
      <c r="AS103" s="763" t="s">
        <v>3191</v>
      </c>
      <c r="AT103" s="304"/>
      <c r="AU103" s="9"/>
      <c r="AV103" s="304"/>
      <c r="AW103" s="9"/>
      <c r="AX103" s="304"/>
      <c r="AY103" s="9"/>
      <c r="AZ103" s="241"/>
      <c r="BA103" s="241"/>
      <c r="BB103" s="241"/>
      <c r="BC103" s="241"/>
      <c r="BD103" s="241"/>
      <c r="BE103" s="241"/>
      <c r="BF103" s="241"/>
      <c r="BG103" s="241"/>
      <c r="BH103" s="241"/>
      <c r="BI103" s="241"/>
      <c r="BJ103" s="7" t="s">
        <v>5445</v>
      </c>
      <c r="BK103" s="7" t="s">
        <v>5446</v>
      </c>
      <c r="BL103" s="7" t="s">
        <v>4991</v>
      </c>
      <c r="BM103" s="241" t="s">
        <v>5447</v>
      </c>
      <c r="BN103" s="241" t="s">
        <v>3528</v>
      </c>
      <c r="BO103" s="241"/>
    </row>
    <row r="104" spans="1:70" ht="36">
      <c r="A104" s="143" t="s">
        <v>5405</v>
      </c>
      <c r="B104" s="143" t="s">
        <v>5448</v>
      </c>
      <c r="C104" s="9" t="s">
        <v>5449</v>
      </c>
      <c r="D104" s="6" t="s">
        <v>5408</v>
      </c>
      <c r="E104" s="8">
        <v>2023</v>
      </c>
      <c r="F104" s="8">
        <v>2023</v>
      </c>
      <c r="G104" s="8">
        <v>6</v>
      </c>
      <c r="H104" s="6" t="s">
        <v>5298</v>
      </c>
      <c r="I104" s="488">
        <v>7000000</v>
      </c>
      <c r="J104" s="458">
        <v>6992000</v>
      </c>
      <c r="K104" s="8">
        <v>3</v>
      </c>
      <c r="L104" s="7"/>
      <c r="M104" s="9" t="s">
        <v>3223</v>
      </c>
      <c r="N104" s="241"/>
      <c r="O104" s="15" t="s">
        <v>4951</v>
      </c>
      <c r="P104" s="7" t="s">
        <v>5904</v>
      </c>
      <c r="Q104" s="109">
        <f>Table6[[#This Row],[Dana Disetujui]]</f>
        <v>6992000</v>
      </c>
      <c r="R104" s="6" t="s">
        <v>3216</v>
      </c>
      <c r="S104" s="6" t="s">
        <v>36</v>
      </c>
      <c r="T104" s="109">
        <f>Table6[[#This Row],[Dana Disetujui]]</f>
        <v>6992000</v>
      </c>
      <c r="U104" s="6" t="s">
        <v>3216</v>
      </c>
      <c r="V104" s="6" t="s">
        <v>187</v>
      </c>
      <c r="W104" s="109">
        <f>Table6[[#This Row],[Dana Disetujui]]</f>
        <v>6992000</v>
      </c>
      <c r="X104" s="6" t="s">
        <v>3216</v>
      </c>
      <c r="Y104" s="241"/>
      <c r="Z104" s="299"/>
      <c r="AA104" s="241"/>
      <c r="AB104" s="241"/>
      <c r="AC104" s="299"/>
      <c r="AD104" s="241"/>
      <c r="AE104" s="241"/>
      <c r="AF104" s="299"/>
      <c r="AG104" s="241"/>
      <c r="AH104" s="241"/>
      <c r="AI104" s="299"/>
      <c r="AJ104" s="241"/>
      <c r="AK104" s="241"/>
      <c r="AL104" s="241"/>
      <c r="AM104" s="241"/>
      <c r="AN104" s="241"/>
      <c r="AO104" s="241"/>
      <c r="AP104" s="241"/>
      <c r="AQ104" s="241"/>
      <c r="AR104" s="586" t="s">
        <v>3190</v>
      </c>
      <c r="AS104" s="763" t="s">
        <v>3191</v>
      </c>
      <c r="AT104" s="304"/>
      <c r="AU104" s="9"/>
      <c r="AV104" s="304"/>
      <c r="AW104" s="9"/>
      <c r="AX104" s="304"/>
      <c r="AY104" s="9"/>
      <c r="AZ104" s="241"/>
      <c r="BA104" s="241"/>
      <c r="BB104" s="241"/>
      <c r="BC104" s="241"/>
      <c r="BD104" s="241"/>
      <c r="BE104" s="241"/>
      <c r="BF104" s="241"/>
      <c r="BG104" s="241"/>
      <c r="BH104" s="241"/>
      <c r="BI104" s="241"/>
      <c r="BJ104" s="7" t="s">
        <v>5450</v>
      </c>
      <c r="BK104" s="7" t="s">
        <v>5451</v>
      </c>
      <c r="BL104" s="7" t="s">
        <v>5452</v>
      </c>
      <c r="BM104" s="241"/>
      <c r="BN104" s="241"/>
      <c r="BO104" s="241"/>
    </row>
    <row r="105" spans="1:70" ht="36">
      <c r="A105" s="143" t="s">
        <v>5405</v>
      </c>
      <c r="B105" s="143" t="s">
        <v>5453</v>
      </c>
      <c r="C105" s="9" t="s">
        <v>5454</v>
      </c>
      <c r="D105" s="6" t="s">
        <v>5408</v>
      </c>
      <c r="E105" s="8">
        <v>2023</v>
      </c>
      <c r="F105" s="8">
        <v>2023</v>
      </c>
      <c r="G105" s="8">
        <v>6</v>
      </c>
      <c r="H105" s="6" t="s">
        <v>5298</v>
      </c>
      <c r="I105" s="486">
        <v>6961000</v>
      </c>
      <c r="J105" s="458">
        <v>7000000</v>
      </c>
      <c r="K105" s="8">
        <v>3</v>
      </c>
      <c r="L105" s="7"/>
      <c r="M105" s="9" t="s">
        <v>3223</v>
      </c>
      <c r="N105" s="241"/>
      <c r="O105" s="15" t="s">
        <v>4951</v>
      </c>
      <c r="P105" s="7" t="s">
        <v>5866</v>
      </c>
      <c r="Q105" s="109">
        <f>Table6[[#This Row],[Dana Disetujui]]</f>
        <v>7000000</v>
      </c>
      <c r="R105" s="6" t="s">
        <v>3216</v>
      </c>
      <c r="S105" s="6" t="s">
        <v>121</v>
      </c>
      <c r="T105" s="109">
        <f>Table6[[#This Row],[Dana Disetujui]]</f>
        <v>7000000</v>
      </c>
      <c r="U105" s="6" t="s">
        <v>3216</v>
      </c>
      <c r="V105" s="6" t="s">
        <v>79</v>
      </c>
      <c r="W105" s="109">
        <f>Table6[[#This Row],[Dana Disetujui]]</f>
        <v>7000000</v>
      </c>
      <c r="X105" s="6" t="s">
        <v>3216</v>
      </c>
      <c r="Y105" s="241"/>
      <c r="Z105" s="299"/>
      <c r="AA105" s="241"/>
      <c r="AB105" s="241"/>
      <c r="AC105" s="299"/>
      <c r="AD105" s="241"/>
      <c r="AE105" s="241"/>
      <c r="AF105" s="299"/>
      <c r="AG105" s="241"/>
      <c r="AH105" s="241"/>
      <c r="AI105" s="299"/>
      <c r="AJ105" s="241"/>
      <c r="AK105" s="241"/>
      <c r="AL105" s="241"/>
      <c r="AM105" s="241"/>
      <c r="AN105" s="241"/>
      <c r="AO105" s="241"/>
      <c r="AP105" s="241"/>
      <c r="AQ105" s="241"/>
      <c r="AR105" s="160" t="s">
        <v>3190</v>
      </c>
      <c r="AS105" s="163" t="s">
        <v>3191</v>
      </c>
      <c r="AT105" s="304"/>
      <c r="AU105" s="9"/>
      <c r="AV105" s="304"/>
      <c r="AW105" s="9"/>
      <c r="AX105" s="304"/>
      <c r="AY105" s="9"/>
      <c r="AZ105" s="241"/>
      <c r="BA105" s="241"/>
      <c r="BB105" s="241"/>
      <c r="BC105" s="241"/>
      <c r="BD105" s="241"/>
      <c r="BE105" s="241"/>
      <c r="BF105" s="241"/>
      <c r="BG105" s="241"/>
      <c r="BH105" s="241"/>
      <c r="BI105" s="241"/>
      <c r="BJ105" s="7" t="s">
        <v>5455</v>
      </c>
      <c r="BK105" s="7" t="s">
        <v>5456</v>
      </c>
      <c r="BL105" s="7" t="s">
        <v>5452</v>
      </c>
      <c r="BM105" s="241" t="s">
        <v>5447</v>
      </c>
      <c r="BN105" s="241"/>
      <c r="BO105" s="241"/>
    </row>
    <row r="106" spans="1:70" ht="36">
      <c r="A106" s="143" t="s">
        <v>5405</v>
      </c>
      <c r="B106" s="143" t="s">
        <v>5457</v>
      </c>
      <c r="C106" s="9" t="s">
        <v>5458</v>
      </c>
      <c r="D106" s="6" t="s">
        <v>5140</v>
      </c>
      <c r="E106" s="8">
        <v>2023</v>
      </c>
      <c r="F106" s="8">
        <v>2023</v>
      </c>
      <c r="G106" s="8">
        <v>6</v>
      </c>
      <c r="H106" s="6" t="s">
        <v>5298</v>
      </c>
      <c r="I106" s="486">
        <v>17000000</v>
      </c>
      <c r="J106" s="458">
        <v>16940000</v>
      </c>
      <c r="K106" s="8">
        <v>5</v>
      </c>
      <c r="L106" s="7"/>
      <c r="M106" s="9" t="s">
        <v>3223</v>
      </c>
      <c r="N106" s="241"/>
      <c r="O106" s="15" t="s">
        <v>4951</v>
      </c>
      <c r="P106" s="7" t="s">
        <v>5905</v>
      </c>
      <c r="Q106" s="109">
        <f>Table6[[#This Row],[Dana Disetujui]]</f>
        <v>16940000</v>
      </c>
      <c r="R106" s="6" t="s">
        <v>3216</v>
      </c>
      <c r="S106" s="6" t="s">
        <v>89</v>
      </c>
      <c r="T106" s="109">
        <f>Table6[[#This Row],[Dana Disetujui]]</f>
        <v>16940000</v>
      </c>
      <c r="U106" s="6" t="s">
        <v>3216</v>
      </c>
      <c r="V106" s="6" t="s">
        <v>188</v>
      </c>
      <c r="W106" s="109">
        <f>Table6[[#This Row],[Dana Disetujui]]</f>
        <v>16940000</v>
      </c>
      <c r="X106" s="6" t="s">
        <v>3216</v>
      </c>
      <c r="Y106" s="241"/>
      <c r="Z106" s="299"/>
      <c r="AA106" s="241"/>
      <c r="AB106" s="241"/>
      <c r="AC106" s="299"/>
      <c r="AD106" s="241"/>
      <c r="AE106" s="241"/>
      <c r="AF106" s="299"/>
      <c r="AG106" s="241"/>
      <c r="AH106" s="241"/>
      <c r="AI106" s="299"/>
      <c r="AJ106" s="241"/>
      <c r="AK106" s="241"/>
      <c r="AL106" s="241"/>
      <c r="AM106" s="241"/>
      <c r="AN106" s="241"/>
      <c r="AO106" s="241"/>
      <c r="AP106" s="241"/>
      <c r="AQ106" s="241"/>
      <c r="AR106" s="160" t="s">
        <v>3190</v>
      </c>
      <c r="AS106" s="163" t="s">
        <v>3191</v>
      </c>
      <c r="AT106" s="304"/>
      <c r="AU106" s="9"/>
      <c r="AV106" s="304"/>
      <c r="AW106" s="9"/>
      <c r="AX106" s="304"/>
      <c r="AY106" s="9"/>
      <c r="AZ106" s="241"/>
      <c r="BA106" s="241"/>
      <c r="BB106" s="241"/>
      <c r="BC106" s="241"/>
      <c r="BD106" s="241"/>
      <c r="BE106" s="241"/>
      <c r="BF106" s="241"/>
      <c r="BG106" s="241"/>
      <c r="BH106" s="241"/>
      <c r="BI106" s="241"/>
      <c r="BJ106" s="7" t="s">
        <v>5460</v>
      </c>
      <c r="BK106" s="7" t="s">
        <v>5418</v>
      </c>
      <c r="BL106" s="7" t="s">
        <v>5009</v>
      </c>
      <c r="BM106" s="241"/>
      <c r="BN106" s="241"/>
      <c r="BO106" s="241"/>
    </row>
    <row r="107" spans="1:70" ht="36">
      <c r="A107" s="143" t="s">
        <v>5461</v>
      </c>
      <c r="B107" s="143" t="s">
        <v>5462</v>
      </c>
      <c r="C107" s="9" t="s">
        <v>5463</v>
      </c>
      <c r="D107" s="6" t="s">
        <v>5464</v>
      </c>
      <c r="E107" s="8">
        <v>2023</v>
      </c>
      <c r="F107" s="8">
        <v>2023</v>
      </c>
      <c r="G107" s="8">
        <v>6</v>
      </c>
      <c r="H107" s="6" t="s">
        <v>5289</v>
      </c>
      <c r="I107" s="458">
        <v>7000000</v>
      </c>
      <c r="J107" s="458">
        <v>7000000</v>
      </c>
      <c r="K107" s="8">
        <v>3</v>
      </c>
      <c r="L107" s="6" t="s">
        <v>5465</v>
      </c>
      <c r="M107" s="9" t="s">
        <v>3223</v>
      </c>
      <c r="N107" s="8" t="s">
        <v>3215</v>
      </c>
      <c r="O107" s="15" t="s">
        <v>4951</v>
      </c>
      <c r="P107" s="7" t="s">
        <v>5906</v>
      </c>
      <c r="Q107" s="109">
        <f>Table6[[#This Row],[Dana Disetujui]]</f>
        <v>7000000</v>
      </c>
      <c r="R107" s="6" t="s">
        <v>3216</v>
      </c>
      <c r="S107" s="6" t="s">
        <v>184</v>
      </c>
      <c r="T107" s="109">
        <f>Table6[[#This Row],[Dana Disetujui]]</f>
        <v>7000000</v>
      </c>
      <c r="U107" s="6" t="s">
        <v>3216</v>
      </c>
      <c r="V107" s="6" t="s">
        <v>56</v>
      </c>
      <c r="W107" s="109">
        <f>Table6[[#This Row],[Dana Disetujui]]</f>
        <v>7000000</v>
      </c>
      <c r="X107" s="6" t="s">
        <v>3216</v>
      </c>
      <c r="Y107" s="241"/>
      <c r="Z107" s="299"/>
      <c r="AA107" s="241"/>
      <c r="AB107" s="241"/>
      <c r="AC107" s="299"/>
      <c r="AD107" s="241"/>
      <c r="AE107" s="241"/>
      <c r="AF107" s="299"/>
      <c r="AG107" s="241"/>
      <c r="AH107" s="241"/>
      <c r="AI107" s="299"/>
      <c r="AJ107" s="241"/>
      <c r="AK107" s="241"/>
      <c r="AL107" s="241"/>
      <c r="AM107" s="241"/>
      <c r="AN107" s="241"/>
      <c r="AO107" s="241"/>
      <c r="AP107" s="241"/>
      <c r="AQ107" s="241"/>
      <c r="AR107" s="586" t="s">
        <v>3190</v>
      </c>
      <c r="AS107" s="586" t="s">
        <v>3191</v>
      </c>
      <c r="AT107" s="304"/>
      <c r="AU107" s="9"/>
      <c r="AV107" s="304"/>
      <c r="AW107" s="9"/>
      <c r="AX107" s="304"/>
      <c r="AY107" s="9"/>
      <c r="AZ107" s="241"/>
      <c r="BA107" s="241"/>
      <c r="BB107" s="241"/>
      <c r="BC107" s="241"/>
      <c r="BD107" s="241"/>
      <c r="BE107" s="241"/>
      <c r="BF107" s="241"/>
      <c r="BG107" s="241"/>
      <c r="BH107" s="241"/>
      <c r="BI107" s="241"/>
      <c r="BJ107" s="241"/>
      <c r="BK107" s="241"/>
      <c r="BL107" s="241"/>
      <c r="BM107" s="241"/>
      <c r="BN107" s="241"/>
      <c r="BO107" s="241"/>
      <c r="BP107" s="136"/>
      <c r="BQ107" s="136"/>
      <c r="BR107" s="136"/>
    </row>
    <row r="108" spans="1:70" ht="36">
      <c r="A108" s="143" t="s">
        <v>5461</v>
      </c>
      <c r="B108" s="772" t="s">
        <v>5466</v>
      </c>
      <c r="C108" s="166" t="s">
        <v>5467</v>
      </c>
      <c r="D108" s="165" t="s">
        <v>5464</v>
      </c>
      <c r="E108" s="135">
        <v>2023</v>
      </c>
      <c r="F108" s="135">
        <v>2023</v>
      </c>
      <c r="G108" s="135">
        <v>6</v>
      </c>
      <c r="H108" s="165" t="s">
        <v>5289</v>
      </c>
      <c r="I108" s="465">
        <v>7000000</v>
      </c>
      <c r="J108" s="465">
        <v>7000000</v>
      </c>
      <c r="K108" s="514">
        <v>3</v>
      </c>
      <c r="L108" s="165" t="s">
        <v>5465</v>
      </c>
      <c r="M108" s="9" t="s">
        <v>3223</v>
      </c>
      <c r="N108" s="135" t="s">
        <v>3215</v>
      </c>
      <c r="O108" s="15" t="s">
        <v>4951</v>
      </c>
      <c r="P108" s="171" t="s">
        <v>2098</v>
      </c>
      <c r="Q108" s="109">
        <f>Table6[[#This Row],[Dana Disetujui]]</f>
        <v>7000000</v>
      </c>
      <c r="R108" s="165" t="s">
        <v>3216</v>
      </c>
      <c r="S108" s="165" t="s">
        <v>190</v>
      </c>
      <c r="T108" s="109">
        <f>Table6[[#This Row],[Dana Disetujui]]</f>
        <v>7000000</v>
      </c>
      <c r="U108" s="165" t="s">
        <v>3216</v>
      </c>
      <c r="V108" s="165" t="s">
        <v>60</v>
      </c>
      <c r="W108" s="109">
        <f>Table6[[#This Row],[Dana Disetujui]]</f>
        <v>7000000</v>
      </c>
      <c r="X108" s="165" t="s">
        <v>3216</v>
      </c>
      <c r="Y108" s="246"/>
      <c r="Z108" s="307"/>
      <c r="AA108" s="246"/>
      <c r="AB108" s="246"/>
      <c r="AC108" s="307"/>
      <c r="AD108" s="246"/>
      <c r="AE108" s="246"/>
      <c r="AF108" s="307"/>
      <c r="AG108" s="246"/>
      <c r="AH108" s="246"/>
      <c r="AI108" s="307"/>
      <c r="AJ108" s="246"/>
      <c r="AK108" s="246"/>
      <c r="AL108" s="246"/>
      <c r="AM108" s="246"/>
      <c r="AN108" s="246"/>
      <c r="AO108" s="246"/>
      <c r="AP108" s="246"/>
      <c r="AQ108" s="246"/>
      <c r="AR108" s="586" t="s">
        <v>3190</v>
      </c>
      <c r="AS108" s="586" t="s">
        <v>3191</v>
      </c>
      <c r="AT108" s="306"/>
      <c r="AU108" s="166"/>
      <c r="AV108" s="306"/>
      <c r="AW108" s="166"/>
      <c r="AX108" s="306"/>
      <c r="AY108" s="166"/>
      <c r="AZ108" s="246"/>
      <c r="BA108" s="246"/>
      <c r="BB108" s="246"/>
      <c r="BC108" s="246"/>
      <c r="BD108" s="246"/>
      <c r="BE108" s="246"/>
      <c r="BF108" s="246"/>
      <c r="BG108" s="246"/>
      <c r="BH108" s="246"/>
      <c r="BI108" s="246"/>
      <c r="BJ108" s="246"/>
      <c r="BK108" s="246"/>
      <c r="BL108" s="246"/>
      <c r="BM108" s="246"/>
      <c r="BN108" s="246"/>
      <c r="BO108" s="246"/>
    </row>
    <row r="109" spans="1:70" ht="36">
      <c r="A109" s="143" t="s">
        <v>5461</v>
      </c>
      <c r="B109" s="146" t="s">
        <v>5469</v>
      </c>
      <c r="C109" s="9" t="s">
        <v>5470</v>
      </c>
      <c r="D109" s="6" t="s">
        <v>5464</v>
      </c>
      <c r="E109" s="8">
        <v>2023</v>
      </c>
      <c r="F109" s="8">
        <v>2023</v>
      </c>
      <c r="G109" s="8">
        <v>6</v>
      </c>
      <c r="H109" s="6" t="s">
        <v>5289</v>
      </c>
      <c r="I109" s="458">
        <v>7000000</v>
      </c>
      <c r="J109" s="458">
        <v>7000000</v>
      </c>
      <c r="K109" s="207">
        <v>3</v>
      </c>
      <c r="L109" s="6" t="s">
        <v>5465</v>
      </c>
      <c r="M109" s="9" t="s">
        <v>3223</v>
      </c>
      <c r="N109" s="8" t="s">
        <v>3215</v>
      </c>
      <c r="O109" s="15" t="s">
        <v>4951</v>
      </c>
      <c r="P109" s="7" t="s">
        <v>5904</v>
      </c>
      <c r="Q109" s="109">
        <f>Table6[[#This Row],[Dana Disetujui]]</f>
        <v>7000000</v>
      </c>
      <c r="R109" s="6" t="s">
        <v>3216</v>
      </c>
      <c r="S109" s="6" t="s">
        <v>36</v>
      </c>
      <c r="T109" s="109">
        <f>Table6[[#This Row],[Dana Disetujui]]</f>
        <v>7000000</v>
      </c>
      <c r="U109" s="6" t="s">
        <v>3216</v>
      </c>
      <c r="V109" s="6" t="s">
        <v>187</v>
      </c>
      <c r="W109" s="109">
        <f>Table6[[#This Row],[Dana Disetujui]]</f>
        <v>7000000</v>
      </c>
      <c r="X109" s="6" t="s">
        <v>3216</v>
      </c>
      <c r="Y109" s="241"/>
      <c r="Z109" s="299"/>
      <c r="AA109" s="241"/>
      <c r="AB109" s="241"/>
      <c r="AC109" s="299"/>
      <c r="AD109" s="241"/>
      <c r="AE109" s="241"/>
      <c r="AF109" s="299"/>
      <c r="AG109" s="241"/>
      <c r="AH109" s="241"/>
      <c r="AI109" s="299"/>
      <c r="AJ109" s="241"/>
      <c r="AK109" s="241"/>
      <c r="AL109" s="241"/>
      <c r="AM109" s="241"/>
      <c r="AN109" s="241"/>
      <c r="AO109" s="241"/>
      <c r="AP109" s="241"/>
      <c r="AQ109" s="241"/>
      <c r="AR109" s="160" t="s">
        <v>3190</v>
      </c>
      <c r="AS109" s="163" t="s">
        <v>3191</v>
      </c>
      <c r="AT109" s="304"/>
      <c r="AU109" s="9"/>
      <c r="AV109" s="304"/>
      <c r="AW109" s="9"/>
      <c r="AX109" s="304"/>
      <c r="AY109" s="9"/>
      <c r="AZ109" s="241"/>
      <c r="BA109" s="241"/>
      <c r="BB109" s="241"/>
      <c r="BC109" s="241"/>
      <c r="BD109" s="241"/>
      <c r="BE109" s="241"/>
      <c r="BF109" s="241"/>
      <c r="BG109" s="241"/>
      <c r="BH109" s="241"/>
      <c r="BI109" s="241"/>
      <c r="BJ109" s="7" t="s">
        <v>5294</v>
      </c>
      <c r="BK109" s="241"/>
      <c r="BL109" s="241"/>
      <c r="BM109" s="241" t="s">
        <v>5148</v>
      </c>
      <c r="BN109" s="241"/>
      <c r="BO109" s="241"/>
    </row>
    <row r="110" spans="1:70" ht="36">
      <c r="A110" s="143" t="s">
        <v>5461</v>
      </c>
      <c r="B110" s="143" t="s">
        <v>5471</v>
      </c>
      <c r="C110" s="9" t="s">
        <v>5472</v>
      </c>
      <c r="D110" s="6" t="s">
        <v>5464</v>
      </c>
      <c r="E110" s="8">
        <v>2023</v>
      </c>
      <c r="F110" s="8">
        <v>2023</v>
      </c>
      <c r="G110" s="8">
        <v>6</v>
      </c>
      <c r="H110" s="33" t="s">
        <v>5473</v>
      </c>
      <c r="I110" s="458">
        <v>7000000</v>
      </c>
      <c r="J110" s="458">
        <v>7000000</v>
      </c>
      <c r="K110" s="207">
        <v>1</v>
      </c>
      <c r="L110" s="6" t="s">
        <v>5465</v>
      </c>
      <c r="M110" s="9" t="s">
        <v>3223</v>
      </c>
      <c r="N110" s="8" t="s">
        <v>3215</v>
      </c>
      <c r="O110" s="15" t="s">
        <v>4951</v>
      </c>
      <c r="P110" s="7" t="s">
        <v>5896</v>
      </c>
      <c r="Q110" s="109">
        <f>Table6[[#This Row],[Dana Disetujui]]</f>
        <v>7000000</v>
      </c>
      <c r="R110" s="6" t="s">
        <v>3216</v>
      </c>
      <c r="S110" s="6" t="s">
        <v>5474</v>
      </c>
      <c r="T110" s="109">
        <f>Table6[[#This Row],[Dana Disetujui]]</f>
        <v>7000000</v>
      </c>
      <c r="U110" s="6" t="s">
        <v>3216</v>
      </c>
      <c r="V110" s="6" t="s">
        <v>186</v>
      </c>
      <c r="W110" s="109">
        <f>Table6[[#This Row],[Dana Disetujui]]</f>
        <v>7000000</v>
      </c>
      <c r="X110" s="6" t="s">
        <v>3216</v>
      </c>
      <c r="Y110" s="241"/>
      <c r="Z110" s="299"/>
      <c r="AA110" s="241"/>
      <c r="AB110" s="241"/>
      <c r="AC110" s="299"/>
      <c r="AD110" s="241"/>
      <c r="AE110" s="241"/>
      <c r="AF110" s="299"/>
      <c r="AG110" s="241"/>
      <c r="AH110" s="241"/>
      <c r="AI110" s="299"/>
      <c r="AJ110" s="241"/>
      <c r="AK110" s="241"/>
      <c r="AL110" s="241"/>
      <c r="AM110" s="241"/>
      <c r="AN110" s="241"/>
      <c r="AO110" s="241"/>
      <c r="AP110" s="241"/>
      <c r="AQ110" s="241"/>
      <c r="AR110" s="586" t="s">
        <v>3190</v>
      </c>
      <c r="AS110" s="586" t="s">
        <v>3191</v>
      </c>
      <c r="AT110" s="304"/>
      <c r="AU110" s="9"/>
      <c r="AV110" s="304"/>
      <c r="AW110" s="9"/>
      <c r="AX110" s="304"/>
      <c r="AY110" s="9"/>
      <c r="AZ110" s="241"/>
      <c r="BA110" s="241"/>
      <c r="BB110" s="241"/>
      <c r="BC110" s="241"/>
      <c r="BD110" s="241"/>
      <c r="BE110" s="241"/>
      <c r="BF110" s="241"/>
      <c r="BG110" s="241"/>
      <c r="BH110" s="241"/>
      <c r="BI110" s="241"/>
      <c r="BJ110" s="241"/>
      <c r="BK110" s="241"/>
      <c r="BL110" s="241"/>
      <c r="BM110" s="241"/>
      <c r="BN110" s="241"/>
      <c r="BO110" s="241"/>
      <c r="BP110" s="27"/>
      <c r="BQ110" s="27"/>
      <c r="BR110" s="27"/>
    </row>
    <row r="111" spans="1:70" ht="36">
      <c r="A111" s="143" t="s">
        <v>5475</v>
      </c>
      <c r="B111" s="182" t="s">
        <v>5476</v>
      </c>
      <c r="C111" s="9" t="s">
        <v>5477</v>
      </c>
      <c r="D111" s="6" t="s">
        <v>5464</v>
      </c>
      <c r="E111" s="8">
        <v>2023</v>
      </c>
      <c r="F111" s="8">
        <v>2023</v>
      </c>
      <c r="G111" s="8">
        <v>3</v>
      </c>
      <c r="H111" s="6" t="s">
        <v>5298</v>
      </c>
      <c r="I111" s="458">
        <v>7432000</v>
      </c>
      <c r="J111" s="458">
        <v>7000000</v>
      </c>
      <c r="K111" s="207">
        <v>4</v>
      </c>
      <c r="L111" s="6" t="s">
        <v>5465</v>
      </c>
      <c r="M111" s="9" t="s">
        <v>3223</v>
      </c>
      <c r="N111" s="8" t="s">
        <v>3215</v>
      </c>
      <c r="O111" s="15" t="s">
        <v>4951</v>
      </c>
      <c r="P111" s="7" t="s">
        <v>5907</v>
      </c>
      <c r="Q111" s="109">
        <f>Table6[[#This Row],[Dana Disetujui]]</f>
        <v>7000000</v>
      </c>
      <c r="R111" s="6" t="s">
        <v>3216</v>
      </c>
      <c r="S111" s="33" t="s">
        <v>43</v>
      </c>
      <c r="T111" s="109">
        <f>Table6[[#This Row],[Dana Disetujui]]</f>
        <v>7000000</v>
      </c>
      <c r="U111" s="6" t="s">
        <v>3216</v>
      </c>
      <c r="V111" s="33" t="s">
        <v>44</v>
      </c>
      <c r="W111" s="109">
        <f>Table6[[#This Row],[Dana Disetujui]]</f>
        <v>7000000</v>
      </c>
      <c r="X111" s="6" t="s">
        <v>3216</v>
      </c>
      <c r="Y111" s="33"/>
      <c r="Z111" s="233"/>
      <c r="AA111" s="33"/>
      <c r="AB111" s="33"/>
      <c r="AC111" s="233"/>
      <c r="AD111" s="33"/>
      <c r="AE111" s="33"/>
      <c r="AF111" s="233"/>
      <c r="AG111" s="33"/>
      <c r="AH111" s="33"/>
      <c r="AI111" s="233"/>
      <c r="AJ111" s="33"/>
      <c r="AK111" s="33"/>
      <c r="AL111" s="33"/>
      <c r="AM111" s="33"/>
      <c r="AN111" s="33"/>
      <c r="AO111" s="33"/>
      <c r="AP111" s="33"/>
      <c r="AQ111" s="33"/>
      <c r="AR111" s="791" t="s">
        <v>3190</v>
      </c>
      <c r="AS111" s="791" t="s">
        <v>3191</v>
      </c>
      <c r="AT111" s="7" t="s">
        <v>1936</v>
      </c>
      <c r="AU111" s="33"/>
      <c r="AV111" s="7" t="s">
        <v>5479</v>
      </c>
      <c r="AW111" s="33"/>
      <c r="AX111" s="33" t="s">
        <v>2137</v>
      </c>
      <c r="AY111" s="33"/>
      <c r="AZ111" s="7" t="s">
        <v>5480</v>
      </c>
      <c r="BA111" s="33"/>
      <c r="BB111" s="33"/>
      <c r="BC111" s="33"/>
      <c r="BD111" s="33"/>
      <c r="BE111" s="33"/>
      <c r="BF111" s="33"/>
      <c r="BG111" s="33"/>
      <c r="BH111" s="33"/>
      <c r="BI111" s="33"/>
      <c r="BJ111" s="7" t="s">
        <v>3251</v>
      </c>
      <c r="BK111" s="7"/>
      <c r="BL111" s="7" t="s">
        <v>4991</v>
      </c>
      <c r="BM111" s="33"/>
      <c r="BN111" s="33"/>
      <c r="BO111" s="33"/>
      <c r="BP111" s="147"/>
      <c r="BQ111" s="147"/>
      <c r="BR111" s="147"/>
    </row>
    <row r="112" spans="1:70" ht="36">
      <c r="A112" s="143" t="s">
        <v>5475</v>
      </c>
      <c r="B112" s="330" t="s">
        <v>5481</v>
      </c>
      <c r="C112" s="4" t="s">
        <v>5482</v>
      </c>
      <c r="D112" s="165" t="s">
        <v>5464</v>
      </c>
      <c r="E112" s="135">
        <v>2023</v>
      </c>
      <c r="F112" s="135">
        <v>2023</v>
      </c>
      <c r="G112" s="135">
        <v>3</v>
      </c>
      <c r="H112" s="165" t="s">
        <v>5289</v>
      </c>
      <c r="I112" s="465">
        <v>7000000</v>
      </c>
      <c r="J112" s="465">
        <v>7000000</v>
      </c>
      <c r="K112" s="514">
        <v>3</v>
      </c>
      <c r="L112" s="165" t="s">
        <v>5465</v>
      </c>
      <c r="M112" s="9" t="s">
        <v>3223</v>
      </c>
      <c r="N112" s="135" t="s">
        <v>3215</v>
      </c>
      <c r="O112" s="15" t="s">
        <v>4951</v>
      </c>
      <c r="P112" s="171" t="s">
        <v>5847</v>
      </c>
      <c r="Q112" s="109">
        <f>Table6[[#This Row],[Dana Disetujui]]</f>
        <v>7000000</v>
      </c>
      <c r="R112" s="165" t="s">
        <v>3216</v>
      </c>
      <c r="S112" s="167" t="s">
        <v>6</v>
      </c>
      <c r="T112" s="109">
        <f>Table6[[#This Row],[Dana Disetujui]]</f>
        <v>7000000</v>
      </c>
      <c r="U112" s="165" t="s">
        <v>3216</v>
      </c>
      <c r="V112" s="167" t="s">
        <v>48</v>
      </c>
      <c r="W112" s="109">
        <f>Table6[[#This Row],[Dana Disetujui]]</f>
        <v>7000000</v>
      </c>
      <c r="X112" s="165" t="s">
        <v>3216</v>
      </c>
      <c r="Y112" s="167"/>
      <c r="Z112" s="249"/>
      <c r="AA112" s="167"/>
      <c r="AB112" s="167"/>
      <c r="AC112" s="249"/>
      <c r="AD112" s="167"/>
      <c r="AE112" s="167"/>
      <c r="AF112" s="249"/>
      <c r="AG112" s="167"/>
      <c r="AH112" s="167"/>
      <c r="AI112" s="249"/>
      <c r="AJ112" s="167"/>
      <c r="AK112" s="167"/>
      <c r="AL112" s="167"/>
      <c r="AM112" s="167"/>
      <c r="AN112" s="167"/>
      <c r="AO112" s="167"/>
      <c r="AP112" s="167"/>
      <c r="AQ112" s="167"/>
      <c r="AR112" s="5" t="s">
        <v>3190</v>
      </c>
      <c r="AS112" s="763" t="s">
        <v>3191</v>
      </c>
      <c r="AT112" s="171" t="s">
        <v>5483</v>
      </c>
      <c r="AU112" s="167"/>
      <c r="AV112" s="167" t="s">
        <v>5484</v>
      </c>
      <c r="AW112" s="167"/>
      <c r="AX112" s="167"/>
      <c r="AY112" s="167"/>
      <c r="AZ112" s="167"/>
      <c r="BA112" s="167"/>
      <c r="BB112" s="167"/>
      <c r="BC112" s="167"/>
      <c r="BD112" s="167"/>
      <c r="BE112" s="167"/>
      <c r="BF112" s="167"/>
      <c r="BG112" s="167"/>
      <c r="BH112" s="167"/>
      <c r="BI112" s="167"/>
      <c r="BJ112" s="167" t="s">
        <v>5294</v>
      </c>
      <c r="BK112" s="167" t="s">
        <v>5485</v>
      </c>
      <c r="BL112" s="167" t="s">
        <v>5486</v>
      </c>
      <c r="BM112" s="167"/>
      <c r="BN112" s="167"/>
      <c r="BO112" s="167"/>
      <c r="BP112" s="129"/>
      <c r="BQ112" s="129"/>
      <c r="BR112" s="129"/>
    </row>
    <row r="113" spans="1:70" ht="36">
      <c r="A113" s="6" t="s">
        <v>942</v>
      </c>
      <c r="B113" s="6" t="s">
        <v>942</v>
      </c>
      <c r="C113" s="775" t="s">
        <v>5487</v>
      </c>
      <c r="D113" s="8" t="s">
        <v>5276</v>
      </c>
      <c r="E113" s="135">
        <v>2023</v>
      </c>
      <c r="F113" s="135">
        <v>2023</v>
      </c>
      <c r="G113" s="8">
        <v>6</v>
      </c>
      <c r="H113" s="6" t="s">
        <v>5298</v>
      </c>
      <c r="I113" s="466">
        <v>372392900</v>
      </c>
      <c r="J113" s="466">
        <v>372392900</v>
      </c>
      <c r="K113" s="8">
        <v>6</v>
      </c>
      <c r="L113" s="6" t="s">
        <v>5489</v>
      </c>
      <c r="M113" s="9" t="s">
        <v>3077</v>
      </c>
      <c r="N113" s="8"/>
      <c r="O113" s="15" t="s">
        <v>4993</v>
      </c>
      <c r="P113" s="7" t="s">
        <v>5903</v>
      </c>
      <c r="Q113" s="109">
        <f>Table6[[#This Row],[Dana Disetujui]]</f>
        <v>372392900</v>
      </c>
      <c r="R113" s="165" t="s">
        <v>3216</v>
      </c>
      <c r="S113" s="9" t="s">
        <v>60</v>
      </c>
      <c r="T113" s="109">
        <f>Table6[[#This Row],[Dana Disetujui]]</f>
        <v>372392900</v>
      </c>
      <c r="U113" s="165" t="s">
        <v>3216</v>
      </c>
      <c r="V113" s="6" t="s">
        <v>19</v>
      </c>
      <c r="W113" s="109">
        <f>Table6[[#This Row],[Dana Disetujui]]</f>
        <v>372392900</v>
      </c>
      <c r="X113" s="6" t="s">
        <v>3216</v>
      </c>
      <c r="Y113" s="8"/>
      <c r="Z113" s="292"/>
      <c r="AA113" s="8"/>
      <c r="AB113" s="8"/>
      <c r="AC113" s="292"/>
      <c r="AD113" s="8"/>
      <c r="AE113" s="8"/>
      <c r="AF113" s="292"/>
      <c r="AG113" s="8"/>
      <c r="AH113" s="8"/>
      <c r="AI113" s="292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147"/>
      <c r="BQ113" s="147"/>
      <c r="BR113" s="147"/>
    </row>
    <row r="114" spans="1:70" s="314" customFormat="1">
      <c r="A114" s="778"/>
      <c r="B114" s="779"/>
      <c r="C114" s="780"/>
      <c r="D114" s="779"/>
      <c r="E114" s="781"/>
      <c r="F114" s="781"/>
      <c r="G114" s="781"/>
      <c r="H114" s="779"/>
      <c r="I114" s="782"/>
      <c r="J114" s="782"/>
      <c r="K114" s="781"/>
      <c r="L114" s="779"/>
      <c r="M114" s="780"/>
      <c r="N114" s="781"/>
      <c r="O114" s="781"/>
      <c r="P114" s="573"/>
      <c r="Q114" s="784"/>
      <c r="R114" s="785"/>
      <c r="S114" s="783"/>
      <c r="T114" s="786"/>
      <c r="U114" s="779"/>
      <c r="V114" s="783"/>
      <c r="W114" s="786"/>
      <c r="X114" s="779"/>
      <c r="Y114" s="783"/>
      <c r="Z114" s="783"/>
      <c r="AA114" s="783"/>
      <c r="AB114" s="783"/>
      <c r="AC114" s="783"/>
      <c r="AD114" s="783"/>
      <c r="AE114" s="783"/>
      <c r="AF114" s="783"/>
      <c r="AG114" s="783"/>
      <c r="AH114" s="783"/>
      <c r="AI114" s="783"/>
      <c r="AJ114" s="572"/>
      <c r="AK114" s="572"/>
      <c r="AL114" s="572"/>
      <c r="AM114" s="572"/>
      <c r="AN114" s="572"/>
      <c r="AO114" s="572"/>
      <c r="AP114" s="572"/>
      <c r="AQ114" s="783"/>
      <c r="AR114" s="787"/>
      <c r="AS114" s="309"/>
      <c r="AT114" s="788"/>
      <c r="AU114" s="783"/>
      <c r="AV114" s="783"/>
      <c r="AW114" s="783"/>
      <c r="AX114" s="783"/>
      <c r="AY114" s="783"/>
      <c r="AZ114" s="783"/>
      <c r="BA114" s="783"/>
      <c r="BB114" s="783"/>
      <c r="BC114" s="783"/>
      <c r="BD114" s="783"/>
      <c r="BE114" s="783"/>
      <c r="BF114" s="783"/>
      <c r="BG114" s="783"/>
      <c r="BH114" s="783"/>
      <c r="BI114" s="783"/>
      <c r="BJ114" s="783"/>
      <c r="BK114" s="783"/>
      <c r="BL114" s="783"/>
      <c r="BM114" s="783"/>
      <c r="BN114" s="783"/>
      <c r="BO114" s="783"/>
      <c r="BP114" s="579"/>
      <c r="BQ114" s="579"/>
      <c r="BR114" s="579"/>
    </row>
    <row r="115" spans="1:70" ht="36">
      <c r="A115" s="143" t="s">
        <v>5490</v>
      </c>
      <c r="B115" s="6" t="s">
        <v>942</v>
      </c>
      <c r="C115" s="166" t="s">
        <v>5491</v>
      </c>
      <c r="D115" s="165" t="s">
        <v>5276</v>
      </c>
      <c r="E115" s="135">
        <v>2023</v>
      </c>
      <c r="F115" s="8">
        <v>2024</v>
      </c>
      <c r="G115" s="135">
        <v>9</v>
      </c>
      <c r="H115" s="165" t="s">
        <v>5298</v>
      </c>
      <c r="I115" s="465">
        <v>30000000</v>
      </c>
      <c r="J115" s="465">
        <v>30000000</v>
      </c>
      <c r="K115" s="514"/>
      <c r="L115" s="165" t="s">
        <v>5489</v>
      </c>
      <c r="M115" s="166" t="s">
        <v>3077</v>
      </c>
      <c r="N115" s="135" t="s">
        <v>3215</v>
      </c>
      <c r="O115" s="6" t="s">
        <v>4239</v>
      </c>
      <c r="P115" s="171" t="s">
        <v>5849</v>
      </c>
      <c r="Q115" s="109">
        <f>Table6[[#This Row],[Dana Disetujui]]</f>
        <v>30000000</v>
      </c>
      <c r="R115" s="165" t="s">
        <v>3216</v>
      </c>
      <c r="S115" s="167" t="s">
        <v>19</v>
      </c>
      <c r="T115" s="109">
        <f>Table6[[#This Row],[Dana Disetujui]]</f>
        <v>30000000</v>
      </c>
      <c r="U115" s="165" t="s">
        <v>3216</v>
      </c>
      <c r="V115" s="167" t="s">
        <v>12</v>
      </c>
      <c r="W115" s="109">
        <f>Table6[[#This Row],[Dana Disetujui]]</f>
        <v>30000000</v>
      </c>
      <c r="X115" s="6" t="s">
        <v>3216</v>
      </c>
      <c r="Y115" s="167" t="s">
        <v>77</v>
      </c>
      <c r="Z115" s="109">
        <f>Table6[[#This Row],[Dana Disetujui]]</f>
        <v>30000000</v>
      </c>
      <c r="AA115" s="6" t="s">
        <v>3216</v>
      </c>
      <c r="AB115" s="167" t="s">
        <v>198</v>
      </c>
      <c r="AC115" s="109">
        <f>Table6[[#This Row],[Dana Disetujui]]</f>
        <v>30000000</v>
      </c>
      <c r="AD115" s="6" t="s">
        <v>3216</v>
      </c>
      <c r="AE115" s="513" t="s">
        <v>140</v>
      </c>
      <c r="AF115" s="109">
        <f>Table6[[#This Row],[Dana Disetujui]]</f>
        <v>30000000</v>
      </c>
      <c r="AG115" s="6" t="s">
        <v>3216</v>
      </c>
      <c r="AH115" s="167"/>
      <c r="AI115" s="249"/>
      <c r="AJ115" s="167"/>
      <c r="AK115" s="167"/>
      <c r="AL115" s="167"/>
      <c r="AM115" s="167"/>
      <c r="AN115" s="167"/>
      <c r="AO115" s="167"/>
      <c r="AP115" s="167"/>
      <c r="AQ115" s="167"/>
      <c r="AR115" s="160"/>
      <c r="AS115" s="8"/>
      <c r="AT115" s="171"/>
      <c r="AU115" s="167"/>
      <c r="AV115" s="167"/>
      <c r="AW115" s="167"/>
      <c r="AX115" s="167"/>
      <c r="AY115" s="167"/>
      <c r="AZ115" s="167"/>
      <c r="BA115" s="167"/>
      <c r="BB115" s="167"/>
      <c r="BC115" s="167"/>
      <c r="BD115" s="167"/>
      <c r="BE115" s="167"/>
      <c r="BF115" s="167"/>
      <c r="BG115" s="167"/>
      <c r="BH115" s="167"/>
      <c r="BI115" s="167"/>
      <c r="BJ115" s="167"/>
      <c r="BK115" s="167"/>
      <c r="BL115" s="167"/>
      <c r="BM115" s="167"/>
      <c r="BN115" s="167"/>
      <c r="BO115" s="167"/>
      <c r="BP115" s="147"/>
      <c r="BQ115" s="147"/>
      <c r="BR115" s="147"/>
    </row>
    <row r="116" spans="1:70" ht="36">
      <c r="A116" s="143" t="s">
        <v>5492</v>
      </c>
      <c r="B116" s="6" t="s">
        <v>942</v>
      </c>
      <c r="C116" s="166" t="s">
        <v>5493</v>
      </c>
      <c r="D116" s="165" t="s">
        <v>5276</v>
      </c>
      <c r="E116" s="135">
        <v>2023</v>
      </c>
      <c r="F116" s="8">
        <v>2024</v>
      </c>
      <c r="G116" s="135">
        <v>9</v>
      </c>
      <c r="H116" s="165" t="s">
        <v>5298</v>
      </c>
      <c r="I116" s="465">
        <v>10000000</v>
      </c>
      <c r="J116" s="465">
        <v>10000000</v>
      </c>
      <c r="K116" s="514"/>
      <c r="L116" s="165" t="s">
        <v>5489</v>
      </c>
      <c r="M116" s="166" t="s">
        <v>3077</v>
      </c>
      <c r="N116" s="135" t="s">
        <v>3215</v>
      </c>
      <c r="O116" s="6" t="s">
        <v>4239</v>
      </c>
      <c r="P116" s="171" t="s">
        <v>5908</v>
      </c>
      <c r="Q116" s="109">
        <f>Table6[[#This Row],[Dana Disetujui]]</f>
        <v>10000000</v>
      </c>
      <c r="R116" s="165" t="s">
        <v>3216</v>
      </c>
      <c r="S116" s="167" t="s">
        <v>190</v>
      </c>
      <c r="T116" s="109">
        <f>Table6[[#This Row],[Dana Disetujui]]</f>
        <v>10000000</v>
      </c>
      <c r="U116" s="165" t="s">
        <v>3216</v>
      </c>
      <c r="V116" s="167" t="s">
        <v>97</v>
      </c>
      <c r="W116" s="109">
        <f>Table6[[#This Row],[Dana Disetujui]]</f>
        <v>10000000</v>
      </c>
      <c r="X116" s="6" t="s">
        <v>3216</v>
      </c>
      <c r="Y116" s="513" t="s">
        <v>140</v>
      </c>
      <c r="Z116" s="109">
        <f>Table6[[#This Row],[Dana Disetujui]]</f>
        <v>10000000</v>
      </c>
      <c r="AA116" s="6" t="s">
        <v>3216</v>
      </c>
      <c r="AB116" s="167" t="s">
        <v>60</v>
      </c>
      <c r="AC116" s="109">
        <f>Table6[[#This Row],[Dana Disetujui]]</f>
        <v>10000000</v>
      </c>
      <c r="AD116" s="6" t="s">
        <v>3216</v>
      </c>
      <c r="AE116" s="167" t="s">
        <v>195</v>
      </c>
      <c r="AF116" s="109">
        <f>Table6[[#This Row],[Dana Disetujui]]</f>
        <v>10000000</v>
      </c>
      <c r="AG116" s="6" t="s">
        <v>3216</v>
      </c>
      <c r="AH116" s="167"/>
      <c r="AI116" s="249"/>
      <c r="AJ116" s="167"/>
      <c r="AK116" s="167"/>
      <c r="AL116" s="167"/>
      <c r="AM116" s="167"/>
      <c r="AN116" s="167"/>
      <c r="AO116" s="167"/>
      <c r="AP116" s="167"/>
      <c r="AQ116" s="167"/>
      <c r="AR116" s="160"/>
      <c r="AS116" s="8"/>
      <c r="AT116" s="171"/>
      <c r="AU116" s="167"/>
      <c r="AV116" s="167"/>
      <c r="AW116" s="167"/>
      <c r="AX116" s="167"/>
      <c r="AY116" s="167"/>
      <c r="AZ116" s="167"/>
      <c r="BA116" s="167"/>
      <c r="BB116" s="167"/>
      <c r="BC116" s="167"/>
      <c r="BD116" s="167"/>
      <c r="BE116" s="167"/>
      <c r="BF116" s="167"/>
      <c r="BG116" s="167"/>
      <c r="BH116" s="167"/>
      <c r="BI116" s="167"/>
      <c r="BJ116" s="167"/>
      <c r="BK116" s="167"/>
      <c r="BL116" s="167"/>
      <c r="BM116" s="167"/>
      <c r="BN116" s="167"/>
      <c r="BO116" s="167"/>
      <c r="BP116" s="147"/>
      <c r="BQ116" s="147"/>
      <c r="BR116" s="147"/>
    </row>
    <row r="117" spans="1:70" ht="36">
      <c r="A117" s="143" t="s">
        <v>5494</v>
      </c>
      <c r="B117" s="6" t="s">
        <v>942</v>
      </c>
      <c r="C117" s="166" t="s">
        <v>5495</v>
      </c>
      <c r="D117" s="165" t="s">
        <v>5276</v>
      </c>
      <c r="E117" s="135">
        <v>2023</v>
      </c>
      <c r="F117" s="8">
        <v>2024</v>
      </c>
      <c r="G117" s="135">
        <v>9</v>
      </c>
      <c r="H117" s="165" t="s">
        <v>5298</v>
      </c>
      <c r="I117" s="465">
        <v>30000000</v>
      </c>
      <c r="J117" s="465">
        <v>30000000</v>
      </c>
      <c r="K117" s="514"/>
      <c r="L117" s="165" t="s">
        <v>5489</v>
      </c>
      <c r="M117" s="166" t="s">
        <v>3077</v>
      </c>
      <c r="N117" s="135" t="s">
        <v>3215</v>
      </c>
      <c r="O117" s="6" t="s">
        <v>4239</v>
      </c>
      <c r="P117" s="171" t="s">
        <v>5909</v>
      </c>
      <c r="Q117" s="109">
        <f>Table6[[#This Row],[Dana Disetujui]]</f>
        <v>30000000</v>
      </c>
      <c r="R117" s="165" t="s">
        <v>3216</v>
      </c>
      <c r="S117" s="167" t="s">
        <v>134</v>
      </c>
      <c r="T117" s="109">
        <f>Table6[[#This Row],[Dana Disetujui]]</f>
        <v>30000000</v>
      </c>
      <c r="U117" s="165" t="s">
        <v>3216</v>
      </c>
      <c r="V117" s="167" t="s">
        <v>139</v>
      </c>
      <c r="W117" s="109">
        <f>Table6[[#This Row],[Dana Disetujui]]</f>
        <v>30000000</v>
      </c>
      <c r="X117" s="6" t="s">
        <v>3216</v>
      </c>
      <c r="Y117" s="167" t="s">
        <v>79</v>
      </c>
      <c r="Z117" s="109">
        <f>Table6[[#This Row],[Dana Disetujui]]</f>
        <v>30000000</v>
      </c>
      <c r="AA117" s="6" t="s">
        <v>3216</v>
      </c>
      <c r="AB117" s="167" t="s">
        <v>52</v>
      </c>
      <c r="AC117" s="109">
        <f>Table6[[#This Row],[Dana Disetujui]]</f>
        <v>30000000</v>
      </c>
      <c r="AD117" s="6" t="s">
        <v>3216</v>
      </c>
      <c r="AE117" s="513" t="s">
        <v>140</v>
      </c>
      <c r="AF117" s="109">
        <f>Table6[[#This Row],[Dana Disetujui]]</f>
        <v>30000000</v>
      </c>
      <c r="AG117" s="6" t="s">
        <v>3216</v>
      </c>
      <c r="AH117" s="167"/>
      <c r="AI117" s="249"/>
      <c r="AJ117" s="167"/>
      <c r="AK117" s="167"/>
      <c r="AL117" s="167"/>
      <c r="AM117" s="167"/>
      <c r="AN117" s="167"/>
      <c r="AO117" s="167"/>
      <c r="AP117" s="167"/>
      <c r="AQ117" s="167"/>
      <c r="AR117" s="160"/>
      <c r="AS117" s="8"/>
      <c r="AT117" s="171"/>
      <c r="AU117" s="167"/>
      <c r="AV117" s="167"/>
      <c r="AW117" s="167"/>
      <c r="AX117" s="167"/>
      <c r="AY117" s="167"/>
      <c r="AZ117" s="167"/>
      <c r="BA117" s="167"/>
      <c r="BB117" s="167"/>
      <c r="BC117" s="167"/>
      <c r="BD117" s="167"/>
      <c r="BE117" s="167"/>
      <c r="BF117" s="167"/>
      <c r="BG117" s="167"/>
      <c r="BH117" s="167"/>
      <c r="BI117" s="167"/>
      <c r="BJ117" s="167"/>
      <c r="BK117" s="167"/>
      <c r="BL117" s="167"/>
      <c r="BM117" s="167"/>
      <c r="BN117" s="167"/>
      <c r="BO117" s="167"/>
      <c r="BP117" s="147"/>
      <c r="BQ117" s="147"/>
      <c r="BR117" s="147"/>
    </row>
    <row r="118" spans="1:70" ht="36">
      <c r="A118" s="143" t="s">
        <v>5496</v>
      </c>
      <c r="B118" s="6" t="s">
        <v>942</v>
      </c>
      <c r="C118" s="166" t="s">
        <v>5497</v>
      </c>
      <c r="D118" s="165" t="s">
        <v>5276</v>
      </c>
      <c r="E118" s="135">
        <v>2023</v>
      </c>
      <c r="F118" s="8">
        <v>2024</v>
      </c>
      <c r="G118" s="135">
        <v>9</v>
      </c>
      <c r="H118" s="165" t="s">
        <v>5298</v>
      </c>
      <c r="I118" s="465">
        <v>46586600</v>
      </c>
      <c r="J118" s="465">
        <v>46586600</v>
      </c>
      <c r="K118" s="514"/>
      <c r="L118" s="165" t="s">
        <v>5489</v>
      </c>
      <c r="M118" s="166" t="s">
        <v>3077</v>
      </c>
      <c r="N118" s="135" t="s">
        <v>3215</v>
      </c>
      <c r="O118" s="6" t="s">
        <v>4239</v>
      </c>
      <c r="P118" s="171" t="s">
        <v>5909</v>
      </c>
      <c r="Q118" s="109">
        <f>Table6[[#This Row],[Dana Disetujui]]</f>
        <v>46586600</v>
      </c>
      <c r="R118" s="165" t="s">
        <v>3216</v>
      </c>
      <c r="S118" s="167" t="s">
        <v>163</v>
      </c>
      <c r="T118" s="109">
        <f>Table6[[#This Row],[Dana Disetujui]]</f>
        <v>46586600</v>
      </c>
      <c r="U118" s="165" t="s">
        <v>3216</v>
      </c>
      <c r="V118" s="167" t="s">
        <v>75</v>
      </c>
      <c r="W118" s="109">
        <f>Table6[[#This Row],[Dana Disetujui]]</f>
        <v>46586600</v>
      </c>
      <c r="X118" s="6" t="s">
        <v>3216</v>
      </c>
      <c r="Y118" s="167" t="s">
        <v>9</v>
      </c>
      <c r="Z118" s="109">
        <f>Table6[[#This Row],[Dana Disetujui]]</f>
        <v>46586600</v>
      </c>
      <c r="AA118" s="6" t="s">
        <v>3216</v>
      </c>
      <c r="AB118" s="167" t="s">
        <v>41</v>
      </c>
      <c r="AC118" s="109">
        <f>Table6[[#This Row],[Dana Disetujui]]</f>
        <v>46586600</v>
      </c>
      <c r="AD118" s="6" t="s">
        <v>3216</v>
      </c>
      <c r="AE118" s="513" t="s">
        <v>140</v>
      </c>
      <c r="AF118" s="109">
        <f>Table6[[#This Row],[Dana Disetujui]]</f>
        <v>46586600</v>
      </c>
      <c r="AG118" s="6" t="s">
        <v>3216</v>
      </c>
      <c r="AH118" s="167"/>
      <c r="AI118" s="249"/>
      <c r="AJ118" s="167"/>
      <c r="AK118" s="167"/>
      <c r="AL118" s="167"/>
      <c r="AM118" s="167"/>
      <c r="AN118" s="167"/>
      <c r="AO118" s="167"/>
      <c r="AP118" s="167"/>
      <c r="AQ118" s="167"/>
      <c r="AR118" s="160"/>
      <c r="AS118" s="8"/>
      <c r="AT118" s="171"/>
      <c r="AU118" s="167"/>
      <c r="AV118" s="167"/>
      <c r="AW118" s="167"/>
      <c r="AX118" s="167"/>
      <c r="AY118" s="167"/>
      <c r="AZ118" s="167"/>
      <c r="BA118" s="167"/>
      <c r="BB118" s="167"/>
      <c r="BC118" s="167"/>
      <c r="BD118" s="167"/>
      <c r="BE118" s="167"/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47"/>
      <c r="BQ118" s="147"/>
      <c r="BR118" s="147"/>
    </row>
    <row r="119" spans="1:70" ht="36">
      <c r="A119" s="143" t="s">
        <v>5498</v>
      </c>
      <c r="B119" s="6" t="s">
        <v>942</v>
      </c>
      <c r="C119" s="166" t="s">
        <v>5499</v>
      </c>
      <c r="D119" s="165" t="s">
        <v>5276</v>
      </c>
      <c r="E119" s="135">
        <v>2023</v>
      </c>
      <c r="F119" s="8">
        <v>2024</v>
      </c>
      <c r="G119" s="135">
        <v>9</v>
      </c>
      <c r="H119" s="165" t="s">
        <v>5298</v>
      </c>
      <c r="I119" s="465">
        <v>400000000</v>
      </c>
      <c r="J119" s="465">
        <v>400000000</v>
      </c>
      <c r="K119" s="514"/>
      <c r="L119" s="165" t="s">
        <v>5489</v>
      </c>
      <c r="M119" s="166" t="s">
        <v>3077</v>
      </c>
      <c r="N119" s="135" t="s">
        <v>3215</v>
      </c>
      <c r="O119" s="6" t="s">
        <v>4239</v>
      </c>
      <c r="P119" s="7" t="s">
        <v>5903</v>
      </c>
      <c r="Q119" s="109">
        <f>Table6[[#This Row],[Dana Disetujui]]</f>
        <v>400000000</v>
      </c>
      <c r="R119" s="165" t="s">
        <v>3216</v>
      </c>
      <c r="S119" s="167" t="s">
        <v>67</v>
      </c>
      <c r="T119" s="109">
        <f>Table6[[#This Row],[Dana Disetujui]]</f>
        <v>400000000</v>
      </c>
      <c r="U119" s="165" t="s">
        <v>3216</v>
      </c>
      <c r="V119" s="167" t="s">
        <v>202</v>
      </c>
      <c r="W119" s="109">
        <f>Table6[[#This Row],[Dana Disetujui]]</f>
        <v>400000000</v>
      </c>
      <c r="X119" s="6" t="s">
        <v>3216</v>
      </c>
      <c r="Y119" s="167" t="s">
        <v>24</v>
      </c>
      <c r="Z119" s="109">
        <f>Table6[[#This Row],[Dana Disetujui]]</f>
        <v>400000000</v>
      </c>
      <c r="AA119" s="6" t="s">
        <v>3216</v>
      </c>
      <c r="AB119" s="513" t="s">
        <v>140</v>
      </c>
      <c r="AC119" s="109">
        <f>Table6[[#This Row],[Dana Disetujui]]</f>
        <v>400000000</v>
      </c>
      <c r="AD119" s="6" t="s">
        <v>3216</v>
      </c>
      <c r="AE119" s="167" t="s">
        <v>60</v>
      </c>
      <c r="AF119" s="109">
        <f>Table6[[#This Row],[Dana Disetujui]]</f>
        <v>400000000</v>
      </c>
      <c r="AG119" s="6" t="s">
        <v>3216</v>
      </c>
      <c r="AH119" s="167"/>
      <c r="AI119" s="249"/>
      <c r="AJ119" s="167"/>
      <c r="AK119" s="167"/>
      <c r="AL119" s="167"/>
      <c r="AM119" s="167"/>
      <c r="AN119" s="167"/>
      <c r="AO119" s="167"/>
      <c r="AP119" s="167"/>
      <c r="AQ119" s="167"/>
      <c r="AR119" s="160"/>
      <c r="AS119" s="8"/>
      <c r="AT119" s="171"/>
      <c r="AU119" s="167"/>
      <c r="AV119" s="167"/>
      <c r="AW119" s="167"/>
      <c r="AX119" s="167"/>
      <c r="AY119" s="167"/>
      <c r="AZ119" s="167"/>
      <c r="BA119" s="167"/>
      <c r="BB119" s="167"/>
      <c r="BC119" s="167"/>
      <c r="BD119" s="167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47"/>
      <c r="BQ119" s="147"/>
      <c r="BR119" s="147"/>
    </row>
    <row r="120" spans="1:70" ht="36">
      <c r="A120" s="143" t="s">
        <v>5500</v>
      </c>
      <c r="B120" s="6" t="s">
        <v>942</v>
      </c>
      <c r="C120" s="166" t="s">
        <v>5501</v>
      </c>
      <c r="D120" s="165" t="s">
        <v>5276</v>
      </c>
      <c r="E120" s="135">
        <v>2023</v>
      </c>
      <c r="F120" s="8">
        <v>2024</v>
      </c>
      <c r="G120" s="135">
        <v>9</v>
      </c>
      <c r="H120" s="165" t="s">
        <v>5298</v>
      </c>
      <c r="I120" s="465">
        <v>46586600</v>
      </c>
      <c r="J120" s="465">
        <v>46586600</v>
      </c>
      <c r="K120" s="514"/>
      <c r="L120" s="165" t="s">
        <v>5489</v>
      </c>
      <c r="M120" s="166" t="s">
        <v>3077</v>
      </c>
      <c r="N120" s="135" t="s">
        <v>3215</v>
      </c>
      <c r="O120" s="6" t="s">
        <v>4239</v>
      </c>
      <c r="P120" s="7" t="s">
        <v>5903</v>
      </c>
      <c r="Q120" s="109">
        <f>Table6[[#This Row],[Dana Disetujui]]</f>
        <v>46586600</v>
      </c>
      <c r="R120" s="165" t="s">
        <v>3216</v>
      </c>
      <c r="S120" s="167" t="s">
        <v>184</v>
      </c>
      <c r="T120" s="109">
        <f>Table6[[#This Row],[Dana Disetujui]]</f>
        <v>46586600</v>
      </c>
      <c r="U120" s="165" t="s">
        <v>3216</v>
      </c>
      <c r="V120" s="167" t="s">
        <v>193</v>
      </c>
      <c r="W120" s="109">
        <f>Table6[[#This Row],[Dana Disetujui]]</f>
        <v>46586600</v>
      </c>
      <c r="X120" s="6" t="s">
        <v>3216</v>
      </c>
      <c r="Y120" s="167" t="s">
        <v>36</v>
      </c>
      <c r="Z120" s="109">
        <f>Table6[[#This Row],[Dana Disetujui]]</f>
        <v>46586600</v>
      </c>
      <c r="AA120" s="6" t="s">
        <v>3216</v>
      </c>
      <c r="AB120" s="167" t="s">
        <v>41</v>
      </c>
      <c r="AC120" s="109">
        <f>Table6[[#This Row],[Dana Disetujui]]</f>
        <v>46586600</v>
      </c>
      <c r="AD120" s="6" t="s">
        <v>3216</v>
      </c>
      <c r="AE120" s="513" t="s">
        <v>140</v>
      </c>
      <c r="AF120" s="109">
        <f>Table6[[#This Row],[Dana Disetujui]]</f>
        <v>46586600</v>
      </c>
      <c r="AG120" s="6" t="s">
        <v>3216</v>
      </c>
      <c r="AH120" s="167"/>
      <c r="AI120" s="249"/>
      <c r="AJ120" s="167"/>
      <c r="AK120" s="167"/>
      <c r="AL120" s="167"/>
      <c r="AM120" s="167"/>
      <c r="AN120" s="167"/>
      <c r="AO120" s="167"/>
      <c r="AP120" s="167"/>
      <c r="AQ120" s="167"/>
      <c r="AR120" s="160"/>
      <c r="AS120" s="8"/>
      <c r="AT120" s="171"/>
      <c r="AU120" s="167"/>
      <c r="AV120" s="167"/>
      <c r="AW120" s="167"/>
      <c r="AX120" s="167"/>
      <c r="AY120" s="167"/>
      <c r="AZ120" s="167"/>
      <c r="BA120" s="167"/>
      <c r="BB120" s="167"/>
      <c r="BC120" s="167"/>
      <c r="BD120" s="167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47"/>
      <c r="BQ120" s="147"/>
      <c r="BR120" s="147"/>
    </row>
    <row r="121" spans="1:70" s="314" customFormat="1" ht="48">
      <c r="A121" s="143" t="s">
        <v>5502</v>
      </c>
      <c r="B121" s="6" t="s">
        <v>942</v>
      </c>
      <c r="C121" s="166" t="s">
        <v>5503</v>
      </c>
      <c r="D121" s="166" t="s">
        <v>5503</v>
      </c>
      <c r="E121" s="135">
        <v>2023</v>
      </c>
      <c r="F121" s="8">
        <v>2024</v>
      </c>
      <c r="G121" s="135">
        <v>9</v>
      </c>
      <c r="H121" s="165" t="s">
        <v>5298</v>
      </c>
      <c r="I121" s="465">
        <v>46586600</v>
      </c>
      <c r="J121" s="465">
        <v>46586600</v>
      </c>
      <c r="K121" s="514"/>
      <c r="L121" s="165" t="s">
        <v>5489</v>
      </c>
      <c r="M121" s="166" t="s">
        <v>3077</v>
      </c>
      <c r="N121" s="135" t="s">
        <v>3215</v>
      </c>
      <c r="O121" s="6" t="s">
        <v>4239</v>
      </c>
      <c r="P121" s="171" t="s">
        <v>5910</v>
      </c>
      <c r="Q121" s="109">
        <f>Table6[[#This Row],[Dana Disetujui]]</f>
        <v>46586600</v>
      </c>
      <c r="R121" s="165" t="s">
        <v>3216</v>
      </c>
      <c r="S121" s="167" t="s">
        <v>179</v>
      </c>
      <c r="T121" s="109">
        <f>Table6[[#This Row],[Dana Disetujui]]</f>
        <v>46586600</v>
      </c>
      <c r="U121" s="165" t="s">
        <v>3216</v>
      </c>
      <c r="V121" s="167" t="s">
        <v>185</v>
      </c>
      <c r="W121" s="109">
        <f>Table6[[#This Row],[Dana Disetujui]]</f>
        <v>46586600</v>
      </c>
      <c r="X121" s="6" t="s">
        <v>3216</v>
      </c>
      <c r="Y121" s="167" t="s">
        <v>37</v>
      </c>
      <c r="Z121" s="109">
        <f>Table6[[#This Row],[Dana Disetujui]]</f>
        <v>46586600</v>
      </c>
      <c r="AA121" s="6" t="s">
        <v>3216</v>
      </c>
      <c r="AB121" s="167" t="s">
        <v>18</v>
      </c>
      <c r="AC121" s="109">
        <f>Table6[[#This Row],[Dana Disetujui]]</f>
        <v>46586600</v>
      </c>
      <c r="AD121" s="6" t="s">
        <v>3216</v>
      </c>
      <c r="AE121" s="513" t="s">
        <v>140</v>
      </c>
      <c r="AF121" s="109">
        <f>Table6[[#This Row],[Dana Disetujui]]</f>
        <v>46586600</v>
      </c>
      <c r="AG121" s="6" t="s">
        <v>3216</v>
      </c>
      <c r="AH121" s="167"/>
      <c r="AI121" s="249"/>
      <c r="AJ121" s="167"/>
      <c r="AK121" s="167"/>
      <c r="AL121" s="167"/>
      <c r="AM121" s="167"/>
      <c r="AN121" s="167"/>
      <c r="AO121" s="167"/>
      <c r="AP121" s="167"/>
      <c r="AQ121" s="167"/>
      <c r="AR121" s="160"/>
      <c r="AS121" s="8"/>
      <c r="AT121" s="171"/>
      <c r="AU121" s="167"/>
      <c r="AV121" s="167"/>
      <c r="AW121" s="167"/>
      <c r="AX121" s="167"/>
      <c r="AY121" s="167"/>
      <c r="AZ121" s="167"/>
      <c r="BA121" s="167"/>
      <c r="BB121" s="167"/>
      <c r="BC121" s="167"/>
      <c r="BD121" s="167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313"/>
      <c r="BQ121" s="313"/>
      <c r="BR121" s="313"/>
    </row>
    <row r="122" spans="1:70" ht="36">
      <c r="A122" s="143" t="s">
        <v>5504</v>
      </c>
      <c r="B122" s="165" t="s">
        <v>942</v>
      </c>
      <c r="C122" s="9" t="s">
        <v>5505</v>
      </c>
      <c r="D122" s="6" t="s">
        <v>5506</v>
      </c>
      <c r="E122" s="8">
        <v>2024</v>
      </c>
      <c r="F122" s="8">
        <v>2024</v>
      </c>
      <c r="G122" s="8">
        <v>2</v>
      </c>
      <c r="H122" s="6" t="s">
        <v>5298</v>
      </c>
      <c r="I122" s="486">
        <v>15960457</v>
      </c>
      <c r="J122" s="458">
        <v>15960457</v>
      </c>
      <c r="K122" s="8">
        <v>4</v>
      </c>
      <c r="L122" s="7" t="s">
        <v>5489</v>
      </c>
      <c r="M122" s="166" t="s">
        <v>3077</v>
      </c>
      <c r="N122" s="8" t="s">
        <v>3215</v>
      </c>
      <c r="O122" s="15" t="s">
        <v>4951</v>
      </c>
      <c r="P122" s="7" t="s">
        <v>5911</v>
      </c>
      <c r="Q122" s="109">
        <f>Table6[[#This Row],[Dana Disetujui]]</f>
        <v>15960457</v>
      </c>
      <c r="R122" s="6" t="s">
        <v>4269</v>
      </c>
      <c r="S122" s="6"/>
      <c r="T122" s="57"/>
      <c r="U122" s="6"/>
      <c r="V122" s="6"/>
      <c r="W122" s="57"/>
      <c r="X122" s="6"/>
      <c r="Y122" s="241"/>
      <c r="Z122" s="299"/>
      <c r="AA122" s="6"/>
      <c r="AB122" s="241"/>
      <c r="AC122" s="299"/>
      <c r="AD122" s="241"/>
      <c r="AE122" s="241"/>
      <c r="AF122" s="299"/>
      <c r="AG122" s="241"/>
      <c r="AH122" s="241"/>
      <c r="AI122" s="299"/>
      <c r="AJ122" s="241"/>
      <c r="AK122" s="241"/>
      <c r="AL122" s="241"/>
      <c r="AM122" s="241"/>
      <c r="AN122" s="241"/>
      <c r="AO122" s="241"/>
      <c r="AP122" s="241"/>
      <c r="AQ122" s="241"/>
      <c r="AR122" s="160" t="s">
        <v>3190</v>
      </c>
      <c r="AS122" s="163" t="s">
        <v>3191</v>
      </c>
      <c r="AT122" s="304"/>
      <c r="AU122" s="9"/>
      <c r="AV122" s="304"/>
      <c r="AW122" s="9"/>
      <c r="AX122" s="304"/>
      <c r="AY122" s="9"/>
      <c r="AZ122" s="241"/>
      <c r="BA122" s="241"/>
      <c r="BB122" s="241"/>
      <c r="BC122" s="241"/>
      <c r="BD122" s="241"/>
      <c r="BE122" s="241"/>
      <c r="BF122" s="241"/>
      <c r="BG122" s="241"/>
      <c r="BH122" s="241"/>
      <c r="BI122" s="241"/>
      <c r="BJ122" s="7"/>
      <c r="BK122" s="7"/>
      <c r="BL122" s="7"/>
      <c r="BM122" s="241"/>
      <c r="BN122" s="241"/>
      <c r="BO122" s="241"/>
    </row>
    <row r="123" spans="1:70" ht="24">
      <c r="A123" s="143" t="s">
        <v>5504</v>
      </c>
      <c r="B123" s="165" t="s">
        <v>942</v>
      </c>
      <c r="C123" s="9" t="s">
        <v>5507</v>
      </c>
      <c r="D123" s="6" t="s">
        <v>5506</v>
      </c>
      <c r="E123" s="8">
        <v>2024</v>
      </c>
      <c r="F123" s="8">
        <v>2024</v>
      </c>
      <c r="G123" s="8">
        <v>2</v>
      </c>
      <c r="H123" s="6" t="s">
        <v>5298</v>
      </c>
      <c r="I123" s="458">
        <v>16082106</v>
      </c>
      <c r="J123" s="458">
        <v>16082106</v>
      </c>
      <c r="K123" s="8">
        <v>4</v>
      </c>
      <c r="L123" s="6" t="s">
        <v>5489</v>
      </c>
      <c r="M123" s="166" t="s">
        <v>3077</v>
      </c>
      <c r="N123" s="8" t="s">
        <v>3215</v>
      </c>
      <c r="O123" s="15" t="s">
        <v>4951</v>
      </c>
      <c r="P123" s="7" t="s">
        <v>5857</v>
      </c>
      <c r="Q123" s="109">
        <f>Table6[[#This Row],[Dana Disetujui]]</f>
        <v>16082106</v>
      </c>
      <c r="R123" s="6" t="s">
        <v>4269</v>
      </c>
      <c r="S123" s="6"/>
      <c r="T123" s="57"/>
      <c r="U123" s="6"/>
      <c r="V123" s="6"/>
      <c r="W123" s="57"/>
      <c r="X123" s="6"/>
      <c r="Y123" s="241"/>
      <c r="Z123" s="299"/>
      <c r="AA123" s="6"/>
      <c r="AB123" s="241"/>
      <c r="AC123" s="299"/>
      <c r="AD123" s="241"/>
      <c r="AE123" s="241"/>
      <c r="AF123" s="299"/>
      <c r="AG123" s="241"/>
      <c r="AH123" s="241"/>
      <c r="AI123" s="299"/>
      <c r="AJ123" s="241"/>
      <c r="AK123" s="241"/>
      <c r="AL123" s="241"/>
      <c r="AM123" s="241"/>
      <c r="AN123" s="241"/>
      <c r="AO123" s="241"/>
      <c r="AP123" s="241"/>
      <c r="AQ123" s="241"/>
      <c r="AR123" s="160" t="s">
        <v>3190</v>
      </c>
      <c r="AS123" s="163" t="s">
        <v>3191</v>
      </c>
      <c r="AT123" s="304"/>
      <c r="AU123" s="9"/>
      <c r="AV123" s="304"/>
      <c r="AW123" s="9"/>
      <c r="AX123" s="304"/>
      <c r="AY123" s="9"/>
      <c r="AZ123" s="241"/>
      <c r="BA123" s="241"/>
      <c r="BB123" s="241"/>
      <c r="BC123" s="241"/>
      <c r="BD123" s="241"/>
      <c r="BE123" s="241"/>
      <c r="BF123" s="241"/>
      <c r="BG123" s="241"/>
      <c r="BH123" s="241"/>
      <c r="BI123" s="241"/>
      <c r="BJ123" s="241"/>
      <c r="BK123" s="241"/>
      <c r="BL123" s="241"/>
      <c r="BM123" s="241"/>
      <c r="BN123" s="241"/>
      <c r="BO123" s="241"/>
      <c r="BP123" s="136"/>
      <c r="BQ123" s="136"/>
      <c r="BR123" s="136"/>
    </row>
    <row r="124" spans="1:70" ht="36">
      <c r="A124" s="143" t="s">
        <v>5504</v>
      </c>
      <c r="B124" s="165" t="s">
        <v>942</v>
      </c>
      <c r="C124" s="166" t="s">
        <v>5508</v>
      </c>
      <c r="D124" s="6" t="s">
        <v>5506</v>
      </c>
      <c r="E124" s="135">
        <v>2024</v>
      </c>
      <c r="F124" s="135">
        <v>2024</v>
      </c>
      <c r="G124" s="135">
        <v>2</v>
      </c>
      <c r="H124" s="165" t="s">
        <v>5298</v>
      </c>
      <c r="I124" s="465">
        <v>15173788</v>
      </c>
      <c r="J124" s="465">
        <v>15173788</v>
      </c>
      <c r="K124" s="514">
        <v>4</v>
      </c>
      <c r="L124" s="165" t="s">
        <v>5489</v>
      </c>
      <c r="M124" s="166" t="s">
        <v>3077</v>
      </c>
      <c r="N124" s="135" t="s">
        <v>3215</v>
      </c>
      <c r="O124" s="15" t="s">
        <v>4951</v>
      </c>
      <c r="P124" s="171" t="s">
        <v>5908</v>
      </c>
      <c r="Q124" s="109">
        <f>Table6[[#This Row],[Dana Disetujui]]</f>
        <v>15173788</v>
      </c>
      <c r="R124" s="6" t="s">
        <v>4269</v>
      </c>
      <c r="S124" s="165"/>
      <c r="T124" s="238"/>
      <c r="U124" s="6"/>
      <c r="V124" s="165"/>
      <c r="W124" s="238"/>
      <c r="X124" s="6"/>
      <c r="Y124" s="246"/>
      <c r="Z124" s="307"/>
      <c r="AA124" s="6"/>
      <c r="AB124" s="246"/>
      <c r="AC124" s="307"/>
      <c r="AD124" s="246"/>
      <c r="AE124" s="246"/>
      <c r="AF124" s="307"/>
      <c r="AG124" s="246"/>
      <c r="AH124" s="246"/>
      <c r="AI124" s="307"/>
      <c r="AJ124" s="246"/>
      <c r="AK124" s="246"/>
      <c r="AL124" s="246"/>
      <c r="AM124" s="246"/>
      <c r="AN124" s="246"/>
      <c r="AO124" s="246"/>
      <c r="AP124" s="246"/>
      <c r="AQ124" s="246"/>
      <c r="AR124" s="160" t="s">
        <v>3190</v>
      </c>
      <c r="AS124" s="163" t="s">
        <v>3191</v>
      </c>
      <c r="AT124" s="306"/>
      <c r="AU124" s="166"/>
      <c r="AV124" s="306"/>
      <c r="AW124" s="166"/>
      <c r="AX124" s="306"/>
      <c r="AY124" s="166"/>
      <c r="AZ124" s="246"/>
      <c r="BA124" s="246"/>
      <c r="BB124" s="246"/>
      <c r="BC124" s="246"/>
      <c r="BD124" s="246"/>
      <c r="BE124" s="246"/>
      <c r="BF124" s="246"/>
      <c r="BG124" s="246"/>
      <c r="BH124" s="246"/>
      <c r="BI124" s="246"/>
      <c r="BJ124" s="246"/>
      <c r="BK124" s="246"/>
      <c r="BL124" s="246"/>
      <c r="BM124" s="246"/>
      <c r="BN124" s="246"/>
      <c r="BO124" s="246"/>
    </row>
    <row r="125" spans="1:70" ht="24">
      <c r="A125" s="143" t="s">
        <v>5504</v>
      </c>
      <c r="B125" s="165" t="s">
        <v>942</v>
      </c>
      <c r="C125" s="9" t="s">
        <v>5509</v>
      </c>
      <c r="D125" s="6" t="s">
        <v>5506</v>
      </c>
      <c r="E125" s="8">
        <v>2024</v>
      </c>
      <c r="F125" s="8">
        <v>2024</v>
      </c>
      <c r="G125" s="8">
        <v>2</v>
      </c>
      <c r="H125" s="6" t="s">
        <v>5298</v>
      </c>
      <c r="I125" s="458">
        <v>16122656</v>
      </c>
      <c r="J125" s="458">
        <v>16122656</v>
      </c>
      <c r="K125" s="207">
        <v>4</v>
      </c>
      <c r="L125" s="6" t="s">
        <v>5489</v>
      </c>
      <c r="M125" s="166" t="s">
        <v>3077</v>
      </c>
      <c r="N125" s="8" t="s">
        <v>3215</v>
      </c>
      <c r="O125" s="15" t="s">
        <v>4951</v>
      </c>
      <c r="P125" s="7" t="s">
        <v>5908</v>
      </c>
      <c r="Q125" s="109">
        <f>Table6[[#This Row],[Dana Disetujui]]</f>
        <v>16122656</v>
      </c>
      <c r="R125" s="6" t="s">
        <v>4269</v>
      </c>
      <c r="S125" s="6"/>
      <c r="T125" s="57"/>
      <c r="U125" s="6"/>
      <c r="V125" s="6"/>
      <c r="W125" s="57"/>
      <c r="X125" s="6"/>
      <c r="Y125" s="241"/>
      <c r="Z125" s="299"/>
      <c r="AA125" s="6"/>
      <c r="AB125" s="241"/>
      <c r="AC125" s="299"/>
      <c r="AD125" s="241"/>
      <c r="AE125" s="241"/>
      <c r="AF125" s="299"/>
      <c r="AG125" s="241"/>
      <c r="AH125" s="241"/>
      <c r="AI125" s="299"/>
      <c r="AJ125" s="241"/>
      <c r="AK125" s="241"/>
      <c r="AL125" s="241"/>
      <c r="AM125" s="241"/>
      <c r="AN125" s="241"/>
      <c r="AO125" s="241"/>
      <c r="AP125" s="241"/>
      <c r="AQ125" s="241"/>
      <c r="AR125" s="160" t="s">
        <v>3190</v>
      </c>
      <c r="AS125" s="163" t="s">
        <v>3191</v>
      </c>
      <c r="AT125" s="304"/>
      <c r="AU125" s="9"/>
      <c r="AV125" s="304"/>
      <c r="AW125" s="9"/>
      <c r="AX125" s="304"/>
      <c r="AY125" s="9"/>
      <c r="AZ125" s="241"/>
      <c r="BA125" s="241"/>
      <c r="BB125" s="241"/>
      <c r="BC125" s="241"/>
      <c r="BD125" s="241"/>
      <c r="BE125" s="241"/>
      <c r="BF125" s="241"/>
      <c r="BG125" s="241"/>
      <c r="BH125" s="241"/>
      <c r="BI125" s="241"/>
      <c r="BJ125" s="7"/>
      <c r="BK125" s="241"/>
      <c r="BL125" s="241"/>
      <c r="BM125" s="241"/>
      <c r="BN125" s="241"/>
      <c r="BO125" s="241"/>
    </row>
    <row r="126" spans="1:70" ht="36">
      <c r="A126" s="143" t="s">
        <v>5504</v>
      </c>
      <c r="B126" s="165" t="s">
        <v>942</v>
      </c>
      <c r="C126" s="9" t="s">
        <v>5510</v>
      </c>
      <c r="D126" s="6" t="s">
        <v>5506</v>
      </c>
      <c r="E126" s="8">
        <v>2024</v>
      </c>
      <c r="F126" s="8">
        <v>2024</v>
      </c>
      <c r="G126" s="8">
        <v>2</v>
      </c>
      <c r="H126" s="33" t="s">
        <v>5298</v>
      </c>
      <c r="I126" s="458">
        <v>16187536</v>
      </c>
      <c r="J126" s="458">
        <v>16187536</v>
      </c>
      <c r="K126" s="207">
        <v>4</v>
      </c>
      <c r="L126" s="6" t="s">
        <v>5489</v>
      </c>
      <c r="M126" s="166" t="s">
        <v>3077</v>
      </c>
      <c r="N126" s="8" t="s">
        <v>3215</v>
      </c>
      <c r="O126" s="15" t="s">
        <v>4951</v>
      </c>
      <c r="P126" s="7" t="s">
        <v>5911</v>
      </c>
      <c r="Q126" s="109">
        <f>Table6[[#This Row],[Dana Disetujui]]</f>
        <v>16187536</v>
      </c>
      <c r="R126" s="6" t="s">
        <v>4269</v>
      </c>
      <c r="S126" s="6"/>
      <c r="T126" s="57"/>
      <c r="U126" s="6"/>
      <c r="V126" s="6"/>
      <c r="W126" s="57"/>
      <c r="X126" s="6"/>
      <c r="Y126" s="241"/>
      <c r="Z126" s="299"/>
      <c r="AA126" s="6"/>
      <c r="AB126" s="241"/>
      <c r="AC126" s="299"/>
      <c r="AD126" s="241"/>
      <c r="AE126" s="241"/>
      <c r="AF126" s="299"/>
      <c r="AG126" s="241"/>
      <c r="AH126" s="241"/>
      <c r="AI126" s="299"/>
      <c r="AJ126" s="241"/>
      <c r="AK126" s="241"/>
      <c r="AL126" s="241"/>
      <c r="AM126" s="241"/>
      <c r="AN126" s="241"/>
      <c r="AO126" s="241"/>
      <c r="AP126" s="241"/>
      <c r="AQ126" s="241"/>
      <c r="AR126" s="160" t="s">
        <v>3190</v>
      </c>
      <c r="AS126" s="163" t="s">
        <v>3191</v>
      </c>
      <c r="AT126" s="304" t="s">
        <v>1818</v>
      </c>
      <c r="AU126" s="9"/>
      <c r="AV126" s="304" t="s">
        <v>5511</v>
      </c>
      <c r="AW126" s="9"/>
      <c r="AX126" s="304" t="s">
        <v>5512</v>
      </c>
      <c r="AY126" s="9"/>
      <c r="AZ126" s="241"/>
      <c r="BA126" s="241"/>
      <c r="BB126" s="241"/>
      <c r="BC126" s="241"/>
      <c r="BD126" s="241"/>
      <c r="BE126" s="241"/>
      <c r="BF126" s="241"/>
      <c r="BG126" s="241"/>
      <c r="BH126" s="241"/>
      <c r="BI126" s="241"/>
      <c r="BJ126" s="241"/>
      <c r="BK126" s="241"/>
      <c r="BL126" s="241"/>
      <c r="BM126" s="241"/>
      <c r="BN126" s="241"/>
      <c r="BO126" s="241"/>
      <c r="BP126" s="27"/>
      <c r="BQ126" s="27"/>
      <c r="BR126" s="27"/>
    </row>
    <row r="127" spans="1:70" ht="24">
      <c r="A127" s="143" t="s">
        <v>5504</v>
      </c>
      <c r="B127" s="165" t="s">
        <v>942</v>
      </c>
      <c r="C127" s="9" t="s">
        <v>5513</v>
      </c>
      <c r="D127" s="6" t="s">
        <v>5506</v>
      </c>
      <c r="E127" s="8">
        <v>2024</v>
      </c>
      <c r="F127" s="8">
        <v>2024</v>
      </c>
      <c r="G127" s="8">
        <v>2</v>
      </c>
      <c r="H127" s="6" t="s">
        <v>5298</v>
      </c>
      <c r="I127" s="458">
        <v>14625553</v>
      </c>
      <c r="J127" s="458">
        <v>14625553</v>
      </c>
      <c r="K127" s="207">
        <v>4</v>
      </c>
      <c r="L127" s="6" t="s">
        <v>5489</v>
      </c>
      <c r="M127" s="166" t="s">
        <v>3077</v>
      </c>
      <c r="N127" s="8" t="s">
        <v>3215</v>
      </c>
      <c r="O127" s="15" t="s">
        <v>4951</v>
      </c>
      <c r="P127" s="7" t="s">
        <v>5912</v>
      </c>
      <c r="Q127" s="109">
        <f>Table6[[#This Row],[Dana Disetujui]]</f>
        <v>14625553</v>
      </c>
      <c r="R127" s="6" t="s">
        <v>4269</v>
      </c>
      <c r="S127" s="33"/>
      <c r="T127" s="236"/>
      <c r="U127" s="6"/>
      <c r="V127" s="33"/>
      <c r="W127" s="236"/>
      <c r="X127" s="6"/>
      <c r="Y127" s="33"/>
      <c r="Z127" s="233"/>
      <c r="AA127" s="6"/>
      <c r="AB127" s="33"/>
      <c r="AC127" s="233"/>
      <c r="AD127" s="33"/>
      <c r="AE127" s="33"/>
      <c r="AF127" s="233"/>
      <c r="AG127" s="33"/>
      <c r="AH127" s="33"/>
      <c r="AI127" s="233"/>
      <c r="AJ127" s="33"/>
      <c r="AK127" s="33"/>
      <c r="AL127" s="33"/>
      <c r="AM127" s="33"/>
      <c r="AN127" s="33"/>
      <c r="AO127" s="33"/>
      <c r="AP127" s="33"/>
      <c r="AQ127" s="33"/>
      <c r="AR127" s="160" t="s">
        <v>3190</v>
      </c>
      <c r="AS127" s="163" t="s">
        <v>3191</v>
      </c>
      <c r="AT127" s="7"/>
      <c r="AU127" s="33"/>
      <c r="AV127" s="7"/>
      <c r="AW127" s="33"/>
      <c r="AX127" s="33"/>
      <c r="AY127" s="33"/>
      <c r="AZ127" s="7"/>
      <c r="BA127" s="33"/>
      <c r="BB127" s="33"/>
      <c r="BC127" s="33"/>
      <c r="BD127" s="33"/>
      <c r="BE127" s="33"/>
      <c r="BF127" s="33"/>
      <c r="BG127" s="33"/>
      <c r="BH127" s="33"/>
      <c r="BI127" s="33"/>
      <c r="BJ127" s="7"/>
      <c r="BK127" s="7"/>
      <c r="BL127" s="7"/>
      <c r="BM127" s="33"/>
      <c r="BN127" s="33"/>
      <c r="BO127" s="33"/>
      <c r="BP127" s="147"/>
      <c r="BQ127" s="147"/>
      <c r="BR127" s="147"/>
    </row>
    <row r="128" spans="1:70" ht="24">
      <c r="A128" s="143" t="s">
        <v>5504</v>
      </c>
      <c r="B128" s="165" t="s">
        <v>942</v>
      </c>
      <c r="C128" s="166" t="s">
        <v>3107</v>
      </c>
      <c r="D128" s="6" t="s">
        <v>5506</v>
      </c>
      <c r="E128" s="135">
        <v>2024</v>
      </c>
      <c r="F128" s="135">
        <v>2024</v>
      </c>
      <c r="G128" s="135">
        <v>2</v>
      </c>
      <c r="H128" s="165" t="s">
        <v>5298</v>
      </c>
      <c r="I128" s="465">
        <v>13077356</v>
      </c>
      <c r="J128" s="465">
        <v>13077356</v>
      </c>
      <c r="K128" s="514">
        <v>4</v>
      </c>
      <c r="L128" s="165" t="s">
        <v>5489</v>
      </c>
      <c r="M128" s="166" t="s">
        <v>3077</v>
      </c>
      <c r="N128" s="135" t="s">
        <v>3215</v>
      </c>
      <c r="O128" s="15" t="s">
        <v>4951</v>
      </c>
      <c r="P128" s="171" t="s">
        <v>5870</v>
      </c>
      <c r="Q128" s="109">
        <f>Table6[[#This Row],[Dana Disetujui]]</f>
        <v>13077356</v>
      </c>
      <c r="R128" s="6" t="s">
        <v>4269</v>
      </c>
      <c r="S128" s="167"/>
      <c r="T128" s="248"/>
      <c r="U128" s="6"/>
      <c r="V128" s="167"/>
      <c r="W128" s="248"/>
      <c r="X128" s="6"/>
      <c r="Y128" s="167"/>
      <c r="Z128" s="249"/>
      <c r="AA128" s="6"/>
      <c r="AB128" s="167"/>
      <c r="AC128" s="249"/>
      <c r="AD128" s="167"/>
      <c r="AE128" s="167"/>
      <c r="AF128" s="249"/>
      <c r="AG128" s="167"/>
      <c r="AH128" s="167"/>
      <c r="AI128" s="249"/>
      <c r="AJ128" s="167"/>
      <c r="AK128" s="167"/>
      <c r="AL128" s="167"/>
      <c r="AM128" s="167"/>
      <c r="AN128" s="167"/>
      <c r="AO128" s="167"/>
      <c r="AP128" s="167"/>
      <c r="AQ128" s="167"/>
      <c r="AR128" s="160" t="s">
        <v>3190</v>
      </c>
      <c r="AS128" s="163" t="s">
        <v>3191</v>
      </c>
      <c r="AT128" s="171"/>
      <c r="AU128" s="167"/>
      <c r="AV128" s="167"/>
      <c r="AW128" s="167"/>
      <c r="AX128" s="167"/>
      <c r="AY128" s="167"/>
      <c r="AZ128" s="167"/>
      <c r="BA128" s="167"/>
      <c r="BB128" s="167"/>
      <c r="BC128" s="167"/>
      <c r="BD128" s="167"/>
      <c r="BE128" s="167"/>
      <c r="BF128" s="167"/>
      <c r="BG128" s="167"/>
      <c r="BH128" s="167"/>
      <c r="BI128" s="167"/>
      <c r="BJ128" s="167"/>
      <c r="BK128" s="167"/>
      <c r="BL128" s="167"/>
      <c r="BM128" s="167"/>
      <c r="BN128" s="167"/>
      <c r="BO128" s="167"/>
      <c r="BP128" s="147"/>
      <c r="BQ128" s="147"/>
      <c r="BR128" s="147"/>
    </row>
    <row r="129" spans="1:70" ht="36">
      <c r="A129" s="143" t="s">
        <v>5514</v>
      </c>
      <c r="B129" s="327" t="s">
        <v>5515</v>
      </c>
      <c r="C129" s="166" t="s">
        <v>5516</v>
      </c>
      <c r="D129" s="165" t="s">
        <v>216</v>
      </c>
      <c r="E129" s="135">
        <v>2024</v>
      </c>
      <c r="F129" s="135">
        <v>2024</v>
      </c>
      <c r="G129" s="135">
        <v>7</v>
      </c>
      <c r="H129" s="165" t="s">
        <v>5517</v>
      </c>
      <c r="I129" s="468">
        <v>9954000</v>
      </c>
      <c r="J129" s="468">
        <v>9954000</v>
      </c>
      <c r="K129" s="514">
        <v>5</v>
      </c>
      <c r="L129" s="7" t="s">
        <v>5290</v>
      </c>
      <c r="M129" s="9" t="s">
        <v>3223</v>
      </c>
      <c r="N129" s="135" t="s">
        <v>3215</v>
      </c>
      <c r="O129" s="15" t="s">
        <v>4951</v>
      </c>
      <c r="P129" s="171" t="s">
        <v>5913</v>
      </c>
      <c r="Q129" s="109">
        <f>Table6[[#This Row],[Dana Disetujui]]</f>
        <v>9954000</v>
      </c>
      <c r="R129" s="6" t="s">
        <v>4269</v>
      </c>
      <c r="S129" s="167" t="s">
        <v>4379</v>
      </c>
      <c r="T129" s="109">
        <f>Table6[[#This Row],[Dana Disetujui]]</f>
        <v>9954000</v>
      </c>
      <c r="U129" s="6" t="s">
        <v>4269</v>
      </c>
      <c r="V129" s="167" t="s">
        <v>145</v>
      </c>
      <c r="W129" s="109">
        <f>Table6[[#This Row],[Dana Disetujui]]</f>
        <v>9954000</v>
      </c>
      <c r="X129" s="6" t="s">
        <v>4269</v>
      </c>
      <c r="Y129" s="167"/>
      <c r="Z129" s="249"/>
      <c r="AA129" s="6"/>
      <c r="AB129" s="167"/>
      <c r="AC129" s="249"/>
      <c r="AD129" s="167"/>
      <c r="AE129" s="167"/>
      <c r="AF129" s="249"/>
      <c r="AG129" s="167"/>
      <c r="AH129" s="167"/>
      <c r="AI129" s="249"/>
      <c r="AJ129" s="167"/>
      <c r="AK129" s="167"/>
      <c r="AL129" s="167"/>
      <c r="AM129" s="167"/>
      <c r="AN129" s="167"/>
      <c r="AO129" s="167"/>
      <c r="AP129" s="167"/>
      <c r="AQ129" s="167">
        <v>5</v>
      </c>
      <c r="AR129" s="160" t="s">
        <v>3190</v>
      </c>
      <c r="AS129" s="256" t="s">
        <v>3191</v>
      </c>
      <c r="AT129" s="171"/>
      <c r="AU129" s="167"/>
      <c r="AV129" s="167"/>
      <c r="AW129" s="167"/>
      <c r="AX129" s="167"/>
      <c r="AY129" s="167"/>
      <c r="AZ129" s="167"/>
      <c r="BA129" s="167"/>
      <c r="BB129" s="167"/>
      <c r="BC129" s="167"/>
      <c r="BD129" s="167"/>
      <c r="BE129" s="167"/>
      <c r="BF129" s="167"/>
      <c r="BG129" s="167"/>
      <c r="BH129" s="167"/>
      <c r="BI129" s="167"/>
      <c r="BJ129" s="167"/>
      <c r="BK129" s="167"/>
      <c r="BL129" s="167"/>
      <c r="BM129" s="167"/>
      <c r="BN129" s="167"/>
      <c r="BO129" s="167"/>
      <c r="BP129" s="147"/>
      <c r="BQ129" s="147"/>
      <c r="BR129" s="147"/>
    </row>
    <row r="130" spans="1:70" ht="36">
      <c r="A130" s="143" t="s">
        <v>5521</v>
      </c>
      <c r="B130" s="327" t="s">
        <v>5522</v>
      </c>
      <c r="C130" s="166" t="s">
        <v>5523</v>
      </c>
      <c r="D130" s="165" t="s">
        <v>216</v>
      </c>
      <c r="E130" s="135">
        <v>2024</v>
      </c>
      <c r="F130" s="135">
        <v>2024</v>
      </c>
      <c r="G130" s="135">
        <v>7</v>
      </c>
      <c r="H130" s="165" t="s">
        <v>5524</v>
      </c>
      <c r="I130" s="468">
        <v>9973000</v>
      </c>
      <c r="J130" s="468">
        <v>9973000</v>
      </c>
      <c r="K130" s="514">
        <v>6</v>
      </c>
      <c r="L130" s="7" t="s">
        <v>5290</v>
      </c>
      <c r="M130" s="9" t="s">
        <v>3223</v>
      </c>
      <c r="N130" s="135" t="s">
        <v>3215</v>
      </c>
      <c r="O130" s="15" t="s">
        <v>4951</v>
      </c>
      <c r="P130" s="171" t="s">
        <v>5905</v>
      </c>
      <c r="Q130" s="109">
        <f>Table6[[#This Row],[Dana Disetujui]]</f>
        <v>9973000</v>
      </c>
      <c r="R130" s="6" t="s">
        <v>4269</v>
      </c>
      <c r="S130" s="167" t="s">
        <v>135</v>
      </c>
      <c r="T130" s="109">
        <f>Table6[[#This Row],[Dana Disetujui]]</f>
        <v>9973000</v>
      </c>
      <c r="U130" s="6" t="s">
        <v>4269</v>
      </c>
      <c r="V130" s="167" t="s">
        <v>3121</v>
      </c>
      <c r="W130" s="109">
        <f>Table6[[#This Row],[Dana Disetujui]]</f>
        <v>9973000</v>
      </c>
      <c r="X130" s="6" t="s">
        <v>4269</v>
      </c>
      <c r="Y130" s="167"/>
      <c r="Z130" s="249"/>
      <c r="AA130" s="6"/>
      <c r="AB130" s="167"/>
      <c r="AC130" s="249"/>
      <c r="AD130" s="167"/>
      <c r="AE130" s="167"/>
      <c r="AF130" s="249"/>
      <c r="AG130" s="167"/>
      <c r="AH130" s="167"/>
      <c r="AI130" s="249"/>
      <c r="AJ130" s="167"/>
      <c r="AK130" s="167"/>
      <c r="AL130" s="167"/>
      <c r="AM130" s="167"/>
      <c r="AN130" s="167"/>
      <c r="AO130" s="167"/>
      <c r="AP130" s="167"/>
      <c r="AQ130" s="167">
        <v>6</v>
      </c>
      <c r="AR130" s="586" t="s">
        <v>3190</v>
      </c>
      <c r="AS130" s="763" t="s">
        <v>3191</v>
      </c>
      <c r="AT130" s="171"/>
      <c r="AU130" s="167"/>
      <c r="AV130" s="167"/>
      <c r="AW130" s="167"/>
      <c r="AX130" s="167"/>
      <c r="AY130" s="167"/>
      <c r="AZ130" s="167"/>
      <c r="BA130" s="167"/>
      <c r="BB130" s="167"/>
      <c r="BC130" s="167"/>
      <c r="BD130" s="167"/>
      <c r="BE130" s="167"/>
      <c r="BF130" s="167"/>
      <c r="BG130" s="167"/>
      <c r="BH130" s="167"/>
      <c r="BI130" s="167"/>
      <c r="BJ130" s="167"/>
      <c r="BK130" s="167"/>
      <c r="BL130" s="167"/>
      <c r="BM130" s="167"/>
      <c r="BN130" s="167"/>
      <c r="BO130" s="167"/>
      <c r="BP130" s="147"/>
      <c r="BQ130" s="147"/>
      <c r="BR130" s="147"/>
    </row>
    <row r="131" spans="1:70" ht="48">
      <c r="A131" s="143" t="s">
        <v>5525</v>
      </c>
      <c r="B131" s="143" t="s">
        <v>5526</v>
      </c>
      <c r="C131" s="166" t="s">
        <v>5527</v>
      </c>
      <c r="D131" s="165" t="s">
        <v>216</v>
      </c>
      <c r="E131" s="135">
        <v>2024</v>
      </c>
      <c r="F131" s="135">
        <v>2024</v>
      </c>
      <c r="G131" s="135">
        <v>7</v>
      </c>
      <c r="H131" s="165" t="s">
        <v>5524</v>
      </c>
      <c r="I131" s="468">
        <v>9770000</v>
      </c>
      <c r="J131" s="468">
        <v>9770000</v>
      </c>
      <c r="K131" s="514">
        <v>4</v>
      </c>
      <c r="L131" s="7" t="s">
        <v>5290</v>
      </c>
      <c r="M131" s="9" t="s">
        <v>3223</v>
      </c>
      <c r="N131" s="135" t="s">
        <v>3215</v>
      </c>
      <c r="O131" s="15" t="s">
        <v>4951</v>
      </c>
      <c r="P131" s="171" t="s">
        <v>5870</v>
      </c>
      <c r="Q131" s="109">
        <f>Table6[[#This Row],[Dana Disetujui]]</f>
        <v>9770000</v>
      </c>
      <c r="R131" s="6" t="s">
        <v>4269</v>
      </c>
      <c r="S131" s="167" t="s">
        <v>4694</v>
      </c>
      <c r="T131" s="109">
        <f>Table6[[#This Row],[Dana Disetujui]]</f>
        <v>9770000</v>
      </c>
      <c r="U131" s="6" t="s">
        <v>4269</v>
      </c>
      <c r="V131" s="167" t="s">
        <v>4839</v>
      </c>
      <c r="W131" s="109">
        <f>Table6[[#This Row],[Dana Disetujui]]</f>
        <v>9770000</v>
      </c>
      <c r="X131" s="6" t="s">
        <v>4269</v>
      </c>
      <c r="Y131" s="167" t="s">
        <v>4545</v>
      </c>
      <c r="Z131" s="109">
        <f>Table6[[#This Row],[Dana Disetujui]]</f>
        <v>9770000</v>
      </c>
      <c r="AA131" s="6" t="s">
        <v>4269</v>
      </c>
      <c r="AB131" s="167" t="s">
        <v>4797</v>
      </c>
      <c r="AC131" s="109">
        <f>Table6[[#This Row],[Dana Disetujui]]</f>
        <v>9770000</v>
      </c>
      <c r="AD131" s="6" t="s">
        <v>4269</v>
      </c>
      <c r="AE131" s="167"/>
      <c r="AF131" s="249"/>
      <c r="AG131" s="167"/>
      <c r="AH131" s="167"/>
      <c r="AI131" s="249"/>
      <c r="AJ131" s="167"/>
      <c r="AK131" s="167"/>
      <c r="AL131" s="167"/>
      <c r="AM131" s="167"/>
      <c r="AN131" s="167"/>
      <c r="AO131" s="167"/>
      <c r="AP131" s="167"/>
      <c r="AQ131" s="167">
        <v>4</v>
      </c>
      <c r="AR131" s="586" t="s">
        <v>3190</v>
      </c>
      <c r="AS131" s="763" t="s">
        <v>3191</v>
      </c>
      <c r="AT131" s="171"/>
      <c r="AU131" s="167"/>
      <c r="AV131" s="167"/>
      <c r="AW131" s="167"/>
      <c r="AX131" s="167"/>
      <c r="AY131" s="167"/>
      <c r="AZ131" s="167"/>
      <c r="BA131" s="167"/>
      <c r="BB131" s="167"/>
      <c r="BC131" s="167"/>
      <c r="BD131" s="167"/>
      <c r="BE131" s="167"/>
      <c r="BF131" s="167"/>
      <c r="BG131" s="167"/>
      <c r="BH131" s="167"/>
      <c r="BI131" s="167"/>
      <c r="BJ131" s="167"/>
      <c r="BK131" s="167"/>
      <c r="BL131" s="167"/>
      <c r="BM131" s="167"/>
      <c r="BN131" s="167"/>
      <c r="BO131" s="167"/>
      <c r="BP131" s="147"/>
      <c r="BQ131" s="147"/>
      <c r="BR131" s="147"/>
    </row>
    <row r="132" spans="1:70" ht="36">
      <c r="A132" s="143" t="s">
        <v>5529</v>
      </c>
      <c r="B132" s="143" t="s">
        <v>5530</v>
      </c>
      <c r="C132" s="166" t="s">
        <v>5531</v>
      </c>
      <c r="D132" s="165" t="s">
        <v>216</v>
      </c>
      <c r="E132" s="135">
        <v>2024</v>
      </c>
      <c r="F132" s="135">
        <v>2024</v>
      </c>
      <c r="G132" s="135">
        <v>7</v>
      </c>
      <c r="H132" s="165" t="s">
        <v>5524</v>
      </c>
      <c r="I132" s="468">
        <v>9983000</v>
      </c>
      <c r="J132" s="468">
        <v>9983000</v>
      </c>
      <c r="K132" s="514">
        <v>4</v>
      </c>
      <c r="L132" s="7" t="s">
        <v>5290</v>
      </c>
      <c r="M132" s="9" t="s">
        <v>3223</v>
      </c>
      <c r="N132" s="135" t="s">
        <v>3215</v>
      </c>
      <c r="O132" s="15" t="s">
        <v>4951</v>
      </c>
      <c r="P132" s="171" t="s">
        <v>5914</v>
      </c>
      <c r="Q132" s="109">
        <f>Table6[[#This Row],[Dana Disetujui]]</f>
        <v>9983000</v>
      </c>
      <c r="R132" s="6" t="s">
        <v>4269</v>
      </c>
      <c r="S132" s="167" t="s">
        <v>146</v>
      </c>
      <c r="T132" s="109">
        <f>Table6[[#This Row],[Dana Disetujui]]</f>
        <v>9983000</v>
      </c>
      <c r="U132" s="6" t="s">
        <v>4269</v>
      </c>
      <c r="V132" s="167" t="s">
        <v>3111</v>
      </c>
      <c r="W132" s="109">
        <f>Table6[[#This Row],[Dana Disetujui]]</f>
        <v>9983000</v>
      </c>
      <c r="X132" s="6" t="s">
        <v>4269</v>
      </c>
      <c r="Y132" s="167"/>
      <c r="Z132" s="249"/>
      <c r="AA132" s="6"/>
      <c r="AB132" s="167"/>
      <c r="AC132" s="249"/>
      <c r="AD132" s="167"/>
      <c r="AE132" s="167"/>
      <c r="AF132" s="249"/>
      <c r="AG132" s="167"/>
      <c r="AH132" s="167"/>
      <c r="AI132" s="249"/>
      <c r="AJ132" s="167"/>
      <c r="AK132" s="167"/>
      <c r="AL132" s="167"/>
      <c r="AM132" s="167"/>
      <c r="AN132" s="167"/>
      <c r="AO132" s="167"/>
      <c r="AP132" s="167"/>
      <c r="AQ132" s="167">
        <v>4</v>
      </c>
      <c r="AR132" s="586" t="s">
        <v>3190</v>
      </c>
      <c r="AS132" s="763" t="s">
        <v>3191</v>
      </c>
      <c r="AT132" s="171"/>
      <c r="AU132" s="167"/>
      <c r="AV132" s="167"/>
      <c r="AW132" s="167"/>
      <c r="AX132" s="167"/>
      <c r="AY132" s="167"/>
      <c r="AZ132" s="167"/>
      <c r="BA132" s="167"/>
      <c r="BB132" s="167"/>
      <c r="BC132" s="167"/>
      <c r="BD132" s="167"/>
      <c r="BE132" s="167"/>
      <c r="BF132" s="167"/>
      <c r="BG132" s="167"/>
      <c r="BH132" s="167"/>
      <c r="BI132" s="167"/>
      <c r="BJ132" s="167"/>
      <c r="BK132" s="167"/>
      <c r="BL132" s="167"/>
      <c r="BM132" s="167"/>
      <c r="BN132" s="167"/>
      <c r="BO132" s="167"/>
      <c r="BP132" s="147"/>
      <c r="BQ132" s="147"/>
      <c r="BR132" s="147"/>
    </row>
    <row r="133" spans="1:70" ht="24">
      <c r="A133" s="143"/>
      <c r="B133" s="327" t="s">
        <v>5532</v>
      </c>
      <c r="C133" s="166" t="s">
        <v>5533</v>
      </c>
      <c r="D133" s="165" t="s">
        <v>214</v>
      </c>
      <c r="E133" s="135">
        <v>2024</v>
      </c>
      <c r="F133" s="135">
        <v>2024</v>
      </c>
      <c r="G133" s="135">
        <v>7</v>
      </c>
      <c r="H133" s="165" t="s">
        <v>5524</v>
      </c>
      <c r="I133" s="468">
        <v>5000000</v>
      </c>
      <c r="J133" s="468">
        <v>5000000</v>
      </c>
      <c r="K133" s="514">
        <v>1</v>
      </c>
      <c r="L133" s="7" t="s">
        <v>5290</v>
      </c>
      <c r="M133" s="9" t="s">
        <v>3223</v>
      </c>
      <c r="N133" s="135" t="s">
        <v>3215</v>
      </c>
      <c r="O133" s="15" t="s">
        <v>4951</v>
      </c>
      <c r="P133" s="171" t="s">
        <v>5915</v>
      </c>
      <c r="Q133" s="109">
        <f>Table6[[#This Row],[Dana Disetujui]]</f>
        <v>5000000</v>
      </c>
      <c r="R133" s="6" t="s">
        <v>4269</v>
      </c>
      <c r="S133" s="167" t="s">
        <v>4751</v>
      </c>
      <c r="T133" s="109">
        <f>Table6[[#This Row],[Dana Disetujui]]</f>
        <v>5000000</v>
      </c>
      <c r="U133" s="6" t="s">
        <v>4269</v>
      </c>
      <c r="V133" s="167" t="s">
        <v>4600</v>
      </c>
      <c r="W133" s="109">
        <f>Table6[[#This Row],[Dana Disetujui]]</f>
        <v>5000000</v>
      </c>
      <c r="X133" s="6" t="s">
        <v>4269</v>
      </c>
      <c r="Y133" s="167"/>
      <c r="Z133" s="249"/>
      <c r="AA133" s="6"/>
      <c r="AB133" s="167"/>
      <c r="AC133" s="249"/>
      <c r="AD133" s="167"/>
      <c r="AE133" s="167"/>
      <c r="AF133" s="249"/>
      <c r="AG133" s="167"/>
      <c r="AH133" s="167"/>
      <c r="AI133" s="249"/>
      <c r="AJ133" s="167"/>
      <c r="AK133" s="167"/>
      <c r="AL133" s="167"/>
      <c r="AM133" s="167"/>
      <c r="AN133" s="167"/>
      <c r="AO133" s="167"/>
      <c r="AP133" s="167"/>
      <c r="AQ133" s="167">
        <v>1</v>
      </c>
      <c r="AR133" s="586" t="s">
        <v>3190</v>
      </c>
      <c r="AS133" s="763" t="s">
        <v>3191</v>
      </c>
      <c r="AT133" s="171"/>
      <c r="AU133" s="167"/>
      <c r="AV133" s="167"/>
      <c r="AW133" s="167"/>
      <c r="AX133" s="167"/>
      <c r="AY133" s="167"/>
      <c r="AZ133" s="167"/>
      <c r="BA133" s="167"/>
      <c r="BB133" s="167"/>
      <c r="BC133" s="167"/>
      <c r="BD133" s="167"/>
      <c r="BE133" s="167"/>
      <c r="BF133" s="167"/>
      <c r="BG133" s="167"/>
      <c r="BH133" s="167"/>
      <c r="BI133" s="167"/>
      <c r="BJ133" s="167"/>
      <c r="BK133" s="167"/>
      <c r="BL133" s="167"/>
      <c r="BM133" s="167"/>
      <c r="BN133" s="167"/>
      <c r="BO133" s="167"/>
      <c r="BP133" s="147"/>
      <c r="BQ133" s="147"/>
      <c r="BR133" s="147"/>
    </row>
    <row r="134" spans="1:70" ht="36">
      <c r="A134" s="143" t="s">
        <v>5514</v>
      </c>
      <c r="B134" s="327" t="s">
        <v>5534</v>
      </c>
      <c r="C134" s="166" t="s">
        <v>5535</v>
      </c>
      <c r="D134" s="165" t="s">
        <v>216</v>
      </c>
      <c r="E134" s="135">
        <v>2024</v>
      </c>
      <c r="F134" s="135">
        <v>2024</v>
      </c>
      <c r="G134" s="135">
        <v>7</v>
      </c>
      <c r="H134" s="165" t="s">
        <v>5536</v>
      </c>
      <c r="I134" s="468">
        <v>10000000</v>
      </c>
      <c r="J134" s="468">
        <v>10000000</v>
      </c>
      <c r="K134" s="514">
        <v>6</v>
      </c>
      <c r="L134" s="7" t="s">
        <v>5290</v>
      </c>
      <c r="M134" s="9" t="s">
        <v>3223</v>
      </c>
      <c r="N134" s="135" t="s">
        <v>3215</v>
      </c>
      <c r="O134" s="15" t="s">
        <v>4951</v>
      </c>
      <c r="P134" s="171" t="s">
        <v>5916</v>
      </c>
      <c r="Q134" s="109">
        <f>Table6[[#This Row],[Dana Disetujui]]</f>
        <v>10000000</v>
      </c>
      <c r="R134" s="6" t="s">
        <v>4269</v>
      </c>
      <c r="S134" s="167" t="s">
        <v>4341</v>
      </c>
      <c r="T134" s="109">
        <f>Table6[[#This Row],[Dana Disetujui]]</f>
        <v>10000000</v>
      </c>
      <c r="U134" s="6" t="s">
        <v>4269</v>
      </c>
      <c r="V134" s="167" t="s">
        <v>3126</v>
      </c>
      <c r="W134" s="109">
        <f>Table6[[#This Row],[Dana Disetujui]]</f>
        <v>10000000</v>
      </c>
      <c r="X134" s="6" t="s">
        <v>4269</v>
      </c>
      <c r="Y134" s="167"/>
      <c r="Z134" s="249"/>
      <c r="AA134" s="6"/>
      <c r="AB134" s="167"/>
      <c r="AC134" s="249"/>
      <c r="AD134" s="167"/>
      <c r="AE134" s="167"/>
      <c r="AF134" s="249"/>
      <c r="AG134" s="167"/>
      <c r="AH134" s="167"/>
      <c r="AI134" s="249"/>
      <c r="AJ134" s="167"/>
      <c r="AK134" s="167"/>
      <c r="AL134" s="167"/>
      <c r="AM134" s="167"/>
      <c r="AN134" s="167"/>
      <c r="AO134" s="167"/>
      <c r="AP134" s="167"/>
      <c r="AQ134" s="167">
        <v>6</v>
      </c>
      <c r="AR134" s="586" t="s">
        <v>3190</v>
      </c>
      <c r="AS134" s="763" t="s">
        <v>3191</v>
      </c>
      <c r="AT134" s="171"/>
      <c r="AU134" s="167"/>
      <c r="AV134" s="167"/>
      <c r="AW134" s="167"/>
      <c r="AX134" s="167"/>
      <c r="AY134" s="167"/>
      <c r="AZ134" s="167"/>
      <c r="BA134" s="167"/>
      <c r="BB134" s="167"/>
      <c r="BC134" s="167"/>
      <c r="BD134" s="167"/>
      <c r="BE134" s="167"/>
      <c r="BF134" s="167"/>
      <c r="BG134" s="167"/>
      <c r="BH134" s="167"/>
      <c r="BI134" s="167"/>
      <c r="BJ134" s="167"/>
      <c r="BK134" s="167"/>
      <c r="BL134" s="167"/>
      <c r="BM134" s="167"/>
      <c r="BN134" s="167"/>
      <c r="BO134" s="167"/>
      <c r="BP134" s="147"/>
      <c r="BQ134" s="147"/>
      <c r="BR134" s="147"/>
    </row>
    <row r="135" spans="1:70" ht="24">
      <c r="A135" s="143"/>
      <c r="B135" s="327" t="s">
        <v>5537</v>
      </c>
      <c r="C135" s="166" t="s">
        <v>5538</v>
      </c>
      <c r="D135" s="165" t="s">
        <v>214</v>
      </c>
      <c r="E135" s="135">
        <v>2024</v>
      </c>
      <c r="F135" s="135">
        <v>2024</v>
      </c>
      <c r="G135" s="135">
        <v>7</v>
      </c>
      <c r="H135" s="165" t="s">
        <v>5536</v>
      </c>
      <c r="I135" s="468">
        <v>5000000</v>
      </c>
      <c r="J135" s="468">
        <v>5000000</v>
      </c>
      <c r="K135" s="514">
        <v>2</v>
      </c>
      <c r="L135" s="7" t="s">
        <v>5290</v>
      </c>
      <c r="M135" s="9" t="s">
        <v>3223</v>
      </c>
      <c r="N135" s="135" t="s">
        <v>3215</v>
      </c>
      <c r="O135" s="15" t="s">
        <v>4951</v>
      </c>
      <c r="P135" s="171" t="s">
        <v>5895</v>
      </c>
      <c r="Q135" s="109">
        <f>Table6[[#This Row],[Dana Disetujui]]</f>
        <v>5000000</v>
      </c>
      <c r="R135" s="6" t="s">
        <v>4269</v>
      </c>
      <c r="S135" s="167" t="s">
        <v>4562</v>
      </c>
      <c r="T135" s="109">
        <f>Table6[[#This Row],[Dana Disetujui]]</f>
        <v>5000000</v>
      </c>
      <c r="U135" s="6" t="s">
        <v>4269</v>
      </c>
      <c r="V135" s="167" t="s">
        <v>4479</v>
      </c>
      <c r="W135" s="109">
        <f>Table6[[#This Row],[Dana Disetujui]]</f>
        <v>5000000</v>
      </c>
      <c r="X135" s="6" t="s">
        <v>4269</v>
      </c>
      <c r="Y135" s="167"/>
      <c r="Z135" s="249"/>
      <c r="AA135" s="6"/>
      <c r="AB135" s="167"/>
      <c r="AC135" s="249"/>
      <c r="AD135" s="167"/>
      <c r="AE135" s="167"/>
      <c r="AF135" s="249"/>
      <c r="AG135" s="167"/>
      <c r="AH135" s="167"/>
      <c r="AI135" s="249"/>
      <c r="AJ135" s="167"/>
      <c r="AK135" s="167"/>
      <c r="AL135" s="167"/>
      <c r="AM135" s="167"/>
      <c r="AN135" s="167"/>
      <c r="AO135" s="167"/>
      <c r="AP135" s="167"/>
      <c r="AQ135" s="167">
        <v>2</v>
      </c>
      <c r="AR135" s="586" t="s">
        <v>3190</v>
      </c>
      <c r="AS135" s="763" t="s">
        <v>3191</v>
      </c>
      <c r="AT135" s="171"/>
      <c r="AU135" s="167"/>
      <c r="AV135" s="167"/>
      <c r="AW135" s="167"/>
      <c r="AX135" s="167"/>
      <c r="AY135" s="167"/>
      <c r="AZ135" s="167"/>
      <c r="BA135" s="167"/>
      <c r="BB135" s="167"/>
      <c r="BC135" s="167"/>
      <c r="BD135" s="167"/>
      <c r="BE135" s="167"/>
      <c r="BF135" s="167"/>
      <c r="BG135" s="167"/>
      <c r="BH135" s="167"/>
      <c r="BI135" s="167"/>
      <c r="BJ135" s="167"/>
      <c r="BK135" s="167"/>
      <c r="BL135" s="167"/>
      <c r="BM135" s="167"/>
      <c r="BN135" s="167"/>
      <c r="BO135" s="167"/>
      <c r="BP135" s="147"/>
      <c r="BQ135" s="147"/>
      <c r="BR135" s="147"/>
    </row>
    <row r="136" spans="1:70" ht="36">
      <c r="A136" s="143"/>
      <c r="B136" s="327" t="s">
        <v>5539</v>
      </c>
      <c r="C136" s="166" t="s">
        <v>5540</v>
      </c>
      <c r="D136" s="165" t="s">
        <v>214</v>
      </c>
      <c r="E136" s="135">
        <v>2024</v>
      </c>
      <c r="F136" s="135">
        <v>2024</v>
      </c>
      <c r="G136" s="135">
        <v>7</v>
      </c>
      <c r="H136" s="165" t="s">
        <v>5524</v>
      </c>
      <c r="I136" s="468">
        <v>5000000</v>
      </c>
      <c r="J136" s="468">
        <v>5000000</v>
      </c>
      <c r="K136" s="514">
        <v>4</v>
      </c>
      <c r="L136" s="7" t="s">
        <v>5290</v>
      </c>
      <c r="M136" s="9" t="s">
        <v>3223</v>
      </c>
      <c r="N136" s="135" t="s">
        <v>3215</v>
      </c>
      <c r="O136" s="15" t="s">
        <v>4951</v>
      </c>
      <c r="P136" s="171" t="s">
        <v>5917</v>
      </c>
      <c r="Q136" s="109">
        <f>Table6[[#This Row],[Dana Disetujui]]</f>
        <v>5000000</v>
      </c>
      <c r="R136" s="6" t="s">
        <v>4269</v>
      </c>
      <c r="S136" s="167" t="s">
        <v>4147</v>
      </c>
      <c r="T136" s="109">
        <f>Table6[[#This Row],[Dana Disetujui]]</f>
        <v>5000000</v>
      </c>
      <c r="U136" s="6" t="s">
        <v>4269</v>
      </c>
      <c r="V136" s="167" t="s">
        <v>4381</v>
      </c>
      <c r="W136" s="109">
        <f>Table6[[#This Row],[Dana Disetujui]]</f>
        <v>5000000</v>
      </c>
      <c r="X136" s="6" t="s">
        <v>4269</v>
      </c>
      <c r="Y136" s="167" t="s">
        <v>5541</v>
      </c>
      <c r="Z136" s="109">
        <f>Table6[[#This Row],[Dana Disetujui]]</f>
        <v>5000000</v>
      </c>
      <c r="AA136" s="6" t="s">
        <v>4269</v>
      </c>
      <c r="AB136" s="167"/>
      <c r="AC136" s="249"/>
      <c r="AD136" s="167"/>
      <c r="AE136" s="167"/>
      <c r="AF136" s="249"/>
      <c r="AG136" s="167"/>
      <c r="AH136" s="167"/>
      <c r="AI136" s="249"/>
      <c r="AJ136" s="167"/>
      <c r="AK136" s="167"/>
      <c r="AL136" s="167"/>
      <c r="AM136" s="167"/>
      <c r="AN136" s="167"/>
      <c r="AO136" s="167"/>
      <c r="AP136" s="167"/>
      <c r="AQ136" s="167">
        <v>4</v>
      </c>
      <c r="AR136" s="586" t="s">
        <v>3190</v>
      </c>
      <c r="AS136" s="763" t="s">
        <v>3191</v>
      </c>
      <c r="AT136" s="171"/>
      <c r="AU136" s="167"/>
      <c r="AV136" s="167"/>
      <c r="AW136" s="167"/>
      <c r="AX136" s="167"/>
      <c r="AY136" s="167"/>
      <c r="AZ136" s="167"/>
      <c r="BA136" s="167"/>
      <c r="BB136" s="167"/>
      <c r="BC136" s="167"/>
      <c r="BD136" s="167"/>
      <c r="BE136" s="167"/>
      <c r="BF136" s="167"/>
      <c r="BG136" s="167"/>
      <c r="BH136" s="167"/>
      <c r="BI136" s="167"/>
      <c r="BJ136" s="167"/>
      <c r="BK136" s="167"/>
      <c r="BL136" s="167"/>
      <c r="BM136" s="167"/>
      <c r="BN136" s="167"/>
      <c r="BO136" s="167"/>
      <c r="BP136" s="147"/>
      <c r="BQ136" s="147"/>
      <c r="BR136" s="147"/>
    </row>
    <row r="137" spans="1:70" ht="36">
      <c r="A137" s="143" t="s">
        <v>5514</v>
      </c>
      <c r="B137" s="143" t="s">
        <v>5542</v>
      </c>
      <c r="C137" s="166" t="s">
        <v>5543</v>
      </c>
      <c r="D137" s="165" t="s">
        <v>216</v>
      </c>
      <c r="E137" s="135">
        <v>2024</v>
      </c>
      <c r="F137" s="135">
        <v>2024</v>
      </c>
      <c r="G137" s="135">
        <v>7</v>
      </c>
      <c r="H137" s="165" t="s">
        <v>5524</v>
      </c>
      <c r="I137" s="468">
        <v>10000000</v>
      </c>
      <c r="J137" s="468">
        <v>10000000</v>
      </c>
      <c r="K137" s="514">
        <v>3</v>
      </c>
      <c r="L137" s="7" t="s">
        <v>5290</v>
      </c>
      <c r="M137" s="9" t="s">
        <v>3223</v>
      </c>
      <c r="N137" s="135" t="s">
        <v>3215</v>
      </c>
      <c r="O137" s="15" t="s">
        <v>4951</v>
      </c>
      <c r="P137" s="171" t="s">
        <v>5918</v>
      </c>
      <c r="Q137" s="109">
        <f>Table6[[#This Row],[Dana Disetujui]]</f>
        <v>10000000</v>
      </c>
      <c r="R137" s="6" t="s">
        <v>4269</v>
      </c>
      <c r="S137" s="167" t="s">
        <v>5528</v>
      </c>
      <c r="T137" s="109">
        <f>Table6[[#This Row],[Dana Disetujui]]</f>
        <v>10000000</v>
      </c>
      <c r="U137" s="6" t="s">
        <v>4269</v>
      </c>
      <c r="V137" s="167" t="s">
        <v>4329</v>
      </c>
      <c r="W137" s="109">
        <f>Table6[[#This Row],[Dana Disetujui]]</f>
        <v>10000000</v>
      </c>
      <c r="X137" s="6" t="s">
        <v>4269</v>
      </c>
      <c r="Y137" s="167"/>
      <c r="Z137" s="249"/>
      <c r="AA137" s="6"/>
      <c r="AB137" s="167"/>
      <c r="AC137" s="249"/>
      <c r="AD137" s="167"/>
      <c r="AE137" s="167"/>
      <c r="AF137" s="249"/>
      <c r="AG137" s="167"/>
      <c r="AH137" s="167"/>
      <c r="AI137" s="249"/>
      <c r="AJ137" s="167"/>
      <c r="AK137" s="167"/>
      <c r="AL137" s="167"/>
      <c r="AM137" s="167"/>
      <c r="AN137" s="167"/>
      <c r="AO137" s="167"/>
      <c r="AP137" s="167"/>
      <c r="AQ137" s="167">
        <v>3</v>
      </c>
      <c r="AR137" s="586" t="s">
        <v>3190</v>
      </c>
      <c r="AS137" s="763" t="s">
        <v>3191</v>
      </c>
      <c r="AT137" s="171"/>
      <c r="AU137" s="167"/>
      <c r="AV137" s="167"/>
      <c r="AW137" s="167"/>
      <c r="AX137" s="167"/>
      <c r="AY137" s="167"/>
      <c r="AZ137" s="167"/>
      <c r="BA137" s="167"/>
      <c r="BB137" s="167"/>
      <c r="BC137" s="167"/>
      <c r="BD137" s="167"/>
      <c r="BE137" s="167"/>
      <c r="BF137" s="167"/>
      <c r="BG137" s="167"/>
      <c r="BH137" s="167"/>
      <c r="BI137" s="167"/>
      <c r="BJ137" s="167"/>
      <c r="BK137" s="167"/>
      <c r="BL137" s="167"/>
      <c r="BM137" s="167"/>
      <c r="BN137" s="167"/>
      <c r="BO137" s="167"/>
      <c r="BP137" s="147"/>
      <c r="BQ137" s="147"/>
      <c r="BR137" s="147"/>
    </row>
    <row r="138" spans="1:70" ht="36">
      <c r="A138" s="143" t="s">
        <v>5514</v>
      </c>
      <c r="B138" s="327" t="s">
        <v>5545</v>
      </c>
      <c r="C138" s="166" t="s">
        <v>5546</v>
      </c>
      <c r="D138" s="165" t="s">
        <v>216</v>
      </c>
      <c r="E138" s="135">
        <v>2024</v>
      </c>
      <c r="F138" s="135">
        <v>2024</v>
      </c>
      <c r="G138" s="135">
        <v>7</v>
      </c>
      <c r="H138" s="165" t="s">
        <v>5524</v>
      </c>
      <c r="I138" s="468">
        <v>10000000</v>
      </c>
      <c r="J138" s="468">
        <v>10000000</v>
      </c>
      <c r="K138" s="514">
        <v>4</v>
      </c>
      <c r="L138" s="7" t="s">
        <v>5290</v>
      </c>
      <c r="M138" s="9" t="s">
        <v>3223</v>
      </c>
      <c r="N138" s="135" t="s">
        <v>3215</v>
      </c>
      <c r="O138" s="15" t="s">
        <v>4951</v>
      </c>
      <c r="P138" s="171" t="s">
        <v>5919</v>
      </c>
      <c r="Q138" s="109">
        <f>Table6[[#This Row],[Dana Disetujui]]</f>
        <v>10000000</v>
      </c>
      <c r="R138" s="6" t="s">
        <v>4269</v>
      </c>
      <c r="S138" s="167" t="s">
        <v>4291</v>
      </c>
      <c r="T138" s="109">
        <f>Table6[[#This Row],[Dana Disetujui]]</f>
        <v>10000000</v>
      </c>
      <c r="U138" s="6" t="s">
        <v>4269</v>
      </c>
      <c r="V138" s="167" t="s">
        <v>123</v>
      </c>
      <c r="W138" s="109">
        <f>Table6[[#This Row],[Dana Disetujui]]</f>
        <v>10000000</v>
      </c>
      <c r="X138" s="6" t="s">
        <v>4269</v>
      </c>
      <c r="Y138" s="167" t="s">
        <v>4383</v>
      </c>
      <c r="Z138" s="109">
        <f>Table6[[#This Row],[Dana Disetujui]]</f>
        <v>10000000</v>
      </c>
      <c r="AA138" s="6" t="s">
        <v>4269</v>
      </c>
      <c r="AB138" s="167"/>
      <c r="AC138" s="249"/>
      <c r="AD138" s="167"/>
      <c r="AE138" s="167"/>
      <c r="AF138" s="249"/>
      <c r="AG138" s="167"/>
      <c r="AH138" s="167"/>
      <c r="AI138" s="249"/>
      <c r="AJ138" s="167"/>
      <c r="AK138" s="167"/>
      <c r="AL138" s="167"/>
      <c r="AM138" s="167"/>
      <c r="AN138" s="167"/>
      <c r="AO138" s="167"/>
      <c r="AP138" s="167"/>
      <c r="AQ138" s="167">
        <v>4</v>
      </c>
      <c r="AR138" s="586" t="s">
        <v>3190</v>
      </c>
      <c r="AS138" s="763" t="s">
        <v>3191</v>
      </c>
      <c r="AT138" s="171"/>
      <c r="AU138" s="167"/>
      <c r="AV138" s="167"/>
      <c r="AW138" s="167"/>
      <c r="AX138" s="167"/>
      <c r="AY138" s="167"/>
      <c r="AZ138" s="167"/>
      <c r="BA138" s="167"/>
      <c r="BB138" s="167"/>
      <c r="BC138" s="167"/>
      <c r="BD138" s="167"/>
      <c r="BE138" s="167"/>
      <c r="BF138" s="167"/>
      <c r="BG138" s="167"/>
      <c r="BH138" s="167"/>
      <c r="BI138" s="167"/>
      <c r="BJ138" s="167"/>
      <c r="BK138" s="167"/>
      <c r="BL138" s="167"/>
      <c r="BM138" s="167"/>
      <c r="BN138" s="167"/>
      <c r="BO138" s="167"/>
      <c r="BP138" s="147"/>
      <c r="BQ138" s="147"/>
      <c r="BR138" s="147"/>
    </row>
    <row r="139" spans="1:70" ht="36">
      <c r="A139" s="143" t="s">
        <v>5514</v>
      </c>
      <c r="B139" s="143" t="s">
        <v>5548</v>
      </c>
      <c r="C139" s="166" t="s">
        <v>5549</v>
      </c>
      <c r="D139" s="165" t="s">
        <v>216</v>
      </c>
      <c r="E139" s="135">
        <v>2024</v>
      </c>
      <c r="F139" s="135">
        <v>2024</v>
      </c>
      <c r="G139" s="135">
        <v>7</v>
      </c>
      <c r="H139" s="165" t="s">
        <v>5524</v>
      </c>
      <c r="I139" s="468">
        <v>10000000</v>
      </c>
      <c r="J139" s="468">
        <v>10000000</v>
      </c>
      <c r="K139" s="514">
        <v>3</v>
      </c>
      <c r="L139" s="7" t="s">
        <v>5290</v>
      </c>
      <c r="M139" s="9" t="s">
        <v>3223</v>
      </c>
      <c r="N139" s="135" t="s">
        <v>3215</v>
      </c>
      <c r="O139" s="15" t="s">
        <v>4951</v>
      </c>
      <c r="P139" s="171" t="s">
        <v>5920</v>
      </c>
      <c r="Q139" s="109">
        <f>Table6[[#This Row],[Dana Disetujui]]</f>
        <v>10000000</v>
      </c>
      <c r="R139" s="6" t="s">
        <v>4269</v>
      </c>
      <c r="S139" s="167" t="s">
        <v>4667</v>
      </c>
      <c r="T139" s="109">
        <f>Table6[[#This Row],[Dana Disetujui]]</f>
        <v>10000000</v>
      </c>
      <c r="U139" s="6" t="s">
        <v>4269</v>
      </c>
      <c r="V139" s="167" t="s">
        <v>5544</v>
      </c>
      <c r="W139" s="109">
        <f>Table6[[#This Row],[Dana Disetujui]]</f>
        <v>10000000</v>
      </c>
      <c r="X139" s="6" t="s">
        <v>4269</v>
      </c>
      <c r="Y139" s="167"/>
      <c r="Z139" s="249"/>
      <c r="AA139" s="6"/>
      <c r="AB139" s="167"/>
      <c r="AC139" s="249"/>
      <c r="AD139" s="167"/>
      <c r="AE139" s="167"/>
      <c r="AF139" s="249"/>
      <c r="AG139" s="167"/>
      <c r="AH139" s="167"/>
      <c r="AI139" s="249"/>
      <c r="AJ139" s="167"/>
      <c r="AK139" s="167"/>
      <c r="AL139" s="167"/>
      <c r="AM139" s="167"/>
      <c r="AN139" s="167"/>
      <c r="AO139" s="167"/>
      <c r="AP139" s="167"/>
      <c r="AQ139" s="167">
        <v>3</v>
      </c>
      <c r="AR139" s="586" t="s">
        <v>3190</v>
      </c>
      <c r="AS139" s="763" t="s">
        <v>3191</v>
      </c>
      <c r="AT139" s="171"/>
      <c r="AU139" s="167"/>
      <c r="AV139" s="167"/>
      <c r="AW139" s="167"/>
      <c r="AX139" s="167"/>
      <c r="AY139" s="167"/>
      <c r="AZ139" s="167"/>
      <c r="BA139" s="167"/>
      <c r="BB139" s="167"/>
      <c r="BC139" s="167"/>
      <c r="BD139" s="167"/>
      <c r="BE139" s="167"/>
      <c r="BF139" s="167"/>
      <c r="BG139" s="167"/>
      <c r="BH139" s="167"/>
      <c r="BI139" s="167"/>
      <c r="BJ139" s="167"/>
      <c r="BK139" s="167"/>
      <c r="BL139" s="167"/>
      <c r="BM139" s="167"/>
      <c r="BN139" s="167"/>
      <c r="BO139" s="167"/>
      <c r="BP139" s="147"/>
      <c r="BQ139" s="147"/>
      <c r="BR139" s="147"/>
    </row>
    <row r="140" spans="1:70" ht="36">
      <c r="A140" s="143" t="s">
        <v>5514</v>
      </c>
      <c r="B140" s="143" t="s">
        <v>5550</v>
      </c>
      <c r="C140" s="166" t="s">
        <v>5551</v>
      </c>
      <c r="D140" s="165" t="s">
        <v>216</v>
      </c>
      <c r="E140" s="135">
        <v>2024</v>
      </c>
      <c r="F140" s="135">
        <v>2024</v>
      </c>
      <c r="G140" s="135">
        <v>7</v>
      </c>
      <c r="H140" s="165" t="s">
        <v>5524</v>
      </c>
      <c r="I140" s="468">
        <v>10000000</v>
      </c>
      <c r="J140" s="468">
        <v>10000000</v>
      </c>
      <c r="K140" s="514">
        <v>3</v>
      </c>
      <c r="L140" s="7" t="s">
        <v>5290</v>
      </c>
      <c r="M140" s="9" t="s">
        <v>3223</v>
      </c>
      <c r="N140" s="135" t="s">
        <v>3215</v>
      </c>
      <c r="O140" s="15" t="s">
        <v>4951</v>
      </c>
      <c r="P140" s="171" t="s">
        <v>5884</v>
      </c>
      <c r="Q140" s="109">
        <f>Table6[[#This Row],[Dana Disetujui]]</f>
        <v>10000000</v>
      </c>
      <c r="R140" s="6" t="s">
        <v>4269</v>
      </c>
      <c r="S140" s="167" t="s">
        <v>3128</v>
      </c>
      <c r="T140" s="109">
        <f>Table6[[#This Row],[Dana Disetujui]]</f>
        <v>10000000</v>
      </c>
      <c r="U140" s="6" t="s">
        <v>4269</v>
      </c>
      <c r="V140" s="167" t="s">
        <v>5552</v>
      </c>
      <c r="W140" s="109">
        <f>Table6[[#This Row],[Dana Disetujui]]</f>
        <v>10000000</v>
      </c>
      <c r="X140" s="6" t="s">
        <v>4269</v>
      </c>
      <c r="Y140" s="167"/>
      <c r="Z140" s="249"/>
      <c r="AA140" s="6"/>
      <c r="AB140" s="167"/>
      <c r="AC140" s="249"/>
      <c r="AD140" s="167"/>
      <c r="AE140" s="167"/>
      <c r="AF140" s="249"/>
      <c r="AG140" s="167"/>
      <c r="AH140" s="167"/>
      <c r="AI140" s="249"/>
      <c r="AJ140" s="167"/>
      <c r="AK140" s="167"/>
      <c r="AL140" s="167"/>
      <c r="AM140" s="167"/>
      <c r="AN140" s="167"/>
      <c r="AO140" s="167"/>
      <c r="AP140" s="167"/>
      <c r="AQ140" s="167">
        <v>3</v>
      </c>
      <c r="AR140" s="586" t="s">
        <v>3190</v>
      </c>
      <c r="AS140" s="763" t="s">
        <v>3191</v>
      </c>
      <c r="AT140" s="171"/>
      <c r="AU140" s="167"/>
      <c r="AV140" s="167"/>
      <c r="AW140" s="167"/>
      <c r="AX140" s="167"/>
      <c r="AY140" s="167"/>
      <c r="AZ140" s="167"/>
      <c r="BA140" s="167"/>
      <c r="BB140" s="167"/>
      <c r="BC140" s="167"/>
      <c r="BD140" s="167"/>
      <c r="BE140" s="167"/>
      <c r="BF140" s="167"/>
      <c r="BG140" s="167"/>
      <c r="BH140" s="167"/>
      <c r="BI140" s="167"/>
      <c r="BJ140" s="167"/>
      <c r="BK140" s="167"/>
      <c r="BL140" s="167"/>
      <c r="BM140" s="167"/>
      <c r="BN140" s="167"/>
      <c r="BO140" s="167"/>
      <c r="BP140" s="147"/>
      <c r="BQ140" s="147"/>
      <c r="BR140" s="147"/>
    </row>
    <row r="141" spans="1:70" ht="36">
      <c r="A141" s="143" t="s">
        <v>5514</v>
      </c>
      <c r="B141" s="327" t="s">
        <v>5553</v>
      </c>
      <c r="C141" s="166" t="s">
        <v>5554</v>
      </c>
      <c r="D141" s="165" t="s">
        <v>216</v>
      </c>
      <c r="E141" s="135">
        <v>2024</v>
      </c>
      <c r="F141" s="135">
        <v>2024</v>
      </c>
      <c r="G141" s="135">
        <v>7</v>
      </c>
      <c r="H141" s="165" t="s">
        <v>4796</v>
      </c>
      <c r="I141" s="468">
        <v>10000000</v>
      </c>
      <c r="J141" s="468">
        <v>10000000</v>
      </c>
      <c r="K141" s="514">
        <v>5</v>
      </c>
      <c r="L141" s="7" t="s">
        <v>5290</v>
      </c>
      <c r="M141" s="9" t="s">
        <v>3223</v>
      </c>
      <c r="N141" s="135" t="s">
        <v>3215</v>
      </c>
      <c r="O141" s="15" t="s">
        <v>4951</v>
      </c>
      <c r="P141" s="171" t="s">
        <v>5921</v>
      </c>
      <c r="Q141" s="109">
        <f>Table6[[#This Row],[Dana Disetujui]]</f>
        <v>10000000</v>
      </c>
      <c r="R141" s="6" t="s">
        <v>4269</v>
      </c>
      <c r="S141" s="167" t="s">
        <v>3124</v>
      </c>
      <c r="T141" s="109">
        <f>Table6[[#This Row],[Dana Disetujui]]</f>
        <v>10000000</v>
      </c>
      <c r="U141" s="6" t="s">
        <v>4269</v>
      </c>
      <c r="V141" s="167" t="s">
        <v>4593</v>
      </c>
      <c r="W141" s="109">
        <f>Table6[[#This Row],[Dana Disetujui]]</f>
        <v>10000000</v>
      </c>
      <c r="X141" s="6" t="s">
        <v>4269</v>
      </c>
      <c r="Y141" s="167" t="s">
        <v>4316</v>
      </c>
      <c r="Z141" s="109">
        <f>Table6[[#This Row],[Dana Disetujui]]</f>
        <v>10000000</v>
      </c>
      <c r="AA141" s="6" t="s">
        <v>4269</v>
      </c>
      <c r="AB141" s="167"/>
      <c r="AC141" s="249"/>
      <c r="AD141" s="167"/>
      <c r="AE141" s="167"/>
      <c r="AF141" s="249"/>
      <c r="AG141" s="167"/>
      <c r="AH141" s="167"/>
      <c r="AI141" s="249"/>
      <c r="AJ141" s="167"/>
      <c r="AK141" s="167"/>
      <c r="AL141" s="167"/>
      <c r="AM141" s="167"/>
      <c r="AN141" s="167"/>
      <c r="AO141" s="167"/>
      <c r="AP141" s="167"/>
      <c r="AQ141" s="167">
        <v>6</v>
      </c>
      <c r="AR141" s="586" t="s">
        <v>3190</v>
      </c>
      <c r="AS141" s="763" t="s">
        <v>3191</v>
      </c>
      <c r="AT141" s="171"/>
      <c r="AU141" s="167"/>
      <c r="AV141" s="167"/>
      <c r="AW141" s="167"/>
      <c r="AX141" s="167"/>
      <c r="AY141" s="167"/>
      <c r="AZ141" s="167"/>
      <c r="BA141" s="167"/>
      <c r="BB141" s="167"/>
      <c r="BC141" s="167"/>
      <c r="BD141" s="167"/>
      <c r="BE141" s="167"/>
      <c r="BF141" s="167"/>
      <c r="BG141" s="167"/>
      <c r="BH141" s="167"/>
      <c r="BI141" s="167"/>
      <c r="BJ141" s="167"/>
      <c r="BK141" s="167"/>
      <c r="BL141" s="167"/>
      <c r="BM141" s="167"/>
      <c r="BN141" s="167"/>
      <c r="BO141" s="167"/>
      <c r="BP141" s="147"/>
      <c r="BQ141" s="147"/>
      <c r="BR141" s="147"/>
    </row>
    <row r="142" spans="1:70" ht="48" customHeight="1">
      <c r="A142" s="143" t="s">
        <v>5514</v>
      </c>
      <c r="B142" s="143" t="s">
        <v>5555</v>
      </c>
      <c r="C142" s="166" t="s">
        <v>5556</v>
      </c>
      <c r="D142" s="165" t="s">
        <v>216</v>
      </c>
      <c r="E142" s="135">
        <v>2024</v>
      </c>
      <c r="F142" s="135">
        <v>2024</v>
      </c>
      <c r="G142" s="135">
        <v>7</v>
      </c>
      <c r="H142" s="165" t="s">
        <v>5536</v>
      </c>
      <c r="I142" s="468">
        <v>9965000</v>
      </c>
      <c r="J142" s="468">
        <v>9965000</v>
      </c>
      <c r="K142" s="514">
        <v>3</v>
      </c>
      <c r="L142" s="7" t="s">
        <v>5290</v>
      </c>
      <c r="M142" s="9" t="s">
        <v>3223</v>
      </c>
      <c r="N142" s="135" t="s">
        <v>3215</v>
      </c>
      <c r="O142" s="15" t="s">
        <v>4951</v>
      </c>
      <c r="P142" s="167" t="s">
        <v>4728</v>
      </c>
      <c r="Q142" s="109">
        <f>Table6[[#This Row],[Dana Disetujui]]</f>
        <v>9965000</v>
      </c>
      <c r="R142" s="6" t="s">
        <v>4269</v>
      </c>
      <c r="S142" s="167" t="s">
        <v>4305</v>
      </c>
      <c r="T142" s="109">
        <f>Table6[[#This Row],[Dana Disetujui]]</f>
        <v>9965000</v>
      </c>
      <c r="U142" s="6" t="s">
        <v>4269</v>
      </c>
      <c r="V142" s="167" t="s">
        <v>112</v>
      </c>
      <c r="W142" s="109">
        <f>Table6[[#This Row],[Dana Disetujui]]</f>
        <v>9965000</v>
      </c>
      <c r="X142" s="6" t="s">
        <v>4269</v>
      </c>
      <c r="Y142" s="167"/>
      <c r="Z142" s="249"/>
      <c r="AA142" s="6"/>
      <c r="AB142" s="167"/>
      <c r="AC142" s="249"/>
      <c r="AD142" s="167"/>
      <c r="AE142" s="167"/>
      <c r="AF142" s="249"/>
      <c r="AG142" s="167"/>
      <c r="AH142" s="167"/>
      <c r="AI142" s="249"/>
      <c r="AJ142" s="167"/>
      <c r="AK142" s="167"/>
      <c r="AL142" s="167"/>
      <c r="AM142" s="167"/>
      <c r="AN142" s="167"/>
      <c r="AO142" s="167"/>
      <c r="AP142" s="167"/>
      <c r="AQ142" s="167">
        <v>3</v>
      </c>
      <c r="AR142" s="586" t="s">
        <v>3190</v>
      </c>
      <c r="AS142" s="763" t="s">
        <v>3191</v>
      </c>
      <c r="AT142" s="171"/>
      <c r="AU142" s="167"/>
      <c r="AV142" s="167"/>
      <c r="AW142" s="167"/>
      <c r="AX142" s="167"/>
      <c r="AY142" s="167"/>
      <c r="AZ142" s="167"/>
      <c r="BA142" s="167"/>
      <c r="BB142" s="167"/>
      <c r="BC142" s="167"/>
      <c r="BD142" s="167"/>
      <c r="BE142" s="167"/>
      <c r="BF142" s="167"/>
      <c r="BG142" s="167"/>
      <c r="BH142" s="167"/>
      <c r="BI142" s="167"/>
      <c r="BJ142" s="167"/>
      <c r="BK142" s="167"/>
      <c r="BL142" s="167"/>
      <c r="BM142" s="167"/>
      <c r="BN142" s="167"/>
      <c r="BO142" s="167"/>
      <c r="BP142" s="147"/>
      <c r="BQ142" s="147"/>
      <c r="BR142" s="147"/>
    </row>
    <row r="143" spans="1:70" ht="48">
      <c r="A143" s="143" t="s">
        <v>5514</v>
      </c>
      <c r="B143" s="143" t="s">
        <v>5558</v>
      </c>
      <c r="C143" s="166" t="s">
        <v>5559</v>
      </c>
      <c r="D143" s="165" t="s">
        <v>216</v>
      </c>
      <c r="E143" s="135">
        <v>2024</v>
      </c>
      <c r="F143" s="135">
        <v>2024</v>
      </c>
      <c r="G143" s="135">
        <v>7</v>
      </c>
      <c r="H143" s="165" t="s">
        <v>5524</v>
      </c>
      <c r="I143" s="468">
        <v>10000000</v>
      </c>
      <c r="J143" s="468">
        <v>10000000</v>
      </c>
      <c r="K143" s="514">
        <v>4</v>
      </c>
      <c r="L143" s="7" t="s">
        <v>5290</v>
      </c>
      <c r="M143" s="9" t="s">
        <v>3223</v>
      </c>
      <c r="N143" s="135" t="s">
        <v>3215</v>
      </c>
      <c r="O143" s="15" t="s">
        <v>4951</v>
      </c>
      <c r="P143" s="171" t="s">
        <v>5854</v>
      </c>
      <c r="Q143" s="109">
        <f>Table6[[#This Row],[Dana Disetujui]]</f>
        <v>10000000</v>
      </c>
      <c r="R143" s="6" t="s">
        <v>4269</v>
      </c>
      <c r="S143" s="167" t="s">
        <v>4381</v>
      </c>
      <c r="T143" s="109">
        <f>Table6[[#This Row],[Dana Disetujui]]</f>
        <v>10000000</v>
      </c>
      <c r="U143" s="6" t="s">
        <v>4269</v>
      </c>
      <c r="V143" s="167" t="s">
        <v>5541</v>
      </c>
      <c r="W143" s="109">
        <f>Table6[[#This Row],[Dana Disetujui]]</f>
        <v>10000000</v>
      </c>
      <c r="X143" s="6" t="s">
        <v>4269</v>
      </c>
      <c r="Y143" s="167" t="s">
        <v>135</v>
      </c>
      <c r="Z143" s="109">
        <f>Table6[[#This Row],[Dana Disetujui]]</f>
        <v>10000000</v>
      </c>
      <c r="AA143" s="6" t="s">
        <v>4269</v>
      </c>
      <c r="AB143" s="167" t="s">
        <v>4545</v>
      </c>
      <c r="AC143" s="109">
        <f>Table6[[#This Row],[Dana Disetujui]]</f>
        <v>10000000</v>
      </c>
      <c r="AD143" s="6" t="s">
        <v>4269</v>
      </c>
      <c r="AE143" s="167" t="s">
        <v>5560</v>
      </c>
      <c r="AF143" s="109">
        <f>Table6[[#This Row],[Dana Disetujui]]</f>
        <v>10000000</v>
      </c>
      <c r="AG143" s="6" t="s">
        <v>4269</v>
      </c>
      <c r="AH143" s="167" t="s">
        <v>136</v>
      </c>
      <c r="AI143" s="109">
        <f>Table6[[#This Row],[Dana Disetujui]]</f>
        <v>10000000</v>
      </c>
      <c r="AJ143" s="6"/>
      <c r="AK143" s="6"/>
      <c r="AL143" s="6"/>
      <c r="AM143" s="6"/>
      <c r="AN143" s="6"/>
      <c r="AO143" s="6"/>
      <c r="AP143" s="6"/>
      <c r="AQ143" s="542">
        <v>4</v>
      </c>
      <c r="AR143" s="586" t="s">
        <v>3190</v>
      </c>
      <c r="AS143" s="763" t="s">
        <v>3191</v>
      </c>
      <c r="AT143" s="171"/>
      <c r="AU143" s="167"/>
      <c r="AV143" s="167"/>
      <c r="AW143" s="167"/>
      <c r="AX143" s="167"/>
      <c r="AY143" s="167"/>
      <c r="AZ143" s="167"/>
      <c r="BA143" s="167"/>
      <c r="BB143" s="167"/>
      <c r="BC143" s="167"/>
      <c r="BD143" s="167"/>
      <c r="BE143" s="167"/>
      <c r="BF143" s="167"/>
      <c r="BG143" s="167"/>
      <c r="BH143" s="167"/>
      <c r="BI143" s="167"/>
      <c r="BJ143" s="167"/>
      <c r="BK143" s="167"/>
      <c r="BL143" s="167"/>
      <c r="BM143" s="167"/>
      <c r="BN143" s="167"/>
      <c r="BO143" s="167"/>
      <c r="BP143" s="147"/>
      <c r="BQ143" s="147"/>
      <c r="BR143" s="147"/>
    </row>
    <row r="144" spans="1:70" ht="36">
      <c r="A144" s="143" t="s">
        <v>5514</v>
      </c>
      <c r="B144" s="327" t="s">
        <v>5562</v>
      </c>
      <c r="C144" s="166" t="s">
        <v>5563</v>
      </c>
      <c r="D144" s="165" t="s">
        <v>216</v>
      </c>
      <c r="E144" s="135">
        <v>2024</v>
      </c>
      <c r="F144" s="135">
        <v>2024</v>
      </c>
      <c r="G144" s="135">
        <v>7</v>
      </c>
      <c r="H144" s="165" t="s">
        <v>5524</v>
      </c>
      <c r="I144" s="468">
        <v>9955000</v>
      </c>
      <c r="J144" s="468">
        <v>9955000</v>
      </c>
      <c r="K144" s="514">
        <v>7</v>
      </c>
      <c r="L144" s="7" t="s">
        <v>5290</v>
      </c>
      <c r="M144" s="9" t="s">
        <v>3223</v>
      </c>
      <c r="N144" s="135" t="s">
        <v>3215</v>
      </c>
      <c r="O144" s="15" t="s">
        <v>4951</v>
      </c>
      <c r="P144" s="171" t="s">
        <v>5875</v>
      </c>
      <c r="Q144" s="109">
        <f>Table6[[#This Row],[Dana Disetujui]]</f>
        <v>9955000</v>
      </c>
      <c r="R144" s="6" t="s">
        <v>4269</v>
      </c>
      <c r="S144" s="167" t="s">
        <v>4288</v>
      </c>
      <c r="T144" s="109">
        <f>Table6[[#This Row],[Dana Disetujui]]</f>
        <v>9955000</v>
      </c>
      <c r="U144" s="6" t="s">
        <v>4269</v>
      </c>
      <c r="V144" s="167" t="s">
        <v>5564</v>
      </c>
      <c r="W144" s="109">
        <f>Table6[[#This Row],[Dana Disetujui]]</f>
        <v>9955000</v>
      </c>
      <c r="X144" s="6" t="s">
        <v>4269</v>
      </c>
      <c r="Y144" s="167" t="s">
        <v>4898</v>
      </c>
      <c r="Z144" s="109">
        <f>Table6[[#This Row],[Dana Disetujui]]</f>
        <v>9955000</v>
      </c>
      <c r="AA144" s="6" t="s">
        <v>4269</v>
      </c>
      <c r="AB144" s="167"/>
      <c r="AC144" s="249"/>
      <c r="AD144" s="167"/>
      <c r="AE144" s="167"/>
      <c r="AF144" s="249"/>
      <c r="AG144" s="167"/>
      <c r="AH144" s="167"/>
      <c r="AI144" s="249"/>
      <c r="AJ144" s="167"/>
      <c r="AK144" s="167"/>
      <c r="AL144" s="167"/>
      <c r="AM144" s="167"/>
      <c r="AN144" s="167"/>
      <c r="AO144" s="167"/>
      <c r="AP144" s="167"/>
      <c r="AQ144" s="167">
        <v>7</v>
      </c>
      <c r="AR144" s="586" t="s">
        <v>3190</v>
      </c>
      <c r="AS144" s="763" t="s">
        <v>3191</v>
      </c>
      <c r="AT144" s="171"/>
      <c r="AU144" s="167"/>
      <c r="AV144" s="167"/>
      <c r="AW144" s="167"/>
      <c r="AX144" s="167"/>
      <c r="AY144" s="167"/>
      <c r="AZ144" s="167"/>
      <c r="BA144" s="167"/>
      <c r="BB144" s="167"/>
      <c r="BC144" s="167"/>
      <c r="BD144" s="167"/>
      <c r="BE144" s="167"/>
      <c r="BF144" s="167"/>
      <c r="BG144" s="167"/>
      <c r="BH144" s="167"/>
      <c r="BI144" s="167"/>
      <c r="BJ144" s="167"/>
      <c r="BK144" s="167"/>
      <c r="BL144" s="167"/>
      <c r="BM144" s="167"/>
      <c r="BN144" s="167"/>
      <c r="BO144" s="167"/>
      <c r="BP144" s="147"/>
      <c r="BQ144" s="147"/>
      <c r="BR144" s="147"/>
    </row>
    <row r="145" spans="1:70" ht="24">
      <c r="A145" s="143"/>
      <c r="B145" s="327" t="s">
        <v>5565</v>
      </c>
      <c r="C145" s="166" t="s">
        <v>5566</v>
      </c>
      <c r="D145" s="165" t="s">
        <v>214</v>
      </c>
      <c r="E145" s="135">
        <v>2024</v>
      </c>
      <c r="F145" s="135">
        <v>2024</v>
      </c>
      <c r="G145" s="135">
        <v>7</v>
      </c>
      <c r="H145" s="165" t="s">
        <v>5524</v>
      </c>
      <c r="I145" s="468">
        <v>5000000</v>
      </c>
      <c r="J145" s="468">
        <v>5000000</v>
      </c>
      <c r="K145" s="514">
        <v>3</v>
      </c>
      <c r="L145" s="7" t="s">
        <v>5290</v>
      </c>
      <c r="M145" s="9" t="s">
        <v>3223</v>
      </c>
      <c r="N145" s="135" t="s">
        <v>3215</v>
      </c>
      <c r="O145" s="15" t="s">
        <v>4951</v>
      </c>
      <c r="P145" s="171" t="s">
        <v>5850</v>
      </c>
      <c r="Q145" s="109">
        <f>Table6[[#This Row],[Dana Disetujui]]</f>
        <v>5000000</v>
      </c>
      <c r="R145" s="6" t="s">
        <v>4269</v>
      </c>
      <c r="S145" s="167" t="s">
        <v>4821</v>
      </c>
      <c r="T145" s="109">
        <f>Table6[[#This Row],[Dana Disetujui]]</f>
        <v>5000000</v>
      </c>
      <c r="U145" s="6" t="s">
        <v>4269</v>
      </c>
      <c r="V145" s="167" t="s">
        <v>4290</v>
      </c>
      <c r="W145" s="109">
        <f>Table6[[#This Row],[Dana Disetujui]]</f>
        <v>5000000</v>
      </c>
      <c r="X145" s="6" t="s">
        <v>4269</v>
      </c>
      <c r="Y145" s="167"/>
      <c r="Z145" s="249"/>
      <c r="AA145" s="6"/>
      <c r="AB145" s="167"/>
      <c r="AC145" s="249"/>
      <c r="AD145" s="167"/>
      <c r="AE145" s="167"/>
      <c r="AF145" s="249"/>
      <c r="AG145" s="167"/>
      <c r="AH145" s="167"/>
      <c r="AI145" s="249"/>
      <c r="AJ145" s="167"/>
      <c r="AK145" s="167"/>
      <c r="AL145" s="167"/>
      <c r="AM145" s="167"/>
      <c r="AN145" s="167"/>
      <c r="AO145" s="167"/>
      <c r="AP145" s="167"/>
      <c r="AQ145" s="167">
        <v>3</v>
      </c>
      <c r="AR145" s="586" t="s">
        <v>3190</v>
      </c>
      <c r="AS145" s="763" t="s">
        <v>3191</v>
      </c>
      <c r="AT145" s="171"/>
      <c r="AU145" s="167"/>
      <c r="AV145" s="167"/>
      <c r="AW145" s="167"/>
      <c r="AX145" s="167"/>
      <c r="AY145" s="167"/>
      <c r="AZ145" s="167"/>
      <c r="BA145" s="167"/>
      <c r="BB145" s="167"/>
      <c r="BC145" s="167"/>
      <c r="BD145" s="167"/>
      <c r="BE145" s="167"/>
      <c r="BF145" s="167"/>
      <c r="BG145" s="167"/>
      <c r="BH145" s="167"/>
      <c r="BI145" s="167"/>
      <c r="BJ145" s="167"/>
      <c r="BK145" s="167"/>
      <c r="BL145" s="167"/>
      <c r="BM145" s="167"/>
      <c r="BN145" s="167"/>
      <c r="BO145" s="167"/>
      <c r="BP145" s="147"/>
      <c r="BQ145" s="147"/>
      <c r="BR145" s="147"/>
    </row>
    <row r="146" spans="1:70" ht="36">
      <c r="A146" s="143" t="s">
        <v>5514</v>
      </c>
      <c r="B146" s="327" t="s">
        <v>5567</v>
      </c>
      <c r="C146" s="166" t="s">
        <v>5568</v>
      </c>
      <c r="D146" s="165" t="s">
        <v>216</v>
      </c>
      <c r="E146" s="135">
        <v>2024</v>
      </c>
      <c r="F146" s="135">
        <v>2024</v>
      </c>
      <c r="G146" s="135">
        <v>7</v>
      </c>
      <c r="H146" s="165" t="s">
        <v>5517</v>
      </c>
      <c r="I146" s="468">
        <v>10000000</v>
      </c>
      <c r="J146" s="468">
        <v>10000000</v>
      </c>
      <c r="K146" s="514">
        <v>6</v>
      </c>
      <c r="L146" s="7" t="s">
        <v>5290</v>
      </c>
      <c r="M146" s="9" t="s">
        <v>3223</v>
      </c>
      <c r="N146" s="135" t="s">
        <v>3215</v>
      </c>
      <c r="O146" s="15" t="s">
        <v>4951</v>
      </c>
      <c r="P146" s="171" t="s">
        <v>5922</v>
      </c>
      <c r="Q146" s="109">
        <f>Table6[[#This Row],[Dana Disetujui]]</f>
        <v>10000000</v>
      </c>
      <c r="R146" s="6" t="s">
        <v>4269</v>
      </c>
      <c r="S146" s="167" t="s">
        <v>5571</v>
      </c>
      <c r="T146" s="109">
        <f>Table6[[#This Row],[Dana Disetujui]]</f>
        <v>10000000</v>
      </c>
      <c r="U146" s="6" t="s">
        <v>4269</v>
      </c>
      <c r="V146" s="167" t="s">
        <v>2056</v>
      </c>
      <c r="W146" s="109">
        <f>Table6[[#This Row],[Dana Disetujui]]</f>
        <v>10000000</v>
      </c>
      <c r="X146" s="6" t="s">
        <v>4269</v>
      </c>
      <c r="Y146" s="167" t="s">
        <v>115</v>
      </c>
      <c r="Z146" s="109">
        <f>Table6[[#This Row],[Dana Disetujui]]</f>
        <v>10000000</v>
      </c>
      <c r="AA146" s="6" t="s">
        <v>4269</v>
      </c>
      <c r="AB146" s="167"/>
      <c r="AC146" s="249"/>
      <c r="AD146" s="167"/>
      <c r="AE146" s="167"/>
      <c r="AF146" s="249"/>
      <c r="AG146" s="167"/>
      <c r="AH146" s="167"/>
      <c r="AI146" s="249"/>
      <c r="AJ146" s="167"/>
      <c r="AK146" s="167"/>
      <c r="AL146" s="167"/>
      <c r="AM146" s="167"/>
      <c r="AN146" s="167"/>
      <c r="AO146" s="167"/>
      <c r="AP146" s="167"/>
      <c r="AQ146" s="167">
        <v>6</v>
      </c>
      <c r="AR146" s="586" t="s">
        <v>3190</v>
      </c>
      <c r="AS146" s="763" t="s">
        <v>3191</v>
      </c>
      <c r="AT146" s="171"/>
      <c r="AU146" s="167"/>
      <c r="AV146" s="167"/>
      <c r="AW146" s="167"/>
      <c r="AX146" s="167"/>
      <c r="AY146" s="167"/>
      <c r="AZ146" s="167"/>
      <c r="BA146" s="167"/>
      <c r="BB146" s="167"/>
      <c r="BC146" s="167"/>
      <c r="BD146" s="167"/>
      <c r="BE146" s="167"/>
      <c r="BF146" s="167"/>
      <c r="BG146" s="167"/>
      <c r="BH146" s="167"/>
      <c r="BI146" s="167"/>
      <c r="BJ146" s="167"/>
      <c r="BK146" s="167"/>
      <c r="BL146" s="167"/>
      <c r="BM146" s="167"/>
      <c r="BN146" s="167"/>
      <c r="BO146" s="167"/>
      <c r="BP146" s="147"/>
      <c r="BQ146" s="147"/>
      <c r="BR146" s="147"/>
    </row>
    <row r="147" spans="1:70" ht="36">
      <c r="A147" s="143" t="s">
        <v>5514</v>
      </c>
      <c r="B147" s="143" t="s">
        <v>5572</v>
      </c>
      <c r="C147" s="166" t="s">
        <v>5573</v>
      </c>
      <c r="D147" s="165" t="s">
        <v>216</v>
      </c>
      <c r="E147" s="135">
        <v>2024</v>
      </c>
      <c r="F147" s="135">
        <v>2024</v>
      </c>
      <c r="G147" s="135">
        <v>7</v>
      </c>
      <c r="H147" s="165" t="s">
        <v>5524</v>
      </c>
      <c r="I147" s="468">
        <v>9920000</v>
      </c>
      <c r="J147" s="468">
        <v>9920000</v>
      </c>
      <c r="K147" s="514">
        <v>3</v>
      </c>
      <c r="L147" s="7" t="s">
        <v>5290</v>
      </c>
      <c r="M147" s="9" t="s">
        <v>3223</v>
      </c>
      <c r="N147" s="135" t="s">
        <v>3215</v>
      </c>
      <c r="O147" s="15" t="s">
        <v>4951</v>
      </c>
      <c r="P147" s="171" t="s">
        <v>5923</v>
      </c>
      <c r="Q147" s="109">
        <f>Table6[[#This Row],[Dana Disetujui]]</f>
        <v>9920000</v>
      </c>
      <c r="R147" s="6" t="s">
        <v>4269</v>
      </c>
      <c r="S147" s="167" t="s">
        <v>3115</v>
      </c>
      <c r="T147" s="109">
        <f>Table6[[#This Row],[Dana Disetujui]]</f>
        <v>9920000</v>
      </c>
      <c r="U147" s="6" t="s">
        <v>4269</v>
      </c>
      <c r="V147" s="167" t="s">
        <v>4864</v>
      </c>
      <c r="W147" s="109">
        <f>Table6[[#This Row],[Dana Disetujui]]</f>
        <v>9920000</v>
      </c>
      <c r="X147" s="6" t="s">
        <v>4269</v>
      </c>
      <c r="Y147" s="167"/>
      <c r="Z147" s="249"/>
      <c r="AA147" s="6"/>
      <c r="AB147" s="167"/>
      <c r="AC147" s="249"/>
      <c r="AD147" s="167"/>
      <c r="AE147" s="167"/>
      <c r="AF147" s="249"/>
      <c r="AG147" s="167"/>
      <c r="AH147" s="167"/>
      <c r="AI147" s="249"/>
      <c r="AJ147" s="167"/>
      <c r="AK147" s="167"/>
      <c r="AL147" s="167"/>
      <c r="AM147" s="167"/>
      <c r="AN147" s="167"/>
      <c r="AO147" s="167"/>
      <c r="AP147" s="167"/>
      <c r="AQ147" s="167">
        <v>3</v>
      </c>
      <c r="AR147" s="586" t="s">
        <v>3190</v>
      </c>
      <c r="AS147" s="763" t="s">
        <v>3191</v>
      </c>
      <c r="AT147" s="171"/>
      <c r="AU147" s="167"/>
      <c r="AV147" s="167"/>
      <c r="AW147" s="167"/>
      <c r="AX147" s="167"/>
      <c r="AY147" s="167"/>
      <c r="AZ147" s="167"/>
      <c r="BA147" s="167"/>
      <c r="BB147" s="167"/>
      <c r="BC147" s="167"/>
      <c r="BD147" s="167"/>
      <c r="BE147" s="167"/>
      <c r="BF147" s="167"/>
      <c r="BG147" s="167"/>
      <c r="BH147" s="167"/>
      <c r="BI147" s="167"/>
      <c r="BJ147" s="167"/>
      <c r="BK147" s="167"/>
      <c r="BL147" s="167"/>
      <c r="BM147" s="167"/>
      <c r="BN147" s="167"/>
      <c r="BO147" s="167"/>
      <c r="BP147" s="147"/>
      <c r="BQ147" s="147"/>
      <c r="BR147" s="147"/>
    </row>
    <row r="148" spans="1:70" ht="36">
      <c r="A148" s="143" t="s">
        <v>5514</v>
      </c>
      <c r="B148" s="327" t="s">
        <v>5574</v>
      </c>
      <c r="C148" s="166" t="s">
        <v>5575</v>
      </c>
      <c r="D148" s="165" t="s">
        <v>216</v>
      </c>
      <c r="E148" s="135">
        <v>2024</v>
      </c>
      <c r="F148" s="135">
        <v>2024</v>
      </c>
      <c r="G148" s="135">
        <v>7</v>
      </c>
      <c r="H148" s="165" t="s">
        <v>5524</v>
      </c>
      <c r="I148" s="468">
        <v>10000000</v>
      </c>
      <c r="J148" s="468">
        <v>10000000</v>
      </c>
      <c r="K148" s="514">
        <v>3</v>
      </c>
      <c r="L148" s="7" t="s">
        <v>5290</v>
      </c>
      <c r="M148" s="9" t="s">
        <v>3223</v>
      </c>
      <c r="N148" s="135" t="s">
        <v>3215</v>
      </c>
      <c r="O148" s="15" t="s">
        <v>4951</v>
      </c>
      <c r="P148" s="171" t="s">
        <v>5856</v>
      </c>
      <c r="Q148" s="109">
        <f>Table6[[#This Row],[Dana Disetujui]]</f>
        <v>10000000</v>
      </c>
      <c r="R148" s="6" t="s">
        <v>4269</v>
      </c>
      <c r="S148" s="167" t="s">
        <v>4524</v>
      </c>
      <c r="T148" s="109">
        <f>Table6[[#This Row],[Dana Disetujui]]</f>
        <v>10000000</v>
      </c>
      <c r="U148" s="6" t="s">
        <v>4269</v>
      </c>
      <c r="V148" s="167" t="s">
        <v>4660</v>
      </c>
      <c r="W148" s="109">
        <f>Table6[[#This Row],[Dana Disetujui]]</f>
        <v>10000000</v>
      </c>
      <c r="X148" s="6" t="s">
        <v>4269</v>
      </c>
      <c r="Y148" s="167" t="s">
        <v>4662</v>
      </c>
      <c r="Z148" s="109">
        <f>Table6[[#This Row],[Dana Disetujui]]</f>
        <v>10000000</v>
      </c>
      <c r="AA148" s="6" t="s">
        <v>4269</v>
      </c>
      <c r="AB148" s="167"/>
      <c r="AC148" s="249"/>
      <c r="AD148" s="167"/>
      <c r="AE148" s="167"/>
      <c r="AF148" s="249"/>
      <c r="AG148" s="167"/>
      <c r="AH148" s="167"/>
      <c r="AI148" s="249"/>
      <c r="AJ148" s="167"/>
      <c r="AK148" s="167"/>
      <c r="AL148" s="167"/>
      <c r="AM148" s="167"/>
      <c r="AN148" s="167"/>
      <c r="AO148" s="167"/>
      <c r="AP148" s="167"/>
      <c r="AQ148" s="167">
        <v>3</v>
      </c>
      <c r="AR148" s="586" t="s">
        <v>3190</v>
      </c>
      <c r="AS148" s="763" t="s">
        <v>3191</v>
      </c>
      <c r="AT148" s="171"/>
      <c r="AU148" s="167"/>
      <c r="AV148" s="167"/>
      <c r="AW148" s="167"/>
      <c r="AX148" s="167"/>
      <c r="AY148" s="167"/>
      <c r="AZ148" s="167"/>
      <c r="BA148" s="167"/>
      <c r="BB148" s="167"/>
      <c r="BC148" s="167"/>
      <c r="BD148" s="167"/>
      <c r="BE148" s="167"/>
      <c r="BF148" s="167"/>
      <c r="BG148" s="167"/>
      <c r="BH148" s="167"/>
      <c r="BI148" s="167"/>
      <c r="BJ148" s="167"/>
      <c r="BK148" s="167"/>
      <c r="BL148" s="167"/>
      <c r="BM148" s="167"/>
      <c r="BN148" s="167"/>
      <c r="BO148" s="167"/>
      <c r="BP148" s="147"/>
      <c r="BQ148" s="147"/>
      <c r="BR148" s="147"/>
    </row>
    <row r="149" spans="1:70" ht="24">
      <c r="A149" s="143"/>
      <c r="B149" s="568" t="s">
        <v>5576</v>
      </c>
      <c r="C149" s="166" t="s">
        <v>5577</v>
      </c>
      <c r="D149" s="165" t="s">
        <v>214</v>
      </c>
      <c r="E149" s="135">
        <v>2024</v>
      </c>
      <c r="F149" s="135">
        <v>2024</v>
      </c>
      <c r="G149" s="135">
        <v>7</v>
      </c>
      <c r="H149" s="165" t="s">
        <v>5536</v>
      </c>
      <c r="I149" s="468">
        <v>5000000</v>
      </c>
      <c r="J149" s="468">
        <v>5000000</v>
      </c>
      <c r="K149" s="514">
        <v>1</v>
      </c>
      <c r="L149" s="7" t="s">
        <v>5290</v>
      </c>
      <c r="M149" s="9" t="s">
        <v>3223</v>
      </c>
      <c r="N149" s="135" t="s">
        <v>3215</v>
      </c>
      <c r="O149" s="15" t="s">
        <v>4951</v>
      </c>
      <c r="P149" s="592" t="s">
        <v>5924</v>
      </c>
      <c r="Q149" s="109">
        <f>Table6[[#This Row],[Dana Disetujui]]</f>
        <v>5000000</v>
      </c>
      <c r="R149" s="6" t="s">
        <v>4269</v>
      </c>
      <c r="S149" s="167" t="s">
        <v>5578</v>
      </c>
      <c r="T149" s="109">
        <f>Table6[[#This Row],[Dana Disetujui]]</f>
        <v>5000000</v>
      </c>
      <c r="U149" s="6" t="s">
        <v>4269</v>
      </c>
      <c r="V149" s="167" t="s">
        <v>4751</v>
      </c>
      <c r="W149" s="109">
        <f>Table6[[#This Row],[Dana Disetujui]]</f>
        <v>5000000</v>
      </c>
      <c r="X149" s="6" t="s">
        <v>4269</v>
      </c>
      <c r="Y149" s="167"/>
      <c r="Z149" s="249"/>
      <c r="AA149" s="6"/>
      <c r="AB149" s="167"/>
      <c r="AC149" s="249"/>
      <c r="AD149" s="167"/>
      <c r="AE149" s="167"/>
      <c r="AF149" s="249"/>
      <c r="AG149" s="167"/>
      <c r="AH149" s="167"/>
      <c r="AI149" s="249"/>
      <c r="AJ149" s="167"/>
      <c r="AK149" s="167"/>
      <c r="AL149" s="167"/>
      <c r="AM149" s="167"/>
      <c r="AN149" s="167"/>
      <c r="AO149" s="167"/>
      <c r="AP149" s="167"/>
      <c r="AQ149" s="167">
        <v>1</v>
      </c>
      <c r="AR149" s="586" t="s">
        <v>3190</v>
      </c>
      <c r="AS149" s="763" t="s">
        <v>3191</v>
      </c>
      <c r="AT149" s="171"/>
      <c r="AU149" s="167"/>
      <c r="AV149" s="167"/>
      <c r="AW149" s="167"/>
      <c r="AX149" s="167"/>
      <c r="AY149" s="167"/>
      <c r="AZ149" s="167"/>
      <c r="BA149" s="167"/>
      <c r="BB149" s="167"/>
      <c r="BC149" s="167"/>
      <c r="BD149" s="167"/>
      <c r="BE149" s="167"/>
      <c r="BF149" s="167"/>
      <c r="BG149" s="167"/>
      <c r="BH149" s="167"/>
      <c r="BI149" s="167"/>
      <c r="BJ149" s="167"/>
      <c r="BK149" s="167"/>
      <c r="BL149" s="167"/>
      <c r="BM149" s="167"/>
      <c r="BN149" s="167"/>
      <c r="BO149" s="167"/>
      <c r="BP149" s="147"/>
      <c r="BQ149" s="147"/>
      <c r="BR149" s="147"/>
    </row>
    <row r="150" spans="1:70" ht="24">
      <c r="A150" s="143"/>
      <c r="B150" s="568" t="s">
        <v>5579</v>
      </c>
      <c r="C150" s="166" t="s">
        <v>5580</v>
      </c>
      <c r="D150" s="165" t="s">
        <v>213</v>
      </c>
      <c r="E150" s="135">
        <v>2024</v>
      </c>
      <c r="F150" s="135">
        <v>2024</v>
      </c>
      <c r="G150" s="135">
        <v>6</v>
      </c>
      <c r="H150" s="165" t="s">
        <v>5524</v>
      </c>
      <c r="I150" s="468">
        <v>15000000</v>
      </c>
      <c r="J150" s="468">
        <v>15000000</v>
      </c>
      <c r="K150" s="135">
        <v>3</v>
      </c>
      <c r="L150" s="7" t="s">
        <v>5290</v>
      </c>
      <c r="M150" s="9" t="s">
        <v>3223</v>
      </c>
      <c r="N150" s="135" t="s">
        <v>3215</v>
      </c>
      <c r="O150" s="15" t="s">
        <v>4951</v>
      </c>
      <c r="P150" s="592" t="s">
        <v>5902</v>
      </c>
      <c r="Q150" s="109">
        <f>Table6[[#This Row],[Dana Disetujui]]</f>
        <v>15000000</v>
      </c>
      <c r="R150" s="6" t="s">
        <v>4269</v>
      </c>
      <c r="S150" s="6" t="s">
        <v>11</v>
      </c>
      <c r="T150" s="109">
        <f>Table6[[#This Row],[Dana Disetujui]]</f>
        <v>15000000</v>
      </c>
      <c r="U150" s="6" t="s">
        <v>4269</v>
      </c>
      <c r="V150" s="6" t="s">
        <v>89</v>
      </c>
      <c r="W150" s="109">
        <f>Table6[[#This Row],[Dana Disetujui]]</f>
        <v>15000000</v>
      </c>
      <c r="X150" s="6" t="s">
        <v>4269</v>
      </c>
      <c r="Y150" s="6" t="s">
        <v>178</v>
      </c>
      <c r="Z150" s="109">
        <f>Table6[[#This Row],[Dana Disetujui]]</f>
        <v>15000000</v>
      </c>
      <c r="AA150" s="6" t="s">
        <v>4269</v>
      </c>
      <c r="AB150" s="167"/>
      <c r="AC150" s="249"/>
      <c r="AD150" s="167"/>
      <c r="AE150" s="167"/>
      <c r="AF150" s="249"/>
      <c r="AG150" s="167"/>
      <c r="AH150" s="167"/>
      <c r="AI150" s="249"/>
      <c r="AJ150" s="167"/>
      <c r="AK150" s="167"/>
      <c r="AL150" s="167"/>
      <c r="AM150" s="167"/>
      <c r="AN150" s="167"/>
      <c r="AO150" s="167"/>
      <c r="AP150" s="167"/>
      <c r="AQ150" s="167">
        <v>7</v>
      </c>
      <c r="AR150" s="586" t="s">
        <v>3190</v>
      </c>
      <c r="AS150" s="763" t="s">
        <v>3191</v>
      </c>
      <c r="AT150" s="171"/>
      <c r="AU150" s="167"/>
      <c r="AV150" s="167"/>
      <c r="AW150" s="167"/>
      <c r="AX150" s="167"/>
      <c r="AY150" s="167"/>
      <c r="AZ150" s="167"/>
      <c r="BA150" s="167"/>
      <c r="BB150" s="167"/>
      <c r="BC150" s="167"/>
      <c r="BD150" s="167"/>
      <c r="BE150" s="167"/>
      <c r="BF150" s="167"/>
      <c r="BG150" s="167"/>
      <c r="BH150" s="167"/>
      <c r="BI150" s="167"/>
      <c r="BJ150" s="167"/>
      <c r="BK150" s="167"/>
      <c r="BL150" s="167"/>
      <c r="BM150" s="167"/>
      <c r="BN150" s="167"/>
      <c r="BO150" s="167"/>
      <c r="BP150" s="147"/>
      <c r="BQ150" s="147"/>
      <c r="BR150" s="147"/>
    </row>
    <row r="151" spans="1:70" ht="36">
      <c r="A151" s="143"/>
      <c r="B151" s="568" t="s">
        <v>5581</v>
      </c>
      <c r="C151" s="166" t="s">
        <v>5582</v>
      </c>
      <c r="D151" s="165" t="s">
        <v>213</v>
      </c>
      <c r="E151" s="135">
        <v>2024</v>
      </c>
      <c r="F151" s="135">
        <v>2024</v>
      </c>
      <c r="G151" s="135">
        <v>6</v>
      </c>
      <c r="H151" s="165" t="s">
        <v>5517</v>
      </c>
      <c r="I151" s="468">
        <v>15000000</v>
      </c>
      <c r="J151" s="468">
        <v>15000000</v>
      </c>
      <c r="K151" s="135">
        <v>3</v>
      </c>
      <c r="L151" s="7" t="s">
        <v>5290</v>
      </c>
      <c r="M151" s="9" t="s">
        <v>3223</v>
      </c>
      <c r="N151" s="135" t="s">
        <v>3215</v>
      </c>
      <c r="O151" s="15" t="s">
        <v>4951</v>
      </c>
      <c r="P151" s="171" t="s">
        <v>5925</v>
      </c>
      <c r="Q151" s="109">
        <f>Table6[[#This Row],[Dana Disetujui]]</f>
        <v>15000000</v>
      </c>
      <c r="R151" s="6" t="s">
        <v>4269</v>
      </c>
      <c r="S151" s="6" t="s">
        <v>41</v>
      </c>
      <c r="T151" s="109">
        <f>Table6[[#This Row],[Dana Disetujui]]</f>
        <v>15000000</v>
      </c>
      <c r="U151" s="6" t="s">
        <v>4269</v>
      </c>
      <c r="V151" s="167" t="s">
        <v>184</v>
      </c>
      <c r="W151" s="109">
        <f>Table6[[#This Row],[Dana Disetujui]]</f>
        <v>15000000</v>
      </c>
      <c r="X151" s="6" t="s">
        <v>4269</v>
      </c>
      <c r="Y151" s="6" t="s">
        <v>54</v>
      </c>
      <c r="Z151" s="109">
        <f>Table6[[#This Row],[Dana Disetujui]]</f>
        <v>15000000</v>
      </c>
      <c r="AA151" s="6" t="s">
        <v>4269</v>
      </c>
      <c r="AB151" s="167"/>
      <c r="AC151" s="249"/>
      <c r="AD151" s="167"/>
      <c r="AE151" s="167"/>
      <c r="AF151" s="249"/>
      <c r="AG151" s="167"/>
      <c r="AH151" s="167"/>
      <c r="AI151" s="249"/>
      <c r="AJ151" s="167"/>
      <c r="AK151" s="167"/>
      <c r="AL151" s="167"/>
      <c r="AM151" s="167"/>
      <c r="AN151" s="167"/>
      <c r="AO151" s="167"/>
      <c r="AP151" s="167"/>
      <c r="AQ151" s="167">
        <v>3</v>
      </c>
      <c r="AR151" s="586" t="s">
        <v>3190</v>
      </c>
      <c r="AS151" s="763" t="s">
        <v>3191</v>
      </c>
      <c r="AT151" s="171"/>
      <c r="AU151" s="167"/>
      <c r="AV151" s="167"/>
      <c r="AW151" s="167"/>
      <c r="AX151" s="167"/>
      <c r="AY151" s="167"/>
      <c r="AZ151" s="167"/>
      <c r="BA151" s="167"/>
      <c r="BB151" s="167"/>
      <c r="BC151" s="167"/>
      <c r="BD151" s="167"/>
      <c r="BE151" s="167"/>
      <c r="BF151" s="167"/>
      <c r="BG151" s="167"/>
      <c r="BH151" s="167"/>
      <c r="BI151" s="167"/>
      <c r="BJ151" s="167"/>
      <c r="BK151" s="167"/>
      <c r="BL151" s="167"/>
      <c r="BM151" s="167"/>
      <c r="BN151" s="167"/>
      <c r="BO151" s="167"/>
      <c r="BP151" s="147"/>
      <c r="BQ151" s="147"/>
      <c r="BR151" s="147"/>
    </row>
    <row r="152" spans="1:70" ht="36">
      <c r="A152" s="143"/>
      <c r="B152" s="568" t="s">
        <v>5583</v>
      </c>
      <c r="C152" s="166" t="s">
        <v>5584</v>
      </c>
      <c r="D152" s="165" t="s">
        <v>213</v>
      </c>
      <c r="E152" s="135">
        <v>2024</v>
      </c>
      <c r="F152" s="135">
        <v>2024</v>
      </c>
      <c r="G152" s="135">
        <v>6</v>
      </c>
      <c r="H152" s="165" t="s">
        <v>5524</v>
      </c>
      <c r="I152" s="468">
        <v>15000000</v>
      </c>
      <c r="J152" s="468">
        <v>15000000</v>
      </c>
      <c r="K152" s="135">
        <v>6</v>
      </c>
      <c r="L152" s="7" t="s">
        <v>5290</v>
      </c>
      <c r="M152" s="9" t="s">
        <v>3223</v>
      </c>
      <c r="N152" s="135" t="s">
        <v>3215</v>
      </c>
      <c r="O152" s="15" t="s">
        <v>4951</v>
      </c>
      <c r="P152" s="592" t="s">
        <v>5846</v>
      </c>
      <c r="Q152" s="109">
        <f>Table6[[#This Row],[Dana Disetujui]]</f>
        <v>15000000</v>
      </c>
      <c r="R152" s="6" t="s">
        <v>4269</v>
      </c>
      <c r="S152" s="6" t="s">
        <v>42</v>
      </c>
      <c r="T152" s="109">
        <f>Table6[[#This Row],[Dana Disetujui]]</f>
        <v>15000000</v>
      </c>
      <c r="U152" s="6" t="s">
        <v>4269</v>
      </c>
      <c r="V152" s="167" t="s">
        <v>4600</v>
      </c>
      <c r="W152" s="109">
        <f>Table6[[#This Row],[Dana Disetujui]]</f>
        <v>15000000</v>
      </c>
      <c r="X152" s="6" t="s">
        <v>4269</v>
      </c>
      <c r="Y152" s="167"/>
      <c r="Z152" s="245"/>
      <c r="AA152" s="6"/>
      <c r="AB152" s="167"/>
      <c r="AC152" s="249"/>
      <c r="AD152" s="167"/>
      <c r="AE152" s="167"/>
      <c r="AF152" s="249"/>
      <c r="AG152" s="167"/>
      <c r="AH152" s="167"/>
      <c r="AI152" s="249"/>
      <c r="AJ152" s="167"/>
      <c r="AK152" s="167"/>
      <c r="AL152" s="167"/>
      <c r="AM152" s="167"/>
      <c r="AN152" s="167"/>
      <c r="AO152" s="167"/>
      <c r="AP152" s="167"/>
      <c r="AQ152" s="167">
        <v>6</v>
      </c>
      <c r="AR152" s="586" t="s">
        <v>3190</v>
      </c>
      <c r="AS152" s="763" t="s">
        <v>3191</v>
      </c>
      <c r="AT152" s="171"/>
      <c r="AU152" s="167"/>
      <c r="AV152" s="167"/>
      <c r="AW152" s="167"/>
      <c r="AX152" s="167"/>
      <c r="AY152" s="167"/>
      <c r="AZ152" s="167"/>
      <c r="BA152" s="167"/>
      <c r="BB152" s="167"/>
      <c r="BC152" s="167"/>
      <c r="BD152" s="167"/>
      <c r="BE152" s="167"/>
      <c r="BF152" s="167"/>
      <c r="BG152" s="167"/>
      <c r="BH152" s="167"/>
      <c r="BI152" s="167"/>
      <c r="BJ152" s="167"/>
      <c r="BK152" s="167"/>
      <c r="BL152" s="167"/>
      <c r="BM152" s="167"/>
      <c r="BN152" s="167"/>
      <c r="BO152" s="167"/>
      <c r="BP152" s="147"/>
      <c r="BQ152" s="147"/>
      <c r="BR152" s="147"/>
    </row>
    <row r="153" spans="1:70" ht="36">
      <c r="A153" s="143"/>
      <c r="B153" s="568" t="s">
        <v>5585</v>
      </c>
      <c r="C153" s="166" t="s">
        <v>5586</v>
      </c>
      <c r="D153" s="165" t="s">
        <v>213</v>
      </c>
      <c r="E153" s="135">
        <v>2024</v>
      </c>
      <c r="F153" s="135">
        <v>2024</v>
      </c>
      <c r="G153" s="135">
        <v>6</v>
      </c>
      <c r="H153" s="165" t="s">
        <v>5587</v>
      </c>
      <c r="I153" s="468">
        <v>15000000</v>
      </c>
      <c r="J153" s="468">
        <v>15000000</v>
      </c>
      <c r="K153" s="135">
        <v>3</v>
      </c>
      <c r="L153" s="7" t="s">
        <v>5290</v>
      </c>
      <c r="M153" s="9" t="s">
        <v>3223</v>
      </c>
      <c r="N153" s="135" t="s">
        <v>3215</v>
      </c>
      <c r="O153" s="15" t="s">
        <v>4951</v>
      </c>
      <c r="P153" s="592" t="s">
        <v>5910</v>
      </c>
      <c r="Q153" s="109">
        <f>Table6[[#This Row],[Dana Disetujui]]</f>
        <v>15000000</v>
      </c>
      <c r="R153" s="6" t="s">
        <v>4269</v>
      </c>
      <c r="S153" s="6" t="s">
        <v>37</v>
      </c>
      <c r="T153" s="109">
        <f>Table6[[#This Row],[Dana Disetujui]]</f>
        <v>15000000</v>
      </c>
      <c r="U153" s="6" t="s">
        <v>4269</v>
      </c>
      <c r="V153" s="6" t="s">
        <v>179</v>
      </c>
      <c r="W153" s="109">
        <f>Table6[[#This Row],[Dana Disetujui]]</f>
        <v>15000000</v>
      </c>
      <c r="X153" s="6" t="s">
        <v>4269</v>
      </c>
      <c r="Y153" s="167"/>
      <c r="Z153" s="245"/>
      <c r="AA153" s="6"/>
      <c r="AB153" s="167"/>
      <c r="AC153" s="249"/>
      <c r="AD153" s="167"/>
      <c r="AE153" s="167"/>
      <c r="AF153" s="249"/>
      <c r="AG153" s="167"/>
      <c r="AH153" s="167"/>
      <c r="AI153" s="249"/>
      <c r="AJ153" s="167"/>
      <c r="AK153" s="167"/>
      <c r="AL153" s="167"/>
      <c r="AM153" s="167"/>
      <c r="AN153" s="167"/>
      <c r="AO153" s="167"/>
      <c r="AP153" s="167"/>
      <c r="AQ153" s="167">
        <v>3</v>
      </c>
      <c r="AR153" s="586" t="s">
        <v>3190</v>
      </c>
      <c r="AS153" s="763" t="s">
        <v>3191</v>
      </c>
      <c r="AT153" s="171"/>
      <c r="AU153" s="167"/>
      <c r="AV153" s="167"/>
      <c r="AW153" s="167"/>
      <c r="AX153" s="167"/>
      <c r="AY153" s="167"/>
      <c r="AZ153" s="167"/>
      <c r="BA153" s="167"/>
      <c r="BB153" s="167"/>
      <c r="BC153" s="167"/>
      <c r="BD153" s="167"/>
      <c r="BE153" s="167"/>
      <c r="BF153" s="167"/>
      <c r="BG153" s="167"/>
      <c r="BH153" s="167"/>
      <c r="BI153" s="167"/>
      <c r="BJ153" s="167"/>
      <c r="BK153" s="167"/>
      <c r="BL153" s="167"/>
      <c r="BM153" s="167"/>
      <c r="BN153" s="167"/>
      <c r="BO153" s="167"/>
      <c r="BP153" s="147"/>
      <c r="BQ153" s="147"/>
      <c r="BR153" s="147"/>
    </row>
    <row r="154" spans="1:70" ht="60">
      <c r="A154" s="143"/>
      <c r="B154" s="568" t="s">
        <v>5588</v>
      </c>
      <c r="C154" s="166" t="s">
        <v>5589</v>
      </c>
      <c r="D154" s="165" t="s">
        <v>213</v>
      </c>
      <c r="E154" s="135">
        <v>2024</v>
      </c>
      <c r="F154" s="135">
        <v>2024</v>
      </c>
      <c r="G154" s="135">
        <v>6</v>
      </c>
      <c r="H154" s="165" t="s">
        <v>5524</v>
      </c>
      <c r="I154" s="468">
        <v>15000000</v>
      </c>
      <c r="J154" s="468">
        <v>15000000</v>
      </c>
      <c r="K154" s="135">
        <v>2</v>
      </c>
      <c r="L154" s="7" t="s">
        <v>5290</v>
      </c>
      <c r="M154" s="9" t="s">
        <v>3223</v>
      </c>
      <c r="N154" s="135" t="s">
        <v>3215</v>
      </c>
      <c r="O154" s="15" t="s">
        <v>4951</v>
      </c>
      <c r="P154" s="773" t="s">
        <v>5908</v>
      </c>
      <c r="Q154" s="109">
        <f>Table6[[#This Row],[Dana Disetujui]]</f>
        <v>15000000</v>
      </c>
      <c r="R154" s="6" t="s">
        <v>4269</v>
      </c>
      <c r="S154" s="513" t="s">
        <v>3121</v>
      </c>
      <c r="T154" s="109">
        <f>Table6[[#This Row],[Dana Disetujui]]</f>
        <v>15000000</v>
      </c>
      <c r="U154" s="6" t="s">
        <v>4269</v>
      </c>
      <c r="V154" s="167" t="s">
        <v>97</v>
      </c>
      <c r="W154" s="109">
        <f>Table6[[#This Row],[Dana Disetujui]]</f>
        <v>15000000</v>
      </c>
      <c r="X154" s="6" t="s">
        <v>4269</v>
      </c>
      <c r="Y154" s="6" t="s">
        <v>60</v>
      </c>
      <c r="Z154" s="109">
        <f>Table6[[#This Row],[Dana Disetujui]]</f>
        <v>15000000</v>
      </c>
      <c r="AA154" s="6" t="s">
        <v>4269</v>
      </c>
      <c r="AB154" s="239" t="s">
        <v>190</v>
      </c>
      <c r="AC154" s="109">
        <f>Table6[[#This Row],[Dana Disetujui]]</f>
        <v>15000000</v>
      </c>
      <c r="AD154" s="6" t="s">
        <v>4269</v>
      </c>
      <c r="AE154" s="167"/>
      <c r="AF154" s="249"/>
      <c r="AG154" s="167"/>
      <c r="AH154" s="167"/>
      <c r="AI154" s="249"/>
      <c r="AJ154" s="167"/>
      <c r="AK154" s="167"/>
      <c r="AL154" s="167"/>
      <c r="AM154" s="167"/>
      <c r="AN154" s="167"/>
      <c r="AO154" s="167"/>
      <c r="AP154" s="167"/>
      <c r="AQ154" s="167">
        <v>2</v>
      </c>
      <c r="AR154" s="586" t="s">
        <v>3190</v>
      </c>
      <c r="AS154" s="763" t="s">
        <v>3191</v>
      </c>
      <c r="AT154" s="171"/>
      <c r="AU154" s="167"/>
      <c r="AV154" s="167"/>
      <c r="AW154" s="167"/>
      <c r="AX154" s="167"/>
      <c r="AY154" s="167"/>
      <c r="AZ154" s="167"/>
      <c r="BA154" s="167"/>
      <c r="BB154" s="167"/>
      <c r="BC154" s="167"/>
      <c r="BD154" s="167"/>
      <c r="BE154" s="167"/>
      <c r="BF154" s="167"/>
      <c r="BG154" s="167"/>
      <c r="BH154" s="167"/>
      <c r="BI154" s="167"/>
      <c r="BJ154" s="167"/>
      <c r="BK154" s="167"/>
      <c r="BL154" s="167"/>
      <c r="BM154" s="167"/>
      <c r="BN154" s="167"/>
      <c r="BO154" s="167"/>
      <c r="BP154" s="147"/>
      <c r="BQ154" s="147"/>
      <c r="BR154" s="147"/>
    </row>
    <row r="155" spans="1:70" ht="24">
      <c r="A155" s="143"/>
      <c r="B155" s="165"/>
      <c r="C155" s="166" t="s">
        <v>5590</v>
      </c>
      <c r="D155" s="165" t="s">
        <v>5067</v>
      </c>
      <c r="E155" s="135">
        <v>2024</v>
      </c>
      <c r="F155" s="135">
        <v>2024</v>
      </c>
      <c r="G155" s="135"/>
      <c r="H155" s="165"/>
      <c r="I155" s="468">
        <v>42331000</v>
      </c>
      <c r="J155" s="468">
        <v>42331000</v>
      </c>
      <c r="K155" s="514"/>
      <c r="L155" s="7" t="s">
        <v>5591</v>
      </c>
      <c r="M155" s="166" t="s">
        <v>3077</v>
      </c>
      <c r="N155" s="135" t="s">
        <v>3215</v>
      </c>
      <c r="O155" s="165" t="s">
        <v>3077</v>
      </c>
      <c r="P155" s="23" t="s">
        <v>5849</v>
      </c>
      <c r="Q155" s="109">
        <f>Table6[[#This Row],[Dana Disetujui]]</f>
        <v>42331000</v>
      </c>
      <c r="R155" s="6" t="s">
        <v>4269</v>
      </c>
      <c r="S155" s="167" t="s">
        <v>3126</v>
      </c>
      <c r="T155" s="109">
        <f>Table6[[#This Row],[Dana Disetujui]]</f>
        <v>42331000</v>
      </c>
      <c r="U155" s="165"/>
      <c r="V155" s="167" t="s">
        <v>184</v>
      </c>
      <c r="W155" s="109">
        <f>Table6[[#This Row],[Dana Disetujui]]</f>
        <v>42331000</v>
      </c>
      <c r="X155" s="165"/>
      <c r="Y155" s="167"/>
      <c r="Z155" s="249"/>
      <c r="AA155" s="167"/>
      <c r="AB155" s="167"/>
      <c r="AC155" s="249"/>
      <c r="AD155" s="167"/>
      <c r="AE155" s="167"/>
      <c r="AF155" s="249"/>
      <c r="AG155" s="167"/>
      <c r="AH155" s="167"/>
      <c r="AI155" s="249"/>
      <c r="AJ155" s="167"/>
      <c r="AK155" s="167"/>
      <c r="AL155" s="167"/>
      <c r="AM155" s="167"/>
      <c r="AN155" s="167"/>
      <c r="AO155" s="167"/>
      <c r="AP155" s="167"/>
      <c r="AQ155" s="167">
        <v>9.11</v>
      </c>
      <c r="AR155" s="255" t="s">
        <v>3190</v>
      </c>
      <c r="AS155" s="255" t="s">
        <v>3191</v>
      </c>
      <c r="AT155" s="171"/>
      <c r="AU155" s="167"/>
      <c r="AV155" s="167"/>
      <c r="AW155" s="167"/>
      <c r="AX155" s="167"/>
      <c r="AY155" s="167"/>
      <c r="AZ155" s="167"/>
      <c r="BA155" s="167"/>
      <c r="BB155" s="167"/>
      <c r="BC155" s="167"/>
      <c r="BD155" s="167"/>
      <c r="BE155" s="167"/>
      <c r="BF155" s="167"/>
      <c r="BG155" s="167"/>
      <c r="BH155" s="167"/>
      <c r="BI155" s="167"/>
      <c r="BJ155" s="167"/>
      <c r="BK155" s="167"/>
      <c r="BL155" s="167"/>
      <c r="BM155" s="167"/>
      <c r="BN155" s="167"/>
      <c r="BO155" s="167"/>
      <c r="BP155" s="147"/>
      <c r="BQ155" s="147"/>
      <c r="BR155" s="147"/>
    </row>
    <row r="156" spans="1:70" ht="36">
      <c r="A156" s="143"/>
      <c r="B156" s="165"/>
      <c r="C156" s="166" t="s">
        <v>5593</v>
      </c>
      <c r="D156" s="165" t="s">
        <v>5067</v>
      </c>
      <c r="E156" s="135">
        <v>2024</v>
      </c>
      <c r="F156" s="135">
        <v>2024</v>
      </c>
      <c r="G156" s="135"/>
      <c r="H156" s="165"/>
      <c r="I156" s="468">
        <v>40250000</v>
      </c>
      <c r="J156" s="468">
        <v>40250000</v>
      </c>
      <c r="K156" s="514"/>
      <c r="L156" s="7" t="s">
        <v>5591</v>
      </c>
      <c r="M156" s="166" t="s">
        <v>3077</v>
      </c>
      <c r="N156" s="135" t="s">
        <v>3215</v>
      </c>
      <c r="O156" s="165" t="s">
        <v>3077</v>
      </c>
      <c r="P156" s="23" t="s">
        <v>5854</v>
      </c>
      <c r="Q156" s="109">
        <f>Table6[[#This Row],[Dana Disetujui]]</f>
        <v>40250000</v>
      </c>
      <c r="R156" s="6" t="s">
        <v>4269</v>
      </c>
      <c r="S156" s="167" t="s">
        <v>4381</v>
      </c>
      <c r="T156" s="109">
        <f>Table6[[#This Row],[Dana Disetujui]]</f>
        <v>40250000</v>
      </c>
      <c r="U156" s="165"/>
      <c r="V156" s="167" t="s">
        <v>5594</v>
      </c>
      <c r="W156" s="109">
        <f>Table6[[#This Row],[Dana Disetujui]]</f>
        <v>40250000</v>
      </c>
      <c r="X156" s="532"/>
      <c r="Y156" s="167"/>
      <c r="Z156" s="249"/>
      <c r="AA156" s="167"/>
      <c r="AB156" s="167"/>
      <c r="AC156" s="249"/>
      <c r="AD156" s="167"/>
      <c r="AE156" s="167"/>
      <c r="AF156" s="249"/>
      <c r="AG156" s="167"/>
      <c r="AH156" s="167"/>
      <c r="AI156" s="249"/>
      <c r="AJ156" s="167"/>
      <c r="AK156" s="167"/>
      <c r="AL156" s="167"/>
      <c r="AM156" s="167"/>
      <c r="AN156" s="167"/>
      <c r="AO156" s="167"/>
      <c r="AP156" s="167"/>
      <c r="AQ156" s="167">
        <v>8</v>
      </c>
      <c r="AR156" s="255" t="s">
        <v>3190</v>
      </c>
      <c r="AS156" s="255" t="s">
        <v>3191</v>
      </c>
      <c r="AT156" s="171"/>
      <c r="AU156" s="167"/>
      <c r="AV156" s="167"/>
      <c r="AW156" s="167"/>
      <c r="AX156" s="167"/>
      <c r="AY156" s="167"/>
      <c r="AZ156" s="167"/>
      <c r="BA156" s="167"/>
      <c r="BB156" s="167"/>
      <c r="BC156" s="167"/>
      <c r="BD156" s="167"/>
      <c r="BE156" s="167"/>
      <c r="BF156" s="167"/>
      <c r="BG156" s="167"/>
      <c r="BH156" s="167"/>
      <c r="BI156" s="167"/>
      <c r="BJ156" s="167"/>
      <c r="BK156" s="167"/>
      <c r="BL156" s="167"/>
      <c r="BM156" s="167"/>
      <c r="BN156" s="167"/>
      <c r="BO156" s="167"/>
      <c r="BP156" s="147"/>
      <c r="BQ156" s="147"/>
      <c r="BR156" s="147"/>
    </row>
    <row r="157" spans="1:70" ht="36">
      <c r="A157" s="143"/>
      <c r="B157" s="165"/>
      <c r="C157" s="166" t="s">
        <v>5595</v>
      </c>
      <c r="D157" s="165" t="s">
        <v>5067</v>
      </c>
      <c r="E157" s="135">
        <v>2024</v>
      </c>
      <c r="F157" s="135">
        <v>2024</v>
      </c>
      <c r="G157" s="135"/>
      <c r="H157" s="165"/>
      <c r="I157" s="468">
        <v>45000000</v>
      </c>
      <c r="J157" s="468">
        <v>45000000</v>
      </c>
      <c r="K157" s="514"/>
      <c r="L157" s="7" t="s">
        <v>5591</v>
      </c>
      <c r="M157" s="166" t="s">
        <v>3077</v>
      </c>
      <c r="N157" s="135" t="s">
        <v>3215</v>
      </c>
      <c r="O157" s="165" t="s">
        <v>3077</v>
      </c>
      <c r="P157" s="23" t="s">
        <v>5856</v>
      </c>
      <c r="Q157" s="109">
        <f>Table6[[#This Row],[Dana Disetujui]]</f>
        <v>45000000</v>
      </c>
      <c r="R157" s="6" t="s">
        <v>4269</v>
      </c>
      <c r="S157" s="167" t="s">
        <v>4524</v>
      </c>
      <c r="T157" s="109">
        <f>Table6[[#This Row],[Dana Disetujui]]</f>
        <v>45000000</v>
      </c>
      <c r="U157" s="165"/>
      <c r="V157" s="167"/>
      <c r="W157" s="109">
        <f>Table6[[#This Row],[Dana Disetujui]]</f>
        <v>45000000</v>
      </c>
      <c r="X157" s="165"/>
      <c r="Y157" s="167"/>
      <c r="Z157" s="249"/>
      <c r="AA157" s="167"/>
      <c r="AB157" s="167"/>
      <c r="AC157" s="249"/>
      <c r="AD157" s="167"/>
      <c r="AE157" s="167"/>
      <c r="AF157" s="249"/>
      <c r="AG157" s="167"/>
      <c r="AH157" s="167"/>
      <c r="AI157" s="249"/>
      <c r="AJ157" s="167"/>
      <c r="AK157" s="167"/>
      <c r="AL157" s="167"/>
      <c r="AM157" s="167"/>
      <c r="AN157" s="167"/>
      <c r="AO157" s="167"/>
      <c r="AP157" s="167"/>
      <c r="AQ157" s="167">
        <v>2.8</v>
      </c>
      <c r="AR157" s="255" t="s">
        <v>3190</v>
      </c>
      <c r="AS157" s="255" t="s">
        <v>3191</v>
      </c>
      <c r="AT157" s="171"/>
      <c r="AU157" s="167"/>
      <c r="AV157" s="167"/>
      <c r="AW157" s="167"/>
      <c r="AX157" s="167"/>
      <c r="AY157" s="167"/>
      <c r="AZ157" s="167"/>
      <c r="BA157" s="167"/>
      <c r="BB157" s="167"/>
      <c r="BC157" s="167"/>
      <c r="BD157" s="167"/>
      <c r="BE157" s="167"/>
      <c r="BF157" s="167"/>
      <c r="BG157" s="167"/>
      <c r="BH157" s="167"/>
      <c r="BI157" s="167"/>
      <c r="BJ157" s="167"/>
      <c r="BK157" s="167"/>
      <c r="BL157" s="167"/>
      <c r="BM157" s="167"/>
      <c r="BN157" s="167"/>
      <c r="BO157" s="167"/>
      <c r="BP157" s="147"/>
      <c r="BQ157" s="147"/>
      <c r="BR157" s="147"/>
    </row>
    <row r="158" spans="1:70" ht="36">
      <c r="A158" s="143"/>
      <c r="B158" s="143" t="s">
        <v>5596</v>
      </c>
      <c r="C158" s="166" t="s">
        <v>5597</v>
      </c>
      <c r="D158" s="165" t="s">
        <v>215</v>
      </c>
      <c r="E158" s="135">
        <v>2024</v>
      </c>
      <c r="F158" s="135">
        <v>2024</v>
      </c>
      <c r="G158" s="135"/>
      <c r="H158" s="165" t="s">
        <v>5524</v>
      </c>
      <c r="I158" s="465">
        <v>4920000</v>
      </c>
      <c r="J158" s="465">
        <v>4920000</v>
      </c>
      <c r="K158" s="514">
        <v>2</v>
      </c>
      <c r="L158" s="7" t="s">
        <v>5290</v>
      </c>
      <c r="M158" s="9" t="s">
        <v>3223</v>
      </c>
      <c r="N158" s="135" t="s">
        <v>3215</v>
      </c>
      <c r="O158" s="15" t="s">
        <v>4951</v>
      </c>
      <c r="P158" s="171" t="s">
        <v>5926</v>
      </c>
      <c r="Q158" s="109">
        <f>Table6[[#This Row],[Dana Disetujui]]</f>
        <v>4920000</v>
      </c>
      <c r="R158" s="6" t="s">
        <v>4269</v>
      </c>
      <c r="S158" s="167" t="s">
        <v>5547</v>
      </c>
      <c r="T158" s="109">
        <f>Table6[[#This Row],[Dana Disetujui]]</f>
        <v>4920000</v>
      </c>
      <c r="U158" s="165" t="s">
        <v>4269</v>
      </c>
      <c r="V158" s="167" t="s">
        <v>3114</v>
      </c>
      <c r="W158" s="109">
        <f>Table6[[#This Row],[Dana Disetujui]]</f>
        <v>4920000</v>
      </c>
      <c r="X158" s="165" t="s">
        <v>4269</v>
      </c>
      <c r="Y158" s="167"/>
      <c r="Z158" s="249"/>
      <c r="AA158" s="167"/>
      <c r="AB158" s="167"/>
      <c r="AC158" s="249"/>
      <c r="AD158" s="167"/>
      <c r="AE158" s="167"/>
      <c r="AF158" s="249"/>
      <c r="AG158" s="167"/>
      <c r="AH158" s="167"/>
      <c r="AI158" s="249"/>
      <c r="AJ158" s="167"/>
      <c r="AK158" s="167"/>
      <c r="AL158" s="167"/>
      <c r="AM158" s="167"/>
      <c r="AN158" s="167"/>
      <c r="AO158" s="167"/>
      <c r="AP158" s="167"/>
      <c r="AQ158" s="167">
        <v>2</v>
      </c>
      <c r="AR158" s="586" t="s">
        <v>3190</v>
      </c>
      <c r="AS158" s="792" t="s">
        <v>3191</v>
      </c>
      <c r="AT158" s="171"/>
      <c r="AU158" s="167"/>
      <c r="AV158" s="167"/>
      <c r="AW158" s="167"/>
      <c r="AX158" s="167"/>
      <c r="AY158" s="167"/>
      <c r="AZ158" s="167"/>
      <c r="BA158" s="167"/>
      <c r="BB158" s="167"/>
      <c r="BC158" s="167"/>
      <c r="BD158" s="167"/>
      <c r="BE158" s="167"/>
      <c r="BF158" s="167"/>
      <c r="BG158" s="167"/>
      <c r="BH158" s="167"/>
      <c r="BI158" s="167"/>
      <c r="BJ158" s="167"/>
      <c r="BK158" s="167"/>
      <c r="BL158" s="167"/>
      <c r="BM158" s="167"/>
      <c r="BN158" s="167"/>
      <c r="BO158" s="167"/>
      <c r="BP158" s="147"/>
      <c r="BQ158" s="147"/>
      <c r="BR158" s="147"/>
    </row>
    <row r="159" spans="1:70" ht="36">
      <c r="A159" s="143"/>
      <c r="B159" s="143" t="s">
        <v>5599</v>
      </c>
      <c r="C159" s="166" t="s">
        <v>3076</v>
      </c>
      <c r="D159" s="165" t="s">
        <v>217</v>
      </c>
      <c r="E159" s="135">
        <v>2024</v>
      </c>
      <c r="F159" s="135">
        <v>2024</v>
      </c>
      <c r="G159" s="135"/>
      <c r="H159" s="165" t="s">
        <v>5524</v>
      </c>
      <c r="I159" s="465">
        <v>10000000</v>
      </c>
      <c r="J159" s="465">
        <v>10000000</v>
      </c>
      <c r="K159" s="514">
        <v>4</v>
      </c>
      <c r="L159" s="7" t="s">
        <v>5290</v>
      </c>
      <c r="M159" s="9" t="s">
        <v>3223</v>
      </c>
      <c r="N159" s="135" t="s">
        <v>3215</v>
      </c>
      <c r="O159" s="15" t="s">
        <v>4951</v>
      </c>
      <c r="P159" s="171" t="s">
        <v>5927</v>
      </c>
      <c r="Q159" s="109">
        <f>Table6[[#This Row],[Dana Disetujui]]</f>
        <v>10000000</v>
      </c>
      <c r="R159" s="6" t="s">
        <v>4269</v>
      </c>
      <c r="S159" s="167" t="s">
        <v>119</v>
      </c>
      <c r="T159" s="109">
        <f>Table6[[#This Row],[Dana Disetujui]]</f>
        <v>10000000</v>
      </c>
      <c r="U159" s="165" t="s">
        <v>4269</v>
      </c>
      <c r="V159" s="167"/>
      <c r="W159" s="245"/>
      <c r="X159" s="165"/>
      <c r="Y159" s="167"/>
      <c r="Z159" s="249"/>
      <c r="AA159" s="167"/>
      <c r="AB159" s="167"/>
      <c r="AC159" s="249"/>
      <c r="AD159" s="167"/>
      <c r="AE159" s="167"/>
      <c r="AF159" s="249"/>
      <c r="AG159" s="167"/>
      <c r="AH159" s="167"/>
      <c r="AI159" s="249"/>
      <c r="AJ159" s="167"/>
      <c r="AK159" s="167"/>
      <c r="AL159" s="167"/>
      <c r="AM159" s="167"/>
      <c r="AN159" s="167"/>
      <c r="AO159" s="167"/>
      <c r="AP159" s="167"/>
      <c r="AQ159" s="167">
        <v>4</v>
      </c>
      <c r="AR159" s="586" t="s">
        <v>3190</v>
      </c>
      <c r="AS159" s="792" t="s">
        <v>3191</v>
      </c>
      <c r="AT159" s="171"/>
      <c r="AU159" s="167"/>
      <c r="AV159" s="167"/>
      <c r="AW159" s="167"/>
      <c r="AX159" s="167"/>
      <c r="AY159" s="167"/>
      <c r="AZ159" s="167"/>
      <c r="BA159" s="167"/>
      <c r="BB159" s="167"/>
      <c r="BC159" s="167"/>
      <c r="BD159" s="167"/>
      <c r="BE159" s="167"/>
      <c r="BF159" s="167"/>
      <c r="BG159" s="167"/>
      <c r="BH159" s="167"/>
      <c r="BI159" s="167"/>
      <c r="BJ159" s="167"/>
      <c r="BK159" s="167"/>
      <c r="BL159" s="167"/>
      <c r="BM159" s="167"/>
      <c r="BN159" s="167"/>
      <c r="BO159" s="167"/>
      <c r="BP159" s="147"/>
      <c r="BQ159" s="147"/>
      <c r="BR159" s="147"/>
    </row>
    <row r="160" spans="1:70" ht="24">
      <c r="A160" s="143"/>
      <c r="B160" s="143" t="s">
        <v>5600</v>
      </c>
      <c r="C160" s="166" t="s">
        <v>5601</v>
      </c>
      <c r="D160" s="165" t="s">
        <v>217</v>
      </c>
      <c r="E160" s="135">
        <v>2024</v>
      </c>
      <c r="F160" s="135">
        <v>2024</v>
      </c>
      <c r="G160" s="135"/>
      <c r="H160" s="165" t="s">
        <v>5517</v>
      </c>
      <c r="I160" s="465">
        <v>10000000</v>
      </c>
      <c r="J160" s="465">
        <v>10000000</v>
      </c>
      <c r="K160" s="514">
        <v>3</v>
      </c>
      <c r="L160" s="7" t="s">
        <v>5290</v>
      </c>
      <c r="M160" s="9" t="s">
        <v>3223</v>
      </c>
      <c r="N160" s="135" t="s">
        <v>3215</v>
      </c>
      <c r="O160" s="15" t="s">
        <v>4951</v>
      </c>
      <c r="P160" s="171" t="s">
        <v>5928</v>
      </c>
      <c r="Q160" s="109">
        <f>Table6[[#This Row],[Dana Disetujui]]</f>
        <v>10000000</v>
      </c>
      <c r="R160" s="6" t="s">
        <v>4269</v>
      </c>
      <c r="S160" s="167" t="s">
        <v>4661</v>
      </c>
      <c r="T160" s="109">
        <f>Table6[[#This Row],[Dana Disetujui]]</f>
        <v>10000000</v>
      </c>
      <c r="U160" s="6" t="s">
        <v>4269</v>
      </c>
      <c r="V160" s="167" t="s">
        <v>4363</v>
      </c>
      <c r="W160" s="109">
        <f>Table6[[#This Row],[Dana Disetujui]]</f>
        <v>10000000</v>
      </c>
      <c r="X160" s="6" t="s">
        <v>4269</v>
      </c>
      <c r="Y160" s="167" t="s">
        <v>3116</v>
      </c>
      <c r="Z160" s="109">
        <f>Table6[[#This Row],[Dana Disetujui]]</f>
        <v>10000000</v>
      </c>
      <c r="AA160" s="6" t="s">
        <v>4269</v>
      </c>
      <c r="AB160" s="167"/>
      <c r="AC160" s="249"/>
      <c r="AD160" s="167"/>
      <c r="AE160" s="167"/>
      <c r="AF160" s="249"/>
      <c r="AG160" s="167"/>
      <c r="AH160" s="167"/>
      <c r="AI160" s="249"/>
      <c r="AJ160" s="167"/>
      <c r="AK160" s="167"/>
      <c r="AL160" s="167"/>
      <c r="AM160" s="167"/>
      <c r="AN160" s="167"/>
      <c r="AO160" s="167"/>
      <c r="AP160" s="167"/>
      <c r="AQ160" s="167">
        <v>3</v>
      </c>
      <c r="AR160" s="586" t="s">
        <v>3190</v>
      </c>
      <c r="AS160" s="792" t="s">
        <v>3191</v>
      </c>
      <c r="AT160" s="171"/>
      <c r="AU160" s="167"/>
      <c r="AV160" s="167"/>
      <c r="AW160" s="167"/>
      <c r="AX160" s="167"/>
      <c r="AY160" s="167"/>
      <c r="AZ160" s="167"/>
      <c r="BA160" s="167"/>
      <c r="BB160" s="167"/>
      <c r="BC160" s="167"/>
      <c r="BD160" s="167"/>
      <c r="BE160" s="167"/>
      <c r="BF160" s="167"/>
      <c r="BG160" s="167"/>
      <c r="BH160" s="167"/>
      <c r="BI160" s="167"/>
      <c r="BJ160" s="167"/>
      <c r="BK160" s="167"/>
      <c r="BL160" s="167"/>
      <c r="BM160" s="167"/>
      <c r="BN160" s="167"/>
      <c r="BO160" s="167"/>
      <c r="BP160" s="147"/>
      <c r="BQ160" s="147"/>
      <c r="BR160" s="147"/>
    </row>
    <row r="161" spans="1:70" ht="24">
      <c r="A161" s="143"/>
      <c r="B161" s="143" t="s">
        <v>5604</v>
      </c>
      <c r="C161" s="166" t="s">
        <v>5605</v>
      </c>
      <c r="D161" s="165" t="s">
        <v>217</v>
      </c>
      <c r="E161" s="135">
        <v>2024</v>
      </c>
      <c r="F161" s="135">
        <v>2024</v>
      </c>
      <c r="G161" s="135"/>
      <c r="H161" s="165" t="s">
        <v>5524</v>
      </c>
      <c r="I161" s="465">
        <v>9500000</v>
      </c>
      <c r="J161" s="465">
        <v>9500000</v>
      </c>
      <c r="K161" s="514">
        <v>2</v>
      </c>
      <c r="L161" s="7" t="s">
        <v>5290</v>
      </c>
      <c r="M161" s="9" t="s">
        <v>3223</v>
      </c>
      <c r="N161" s="135" t="s">
        <v>3215</v>
      </c>
      <c r="O161" s="15" t="s">
        <v>4951</v>
      </c>
      <c r="P161" s="171" t="s">
        <v>5890</v>
      </c>
      <c r="Q161" s="109">
        <f>Table6[[#This Row],[Dana Disetujui]]</f>
        <v>9500000</v>
      </c>
      <c r="R161" s="6" t="s">
        <v>4269</v>
      </c>
      <c r="S161" s="167" t="s">
        <v>3120</v>
      </c>
      <c r="T161" s="109">
        <f>Table6[[#This Row],[Dana Disetujui]]</f>
        <v>9500000</v>
      </c>
      <c r="U161" s="6" t="s">
        <v>4269</v>
      </c>
      <c r="V161" s="167" t="s">
        <v>4727</v>
      </c>
      <c r="W161" s="109">
        <f>Table6[[#This Row],[Dana Disetujui]]</f>
        <v>9500000</v>
      </c>
      <c r="X161" s="6" t="s">
        <v>4269</v>
      </c>
      <c r="Y161" s="167"/>
      <c r="Z161" s="249"/>
      <c r="AA161" s="167"/>
      <c r="AB161" s="167"/>
      <c r="AC161" s="249"/>
      <c r="AD161" s="167"/>
      <c r="AE161" s="167"/>
      <c r="AF161" s="249"/>
      <c r="AG161" s="167"/>
      <c r="AH161" s="167"/>
      <c r="AI161" s="249"/>
      <c r="AJ161" s="167"/>
      <c r="AK161" s="167"/>
      <c r="AL161" s="167"/>
      <c r="AM161" s="167"/>
      <c r="AN161" s="167"/>
      <c r="AO161" s="167"/>
      <c r="AP161" s="167"/>
      <c r="AQ161" s="167">
        <v>2</v>
      </c>
      <c r="AR161" s="586" t="s">
        <v>3190</v>
      </c>
      <c r="AS161" s="792" t="s">
        <v>3191</v>
      </c>
      <c r="AT161" s="171"/>
      <c r="AU161" s="167"/>
      <c r="AV161" s="167"/>
      <c r="AW161" s="167"/>
      <c r="AX161" s="167"/>
      <c r="AY161" s="167"/>
      <c r="AZ161" s="167"/>
      <c r="BA161" s="167"/>
      <c r="BB161" s="167"/>
      <c r="BC161" s="167"/>
      <c r="BD161" s="167"/>
      <c r="BE161" s="167"/>
      <c r="BF161" s="167"/>
      <c r="BG161" s="167"/>
      <c r="BH161" s="167"/>
      <c r="BI161" s="167"/>
      <c r="BJ161" s="167"/>
      <c r="BK161" s="167"/>
      <c r="BL161" s="167"/>
      <c r="BM161" s="167"/>
      <c r="BN161" s="167"/>
      <c r="BO161" s="167"/>
      <c r="BP161" s="147"/>
      <c r="BQ161" s="147"/>
      <c r="BR161" s="147"/>
    </row>
    <row r="162" spans="1:70" ht="24">
      <c r="A162" s="143"/>
      <c r="B162" s="143" t="s">
        <v>5609</v>
      </c>
      <c r="C162" s="166" t="s">
        <v>5610</v>
      </c>
      <c r="D162" s="165" t="s">
        <v>217</v>
      </c>
      <c r="E162" s="135">
        <v>2024</v>
      </c>
      <c r="F162" s="135">
        <v>2024</v>
      </c>
      <c r="G162" s="135"/>
      <c r="H162" s="165" t="s">
        <v>5536</v>
      </c>
      <c r="I162" s="465">
        <v>9964000</v>
      </c>
      <c r="J162" s="465">
        <v>9964000</v>
      </c>
      <c r="K162" s="514">
        <v>4</v>
      </c>
      <c r="L162" s="7" t="s">
        <v>5290</v>
      </c>
      <c r="M162" s="9" t="s">
        <v>3223</v>
      </c>
      <c r="N162" s="135" t="s">
        <v>3215</v>
      </c>
      <c r="O162" s="15" t="s">
        <v>4951</v>
      </c>
      <c r="P162" s="171" t="s">
        <v>5929</v>
      </c>
      <c r="Q162" s="109">
        <f>Table6[[#This Row],[Dana Disetujui]]</f>
        <v>9964000</v>
      </c>
      <c r="R162" s="6" t="s">
        <v>4269</v>
      </c>
      <c r="S162" s="167" t="s">
        <v>3113</v>
      </c>
      <c r="T162" s="109">
        <f>Table6[[#This Row],[Dana Disetujui]]</f>
        <v>9964000</v>
      </c>
      <c r="U162" s="6" t="s">
        <v>4269</v>
      </c>
      <c r="V162" s="167" t="s">
        <v>5614</v>
      </c>
      <c r="W162" s="109">
        <f>Table6[[#This Row],[Dana Disetujui]]</f>
        <v>9964000</v>
      </c>
      <c r="X162" s="6" t="s">
        <v>4269</v>
      </c>
      <c r="Y162" s="167"/>
      <c r="Z162" s="249"/>
      <c r="AA162" s="167"/>
      <c r="AB162" s="167"/>
      <c r="AC162" s="249"/>
      <c r="AD162" s="167"/>
      <c r="AE162" s="167"/>
      <c r="AF162" s="249"/>
      <c r="AG162" s="167"/>
      <c r="AH162" s="167"/>
      <c r="AI162" s="249"/>
      <c r="AJ162" s="167"/>
      <c r="AK162" s="167"/>
      <c r="AL162" s="167"/>
      <c r="AM162" s="167"/>
      <c r="AN162" s="167"/>
      <c r="AO162" s="167"/>
      <c r="AP162" s="167"/>
      <c r="AQ162" s="167">
        <v>4</v>
      </c>
      <c r="AR162" s="586" t="s">
        <v>3190</v>
      </c>
      <c r="AS162" s="792" t="s">
        <v>3191</v>
      </c>
      <c r="AT162" s="171"/>
      <c r="AU162" s="167"/>
      <c r="AV162" s="167"/>
      <c r="AW162" s="167"/>
      <c r="AX162" s="167"/>
      <c r="AY162" s="167"/>
      <c r="AZ162" s="167"/>
      <c r="BA162" s="167"/>
      <c r="BB162" s="167"/>
      <c r="BC162" s="167"/>
      <c r="BD162" s="167"/>
      <c r="BE162" s="167"/>
      <c r="BF162" s="167"/>
      <c r="BG162" s="167"/>
      <c r="BH162" s="167"/>
      <c r="BI162" s="167"/>
      <c r="BJ162" s="167"/>
      <c r="BK162" s="167"/>
      <c r="BL162" s="167"/>
      <c r="BM162" s="167"/>
      <c r="BN162" s="167"/>
      <c r="BO162" s="167"/>
      <c r="BP162" s="147"/>
      <c r="BQ162" s="147"/>
      <c r="BR162" s="147"/>
    </row>
    <row r="163" spans="1:70" ht="36">
      <c r="A163" s="143"/>
      <c r="B163" s="143" t="s">
        <v>5615</v>
      </c>
      <c r="C163" s="166" t="s">
        <v>5616</v>
      </c>
      <c r="D163" s="165" t="s">
        <v>217</v>
      </c>
      <c r="E163" s="135">
        <v>2024</v>
      </c>
      <c r="F163" s="135">
        <v>2024</v>
      </c>
      <c r="G163" s="135"/>
      <c r="H163" s="165" t="s">
        <v>5524</v>
      </c>
      <c r="I163" s="465">
        <v>10000000</v>
      </c>
      <c r="J163" s="465">
        <v>10000000</v>
      </c>
      <c r="K163" s="514">
        <v>3</v>
      </c>
      <c r="L163" s="7" t="s">
        <v>5290</v>
      </c>
      <c r="M163" s="9" t="s">
        <v>3223</v>
      </c>
      <c r="N163" s="135" t="s">
        <v>3215</v>
      </c>
      <c r="O163" s="15" t="s">
        <v>4951</v>
      </c>
      <c r="P163" s="171" t="s">
        <v>5901</v>
      </c>
      <c r="Q163" s="109">
        <f>Table6[[#This Row],[Dana Disetujui]]</f>
        <v>10000000</v>
      </c>
      <c r="R163" s="6" t="s">
        <v>4269</v>
      </c>
      <c r="S163" s="167" t="s">
        <v>4911</v>
      </c>
      <c r="T163" s="109">
        <f>Table6[[#This Row],[Dana Disetujui]]</f>
        <v>10000000</v>
      </c>
      <c r="U163" s="6" t="s">
        <v>4269</v>
      </c>
      <c r="V163" s="167" t="s">
        <v>4822</v>
      </c>
      <c r="W163" s="109">
        <f>Table6[[#This Row],[Dana Disetujui]]</f>
        <v>10000000</v>
      </c>
      <c r="X163" s="6" t="s">
        <v>4269</v>
      </c>
      <c r="Y163" s="167"/>
      <c r="Z163" s="249"/>
      <c r="AA163" s="167"/>
      <c r="AB163" s="167"/>
      <c r="AC163" s="249"/>
      <c r="AD163" s="167"/>
      <c r="AE163" s="167"/>
      <c r="AF163" s="249"/>
      <c r="AG163" s="167"/>
      <c r="AH163" s="167"/>
      <c r="AI163" s="249"/>
      <c r="AJ163" s="167"/>
      <c r="AK163" s="167"/>
      <c r="AL163" s="167"/>
      <c r="AM163" s="167"/>
      <c r="AN163" s="167"/>
      <c r="AO163" s="167"/>
      <c r="AP163" s="167"/>
      <c r="AQ163" s="167">
        <v>9</v>
      </c>
      <c r="AR163" s="586" t="s">
        <v>3190</v>
      </c>
      <c r="AS163" s="792" t="s">
        <v>3191</v>
      </c>
      <c r="AT163" s="171"/>
      <c r="AU163" s="167"/>
      <c r="AV163" s="167"/>
      <c r="AW163" s="167"/>
      <c r="AX163" s="167"/>
      <c r="AY163" s="167"/>
      <c r="AZ163" s="167"/>
      <c r="BA163" s="167"/>
      <c r="BB163" s="167"/>
      <c r="BC163" s="167"/>
      <c r="BD163" s="167"/>
      <c r="BE163" s="167"/>
      <c r="BF163" s="167"/>
      <c r="BG163" s="167"/>
      <c r="BH163" s="167"/>
      <c r="BI163" s="167"/>
      <c r="BJ163" s="167"/>
      <c r="BK163" s="167"/>
      <c r="BL163" s="167"/>
      <c r="BM163" s="167"/>
      <c r="BN163" s="167"/>
      <c r="BO163" s="167"/>
      <c r="BP163" s="147"/>
      <c r="BQ163" s="147"/>
      <c r="BR163" s="147"/>
    </row>
    <row r="164" spans="1:70" s="314" customFormat="1">
      <c r="A164" s="155"/>
      <c r="B164" s="311"/>
      <c r="C164" s="570"/>
      <c r="D164" s="311"/>
      <c r="E164" s="310"/>
      <c r="F164" s="310"/>
      <c r="G164" s="310"/>
      <c r="H164" s="311"/>
      <c r="I164" s="571"/>
      <c r="J164" s="571"/>
      <c r="K164" s="310"/>
      <c r="L164" s="311"/>
      <c r="M164" s="9"/>
      <c r="N164" s="310"/>
      <c r="O164" s="310"/>
      <c r="P164" s="573" t="s">
        <v>3071</v>
      </c>
      <c r="Q164" s="575"/>
      <c r="R164" s="153"/>
      <c r="S164" s="572"/>
      <c r="T164" s="577"/>
      <c r="U164" s="311"/>
      <c r="V164" s="572"/>
      <c r="W164" s="577"/>
      <c r="X164" s="311"/>
      <c r="Y164" s="572"/>
      <c r="Z164" s="572"/>
      <c r="AA164" s="572"/>
      <c r="AB164" s="572"/>
      <c r="AC164" s="572"/>
      <c r="AD164" s="572"/>
      <c r="AE164" s="572"/>
      <c r="AF164" s="572"/>
      <c r="AG164" s="572"/>
      <c r="AH164" s="572"/>
      <c r="AI164" s="572"/>
      <c r="AJ164" s="572"/>
      <c r="AK164" s="572"/>
      <c r="AL164" s="572"/>
      <c r="AM164" s="572"/>
      <c r="AN164" s="572"/>
      <c r="AO164" s="572"/>
      <c r="AP164" s="572"/>
      <c r="AQ164" s="572"/>
      <c r="AR164" s="578"/>
      <c r="AS164" s="309"/>
      <c r="AT164" s="573"/>
      <c r="AU164" s="572"/>
      <c r="AV164" s="572"/>
      <c r="AW164" s="572"/>
      <c r="AX164" s="572"/>
      <c r="AY164" s="572"/>
      <c r="AZ164" s="572"/>
      <c r="BA164" s="572"/>
      <c r="BB164" s="572"/>
      <c r="BC164" s="572"/>
      <c r="BD164" s="572"/>
      <c r="BE164" s="572"/>
      <c r="BF164" s="572"/>
      <c r="BG164" s="572"/>
      <c r="BH164" s="572"/>
      <c r="BI164" s="572"/>
      <c r="BJ164" s="572"/>
      <c r="BK164" s="572"/>
      <c r="BL164" s="572"/>
      <c r="BM164" s="572"/>
      <c r="BN164" s="572"/>
      <c r="BO164" s="572"/>
      <c r="BP164" s="579"/>
      <c r="BQ164" s="579"/>
      <c r="BR164" s="579"/>
    </row>
    <row r="165" spans="1:70" ht="48">
      <c r="A165" s="143"/>
      <c r="B165" s="165"/>
      <c r="C165" s="166" t="s">
        <v>5621</v>
      </c>
      <c r="D165" s="165" t="s">
        <v>5622</v>
      </c>
      <c r="E165" s="135">
        <v>2025</v>
      </c>
      <c r="F165" s="135">
        <v>2025</v>
      </c>
      <c r="G165" s="135">
        <v>6</v>
      </c>
      <c r="H165" s="165" t="s">
        <v>4796</v>
      </c>
      <c r="I165" s="465">
        <v>20000000</v>
      </c>
      <c r="J165" s="465">
        <v>20000000</v>
      </c>
      <c r="K165" s="514">
        <v>4</v>
      </c>
      <c r="L165" s="165"/>
      <c r="M165" s="9" t="s">
        <v>3223</v>
      </c>
      <c r="N165" s="135" t="s">
        <v>3215</v>
      </c>
      <c r="O165" s="135"/>
      <c r="P165" s="171" t="s">
        <v>5930</v>
      </c>
      <c r="Q165" s="109">
        <f>Table6[[#This Row],[Dana Disetujui]]</f>
        <v>20000000</v>
      </c>
      <c r="R165" s="6" t="s">
        <v>4269</v>
      </c>
      <c r="S165" s="167" t="s">
        <v>5528</v>
      </c>
      <c r="T165" s="109">
        <f>Table6[[#This Row],[Dana Disetujui]]</f>
        <v>20000000</v>
      </c>
      <c r="U165" s="165" t="s">
        <v>4269</v>
      </c>
      <c r="V165" s="167" t="s">
        <v>4408</v>
      </c>
      <c r="W165" s="109">
        <f>Table6[[#This Row],[Dana Disetujui]]</f>
        <v>20000000</v>
      </c>
      <c r="X165" s="6" t="s">
        <v>4269</v>
      </c>
      <c r="Y165" s="167" t="s">
        <v>146</v>
      </c>
      <c r="Z165" s="245">
        <f>Table6[[#This Row],[Dana Disetujui]]</f>
        <v>20000000</v>
      </c>
      <c r="AA165" s="6" t="s">
        <v>4269</v>
      </c>
      <c r="AB165" s="167" t="s">
        <v>4865</v>
      </c>
      <c r="AC165" s="109">
        <f>Table6[[#This Row],[Dana Disetujui]]</f>
        <v>20000000</v>
      </c>
      <c r="AD165" s="6" t="s">
        <v>4269</v>
      </c>
      <c r="AE165" s="167"/>
      <c r="AF165" s="249"/>
      <c r="AG165" s="167"/>
      <c r="AH165" s="167"/>
      <c r="AI165" s="249"/>
      <c r="AJ165" s="167"/>
      <c r="AK165" s="167"/>
      <c r="AL165" s="167"/>
      <c r="AM165" s="167"/>
      <c r="AN165" s="167"/>
      <c r="AO165" s="167"/>
      <c r="AP165" s="167"/>
      <c r="AQ165" s="167"/>
      <c r="AR165" s="586" t="s">
        <v>3190</v>
      </c>
      <c r="AS165" s="8" t="s">
        <v>3191</v>
      </c>
      <c r="AT165" s="171"/>
      <c r="AU165" s="167"/>
      <c r="AV165" s="167"/>
      <c r="AW165" s="167"/>
      <c r="AX165" s="167"/>
      <c r="AY165" s="167"/>
      <c r="AZ165" s="167"/>
      <c r="BA165" s="167"/>
      <c r="BB165" s="167"/>
      <c r="BC165" s="167"/>
      <c r="BD165" s="167"/>
      <c r="BE165" s="167"/>
      <c r="BF165" s="167"/>
      <c r="BG165" s="167"/>
      <c r="BH165" s="167"/>
      <c r="BI165" s="167"/>
      <c r="BJ165" s="167"/>
      <c r="BK165" s="167"/>
      <c r="BL165" s="167"/>
      <c r="BM165" s="167"/>
      <c r="BN165" s="167"/>
      <c r="BO165" s="167"/>
      <c r="BP165" s="147"/>
      <c r="BQ165" s="147"/>
      <c r="BR165" s="147"/>
    </row>
    <row r="166" spans="1:70" ht="48">
      <c r="A166" s="143"/>
      <c r="B166" s="165"/>
      <c r="C166" s="166" t="s">
        <v>5625</v>
      </c>
      <c r="D166" s="165" t="s">
        <v>5622</v>
      </c>
      <c r="E166" s="135">
        <v>2025</v>
      </c>
      <c r="F166" s="135">
        <v>2025</v>
      </c>
      <c r="G166" s="135">
        <v>6</v>
      </c>
      <c r="H166" s="165" t="s">
        <v>4796</v>
      </c>
      <c r="I166" s="465">
        <v>20000000</v>
      </c>
      <c r="J166" s="465">
        <v>20000000</v>
      </c>
      <c r="K166" s="514">
        <v>4</v>
      </c>
      <c r="L166" s="165"/>
      <c r="M166" s="9" t="s">
        <v>3223</v>
      </c>
      <c r="N166" s="135" t="s">
        <v>3215</v>
      </c>
      <c r="O166" s="135"/>
      <c r="P166" s="171" t="s">
        <v>5909</v>
      </c>
      <c r="Q166" s="109">
        <f>Table6[[#This Row],[Dana Disetujui]]</f>
        <v>20000000</v>
      </c>
      <c r="R166" s="6" t="s">
        <v>4269</v>
      </c>
      <c r="S166" s="167" t="s">
        <v>4728</v>
      </c>
      <c r="T166" s="109">
        <f>Table6[[#This Row],[Dana Disetujui]]</f>
        <v>20000000</v>
      </c>
      <c r="U166" s="165" t="s">
        <v>4269</v>
      </c>
      <c r="V166" s="167" t="s">
        <v>3113</v>
      </c>
      <c r="W166" s="109">
        <f>Table6[[#This Row],[Dana Disetujui]]</f>
        <v>20000000</v>
      </c>
      <c r="X166" s="6" t="s">
        <v>4269</v>
      </c>
      <c r="Y166" s="167" t="s">
        <v>4694</v>
      </c>
      <c r="Z166" s="245">
        <f>Table6[[#This Row],[Dana Disetujui]]</f>
        <v>20000000</v>
      </c>
      <c r="AA166" s="6" t="s">
        <v>4269</v>
      </c>
      <c r="AB166" s="167" t="s">
        <v>3116</v>
      </c>
      <c r="AC166" s="109">
        <f>Table6[[#This Row],[Dana Disetujui]]</f>
        <v>20000000</v>
      </c>
      <c r="AD166" s="6" t="s">
        <v>4269</v>
      </c>
      <c r="AE166" s="167"/>
      <c r="AF166" s="249"/>
      <c r="AG166" s="167"/>
      <c r="AH166" s="167"/>
      <c r="AI166" s="249"/>
      <c r="AJ166" s="167"/>
      <c r="AK166" s="167"/>
      <c r="AL166" s="167"/>
      <c r="AM166" s="167"/>
      <c r="AN166" s="167"/>
      <c r="AO166" s="167"/>
      <c r="AP166" s="167"/>
      <c r="AQ166" s="167"/>
      <c r="AR166" s="586" t="s">
        <v>3190</v>
      </c>
      <c r="AS166" s="8" t="s">
        <v>3191</v>
      </c>
      <c r="AT166" s="171"/>
      <c r="AU166" s="167"/>
      <c r="AV166" s="167"/>
      <c r="AW166" s="167"/>
      <c r="AX166" s="167"/>
      <c r="AY166" s="167"/>
      <c r="AZ166" s="167"/>
      <c r="BA166" s="167"/>
      <c r="BB166" s="167"/>
      <c r="BC166" s="167"/>
      <c r="BD166" s="167"/>
      <c r="BE166" s="167"/>
      <c r="BF166" s="167"/>
      <c r="BG166" s="167"/>
      <c r="BH166" s="167"/>
      <c r="BI166" s="167"/>
      <c r="BJ166" s="167"/>
      <c r="BK166" s="167"/>
      <c r="BL166" s="167"/>
      <c r="BM166" s="167"/>
      <c r="BN166" s="167"/>
      <c r="BO166" s="167"/>
      <c r="BP166" s="147"/>
      <c r="BQ166" s="147"/>
      <c r="BR166" s="147"/>
    </row>
    <row r="167" spans="1:70" ht="48">
      <c r="A167" s="143"/>
      <c r="B167" s="165"/>
      <c r="C167" s="166" t="s">
        <v>5627</v>
      </c>
      <c r="D167" s="165" t="s">
        <v>5622</v>
      </c>
      <c r="E167" s="135">
        <v>2025</v>
      </c>
      <c r="F167" s="135">
        <v>2025</v>
      </c>
      <c r="G167" s="135">
        <v>6</v>
      </c>
      <c r="H167" s="165" t="s">
        <v>4796</v>
      </c>
      <c r="I167" s="465">
        <v>15000000</v>
      </c>
      <c r="J167" s="465">
        <v>15000000</v>
      </c>
      <c r="K167" s="514">
        <v>4</v>
      </c>
      <c r="L167" s="165"/>
      <c r="M167" s="9" t="s">
        <v>3223</v>
      </c>
      <c r="N167" s="135" t="s">
        <v>3215</v>
      </c>
      <c r="O167" s="135"/>
      <c r="P167" s="171" t="s">
        <v>5931</v>
      </c>
      <c r="Q167" s="109">
        <f>Table6[[#This Row],[Dana Disetujui]]</f>
        <v>15000000</v>
      </c>
      <c r="R167" s="6" t="s">
        <v>4269</v>
      </c>
      <c r="S167" s="167" t="s">
        <v>190</v>
      </c>
      <c r="T167" s="109">
        <f>Table6[[#This Row],[Dana Disetujui]]</f>
        <v>15000000</v>
      </c>
      <c r="U167" s="165" t="s">
        <v>4269</v>
      </c>
      <c r="V167" s="167" t="s">
        <v>3109</v>
      </c>
      <c r="W167" s="109">
        <f>Table6[[#This Row],[Dana Disetujui]]</f>
        <v>15000000</v>
      </c>
      <c r="X167" s="6" t="s">
        <v>4269</v>
      </c>
      <c r="Y167" s="167" t="s">
        <v>4383</v>
      </c>
      <c r="Z167" s="245">
        <f>Table6[[#This Row],[Dana Disetujui]]</f>
        <v>15000000</v>
      </c>
      <c r="AA167" s="6" t="s">
        <v>4269</v>
      </c>
      <c r="AB167" s="167" t="s">
        <v>4671</v>
      </c>
      <c r="AC167" s="109">
        <f>Table6[[#This Row],[Dana Disetujui]]</f>
        <v>15000000</v>
      </c>
      <c r="AD167" s="6" t="s">
        <v>4269</v>
      </c>
      <c r="AE167" s="167"/>
      <c r="AF167" s="249"/>
      <c r="AG167" s="167"/>
      <c r="AH167" s="167"/>
      <c r="AI167" s="249"/>
      <c r="AJ167" s="167"/>
      <c r="AK167" s="167"/>
      <c r="AL167" s="167"/>
      <c r="AM167" s="167"/>
      <c r="AN167" s="167"/>
      <c r="AO167" s="167"/>
      <c r="AP167" s="167"/>
      <c r="AQ167" s="167"/>
      <c r="AR167" s="586" t="s">
        <v>3190</v>
      </c>
      <c r="AS167" s="8" t="s">
        <v>3191</v>
      </c>
      <c r="AT167" s="171"/>
      <c r="AU167" s="167"/>
      <c r="AV167" s="167"/>
      <c r="AW167" s="167"/>
      <c r="AX167" s="167"/>
      <c r="AY167" s="167"/>
      <c r="AZ167" s="167"/>
      <c r="BA167" s="167"/>
      <c r="BB167" s="167"/>
      <c r="BC167" s="167"/>
      <c r="BD167" s="167"/>
      <c r="BE167" s="167"/>
      <c r="BF167" s="167"/>
      <c r="BG167" s="167"/>
      <c r="BH167" s="167"/>
      <c r="BI167" s="167"/>
      <c r="BJ167" s="167"/>
      <c r="BK167" s="167"/>
      <c r="BL167" s="167"/>
      <c r="BM167" s="167"/>
      <c r="BN167" s="167"/>
      <c r="BO167" s="167"/>
      <c r="BP167" s="147"/>
      <c r="BQ167" s="147"/>
      <c r="BR167" s="147"/>
    </row>
    <row r="168" spans="1:70" ht="48">
      <c r="A168" s="143"/>
      <c r="B168" s="165"/>
      <c r="C168" s="166" t="s">
        <v>5629</v>
      </c>
      <c r="D168" s="165" t="s">
        <v>5622</v>
      </c>
      <c r="E168" s="135">
        <v>2025</v>
      </c>
      <c r="F168" s="135">
        <v>2025</v>
      </c>
      <c r="G168" s="135">
        <v>6</v>
      </c>
      <c r="H168" s="165" t="s">
        <v>4796</v>
      </c>
      <c r="I168" s="465">
        <v>13000000</v>
      </c>
      <c r="J168" s="465">
        <v>13000000</v>
      </c>
      <c r="K168" s="514">
        <v>4</v>
      </c>
      <c r="L168" s="165"/>
      <c r="M168" s="9" t="s">
        <v>3223</v>
      </c>
      <c r="N168" s="135" t="s">
        <v>3215</v>
      </c>
      <c r="O168" s="135"/>
      <c r="P168" s="171" t="s">
        <v>5932</v>
      </c>
      <c r="Q168" s="109">
        <f>Table6[[#This Row],[Dana Disetujui]]</f>
        <v>13000000</v>
      </c>
      <c r="R168" s="6" t="s">
        <v>4269</v>
      </c>
      <c r="S168" s="167" t="s">
        <v>4147</v>
      </c>
      <c r="T168" s="109">
        <f>Table6[[#This Row],[Dana Disetujui]]</f>
        <v>13000000</v>
      </c>
      <c r="U168" s="6" t="s">
        <v>4269</v>
      </c>
      <c r="V168" s="167" t="s">
        <v>4350</v>
      </c>
      <c r="W168" s="109">
        <f>Table6[[#This Row],[Dana Disetujui]]</f>
        <v>13000000</v>
      </c>
      <c r="X168" s="6" t="s">
        <v>4269</v>
      </c>
      <c r="Y168" s="167" t="s">
        <v>3121</v>
      </c>
      <c r="Z168" s="245">
        <f>Table6[[#This Row],[Dana Disetujui]]</f>
        <v>13000000</v>
      </c>
      <c r="AA168" s="167"/>
      <c r="AB168" s="167" t="s">
        <v>4821</v>
      </c>
      <c r="AC168" s="109">
        <f>Table6[[#This Row],[Dana Disetujui]]</f>
        <v>13000000</v>
      </c>
      <c r="AD168" s="6" t="s">
        <v>4269</v>
      </c>
      <c r="AE168" s="167"/>
      <c r="AF168" s="249"/>
      <c r="AG168" s="167"/>
      <c r="AH168" s="167"/>
      <c r="AI168" s="249"/>
      <c r="AJ168" s="167"/>
      <c r="AK168" s="167"/>
      <c r="AL168" s="167"/>
      <c r="AM168" s="167"/>
      <c r="AN168" s="167"/>
      <c r="AO168" s="167"/>
      <c r="AP168" s="167"/>
      <c r="AQ168" s="167"/>
      <c r="AR168" s="586" t="s">
        <v>3190</v>
      </c>
      <c r="AS168" s="8" t="s">
        <v>3191</v>
      </c>
      <c r="AT168" s="171"/>
      <c r="AU168" s="167"/>
      <c r="AV168" s="167"/>
      <c r="AW168" s="167"/>
      <c r="AX168" s="167"/>
      <c r="AY168" s="167"/>
      <c r="AZ168" s="167"/>
      <c r="BA168" s="167"/>
      <c r="BB168" s="167"/>
      <c r="BC168" s="167"/>
      <c r="BD168" s="167"/>
      <c r="BE168" s="167"/>
      <c r="BF168" s="167"/>
      <c r="BG168" s="167"/>
      <c r="BH168" s="167"/>
      <c r="BI168" s="167"/>
      <c r="BJ168" s="167"/>
      <c r="BK168" s="167"/>
      <c r="BL168" s="167"/>
      <c r="BM168" s="167"/>
      <c r="BN168" s="167"/>
      <c r="BO168" s="167"/>
      <c r="BP168" s="147"/>
      <c r="BQ168" s="147"/>
      <c r="BR168" s="147"/>
    </row>
    <row r="169" spans="1:70" ht="48">
      <c r="A169" s="143"/>
      <c r="B169" s="165"/>
      <c r="C169" s="166" t="s">
        <v>5631</v>
      </c>
      <c r="D169" s="165" t="s">
        <v>5622</v>
      </c>
      <c r="E169" s="135">
        <v>2025</v>
      </c>
      <c r="F169" s="135">
        <v>2025</v>
      </c>
      <c r="G169" s="135">
        <v>6</v>
      </c>
      <c r="H169" s="165" t="s">
        <v>4796</v>
      </c>
      <c r="I169" s="465">
        <v>12000000</v>
      </c>
      <c r="J169" s="465">
        <v>12000000</v>
      </c>
      <c r="K169" s="514">
        <v>4</v>
      </c>
      <c r="L169" s="165"/>
      <c r="M169" s="9" t="s">
        <v>3223</v>
      </c>
      <c r="N169" s="135" t="s">
        <v>3215</v>
      </c>
      <c r="O169" s="135"/>
      <c r="P169" s="171" t="s">
        <v>5853</v>
      </c>
      <c r="Q169" s="109">
        <f>Table6[[#This Row],[Dana Disetujui]]</f>
        <v>12000000</v>
      </c>
      <c r="R169" s="6" t="s">
        <v>4269</v>
      </c>
      <c r="S169" s="167" t="s">
        <v>4797</v>
      </c>
      <c r="T169" s="109">
        <f>Table6[[#This Row],[Dana Disetujui]]</f>
        <v>12000000</v>
      </c>
      <c r="U169" s="6" t="s">
        <v>4269</v>
      </c>
      <c r="V169" s="167" t="s">
        <v>3114</v>
      </c>
      <c r="W169" s="109">
        <f>Table6[[#This Row],[Dana Disetujui]]</f>
        <v>12000000</v>
      </c>
      <c r="X169" s="6" t="s">
        <v>4269</v>
      </c>
      <c r="Y169" s="167" t="s">
        <v>5544</v>
      </c>
      <c r="Z169" s="245">
        <f>Table6[[#This Row],[Dana Disetujui]]</f>
        <v>12000000</v>
      </c>
      <c r="AA169" s="6" t="s">
        <v>4269</v>
      </c>
      <c r="AB169" s="167" t="s">
        <v>4667</v>
      </c>
      <c r="AC169" s="109">
        <f>Table6[[#This Row],[Dana Disetujui]]</f>
        <v>12000000</v>
      </c>
      <c r="AD169" s="6" t="s">
        <v>4269</v>
      </c>
      <c r="AE169" s="167"/>
      <c r="AF169" s="249"/>
      <c r="AG169" s="167"/>
      <c r="AH169" s="167"/>
      <c r="AI169" s="249"/>
      <c r="AJ169" s="167"/>
      <c r="AK169" s="167"/>
      <c r="AL169" s="167"/>
      <c r="AM169" s="167"/>
      <c r="AN169" s="167"/>
      <c r="AO169" s="167"/>
      <c r="AP169" s="167"/>
      <c r="AQ169" s="167"/>
      <c r="AR169" s="586" t="s">
        <v>3190</v>
      </c>
      <c r="AS169" s="8" t="s">
        <v>3191</v>
      </c>
      <c r="AT169" s="171"/>
      <c r="AU169" s="167"/>
      <c r="AV169" s="167"/>
      <c r="AW169" s="167"/>
      <c r="AX169" s="167"/>
      <c r="AY169" s="167"/>
      <c r="AZ169" s="167"/>
      <c r="BA169" s="167"/>
      <c r="BB169" s="167"/>
      <c r="BC169" s="167"/>
      <c r="BD169" s="167"/>
      <c r="BE169" s="167"/>
      <c r="BF169" s="167"/>
      <c r="BG169" s="167"/>
      <c r="BH169" s="167"/>
      <c r="BI169" s="167"/>
      <c r="BJ169" s="167"/>
      <c r="BK169" s="167"/>
      <c r="BL169" s="167"/>
      <c r="BM169" s="167"/>
      <c r="BN169" s="167"/>
      <c r="BO169" s="167"/>
      <c r="BP169" s="147"/>
      <c r="BQ169" s="147"/>
      <c r="BR169" s="147"/>
    </row>
    <row r="170" spans="1:70" ht="24">
      <c r="A170" s="143"/>
      <c r="B170" s="165"/>
      <c r="C170" s="166" t="s">
        <v>5632</v>
      </c>
      <c r="D170" s="165" t="s">
        <v>5633</v>
      </c>
      <c r="E170" s="135">
        <v>2025</v>
      </c>
      <c r="F170" s="135">
        <v>2025</v>
      </c>
      <c r="G170" s="135">
        <v>6</v>
      </c>
      <c r="H170" s="165" t="s">
        <v>5634</v>
      </c>
      <c r="I170" s="465">
        <v>10000000</v>
      </c>
      <c r="J170" s="465">
        <v>8000000</v>
      </c>
      <c r="K170" s="514">
        <v>3</v>
      </c>
      <c r="L170" s="165"/>
      <c r="M170" s="9" t="s">
        <v>3223</v>
      </c>
      <c r="N170" s="135" t="s">
        <v>3215</v>
      </c>
      <c r="O170" s="135"/>
      <c r="P170" s="171" t="s">
        <v>5857</v>
      </c>
      <c r="Q170" s="109">
        <f>Table6[[#This Row],[Dana Disetujui]]</f>
        <v>8000000</v>
      </c>
      <c r="R170" s="6" t="s">
        <v>4269</v>
      </c>
      <c r="S170" s="167" t="s">
        <v>4802</v>
      </c>
      <c r="T170" s="109">
        <f>Table6[[#This Row],[Dana Disetujui]]</f>
        <v>8000000</v>
      </c>
      <c r="U170" s="165" t="s">
        <v>4269</v>
      </c>
      <c r="V170" s="167" t="s">
        <v>3126</v>
      </c>
      <c r="W170" s="109">
        <f>Table6[[#This Row],[Dana Disetujui]]</f>
        <v>8000000</v>
      </c>
      <c r="X170" s="165" t="s">
        <v>4269</v>
      </c>
      <c r="Y170" s="167"/>
      <c r="Z170" s="249"/>
      <c r="AA170" s="167"/>
      <c r="AB170" s="167"/>
      <c r="AC170" s="249"/>
      <c r="AD170" s="167"/>
      <c r="AE170" s="167"/>
      <c r="AF170" s="249"/>
      <c r="AG170" s="167"/>
      <c r="AH170" s="167"/>
      <c r="AI170" s="249"/>
      <c r="AJ170" s="167"/>
      <c r="AK170" s="167"/>
      <c r="AL170" s="167"/>
      <c r="AM170" s="167"/>
      <c r="AN170" s="167"/>
      <c r="AO170" s="167"/>
      <c r="AP170" s="167"/>
      <c r="AQ170" s="167"/>
      <c r="AR170" s="586" t="s">
        <v>3190</v>
      </c>
      <c r="AS170" s="586" t="s">
        <v>3191</v>
      </c>
      <c r="AT170" s="171"/>
      <c r="AU170" s="167"/>
      <c r="AV170" s="167"/>
      <c r="AW170" s="167"/>
      <c r="AX170" s="167"/>
      <c r="AY170" s="167"/>
      <c r="AZ170" s="167"/>
      <c r="BA170" s="167"/>
      <c r="BB170" s="167"/>
      <c r="BC170" s="167"/>
      <c r="BD170" s="167"/>
      <c r="BE170" s="167"/>
      <c r="BF170" s="167"/>
      <c r="BG170" s="167"/>
      <c r="BH170" s="167"/>
      <c r="BI170" s="167"/>
      <c r="BJ170" s="167"/>
      <c r="BK170" s="167"/>
      <c r="BL170" s="167"/>
      <c r="BM170" s="167"/>
      <c r="BN170" s="167"/>
      <c r="BO170" s="167"/>
      <c r="BP170" s="147"/>
      <c r="BQ170" s="147"/>
      <c r="BR170" s="147"/>
    </row>
    <row r="171" spans="1:70" ht="36">
      <c r="A171" s="143"/>
      <c r="B171" s="165"/>
      <c r="C171" s="166" t="s">
        <v>5635</v>
      </c>
      <c r="D171" s="165" t="s">
        <v>5633</v>
      </c>
      <c r="E171" s="135">
        <v>2025</v>
      </c>
      <c r="F171" s="135">
        <v>2025</v>
      </c>
      <c r="G171" s="135">
        <v>6</v>
      </c>
      <c r="H171" s="165"/>
      <c r="I171" s="465">
        <v>10000000</v>
      </c>
      <c r="J171" s="465">
        <v>8000000</v>
      </c>
      <c r="K171" s="514"/>
      <c r="L171" s="165"/>
      <c r="M171" s="9" t="s">
        <v>3223</v>
      </c>
      <c r="N171" s="135"/>
      <c r="O171" s="135"/>
      <c r="P171" s="171" t="s">
        <v>5904</v>
      </c>
      <c r="Q171" s="109">
        <f>Table6[[#This Row],[Dana Disetujui]]</f>
        <v>8000000</v>
      </c>
      <c r="R171" s="6" t="s">
        <v>4269</v>
      </c>
      <c r="S171" s="167" t="s">
        <v>5637</v>
      </c>
      <c r="T171" s="109">
        <f>Table6[[#This Row],[Dana Disetujui]]</f>
        <v>8000000</v>
      </c>
      <c r="U171" s="165"/>
      <c r="V171" s="167" t="s">
        <v>5638</v>
      </c>
      <c r="W171" s="109">
        <f>Table6[[#This Row],[Dana Disetujui]]</f>
        <v>8000000</v>
      </c>
      <c r="X171" s="165"/>
      <c r="Y171" s="167"/>
      <c r="Z171" s="249"/>
      <c r="AA171" s="167"/>
      <c r="AB171" s="167"/>
      <c r="AC171" s="249"/>
      <c r="AD171" s="167"/>
      <c r="AE171" s="167"/>
      <c r="AF171" s="249"/>
      <c r="AG171" s="167"/>
      <c r="AH171" s="167"/>
      <c r="AI171" s="249"/>
      <c r="AJ171" s="167"/>
      <c r="AK171" s="167"/>
      <c r="AL171" s="167"/>
      <c r="AM171" s="167"/>
      <c r="AN171" s="167"/>
      <c r="AO171" s="167"/>
      <c r="AP171" s="167"/>
      <c r="AQ171" s="167"/>
      <c r="AR171" s="586" t="s">
        <v>3190</v>
      </c>
      <c r="AS171" s="586" t="s">
        <v>3191</v>
      </c>
      <c r="AT171" s="171"/>
      <c r="AU171" s="167"/>
      <c r="AV171" s="167"/>
      <c r="AW171" s="167"/>
      <c r="AX171" s="167"/>
      <c r="AY171" s="167"/>
      <c r="AZ171" s="167"/>
      <c r="BA171" s="167"/>
      <c r="BB171" s="167"/>
      <c r="BC171" s="167"/>
      <c r="BD171" s="167"/>
      <c r="BE171" s="167"/>
      <c r="BF171" s="167"/>
      <c r="BG171" s="167"/>
      <c r="BH171" s="167"/>
      <c r="BI171" s="167"/>
      <c r="BJ171" s="167"/>
      <c r="BK171" s="167"/>
      <c r="BL171" s="167"/>
      <c r="BM171" s="167"/>
      <c r="BN171" s="167"/>
      <c r="BO171" s="167"/>
      <c r="BP171" s="147"/>
      <c r="BQ171" s="147"/>
      <c r="BR171" s="147"/>
    </row>
    <row r="172" spans="1:70" ht="36">
      <c r="A172" s="143"/>
      <c r="B172" s="165"/>
      <c r="C172" s="166" t="s">
        <v>5639</v>
      </c>
      <c r="D172" s="165" t="s">
        <v>5633</v>
      </c>
      <c r="E172" s="135">
        <v>2025</v>
      </c>
      <c r="F172" s="135">
        <v>2025</v>
      </c>
      <c r="G172" s="135">
        <v>6</v>
      </c>
      <c r="H172" s="165"/>
      <c r="I172" s="465">
        <v>10000000</v>
      </c>
      <c r="J172" s="465">
        <v>8000000</v>
      </c>
      <c r="K172" s="514"/>
      <c r="L172" s="165"/>
      <c r="M172" s="9" t="s">
        <v>3223</v>
      </c>
      <c r="N172" s="135"/>
      <c r="O172" s="135"/>
      <c r="P172" s="171" t="s">
        <v>5878</v>
      </c>
      <c r="Q172" s="109">
        <f>Table6[[#This Row],[Dana Disetujui]]</f>
        <v>8000000</v>
      </c>
      <c r="R172" s="6" t="s">
        <v>4269</v>
      </c>
      <c r="S172" s="167" t="s">
        <v>5637</v>
      </c>
      <c r="T172" s="109">
        <f>Table6[[#This Row],[Dana Disetujui]]</f>
        <v>8000000</v>
      </c>
      <c r="U172" s="165"/>
      <c r="V172" s="167" t="s">
        <v>4875</v>
      </c>
      <c r="W172" s="109">
        <f>Table6[[#This Row],[Dana Disetujui]]</f>
        <v>8000000</v>
      </c>
      <c r="X172" s="165" t="s">
        <v>4269</v>
      </c>
      <c r="Y172" s="167" t="s">
        <v>3109</v>
      </c>
      <c r="Z172" s="245">
        <f>Table6[[#This Row],[Dana Disetujui]]</f>
        <v>8000000</v>
      </c>
      <c r="AA172" s="6" t="s">
        <v>4269</v>
      </c>
      <c r="AB172" s="167"/>
      <c r="AC172" s="249"/>
      <c r="AD172" s="167"/>
      <c r="AE172" s="167"/>
      <c r="AF172" s="249"/>
      <c r="AG172" s="167"/>
      <c r="AH172" s="167"/>
      <c r="AI172" s="249"/>
      <c r="AJ172" s="167"/>
      <c r="AK172" s="167"/>
      <c r="AL172" s="167"/>
      <c r="AM172" s="167"/>
      <c r="AN172" s="167"/>
      <c r="AO172" s="167"/>
      <c r="AP172" s="167"/>
      <c r="AQ172" s="167"/>
      <c r="AR172" s="586" t="s">
        <v>3190</v>
      </c>
      <c r="AS172" s="586" t="s">
        <v>3191</v>
      </c>
      <c r="AT172" s="171"/>
      <c r="AU172" s="167"/>
      <c r="AV172" s="167"/>
      <c r="AW172" s="167"/>
      <c r="AX172" s="167"/>
      <c r="AY172" s="167"/>
      <c r="AZ172" s="167"/>
      <c r="BA172" s="167"/>
      <c r="BB172" s="167"/>
      <c r="BC172" s="167"/>
      <c r="BD172" s="167"/>
      <c r="BE172" s="167"/>
      <c r="BF172" s="167"/>
      <c r="BG172" s="167"/>
      <c r="BH172" s="167"/>
      <c r="BI172" s="167"/>
      <c r="BJ172" s="167"/>
      <c r="BK172" s="167"/>
      <c r="BL172" s="167"/>
      <c r="BM172" s="167"/>
      <c r="BN172" s="167"/>
      <c r="BO172" s="167"/>
      <c r="BP172" s="147"/>
      <c r="BQ172" s="147"/>
      <c r="BR172" s="147"/>
    </row>
    <row r="173" spans="1:70" ht="24">
      <c r="A173" s="143"/>
      <c r="B173" s="165"/>
      <c r="C173" s="166" t="s">
        <v>5641</v>
      </c>
      <c r="D173" s="165" t="s">
        <v>5633</v>
      </c>
      <c r="E173" s="135">
        <v>2025</v>
      </c>
      <c r="F173" s="135">
        <v>2025</v>
      </c>
      <c r="G173" s="135">
        <v>6</v>
      </c>
      <c r="H173" s="165"/>
      <c r="I173" s="465">
        <v>10000000</v>
      </c>
      <c r="J173" s="465">
        <v>8000000</v>
      </c>
      <c r="K173" s="514"/>
      <c r="L173" s="165"/>
      <c r="M173" s="9" t="s">
        <v>3223</v>
      </c>
      <c r="N173" s="135"/>
      <c r="O173" s="135"/>
      <c r="P173" s="171" t="s">
        <v>5866</v>
      </c>
      <c r="Q173" s="109">
        <f>Table6[[#This Row],[Dana Disetujui]]</f>
        <v>8000000</v>
      </c>
      <c r="R173" s="6" t="s">
        <v>4269</v>
      </c>
      <c r="S173" s="167" t="s">
        <v>4616</v>
      </c>
      <c r="T173" s="109">
        <f>Table6[[#This Row],[Dana Disetujui]]</f>
        <v>8000000</v>
      </c>
      <c r="U173" s="165" t="s">
        <v>4269</v>
      </c>
      <c r="V173" s="167" t="s">
        <v>4764</v>
      </c>
      <c r="W173" s="109">
        <f>Table6[[#This Row],[Dana Disetujui]]</f>
        <v>8000000</v>
      </c>
      <c r="X173" s="6" t="s">
        <v>4269</v>
      </c>
      <c r="Y173" s="167" t="s">
        <v>136</v>
      </c>
      <c r="Z173" s="245">
        <f>Table6[[#This Row],[Dana Disetujui]]</f>
        <v>8000000</v>
      </c>
      <c r="AA173" s="6" t="s">
        <v>4269</v>
      </c>
      <c r="AB173" s="167"/>
      <c r="AC173" s="249"/>
      <c r="AD173" s="167"/>
      <c r="AE173" s="167"/>
      <c r="AF173" s="249"/>
      <c r="AG173" s="167"/>
      <c r="AH173" s="167"/>
      <c r="AI173" s="249"/>
      <c r="AJ173" s="167"/>
      <c r="AK173" s="167"/>
      <c r="AL173" s="167"/>
      <c r="AM173" s="167"/>
      <c r="AN173" s="167"/>
      <c r="AO173" s="167"/>
      <c r="AP173" s="167"/>
      <c r="AQ173" s="167"/>
      <c r="AR173" s="586" t="s">
        <v>3190</v>
      </c>
      <c r="AS173" s="586" t="s">
        <v>3191</v>
      </c>
      <c r="AT173" s="171"/>
      <c r="AU173" s="167"/>
      <c r="AV173" s="167"/>
      <c r="AW173" s="167"/>
      <c r="AX173" s="167"/>
      <c r="AY173" s="167"/>
      <c r="AZ173" s="167"/>
      <c r="BA173" s="167"/>
      <c r="BB173" s="167"/>
      <c r="BC173" s="167"/>
      <c r="BD173" s="167"/>
      <c r="BE173" s="167"/>
      <c r="BF173" s="167"/>
      <c r="BG173" s="167"/>
      <c r="BH173" s="167"/>
      <c r="BI173" s="167"/>
      <c r="BJ173" s="167"/>
      <c r="BK173" s="167"/>
      <c r="BL173" s="167"/>
      <c r="BM173" s="167"/>
      <c r="BN173" s="167"/>
      <c r="BO173" s="167"/>
      <c r="BP173" s="147"/>
      <c r="BQ173" s="147"/>
      <c r="BR173" s="147"/>
    </row>
    <row r="174" spans="1:70" ht="24">
      <c r="A174" s="143"/>
      <c r="B174" s="165"/>
      <c r="C174" s="166" t="s">
        <v>5643</v>
      </c>
      <c r="D174" s="165" t="s">
        <v>5633</v>
      </c>
      <c r="E174" s="135">
        <v>2025</v>
      </c>
      <c r="F174" s="135">
        <v>2025</v>
      </c>
      <c r="G174" s="135">
        <v>6</v>
      </c>
      <c r="H174" s="165"/>
      <c r="I174" s="465">
        <v>10000000</v>
      </c>
      <c r="J174" s="465">
        <v>8000000</v>
      </c>
      <c r="K174" s="514"/>
      <c r="L174" s="165"/>
      <c r="M174" s="9" t="s">
        <v>3223</v>
      </c>
      <c r="N174" s="135"/>
      <c r="O174" s="135"/>
      <c r="P174" s="171" t="s">
        <v>5892</v>
      </c>
      <c r="Q174" s="109">
        <f>Table6[[#This Row],[Dana Disetujui]]</f>
        <v>8000000</v>
      </c>
      <c r="R174" s="6" t="s">
        <v>4269</v>
      </c>
      <c r="S174" s="167" t="s">
        <v>4797</v>
      </c>
      <c r="T174" s="109">
        <f>Table6[[#This Row],[Dana Disetujui]]</f>
        <v>8000000</v>
      </c>
      <c r="U174" s="6" t="s">
        <v>4269</v>
      </c>
      <c r="V174" s="167" t="s">
        <v>4545</v>
      </c>
      <c r="W174" s="109">
        <f>Table6[[#This Row],[Dana Disetujui]]</f>
        <v>8000000</v>
      </c>
      <c r="X174" s="6" t="s">
        <v>4269</v>
      </c>
      <c r="Y174" s="167" t="s">
        <v>117</v>
      </c>
      <c r="Z174" s="245">
        <f>Table6[[#This Row],[Dana Disetujui]]</f>
        <v>8000000</v>
      </c>
      <c r="AA174" s="6" t="s">
        <v>4269</v>
      </c>
      <c r="AB174" s="167"/>
      <c r="AC174" s="249"/>
      <c r="AD174" s="167"/>
      <c r="AE174" s="167"/>
      <c r="AF174" s="249"/>
      <c r="AG174" s="167"/>
      <c r="AH174" s="167"/>
      <c r="AI174" s="249"/>
      <c r="AJ174" s="167"/>
      <c r="AK174" s="167"/>
      <c r="AL174" s="167"/>
      <c r="AM174" s="167"/>
      <c r="AN174" s="167"/>
      <c r="AO174" s="167"/>
      <c r="AP174" s="167"/>
      <c r="AQ174" s="167"/>
      <c r="AR174" s="586" t="s">
        <v>3190</v>
      </c>
      <c r="AS174" s="586" t="s">
        <v>3191</v>
      </c>
      <c r="AT174" s="171"/>
      <c r="AU174" s="167"/>
      <c r="AV174" s="167"/>
      <c r="AW174" s="167"/>
      <c r="AX174" s="167"/>
      <c r="AY174" s="167"/>
      <c r="AZ174" s="167"/>
      <c r="BA174" s="167"/>
      <c r="BB174" s="167"/>
      <c r="BC174" s="167"/>
      <c r="BD174" s="167"/>
      <c r="BE174" s="167"/>
      <c r="BF174" s="167"/>
      <c r="BG174" s="167"/>
      <c r="BH174" s="167"/>
      <c r="BI174" s="167"/>
      <c r="BJ174" s="167"/>
      <c r="BK174" s="167"/>
      <c r="BL174" s="167"/>
      <c r="BM174" s="167"/>
      <c r="BN174" s="167"/>
      <c r="BO174" s="167"/>
      <c r="BP174" s="147"/>
      <c r="BQ174" s="147"/>
      <c r="BR174" s="147"/>
    </row>
    <row r="175" spans="1:70" ht="24">
      <c r="A175" s="143"/>
      <c r="B175" s="165"/>
      <c r="C175" s="166" t="s">
        <v>5644</v>
      </c>
      <c r="D175" s="165" t="s">
        <v>5633</v>
      </c>
      <c r="E175" s="135">
        <v>2025</v>
      </c>
      <c r="F175" s="135">
        <v>2025</v>
      </c>
      <c r="G175" s="135">
        <v>6</v>
      </c>
      <c r="H175" s="165"/>
      <c r="I175" s="465">
        <v>10000000</v>
      </c>
      <c r="J175" s="465">
        <v>8000000</v>
      </c>
      <c r="K175" s="514"/>
      <c r="L175" s="165"/>
      <c r="M175" s="9" t="s">
        <v>3223</v>
      </c>
      <c r="N175" s="135"/>
      <c r="O175" s="135"/>
      <c r="P175" s="171" t="s">
        <v>5921</v>
      </c>
      <c r="Q175" s="109">
        <f>Table6[[#This Row],[Dana Disetujui]]</f>
        <v>8000000</v>
      </c>
      <c r="R175" s="6" t="s">
        <v>4269</v>
      </c>
      <c r="S175" s="167" t="s">
        <v>3124</v>
      </c>
      <c r="T175" s="109">
        <f>Table6[[#This Row],[Dana Disetujui]]</f>
        <v>8000000</v>
      </c>
      <c r="U175" s="6" t="s">
        <v>4269</v>
      </c>
      <c r="V175" s="167" t="s">
        <v>5544</v>
      </c>
      <c r="W175" s="109">
        <f>Table6[[#This Row],[Dana Disetujui]]</f>
        <v>8000000</v>
      </c>
      <c r="X175" s="6" t="s">
        <v>4269</v>
      </c>
      <c r="Y175" s="167"/>
      <c r="Z175" s="249"/>
      <c r="AA175" s="167"/>
      <c r="AB175" s="167"/>
      <c r="AC175" s="249"/>
      <c r="AD175" s="167"/>
      <c r="AE175" s="167"/>
      <c r="AF175" s="249"/>
      <c r="AG175" s="167"/>
      <c r="AH175" s="167"/>
      <c r="AI175" s="249"/>
      <c r="AJ175" s="167"/>
      <c r="AK175" s="167"/>
      <c r="AL175" s="167"/>
      <c r="AM175" s="167"/>
      <c r="AN175" s="167"/>
      <c r="AO175" s="167"/>
      <c r="AP175" s="167"/>
      <c r="AQ175" s="167"/>
      <c r="AR175" s="586" t="s">
        <v>3190</v>
      </c>
      <c r="AS175" s="586" t="s">
        <v>3191</v>
      </c>
      <c r="AT175" s="171"/>
      <c r="AU175" s="167"/>
      <c r="AV175" s="167"/>
      <c r="AW175" s="167"/>
      <c r="AX175" s="167"/>
      <c r="AY175" s="167"/>
      <c r="AZ175" s="167"/>
      <c r="BA175" s="167"/>
      <c r="BB175" s="167"/>
      <c r="BC175" s="167"/>
      <c r="BD175" s="167"/>
      <c r="BE175" s="167"/>
      <c r="BF175" s="167"/>
      <c r="BG175" s="167"/>
      <c r="BH175" s="167"/>
      <c r="BI175" s="167"/>
      <c r="BJ175" s="167"/>
      <c r="BK175" s="167"/>
      <c r="BL175" s="167"/>
      <c r="BM175" s="167"/>
      <c r="BN175" s="167"/>
      <c r="BO175" s="167"/>
      <c r="BP175" s="147"/>
      <c r="BQ175" s="147"/>
      <c r="BR175" s="147"/>
    </row>
    <row r="176" spans="1:70" ht="36">
      <c r="A176" s="252"/>
      <c r="B176" s="587"/>
      <c r="C176" s="588" t="s">
        <v>5645</v>
      </c>
      <c r="D176" s="587" t="s">
        <v>5633</v>
      </c>
      <c r="E176" s="135">
        <v>2025</v>
      </c>
      <c r="F176" s="135">
        <v>2025</v>
      </c>
      <c r="G176" s="589">
        <v>6</v>
      </c>
      <c r="H176" s="587"/>
      <c r="I176" s="590">
        <v>10000000</v>
      </c>
      <c r="J176" s="465">
        <v>8000000</v>
      </c>
      <c r="K176" s="591"/>
      <c r="L176" s="587"/>
      <c r="M176" s="9" t="s">
        <v>3223</v>
      </c>
      <c r="N176" s="589"/>
      <c r="O176" s="589"/>
      <c r="P176" s="592" t="s">
        <v>5929</v>
      </c>
      <c r="Q176" s="109">
        <f>Table6[[#This Row],[Dana Disetujui]]</f>
        <v>8000000</v>
      </c>
      <c r="R176" s="6" t="s">
        <v>4269</v>
      </c>
      <c r="S176" s="497" t="s">
        <v>3126</v>
      </c>
      <c r="T176" s="109">
        <f>Table6[[#This Row],[Dana Disetujui]]</f>
        <v>8000000</v>
      </c>
      <c r="U176" s="165" t="s">
        <v>4269</v>
      </c>
      <c r="V176" s="497" t="s">
        <v>4666</v>
      </c>
      <c r="W176" s="109">
        <f>Table6[[#This Row],[Dana Disetujui]]</f>
        <v>8000000</v>
      </c>
      <c r="X176" s="6" t="s">
        <v>4269</v>
      </c>
      <c r="Y176" s="497"/>
      <c r="Z176" s="596"/>
      <c r="AA176" s="497"/>
      <c r="AB176" s="497"/>
      <c r="AC176" s="596"/>
      <c r="AD176" s="497"/>
      <c r="AE176" s="497"/>
      <c r="AF176" s="596"/>
      <c r="AG176" s="497"/>
      <c r="AH176" s="497"/>
      <c r="AI176" s="596"/>
      <c r="AJ176" s="497"/>
      <c r="AK176" s="497"/>
      <c r="AL176" s="497"/>
      <c r="AM176" s="497"/>
      <c r="AN176" s="497"/>
      <c r="AO176" s="497"/>
      <c r="AP176" s="497"/>
      <c r="AQ176" s="497"/>
      <c r="AR176" s="586" t="s">
        <v>3190</v>
      </c>
      <c r="AS176" s="795" t="s">
        <v>3191</v>
      </c>
      <c r="AT176" s="592"/>
      <c r="AU176" s="497"/>
      <c r="AV176" s="497"/>
      <c r="AW176" s="497"/>
      <c r="AX176" s="497"/>
      <c r="AY176" s="497"/>
      <c r="AZ176" s="497"/>
      <c r="BA176" s="497"/>
      <c r="BB176" s="497"/>
      <c r="BC176" s="497"/>
      <c r="BD176" s="497"/>
      <c r="BE176" s="497"/>
      <c r="BF176" s="497"/>
      <c r="BG176" s="497"/>
      <c r="BH176" s="497"/>
      <c r="BI176" s="497"/>
      <c r="BJ176" s="497"/>
      <c r="BK176" s="497"/>
      <c r="BL176" s="497"/>
      <c r="BM176" s="497"/>
      <c r="BN176" s="497"/>
      <c r="BO176" s="497"/>
    </row>
    <row r="177" spans="1:67" ht="24">
      <c r="A177" s="143"/>
      <c r="B177" s="165"/>
      <c r="C177" s="166" t="s">
        <v>5646</v>
      </c>
      <c r="D177" s="165" t="s">
        <v>5633</v>
      </c>
      <c r="E177" s="135">
        <v>2025</v>
      </c>
      <c r="F177" s="135">
        <v>2025</v>
      </c>
      <c r="G177" s="135">
        <v>6</v>
      </c>
      <c r="H177" s="165"/>
      <c r="I177" s="465">
        <v>10000000</v>
      </c>
      <c r="J177" s="465">
        <v>8000000</v>
      </c>
      <c r="K177" s="514"/>
      <c r="L177" s="165"/>
      <c r="M177" s="9" t="s">
        <v>3223</v>
      </c>
      <c r="N177" s="135"/>
      <c r="O177" s="135"/>
      <c r="P177" s="171" t="s">
        <v>5933</v>
      </c>
      <c r="Q177" s="109">
        <f>Table6[[#This Row],[Dana Disetujui]]</f>
        <v>8000000</v>
      </c>
      <c r="R177" s="6" t="s">
        <v>4269</v>
      </c>
      <c r="S177" s="167" t="s">
        <v>5638</v>
      </c>
      <c r="T177" s="109">
        <f>Table6[[#This Row],[Dana Disetujui]]</f>
        <v>8000000</v>
      </c>
      <c r="U177" s="165"/>
      <c r="V177" s="167" t="s">
        <v>145</v>
      </c>
      <c r="W177" s="109">
        <f>Table6[[#This Row],[Dana Disetujui]]</f>
        <v>8000000</v>
      </c>
      <c r="X177" s="165" t="s">
        <v>4269</v>
      </c>
      <c r="Y177" s="167"/>
      <c r="Z177" s="249"/>
      <c r="AA177" s="167"/>
      <c r="AB177" s="167"/>
      <c r="AC177" s="249"/>
      <c r="AD177" s="167"/>
      <c r="AE177" s="167"/>
      <c r="AF177" s="249"/>
      <c r="AG177" s="167"/>
      <c r="AH177" s="167"/>
      <c r="AI177" s="249"/>
      <c r="AJ177" s="167"/>
      <c r="AK177" s="167"/>
      <c r="AL177" s="167"/>
      <c r="AM177" s="167"/>
      <c r="AN177" s="167"/>
      <c r="AO177" s="167"/>
      <c r="AP177" s="167"/>
      <c r="AQ177" s="167"/>
      <c r="AR177" s="586" t="s">
        <v>3190</v>
      </c>
      <c r="AS177" s="586" t="s">
        <v>3191</v>
      </c>
      <c r="AT177" s="171"/>
      <c r="AU177" s="167"/>
      <c r="AV177" s="167"/>
      <c r="AW177" s="167"/>
      <c r="AX177" s="167"/>
      <c r="AY177" s="167"/>
      <c r="AZ177" s="167"/>
      <c r="BA177" s="167"/>
      <c r="BB177" s="167"/>
      <c r="BC177" s="167"/>
      <c r="BD177" s="167"/>
      <c r="BE177" s="167"/>
      <c r="BF177" s="167"/>
      <c r="BG177" s="167"/>
      <c r="BH177" s="167"/>
      <c r="BI177" s="167"/>
      <c r="BJ177" s="167"/>
      <c r="BK177" s="167"/>
      <c r="BL177" s="167"/>
      <c r="BM177" s="167"/>
      <c r="BN177" s="167"/>
      <c r="BO177" s="167"/>
    </row>
    <row r="178" spans="1:67" ht="24">
      <c r="A178" s="143"/>
      <c r="B178" s="165"/>
      <c r="C178" s="166" t="s">
        <v>5647</v>
      </c>
      <c r="D178" s="165" t="s">
        <v>5633</v>
      </c>
      <c r="E178" s="135">
        <v>2025</v>
      </c>
      <c r="F178" s="135">
        <v>2025</v>
      </c>
      <c r="G178" s="135">
        <v>6</v>
      </c>
      <c r="H178" s="165"/>
      <c r="I178" s="465">
        <v>10000000</v>
      </c>
      <c r="J178" s="465">
        <v>8000000</v>
      </c>
      <c r="K178" s="514"/>
      <c r="L178" s="165"/>
      <c r="M178" s="9" t="s">
        <v>3223</v>
      </c>
      <c r="N178" s="135"/>
      <c r="O178" s="135"/>
      <c r="P178" s="171" t="s">
        <v>5898</v>
      </c>
      <c r="Q178" s="109">
        <f>Table6[[#This Row],[Dana Disetujui]]</f>
        <v>8000000</v>
      </c>
      <c r="R178" s="6" t="s">
        <v>4269</v>
      </c>
      <c r="S178" s="167" t="s">
        <v>5571</v>
      </c>
      <c r="T178" s="109">
        <f>Table6[[#This Row],[Dana Disetujui]]</f>
        <v>8000000</v>
      </c>
      <c r="U178" s="165" t="s">
        <v>4269</v>
      </c>
      <c r="V178" s="167" t="s">
        <v>4383</v>
      </c>
      <c r="W178" s="109">
        <f>Table6[[#This Row],[Dana Disetujui]]</f>
        <v>8000000</v>
      </c>
      <c r="X178" s="6" t="s">
        <v>4269</v>
      </c>
      <c r="Y178" s="167" t="s">
        <v>4381</v>
      </c>
      <c r="Z178" s="245">
        <f>Table6[[#This Row],[Dana Disetujui]]</f>
        <v>8000000</v>
      </c>
      <c r="AA178" s="165" t="s">
        <v>4269</v>
      </c>
      <c r="AB178" s="167"/>
      <c r="AC178" s="249"/>
      <c r="AD178" s="167"/>
      <c r="AE178" s="167"/>
      <c r="AF178" s="249"/>
      <c r="AG178" s="167"/>
      <c r="AH178" s="167"/>
      <c r="AI178" s="249"/>
      <c r="AJ178" s="167"/>
      <c r="AK178" s="167"/>
      <c r="AL178" s="167"/>
      <c r="AM178" s="167"/>
      <c r="AN178" s="167"/>
      <c r="AO178" s="167"/>
      <c r="AP178" s="167"/>
      <c r="AQ178" s="167"/>
      <c r="AR178" s="586" t="s">
        <v>3190</v>
      </c>
      <c r="AS178" s="586" t="s">
        <v>3191</v>
      </c>
      <c r="AT178" s="171"/>
      <c r="AU178" s="167"/>
      <c r="AV178" s="167"/>
      <c r="AW178" s="167"/>
      <c r="AX178" s="167"/>
      <c r="AY178" s="167"/>
      <c r="AZ178" s="167"/>
      <c r="BA178" s="167"/>
      <c r="BB178" s="167"/>
      <c r="BC178" s="167"/>
      <c r="BD178" s="167"/>
      <c r="BE178" s="167"/>
      <c r="BF178" s="167"/>
      <c r="BG178" s="167"/>
      <c r="BH178" s="167"/>
      <c r="BI178" s="167"/>
      <c r="BJ178" s="167"/>
      <c r="BK178" s="167"/>
      <c r="BL178" s="167"/>
      <c r="BM178" s="167"/>
      <c r="BN178" s="167"/>
      <c r="BO178" s="167"/>
    </row>
    <row r="179" spans="1:67" ht="48">
      <c r="A179" s="143"/>
      <c r="B179" s="165"/>
      <c r="C179" s="166" t="s">
        <v>5648</v>
      </c>
      <c r="D179" s="165" t="s">
        <v>5633</v>
      </c>
      <c r="E179" s="135">
        <v>2025</v>
      </c>
      <c r="F179" s="135">
        <v>2025</v>
      </c>
      <c r="G179" s="135">
        <v>6</v>
      </c>
      <c r="H179" s="165"/>
      <c r="I179" s="465">
        <v>10000000</v>
      </c>
      <c r="J179" s="465">
        <v>8000000</v>
      </c>
      <c r="K179" s="514"/>
      <c r="L179" s="165"/>
      <c r="M179" s="9" t="s">
        <v>3223</v>
      </c>
      <c r="N179" s="135"/>
      <c r="O179" s="135"/>
      <c r="P179" s="171" t="s">
        <v>5870</v>
      </c>
      <c r="Q179" s="109">
        <f>Table6[[#This Row],[Dana Disetujui]]</f>
        <v>8000000</v>
      </c>
      <c r="R179" s="6" t="s">
        <v>4269</v>
      </c>
      <c r="S179" s="167" t="s">
        <v>3128</v>
      </c>
      <c r="T179" s="109">
        <f>Table6[[#This Row],[Dana Disetujui]]</f>
        <v>8000000</v>
      </c>
      <c r="U179" s="6" t="s">
        <v>4269</v>
      </c>
      <c r="V179" s="167" t="s">
        <v>4545</v>
      </c>
      <c r="W179" s="109">
        <f>Table6[[#This Row],[Dana Disetujui]]</f>
        <v>8000000</v>
      </c>
      <c r="X179" s="6" t="s">
        <v>4269</v>
      </c>
      <c r="Y179" s="167" t="s">
        <v>4839</v>
      </c>
      <c r="Z179" s="245">
        <f>Table6[[#This Row],[Dana Disetujui]]</f>
        <v>8000000</v>
      </c>
      <c r="AA179" s="6" t="s">
        <v>4269</v>
      </c>
      <c r="AB179" s="167" t="s">
        <v>4694</v>
      </c>
      <c r="AC179" s="109">
        <f>Table6[[#This Row],[Dana Disetujui]]</f>
        <v>8000000</v>
      </c>
      <c r="AD179" s="6" t="s">
        <v>4269</v>
      </c>
      <c r="AE179" s="167"/>
      <c r="AF179" s="249"/>
      <c r="AG179" s="167"/>
      <c r="AH179" s="167"/>
      <c r="AI179" s="249"/>
      <c r="AJ179" s="167"/>
      <c r="AK179" s="167"/>
      <c r="AL179" s="167"/>
      <c r="AM179" s="167"/>
      <c r="AN179" s="167"/>
      <c r="AO179" s="167"/>
      <c r="AP179" s="167"/>
      <c r="AQ179" s="167"/>
      <c r="AR179" s="586" t="s">
        <v>3190</v>
      </c>
      <c r="AS179" s="586" t="s">
        <v>3191</v>
      </c>
      <c r="AT179" s="171"/>
      <c r="AU179" s="167"/>
      <c r="AV179" s="167"/>
      <c r="AW179" s="167"/>
      <c r="AX179" s="167"/>
      <c r="AY179" s="167"/>
      <c r="AZ179" s="167"/>
      <c r="BA179" s="167"/>
      <c r="BB179" s="167"/>
      <c r="BC179" s="167"/>
      <c r="BD179" s="167"/>
      <c r="BE179" s="167"/>
      <c r="BF179" s="167"/>
      <c r="BG179" s="167"/>
      <c r="BH179" s="167"/>
      <c r="BI179" s="167"/>
      <c r="BJ179" s="167"/>
      <c r="BK179" s="167"/>
      <c r="BL179" s="167"/>
      <c r="BM179" s="167"/>
      <c r="BN179" s="167"/>
      <c r="BO179" s="167"/>
    </row>
    <row r="180" spans="1:67" ht="36">
      <c r="A180" s="143"/>
      <c r="B180" s="165"/>
      <c r="C180" s="166" t="s">
        <v>5650</v>
      </c>
      <c r="D180" s="165" t="s">
        <v>5633</v>
      </c>
      <c r="E180" s="135">
        <v>2025</v>
      </c>
      <c r="F180" s="135">
        <v>2025</v>
      </c>
      <c r="G180" s="135">
        <v>6</v>
      </c>
      <c r="H180" s="165"/>
      <c r="I180" s="465">
        <v>10000000</v>
      </c>
      <c r="J180" s="465">
        <v>8000000</v>
      </c>
      <c r="K180" s="514"/>
      <c r="L180" s="165"/>
      <c r="M180" s="9" t="s">
        <v>3223</v>
      </c>
      <c r="N180" s="135"/>
      <c r="O180" s="135"/>
      <c r="P180" s="171" t="s">
        <v>5895</v>
      </c>
      <c r="Q180" s="109">
        <f>Table6[[#This Row],[Dana Disetujui]]</f>
        <v>8000000</v>
      </c>
      <c r="R180" s="6" t="s">
        <v>4269</v>
      </c>
      <c r="S180" s="167" t="s">
        <v>4737</v>
      </c>
      <c r="T180" s="109">
        <f>Table6[[#This Row],[Dana Disetujui]]</f>
        <v>8000000</v>
      </c>
      <c r="U180" s="165"/>
      <c r="V180" s="167" t="s">
        <v>4562</v>
      </c>
      <c r="W180" s="109">
        <f>Table6[[#This Row],[Dana Disetujui]]</f>
        <v>8000000</v>
      </c>
      <c r="X180" s="6" t="s">
        <v>4269</v>
      </c>
      <c r="Y180" s="167"/>
      <c r="Z180" s="249"/>
      <c r="AA180" s="167"/>
      <c r="AB180" s="167"/>
      <c r="AC180" s="249"/>
      <c r="AD180" s="167"/>
      <c r="AE180" s="167"/>
      <c r="AF180" s="249"/>
      <c r="AG180" s="167"/>
      <c r="AH180" s="167"/>
      <c r="AI180" s="249"/>
      <c r="AJ180" s="167"/>
      <c r="AK180" s="167"/>
      <c r="AL180" s="167"/>
      <c r="AM180" s="167"/>
      <c r="AN180" s="167"/>
      <c r="AO180" s="167"/>
      <c r="AP180" s="167"/>
      <c r="AQ180" s="167"/>
      <c r="AR180" s="791" t="s">
        <v>3190</v>
      </c>
      <c r="AS180" s="586" t="s">
        <v>3191</v>
      </c>
      <c r="AT180" s="171"/>
      <c r="AU180" s="167"/>
      <c r="AV180" s="167"/>
      <c r="AW180" s="167"/>
      <c r="AX180" s="167"/>
      <c r="AY180" s="167"/>
      <c r="AZ180" s="167"/>
      <c r="BA180" s="167"/>
      <c r="BB180" s="167"/>
      <c r="BC180" s="167"/>
      <c r="BD180" s="167"/>
      <c r="BE180" s="167"/>
      <c r="BF180" s="167"/>
      <c r="BG180" s="167"/>
      <c r="BH180" s="167"/>
      <c r="BI180" s="167"/>
      <c r="BJ180" s="167"/>
      <c r="BK180" s="167"/>
      <c r="BL180" s="167"/>
      <c r="BM180" s="167"/>
      <c r="BN180" s="167"/>
      <c r="BO180" s="167"/>
    </row>
    <row r="181" spans="1:67" ht="24">
      <c r="A181" s="143"/>
      <c r="B181" s="165"/>
      <c r="C181" s="166" t="s">
        <v>5652</v>
      </c>
      <c r="D181" s="165" t="s">
        <v>5633</v>
      </c>
      <c r="E181" s="135">
        <v>2025</v>
      </c>
      <c r="F181" s="135">
        <v>2025</v>
      </c>
      <c r="G181" s="135">
        <v>6</v>
      </c>
      <c r="H181" s="165"/>
      <c r="I181" s="465">
        <v>10000000</v>
      </c>
      <c r="J181" s="465">
        <v>8000000</v>
      </c>
      <c r="K181" s="514"/>
      <c r="L181" s="165"/>
      <c r="M181" s="9" t="s">
        <v>3223</v>
      </c>
      <c r="N181" s="135"/>
      <c r="O181" s="135"/>
      <c r="P181" s="171" t="s">
        <v>5846</v>
      </c>
      <c r="Q181" s="109">
        <f>Table6[[#This Row],[Dana Disetujui]]</f>
        <v>8000000</v>
      </c>
      <c r="R181" s="6" t="s">
        <v>4269</v>
      </c>
      <c r="S181" s="167" t="s">
        <v>5569</v>
      </c>
      <c r="T181" s="109">
        <f>Table6[[#This Row],[Dana Disetujui]]</f>
        <v>8000000</v>
      </c>
      <c r="U181" s="165" t="s">
        <v>4269</v>
      </c>
      <c r="V181" s="167" t="s">
        <v>5518</v>
      </c>
      <c r="W181" s="109">
        <f>Table6[[#This Row],[Dana Disetujui]]</f>
        <v>8000000</v>
      </c>
      <c r="X181" s="165" t="s">
        <v>4269</v>
      </c>
      <c r="Y181" s="167"/>
      <c r="Z181" s="249"/>
      <c r="AA181" s="167"/>
      <c r="AB181" s="167"/>
      <c r="AC181" s="249"/>
      <c r="AD181" s="167"/>
      <c r="AE181" s="167"/>
      <c r="AF181" s="249"/>
      <c r="AG181" s="167"/>
      <c r="AH181" s="167"/>
      <c r="AI181" s="249"/>
      <c r="AJ181" s="167"/>
      <c r="AK181" s="167"/>
      <c r="AL181" s="167"/>
      <c r="AM181" s="167"/>
      <c r="AN181" s="167"/>
      <c r="AO181" s="167"/>
      <c r="AP181" s="167"/>
      <c r="AQ181" s="167"/>
      <c r="AR181" s="586" t="s">
        <v>3190</v>
      </c>
      <c r="AS181" s="586" t="s">
        <v>3191</v>
      </c>
      <c r="AT181" s="171"/>
      <c r="AU181" s="167"/>
      <c r="AV181" s="167"/>
      <c r="AW181" s="167"/>
      <c r="AX181" s="167"/>
      <c r="AY181" s="167"/>
      <c r="AZ181" s="167"/>
      <c r="BA181" s="167"/>
      <c r="BB181" s="167"/>
      <c r="BC181" s="167"/>
      <c r="BD181" s="167"/>
      <c r="BE181" s="167"/>
      <c r="BF181" s="167"/>
      <c r="BG181" s="167"/>
      <c r="BH181" s="167"/>
      <c r="BI181" s="167"/>
      <c r="BJ181" s="167"/>
      <c r="BK181" s="167"/>
      <c r="BL181" s="167"/>
      <c r="BM181" s="167"/>
      <c r="BN181" s="167"/>
      <c r="BO181" s="167"/>
    </row>
    <row r="182" spans="1:67" ht="24">
      <c r="A182" s="143"/>
      <c r="B182" s="165"/>
      <c r="C182" s="166" t="s">
        <v>5653</v>
      </c>
      <c r="D182" s="165" t="s">
        <v>5633</v>
      </c>
      <c r="E182" s="135">
        <v>2025</v>
      </c>
      <c r="F182" s="135">
        <v>2025</v>
      </c>
      <c r="G182" s="135">
        <v>6</v>
      </c>
      <c r="H182" s="165"/>
      <c r="I182" s="465">
        <v>10000000</v>
      </c>
      <c r="J182" s="465">
        <v>8000000</v>
      </c>
      <c r="K182" s="514"/>
      <c r="L182" s="165"/>
      <c r="M182" s="9" t="s">
        <v>3223</v>
      </c>
      <c r="N182" s="135"/>
      <c r="O182" s="135"/>
      <c r="P182" s="171" t="s">
        <v>5907</v>
      </c>
      <c r="Q182" s="109">
        <f>Table6[[#This Row],[Dana Disetujui]]</f>
        <v>8000000</v>
      </c>
      <c r="R182" s="6" t="s">
        <v>4269</v>
      </c>
      <c r="S182" s="167" t="s">
        <v>4305</v>
      </c>
      <c r="T182" s="109">
        <f>Table6[[#This Row],[Dana Disetujui]]</f>
        <v>8000000</v>
      </c>
      <c r="U182" s="6" t="s">
        <v>4269</v>
      </c>
      <c r="V182" s="167" t="s">
        <v>141</v>
      </c>
      <c r="W182" s="109">
        <f>Table6[[#This Row],[Dana Disetujui]]</f>
        <v>8000000</v>
      </c>
      <c r="X182" s="6" t="s">
        <v>4269</v>
      </c>
      <c r="Y182" s="167"/>
      <c r="Z182" s="249"/>
      <c r="AA182" s="167"/>
      <c r="AB182" s="167"/>
      <c r="AC182" s="249"/>
      <c r="AD182" s="167"/>
      <c r="AE182" s="167"/>
      <c r="AF182" s="249"/>
      <c r="AG182" s="167"/>
      <c r="AH182" s="167"/>
      <c r="AI182" s="249"/>
      <c r="AJ182" s="167"/>
      <c r="AK182" s="167"/>
      <c r="AL182" s="167"/>
      <c r="AM182" s="167"/>
      <c r="AN182" s="167"/>
      <c r="AO182" s="167"/>
      <c r="AP182" s="167"/>
      <c r="AQ182" s="167"/>
      <c r="AR182" s="586" t="s">
        <v>3190</v>
      </c>
      <c r="AS182" s="586" t="s">
        <v>3191</v>
      </c>
      <c r="AT182" s="171"/>
      <c r="AU182" s="167"/>
      <c r="AV182" s="167"/>
      <c r="AW182" s="167"/>
      <c r="AX182" s="167"/>
      <c r="AY182" s="167"/>
      <c r="AZ182" s="167"/>
      <c r="BA182" s="167"/>
      <c r="BB182" s="167"/>
      <c r="BC182" s="167"/>
      <c r="BD182" s="167"/>
      <c r="BE182" s="167"/>
      <c r="BF182" s="167"/>
      <c r="BG182" s="167"/>
      <c r="BH182" s="167"/>
      <c r="BI182" s="167"/>
      <c r="BJ182" s="167"/>
      <c r="BK182" s="167"/>
      <c r="BL182" s="167"/>
      <c r="BM182" s="167"/>
      <c r="BN182" s="167"/>
      <c r="BO182" s="167"/>
    </row>
    <row r="183" spans="1:67" ht="24">
      <c r="A183" s="143"/>
      <c r="B183" s="165"/>
      <c r="C183" s="166" t="s">
        <v>5655</v>
      </c>
      <c r="D183" s="165" t="s">
        <v>5633</v>
      </c>
      <c r="E183" s="135">
        <v>2025</v>
      </c>
      <c r="F183" s="135">
        <v>2025</v>
      </c>
      <c r="G183" s="135">
        <v>6</v>
      </c>
      <c r="H183" s="165"/>
      <c r="I183" s="465">
        <v>10000000</v>
      </c>
      <c r="J183" s="465">
        <v>8000000</v>
      </c>
      <c r="K183" s="514"/>
      <c r="L183" s="165"/>
      <c r="M183" s="9" t="s">
        <v>3223</v>
      </c>
      <c r="N183" s="135"/>
      <c r="O183" s="135"/>
      <c r="P183" s="171" t="s">
        <v>5887</v>
      </c>
      <c r="Q183" s="109">
        <f>Table6[[#This Row],[Dana Disetujui]]</f>
        <v>8000000</v>
      </c>
      <c r="R183" s="6" t="s">
        <v>4269</v>
      </c>
      <c r="S183" s="167" t="s">
        <v>4408</v>
      </c>
      <c r="T183" s="109">
        <f>Table6[[#This Row],[Dana Disetujui]]</f>
        <v>8000000</v>
      </c>
      <c r="U183" s="6" t="s">
        <v>4269</v>
      </c>
      <c r="V183" s="167" t="s">
        <v>4865</v>
      </c>
      <c r="W183" s="109">
        <f>Table6[[#This Row],[Dana Disetujui]]</f>
        <v>8000000</v>
      </c>
      <c r="X183" s="6" t="s">
        <v>4269</v>
      </c>
      <c r="Y183" s="167"/>
      <c r="Z183" s="249"/>
      <c r="AA183" s="167"/>
      <c r="AB183" s="167"/>
      <c r="AC183" s="249"/>
      <c r="AD183" s="167"/>
      <c r="AE183" s="167"/>
      <c r="AF183" s="249"/>
      <c r="AG183" s="167"/>
      <c r="AH183" s="167"/>
      <c r="AI183" s="249"/>
      <c r="AJ183" s="167"/>
      <c r="AK183" s="167"/>
      <c r="AL183" s="167"/>
      <c r="AM183" s="167"/>
      <c r="AN183" s="167"/>
      <c r="AO183" s="167"/>
      <c r="AP183" s="167"/>
      <c r="AQ183" s="167"/>
      <c r="AR183" s="586" t="s">
        <v>3190</v>
      </c>
      <c r="AS183" s="586" t="s">
        <v>3191</v>
      </c>
      <c r="AT183" s="171"/>
      <c r="AU183" s="167"/>
      <c r="AV183" s="167"/>
      <c r="AW183" s="167"/>
      <c r="AX183" s="167"/>
      <c r="AY183" s="167"/>
      <c r="AZ183" s="167"/>
      <c r="BA183" s="167"/>
      <c r="BB183" s="167"/>
      <c r="BC183" s="167"/>
      <c r="BD183" s="167"/>
      <c r="BE183" s="167"/>
      <c r="BF183" s="167"/>
      <c r="BG183" s="167"/>
      <c r="BH183" s="167"/>
      <c r="BI183" s="167"/>
      <c r="BJ183" s="167"/>
      <c r="BK183" s="167"/>
      <c r="BL183" s="167"/>
      <c r="BM183" s="167"/>
      <c r="BN183" s="167"/>
      <c r="BO183" s="167"/>
    </row>
    <row r="184" spans="1:67" ht="24">
      <c r="A184" s="143"/>
      <c r="B184" s="165"/>
      <c r="C184" s="166" t="s">
        <v>5656</v>
      </c>
      <c r="D184" s="165" t="s">
        <v>5633</v>
      </c>
      <c r="E184" s="135">
        <v>2025</v>
      </c>
      <c r="F184" s="135">
        <v>2025</v>
      </c>
      <c r="G184" s="135">
        <v>6</v>
      </c>
      <c r="H184" s="165"/>
      <c r="I184" s="465">
        <v>10000000</v>
      </c>
      <c r="J184" s="465">
        <v>8000000</v>
      </c>
      <c r="K184" s="514"/>
      <c r="L184" s="165"/>
      <c r="M184" s="9" t="s">
        <v>3223</v>
      </c>
      <c r="N184" s="135"/>
      <c r="O184" s="135"/>
      <c r="P184" s="171" t="s">
        <v>5855</v>
      </c>
      <c r="Q184" s="109">
        <f>Table6[[#This Row],[Dana Disetujui]]</f>
        <v>8000000</v>
      </c>
      <c r="R184" s="6" t="s">
        <v>4269</v>
      </c>
      <c r="S184" s="167" t="s">
        <v>4911</v>
      </c>
      <c r="T184" s="109">
        <f>Table6[[#This Row],[Dana Disetujui]]</f>
        <v>8000000</v>
      </c>
      <c r="U184" s="165" t="s">
        <v>4269</v>
      </c>
      <c r="V184" s="167" t="s">
        <v>4524</v>
      </c>
      <c r="W184" s="109">
        <f>Table6[[#This Row],[Dana Disetujui]]</f>
        <v>8000000</v>
      </c>
      <c r="X184" s="6" t="s">
        <v>4269</v>
      </c>
      <c r="Y184" s="167"/>
      <c r="Z184" s="249"/>
      <c r="AA184" s="167"/>
      <c r="AB184" s="167"/>
      <c r="AC184" s="249"/>
      <c r="AD184" s="167"/>
      <c r="AE184" s="167"/>
      <c r="AF184" s="249"/>
      <c r="AG184" s="167"/>
      <c r="AH184" s="167"/>
      <c r="AI184" s="249"/>
      <c r="AJ184" s="167"/>
      <c r="AK184" s="167"/>
      <c r="AL184" s="167"/>
      <c r="AM184" s="167"/>
      <c r="AN184" s="167"/>
      <c r="AO184" s="167"/>
      <c r="AP184" s="167"/>
      <c r="AQ184" s="167"/>
      <c r="AR184" s="586" t="s">
        <v>3190</v>
      </c>
      <c r="AS184" s="586" t="s">
        <v>3191</v>
      </c>
      <c r="AT184" s="171"/>
      <c r="AU184" s="167"/>
      <c r="AV184" s="167"/>
      <c r="AW184" s="167"/>
      <c r="AX184" s="167"/>
      <c r="AY184" s="167"/>
      <c r="AZ184" s="167"/>
      <c r="BA184" s="167"/>
      <c r="BB184" s="167"/>
      <c r="BC184" s="167"/>
      <c r="BD184" s="167"/>
      <c r="BE184" s="167"/>
      <c r="BF184" s="167"/>
      <c r="BG184" s="167"/>
      <c r="BH184" s="167"/>
      <c r="BI184" s="167"/>
      <c r="BJ184" s="167"/>
      <c r="BK184" s="167"/>
      <c r="BL184" s="167"/>
      <c r="BM184" s="167"/>
      <c r="BN184" s="167"/>
      <c r="BO184" s="167"/>
    </row>
    <row r="185" spans="1:67" ht="48">
      <c r="A185" s="143"/>
      <c r="B185" s="165"/>
      <c r="C185" s="166" t="s">
        <v>5657</v>
      </c>
      <c r="D185" s="165" t="s">
        <v>5633</v>
      </c>
      <c r="E185" s="135">
        <v>2025</v>
      </c>
      <c r="F185" s="135">
        <v>2025</v>
      </c>
      <c r="G185" s="135">
        <v>6</v>
      </c>
      <c r="H185" s="165"/>
      <c r="I185" s="465">
        <v>10000000</v>
      </c>
      <c r="J185" s="465">
        <v>8000000</v>
      </c>
      <c r="K185" s="514"/>
      <c r="L185" s="165"/>
      <c r="M185" s="9" t="s">
        <v>3223</v>
      </c>
      <c r="N185" s="135"/>
      <c r="O185" s="135"/>
      <c r="P185" s="171" t="s">
        <v>5893</v>
      </c>
      <c r="Q185" s="109">
        <f>Table6[[#This Row],[Dana Disetujui]]</f>
        <v>8000000</v>
      </c>
      <c r="R185" s="6" t="s">
        <v>4269</v>
      </c>
      <c r="S185" s="167" t="s">
        <v>3128</v>
      </c>
      <c r="T185" s="109">
        <f>Table6[[#This Row],[Dana Disetujui]]</f>
        <v>8000000</v>
      </c>
      <c r="U185" s="165" t="s">
        <v>4269</v>
      </c>
      <c r="V185" s="167" t="s">
        <v>5547</v>
      </c>
      <c r="W185" s="109">
        <f>Table6[[#This Row],[Dana Disetujui]]</f>
        <v>8000000</v>
      </c>
      <c r="X185" s="165" t="s">
        <v>4269</v>
      </c>
      <c r="Y185" s="167" t="s">
        <v>112</v>
      </c>
      <c r="Z185" s="245">
        <f>Table6[[#This Row],[Dana Disetujui]]</f>
        <v>8000000</v>
      </c>
      <c r="AA185" s="165" t="s">
        <v>4269</v>
      </c>
      <c r="AB185" s="167" t="s">
        <v>3111</v>
      </c>
      <c r="AC185" s="109">
        <f>Table6[[#This Row],[Dana Disetujui]]</f>
        <v>8000000</v>
      </c>
      <c r="AD185" s="165" t="s">
        <v>4269</v>
      </c>
      <c r="AE185" s="167" t="s">
        <v>3111</v>
      </c>
      <c r="AF185" s="109">
        <f>Table6[[#This Row],[Dana Disetujui]]</f>
        <v>8000000</v>
      </c>
      <c r="AG185" s="165" t="s">
        <v>4269</v>
      </c>
      <c r="AH185" s="167"/>
      <c r="AI185" s="249"/>
      <c r="AJ185" s="167"/>
      <c r="AK185" s="167"/>
      <c r="AL185" s="167"/>
      <c r="AM185" s="167"/>
      <c r="AN185" s="167"/>
      <c r="AO185" s="167"/>
      <c r="AP185" s="167"/>
      <c r="AQ185" s="167"/>
      <c r="AR185" s="586" t="s">
        <v>3190</v>
      </c>
      <c r="AS185" s="586" t="s">
        <v>3191</v>
      </c>
      <c r="AT185" s="171"/>
      <c r="AU185" s="167"/>
      <c r="AV185" s="167"/>
      <c r="AW185" s="167"/>
      <c r="AX185" s="167"/>
      <c r="AY185" s="167"/>
      <c r="AZ185" s="167"/>
      <c r="BA185" s="167"/>
      <c r="BB185" s="167"/>
      <c r="BC185" s="167"/>
      <c r="BD185" s="167"/>
      <c r="BE185" s="167"/>
      <c r="BF185" s="167"/>
      <c r="BG185" s="167"/>
      <c r="BH185" s="167"/>
      <c r="BI185" s="167"/>
      <c r="BJ185" s="167"/>
      <c r="BK185" s="167"/>
      <c r="BL185" s="167"/>
      <c r="BM185" s="167"/>
      <c r="BN185" s="167"/>
      <c r="BO185" s="167"/>
    </row>
    <row r="186" spans="1:67" ht="24">
      <c r="A186" s="143"/>
      <c r="B186" s="165"/>
      <c r="C186" s="166" t="s">
        <v>5658</v>
      </c>
      <c r="D186" s="165" t="s">
        <v>5633</v>
      </c>
      <c r="E186" s="135">
        <v>2025</v>
      </c>
      <c r="F186" s="135">
        <v>2025</v>
      </c>
      <c r="G186" s="135">
        <v>6</v>
      </c>
      <c r="H186" s="165"/>
      <c r="I186" s="465">
        <v>10000000</v>
      </c>
      <c r="J186" s="465">
        <v>8000000</v>
      </c>
      <c r="K186" s="514"/>
      <c r="L186" s="165"/>
      <c r="M186" s="9" t="s">
        <v>3223</v>
      </c>
      <c r="N186" s="135"/>
      <c r="O186" s="135"/>
      <c r="P186" s="171" t="s">
        <v>5871</v>
      </c>
      <c r="Q186" s="109">
        <f>Table6[[#This Row],[Dana Disetujui]]</f>
        <v>8000000</v>
      </c>
      <c r="R186" s="6" t="s">
        <v>4269</v>
      </c>
      <c r="S186" s="167" t="s">
        <v>5660</v>
      </c>
      <c r="T186" s="109">
        <f>Table6[[#This Row],[Dana Disetujui]]</f>
        <v>8000000</v>
      </c>
      <c r="U186" s="165"/>
      <c r="V186" s="167" t="s">
        <v>141</v>
      </c>
      <c r="W186" s="109">
        <f>Table6[[#This Row],[Dana Disetujui]]</f>
        <v>8000000</v>
      </c>
      <c r="X186" s="6" t="s">
        <v>4269</v>
      </c>
      <c r="Y186" s="167" t="s">
        <v>4619</v>
      </c>
      <c r="Z186" s="245">
        <f>Table6[[#This Row],[Dana Disetujui]]</f>
        <v>8000000</v>
      </c>
      <c r="AA186" s="6" t="s">
        <v>4269</v>
      </c>
      <c r="AB186" s="167"/>
      <c r="AC186" s="249"/>
      <c r="AD186" s="167"/>
      <c r="AE186" s="167"/>
      <c r="AF186" s="249"/>
      <c r="AG186" s="167"/>
      <c r="AH186" s="167"/>
      <c r="AI186" s="249"/>
      <c r="AJ186" s="167"/>
      <c r="AK186" s="167"/>
      <c r="AL186" s="167"/>
      <c r="AM186" s="167"/>
      <c r="AN186" s="167"/>
      <c r="AO186" s="167"/>
      <c r="AP186" s="167"/>
      <c r="AQ186" s="167"/>
      <c r="AR186" s="586" t="s">
        <v>3190</v>
      </c>
      <c r="AS186" s="586" t="s">
        <v>3191</v>
      </c>
      <c r="AT186" s="171"/>
      <c r="AU186" s="167"/>
      <c r="AV186" s="167"/>
      <c r="AW186" s="167"/>
      <c r="AX186" s="167"/>
      <c r="AY186" s="167"/>
      <c r="AZ186" s="167"/>
      <c r="BA186" s="167"/>
      <c r="BB186" s="167"/>
      <c r="BC186" s="167"/>
      <c r="BD186" s="167"/>
      <c r="BE186" s="167"/>
      <c r="BF186" s="167"/>
      <c r="BG186" s="167"/>
      <c r="BH186" s="167"/>
      <c r="BI186" s="167"/>
      <c r="BJ186" s="167"/>
      <c r="BK186" s="167"/>
      <c r="BL186" s="167"/>
      <c r="BM186" s="167"/>
      <c r="BN186" s="167"/>
      <c r="BO186" s="167"/>
    </row>
    <row r="187" spans="1:67" ht="24">
      <c r="A187" s="143"/>
      <c r="B187" s="165"/>
      <c r="C187" s="166" t="s">
        <v>5661</v>
      </c>
      <c r="D187" s="165" t="s">
        <v>5633</v>
      </c>
      <c r="E187" s="135">
        <v>2025</v>
      </c>
      <c r="F187" s="135">
        <v>2025</v>
      </c>
      <c r="G187" s="135">
        <v>6</v>
      </c>
      <c r="H187" s="165"/>
      <c r="I187" s="465">
        <v>9795000</v>
      </c>
      <c r="J187" s="465">
        <v>8000000</v>
      </c>
      <c r="K187" s="514"/>
      <c r="L187" s="165"/>
      <c r="M187" s="9" t="s">
        <v>3223</v>
      </c>
      <c r="N187" s="135"/>
      <c r="O187" s="135"/>
      <c r="P187" s="171" t="s">
        <v>5911</v>
      </c>
      <c r="Q187" s="109">
        <f>Table6[[#This Row],[Dana Disetujui]]</f>
        <v>8000000</v>
      </c>
      <c r="R187" s="6" t="s">
        <v>4269</v>
      </c>
      <c r="S187" s="167" t="s">
        <v>4898</v>
      </c>
      <c r="T187" s="109">
        <f>Table6[[#This Row],[Dana Disetujui]]</f>
        <v>8000000</v>
      </c>
      <c r="U187" s="165" t="s">
        <v>4269</v>
      </c>
      <c r="V187" s="167"/>
      <c r="W187" s="248"/>
      <c r="X187" s="165"/>
      <c r="Y187" s="167"/>
      <c r="Z187" s="249"/>
      <c r="AA187" s="167"/>
      <c r="AB187" s="167"/>
      <c r="AC187" s="249"/>
      <c r="AD187" s="167"/>
      <c r="AE187" s="167"/>
      <c r="AF187" s="249"/>
      <c r="AG187" s="167"/>
      <c r="AH187" s="167"/>
      <c r="AI187" s="249"/>
      <c r="AJ187" s="167"/>
      <c r="AK187" s="167"/>
      <c r="AL187" s="167"/>
      <c r="AM187" s="167"/>
      <c r="AN187" s="167"/>
      <c r="AO187" s="167"/>
      <c r="AP187" s="167"/>
      <c r="AQ187" s="167"/>
      <c r="AR187" s="586" t="s">
        <v>3190</v>
      </c>
      <c r="AS187" s="586" t="s">
        <v>3191</v>
      </c>
      <c r="AT187" s="171"/>
      <c r="AU187" s="167"/>
      <c r="AV187" s="167"/>
      <c r="AW187" s="167"/>
      <c r="AX187" s="167"/>
      <c r="AY187" s="167"/>
      <c r="AZ187" s="167"/>
      <c r="BA187" s="167"/>
      <c r="BB187" s="167"/>
      <c r="BC187" s="167"/>
      <c r="BD187" s="167"/>
      <c r="BE187" s="167"/>
      <c r="BF187" s="167"/>
      <c r="BG187" s="167"/>
      <c r="BH187" s="167"/>
      <c r="BI187" s="167"/>
      <c r="BJ187" s="167"/>
      <c r="BK187" s="167"/>
      <c r="BL187" s="167"/>
      <c r="BM187" s="167"/>
      <c r="BN187" s="167"/>
      <c r="BO187" s="167"/>
    </row>
    <row r="188" spans="1:67" ht="36">
      <c r="A188" s="143"/>
      <c r="B188" s="165"/>
      <c r="C188" s="166" t="s">
        <v>5662</v>
      </c>
      <c r="D188" s="165" t="s">
        <v>5633</v>
      </c>
      <c r="E188" s="135">
        <v>2025</v>
      </c>
      <c r="F188" s="135">
        <v>2025</v>
      </c>
      <c r="G188" s="135">
        <v>6</v>
      </c>
      <c r="H188" s="165"/>
      <c r="I188" s="465">
        <v>8810000</v>
      </c>
      <c r="J188" s="465">
        <v>8000000</v>
      </c>
      <c r="K188" s="514"/>
      <c r="L188" s="165"/>
      <c r="M188" s="9" t="s">
        <v>3223</v>
      </c>
      <c r="N188" s="135"/>
      <c r="O188" s="135"/>
      <c r="P188" s="171" t="s">
        <v>5867</v>
      </c>
      <c r="Q188" s="109">
        <f>Table6[[#This Row],[Dana Disetujui]]</f>
        <v>8000000</v>
      </c>
      <c r="R188" s="6" t="s">
        <v>4269</v>
      </c>
      <c r="S188" s="167" t="s">
        <v>4363</v>
      </c>
      <c r="T188" s="109">
        <f>Table6[[#This Row],[Dana Disetujui]]</f>
        <v>8000000</v>
      </c>
      <c r="U188" s="6" t="s">
        <v>4269</v>
      </c>
      <c r="V188" s="167" t="s">
        <v>4616</v>
      </c>
      <c r="W188" s="109">
        <f>Table6[[#This Row],[Dana Disetujui]]</f>
        <v>8000000</v>
      </c>
      <c r="X188" s="6" t="s">
        <v>4269</v>
      </c>
      <c r="Y188" s="167"/>
      <c r="Z188" s="249"/>
      <c r="AA188" s="167"/>
      <c r="AB188" s="167"/>
      <c r="AC188" s="249"/>
      <c r="AD188" s="167"/>
      <c r="AE188" s="167"/>
      <c r="AF188" s="249"/>
      <c r="AG188" s="167"/>
      <c r="AH188" s="167"/>
      <c r="AI188" s="249"/>
      <c r="AJ188" s="167"/>
      <c r="AK188" s="167"/>
      <c r="AL188" s="167"/>
      <c r="AM188" s="167"/>
      <c r="AN188" s="167"/>
      <c r="AO188" s="167"/>
      <c r="AP188" s="167"/>
      <c r="AQ188" s="167"/>
      <c r="AR188" s="586" t="s">
        <v>3190</v>
      </c>
      <c r="AS188" s="586" t="s">
        <v>3191</v>
      </c>
      <c r="AT188" s="171"/>
      <c r="AU188" s="167"/>
      <c r="AV188" s="167"/>
      <c r="AW188" s="167"/>
      <c r="AX188" s="167"/>
      <c r="AY188" s="167"/>
      <c r="AZ188" s="167"/>
      <c r="BA188" s="167"/>
      <c r="BB188" s="167"/>
      <c r="BC188" s="167"/>
      <c r="BD188" s="167"/>
      <c r="BE188" s="167"/>
      <c r="BF188" s="167"/>
      <c r="BG188" s="167"/>
      <c r="BH188" s="167"/>
      <c r="BI188" s="167"/>
      <c r="BJ188" s="167"/>
      <c r="BK188" s="167"/>
      <c r="BL188" s="167"/>
      <c r="BM188" s="167"/>
      <c r="BN188" s="167"/>
      <c r="BO188" s="167"/>
    </row>
    <row r="189" spans="1:67" ht="24">
      <c r="A189" s="143"/>
      <c r="B189" s="165"/>
      <c r="C189" s="166" t="s">
        <v>5663</v>
      </c>
      <c r="D189" s="165" t="s">
        <v>5664</v>
      </c>
      <c r="E189" s="135">
        <v>2025</v>
      </c>
      <c r="F189" s="135">
        <v>2025</v>
      </c>
      <c r="G189" s="135">
        <v>6</v>
      </c>
      <c r="H189" s="165" t="s">
        <v>5536</v>
      </c>
      <c r="I189" s="465">
        <v>4990000</v>
      </c>
      <c r="J189" s="465">
        <v>4241500</v>
      </c>
      <c r="K189" s="514">
        <v>2</v>
      </c>
      <c r="L189" s="165"/>
      <c r="M189" s="9" t="s">
        <v>3223</v>
      </c>
      <c r="N189" s="135" t="s">
        <v>3215</v>
      </c>
      <c r="O189" s="135"/>
      <c r="P189" s="171" t="s">
        <v>5896</v>
      </c>
      <c r="Q189" s="109">
        <f>Table6[[#This Row],[Dana Disetujui]]</f>
        <v>4241500</v>
      </c>
      <c r="R189" s="6" t="s">
        <v>4269</v>
      </c>
      <c r="S189" s="167" t="s">
        <v>4751</v>
      </c>
      <c r="T189" s="109">
        <f>Table6[[#This Row],[Dana Disetujui]]</f>
        <v>4241500</v>
      </c>
      <c r="U189" s="6" t="s">
        <v>4269</v>
      </c>
      <c r="V189" s="167" t="s">
        <v>115</v>
      </c>
      <c r="W189" s="109">
        <f>Table6[[#This Row],[Dana Disetujui]]</f>
        <v>4241500</v>
      </c>
      <c r="X189" s="6" t="s">
        <v>4269</v>
      </c>
      <c r="Y189" s="167"/>
      <c r="Z189" s="249"/>
      <c r="AA189" s="167"/>
      <c r="AB189" s="167"/>
      <c r="AC189" s="249"/>
      <c r="AD189" s="167"/>
      <c r="AE189" s="167"/>
      <c r="AF189" s="249"/>
      <c r="AG189" s="167"/>
      <c r="AH189" s="167"/>
      <c r="AI189" s="249"/>
      <c r="AJ189" s="167"/>
      <c r="AK189" s="167"/>
      <c r="AL189" s="167"/>
      <c r="AM189" s="167"/>
      <c r="AN189" s="167"/>
      <c r="AO189" s="167"/>
      <c r="AP189" s="167"/>
      <c r="AQ189" s="167"/>
      <c r="AR189" s="586" t="s">
        <v>3190</v>
      </c>
      <c r="AS189" s="586" t="s">
        <v>3191</v>
      </c>
      <c r="AT189" s="171"/>
      <c r="AU189" s="167"/>
      <c r="AV189" s="167"/>
      <c r="AW189" s="167"/>
      <c r="AX189" s="167"/>
      <c r="AY189" s="167"/>
      <c r="AZ189" s="167"/>
      <c r="BA189" s="167"/>
      <c r="BB189" s="167"/>
      <c r="BC189" s="167"/>
      <c r="BD189" s="167"/>
      <c r="BE189" s="167"/>
      <c r="BF189" s="167"/>
      <c r="BG189" s="167"/>
      <c r="BH189" s="167"/>
      <c r="BI189" s="167"/>
      <c r="BJ189" s="167"/>
      <c r="BK189" s="167"/>
      <c r="BL189" s="167"/>
      <c r="BM189" s="167"/>
      <c r="BN189" s="167"/>
      <c r="BO189" s="167"/>
    </row>
    <row r="190" spans="1:67" ht="24">
      <c r="A190" s="143"/>
      <c r="B190" s="165"/>
      <c r="C190" s="166" t="s">
        <v>5665</v>
      </c>
      <c r="D190" s="165" t="s">
        <v>5664</v>
      </c>
      <c r="E190" s="135">
        <v>2025</v>
      </c>
      <c r="F190" s="135">
        <v>2025</v>
      </c>
      <c r="G190" s="135">
        <v>6</v>
      </c>
      <c r="H190" s="165" t="s">
        <v>5524</v>
      </c>
      <c r="I190" s="465">
        <v>4950000</v>
      </c>
      <c r="J190" s="465">
        <v>4207500</v>
      </c>
      <c r="K190" s="514">
        <v>2</v>
      </c>
      <c r="L190" s="165"/>
      <c r="M190" s="9" t="s">
        <v>3223</v>
      </c>
      <c r="N190" s="135" t="s">
        <v>3215</v>
      </c>
      <c r="O190" s="135"/>
      <c r="P190" s="171" t="s">
        <v>5934</v>
      </c>
      <c r="Q190" s="109">
        <f>Table6[[#This Row],[Dana Disetujui]]</f>
        <v>4207500</v>
      </c>
      <c r="R190" s="6" t="s">
        <v>4269</v>
      </c>
      <c r="S190" s="167" t="s">
        <v>135</v>
      </c>
      <c r="T190" s="109">
        <f>Table6[[#This Row],[Dana Disetujui]]</f>
        <v>4207500</v>
      </c>
      <c r="U190" s="6" t="s">
        <v>4269</v>
      </c>
      <c r="V190" s="167" t="s">
        <v>4907</v>
      </c>
      <c r="W190" s="109">
        <f>Table6[[#This Row],[Dana Disetujui]]</f>
        <v>4207500</v>
      </c>
      <c r="X190" s="6" t="s">
        <v>4269</v>
      </c>
      <c r="Y190" s="167"/>
      <c r="Z190" s="249"/>
      <c r="AA190" s="167"/>
      <c r="AB190" s="167"/>
      <c r="AC190" s="249"/>
      <c r="AD190" s="167"/>
      <c r="AE190" s="167"/>
      <c r="AF190" s="249"/>
      <c r="AG190" s="167"/>
      <c r="AH190" s="167"/>
      <c r="AI190" s="249"/>
      <c r="AJ190" s="167"/>
      <c r="AK190" s="167"/>
      <c r="AL190" s="167"/>
      <c r="AM190" s="167"/>
      <c r="AN190" s="167"/>
      <c r="AO190" s="167"/>
      <c r="AP190" s="167"/>
      <c r="AQ190" s="167"/>
      <c r="AR190" s="586" t="s">
        <v>3190</v>
      </c>
      <c r="AS190" s="586" t="s">
        <v>3191</v>
      </c>
      <c r="AT190" s="171"/>
      <c r="AU190" s="167"/>
      <c r="AV190" s="167"/>
      <c r="AW190" s="167"/>
      <c r="AX190" s="167"/>
      <c r="AY190" s="167"/>
      <c r="AZ190" s="167"/>
      <c r="BA190" s="167"/>
      <c r="BB190" s="167"/>
      <c r="BC190" s="167"/>
      <c r="BD190" s="167"/>
      <c r="BE190" s="167"/>
      <c r="BF190" s="167"/>
      <c r="BG190" s="167"/>
      <c r="BH190" s="167"/>
      <c r="BI190" s="167"/>
      <c r="BJ190" s="167"/>
      <c r="BK190" s="167"/>
      <c r="BL190" s="167"/>
      <c r="BM190" s="167"/>
      <c r="BN190" s="167"/>
      <c r="BO190" s="167"/>
    </row>
    <row r="191" spans="1:67" ht="24">
      <c r="A191" s="143"/>
      <c r="B191" s="165"/>
      <c r="C191" s="166" t="s">
        <v>5666</v>
      </c>
      <c r="D191" s="165" t="s">
        <v>5664</v>
      </c>
      <c r="E191" s="135">
        <v>2025</v>
      </c>
      <c r="F191" s="135">
        <v>2025</v>
      </c>
      <c r="G191" s="135">
        <v>6</v>
      </c>
      <c r="H191" s="165" t="s">
        <v>5524</v>
      </c>
      <c r="I191" s="465">
        <v>2480000</v>
      </c>
      <c r="J191" s="465">
        <v>2480000</v>
      </c>
      <c r="K191" s="514">
        <v>3</v>
      </c>
      <c r="L191" s="165"/>
      <c r="M191" s="9" t="s">
        <v>3223</v>
      </c>
      <c r="N191" s="135" t="s">
        <v>3215</v>
      </c>
      <c r="O191" s="135"/>
      <c r="P191" s="171" t="s">
        <v>5888</v>
      </c>
      <c r="Q191" s="109">
        <f>Table6[[#This Row],[Dana Disetujui]]</f>
        <v>2480000</v>
      </c>
      <c r="R191" s="6" t="s">
        <v>4269</v>
      </c>
      <c r="S191" s="167" t="s">
        <v>3081</v>
      </c>
      <c r="T191" s="109">
        <f>Table6[[#This Row],[Dana Disetujui]]</f>
        <v>2480000</v>
      </c>
      <c r="U191" s="6" t="s">
        <v>4269</v>
      </c>
      <c r="V191" s="167" t="s">
        <v>4316</v>
      </c>
      <c r="W191" s="109">
        <f>Table6[[#This Row],[Dana Disetujui]]</f>
        <v>2480000</v>
      </c>
      <c r="X191" s="6" t="s">
        <v>4269</v>
      </c>
      <c r="Y191" s="167"/>
      <c r="Z191" s="249"/>
      <c r="AA191" s="167"/>
      <c r="AB191" s="167"/>
      <c r="AC191" s="249"/>
      <c r="AD191" s="167"/>
      <c r="AE191" s="167"/>
      <c r="AF191" s="249"/>
      <c r="AG191" s="167"/>
      <c r="AH191" s="167"/>
      <c r="AI191" s="249"/>
      <c r="AJ191" s="167"/>
      <c r="AK191" s="167"/>
      <c r="AL191" s="167"/>
      <c r="AM191" s="167"/>
      <c r="AN191" s="167"/>
      <c r="AO191" s="167"/>
      <c r="AP191" s="167"/>
      <c r="AQ191" s="167"/>
      <c r="AR191" s="586" t="s">
        <v>3190</v>
      </c>
      <c r="AS191" s="586" t="s">
        <v>3191</v>
      </c>
      <c r="AT191" s="171"/>
      <c r="AU191" s="167"/>
      <c r="AV191" s="167"/>
      <c r="AW191" s="167"/>
      <c r="AX191" s="167"/>
      <c r="AY191" s="167"/>
      <c r="AZ191" s="167"/>
      <c r="BA191" s="167"/>
      <c r="BB191" s="167"/>
      <c r="BC191" s="167"/>
      <c r="BD191" s="167"/>
      <c r="BE191" s="167"/>
      <c r="BF191" s="167"/>
      <c r="BG191" s="167"/>
      <c r="BH191" s="167"/>
      <c r="BI191" s="167"/>
      <c r="BJ191" s="167"/>
      <c r="BK191" s="167"/>
      <c r="BL191" s="167"/>
      <c r="BM191" s="167"/>
      <c r="BN191" s="167"/>
      <c r="BO191" s="167"/>
    </row>
    <row r="192" spans="1:67" ht="48">
      <c r="A192" s="143"/>
      <c r="B192" s="165"/>
      <c r="C192" s="166" t="s">
        <v>5667</v>
      </c>
      <c r="D192" s="165" t="s">
        <v>5668</v>
      </c>
      <c r="E192" s="135">
        <v>2025</v>
      </c>
      <c r="F192" s="135">
        <v>2025</v>
      </c>
      <c r="G192" s="135">
        <v>6</v>
      </c>
      <c r="H192" s="165"/>
      <c r="I192" s="465">
        <v>52400000</v>
      </c>
      <c r="J192" s="465">
        <v>52400000</v>
      </c>
      <c r="K192" s="514"/>
      <c r="L192" s="165"/>
      <c r="M192" s="166" t="s">
        <v>3077</v>
      </c>
      <c r="N192" s="135"/>
      <c r="O192" s="135" t="s">
        <v>4970</v>
      </c>
      <c r="P192" s="171" t="s">
        <v>5854</v>
      </c>
      <c r="Q192" s="109">
        <f>Table6[[#This Row],[Dana Disetujui]]</f>
        <v>52400000</v>
      </c>
      <c r="R192" s="6"/>
      <c r="S192" s="167" t="s">
        <v>208</v>
      </c>
      <c r="T192" s="109">
        <f>Table6[[#This Row],[Dana Disetujui]]</f>
        <v>52400000</v>
      </c>
      <c r="U192" s="165"/>
      <c r="V192" s="167" t="s">
        <v>199</v>
      </c>
      <c r="W192" s="109">
        <f>Table6[[#This Row],[Dana Disetujui]]</f>
        <v>52400000</v>
      </c>
      <c r="X192" s="165"/>
      <c r="Y192" s="167"/>
      <c r="Z192" s="249"/>
      <c r="AA192" s="167"/>
      <c r="AB192" s="167"/>
      <c r="AC192" s="249"/>
      <c r="AD192" s="167"/>
      <c r="AE192" s="167"/>
      <c r="AF192" s="249"/>
      <c r="AG192" s="167"/>
      <c r="AH192" s="167"/>
      <c r="AI192" s="249"/>
      <c r="AJ192" s="167"/>
      <c r="AK192" s="167"/>
      <c r="AL192" s="167"/>
      <c r="AM192" s="167"/>
      <c r="AN192" s="167"/>
      <c r="AO192" s="167"/>
      <c r="AP192" s="167"/>
      <c r="AQ192" s="167"/>
      <c r="AR192" s="586" t="s">
        <v>3190</v>
      </c>
      <c r="AS192" s="8"/>
      <c r="AT192" s="171"/>
      <c r="AU192" s="167"/>
      <c r="AV192" s="167"/>
      <c r="AW192" s="167"/>
      <c r="AX192" s="167"/>
      <c r="AY192" s="167"/>
      <c r="AZ192" s="167"/>
      <c r="BA192" s="167"/>
      <c r="BB192" s="167"/>
      <c r="BC192" s="167"/>
      <c r="BD192" s="167"/>
      <c r="BE192" s="167"/>
      <c r="BF192" s="167"/>
      <c r="BG192" s="167"/>
      <c r="BH192" s="167"/>
      <c r="BI192" s="167"/>
      <c r="BJ192" s="167"/>
      <c r="BK192" s="167"/>
      <c r="BL192" s="167"/>
      <c r="BM192" s="167"/>
      <c r="BN192" s="167"/>
      <c r="BO192" s="167"/>
    </row>
    <row r="193" spans="1:67" ht="24">
      <c r="A193" s="143"/>
      <c r="B193" s="165"/>
      <c r="C193" s="166" t="s">
        <v>5935</v>
      </c>
      <c r="D193" s="165" t="s">
        <v>5936</v>
      </c>
      <c r="E193" s="135">
        <v>2025</v>
      </c>
      <c r="F193" s="135">
        <v>2025</v>
      </c>
      <c r="G193" s="135">
        <v>6</v>
      </c>
      <c r="H193" s="165"/>
      <c r="I193" s="465">
        <v>159920000</v>
      </c>
      <c r="J193" s="465">
        <v>159920000</v>
      </c>
      <c r="K193" s="514"/>
      <c r="L193" s="165"/>
      <c r="M193" s="166" t="s">
        <v>3077</v>
      </c>
      <c r="N193" s="135"/>
      <c r="O193" s="135" t="s">
        <v>930</v>
      </c>
      <c r="P193" s="171" t="s">
        <v>20</v>
      </c>
      <c r="Q193" s="109">
        <f>Table6[[#This Row],[Dana Disetujui]]</f>
        <v>159920000</v>
      </c>
      <c r="R193" s="6"/>
      <c r="S193" s="167" t="s">
        <v>18</v>
      </c>
      <c r="T193" s="109">
        <f>Table6[[#This Row],[Dana Disetujui]]</f>
        <v>159920000</v>
      </c>
      <c r="U193" s="165"/>
      <c r="V193" s="167" t="s">
        <v>202</v>
      </c>
      <c r="W193" s="109">
        <f>Table6[[#This Row],[Dana Disetujui]]</f>
        <v>159920000</v>
      </c>
      <c r="X193" s="165"/>
      <c r="Y193" s="167" t="s">
        <v>48</v>
      </c>
      <c r="Z193" s="245">
        <f>Table6[[#This Row],[Dana Disetujui]]</f>
        <v>159920000</v>
      </c>
      <c r="AA193" s="167"/>
      <c r="AB193" s="167" t="s">
        <v>9</v>
      </c>
      <c r="AC193" s="109">
        <f>Table6[[#This Row],[Dana Disetujui]]</f>
        <v>159920000</v>
      </c>
      <c r="AD193" s="167"/>
      <c r="AE193" s="167" t="s">
        <v>21</v>
      </c>
      <c r="AF193" s="109">
        <f>Table6[[#This Row],[Dana Disetujui]]</f>
        <v>159920000</v>
      </c>
      <c r="AG193" s="167"/>
      <c r="AH193" s="167" t="s">
        <v>163</v>
      </c>
      <c r="AI193" s="109">
        <f>Table6[[#This Row],[Dana Disetujui]]</f>
        <v>159920000</v>
      </c>
      <c r="AJ193" s="167"/>
      <c r="AK193" s="167" t="s">
        <v>4408</v>
      </c>
      <c r="AL193" s="109">
        <f>Table6[[#This Row],[Dana Disetujui]]</f>
        <v>159920000</v>
      </c>
      <c r="AM193" s="167"/>
      <c r="AN193" s="171" t="s">
        <v>4865</v>
      </c>
      <c r="AO193" s="109">
        <f>Table6[[#This Row],[Dana Disetujui]]</f>
        <v>159920000</v>
      </c>
      <c r="AP193" s="167"/>
      <c r="AQ193" s="167"/>
      <c r="AR193" s="586" t="s">
        <v>3190</v>
      </c>
      <c r="AS193" s="8"/>
      <c r="AT193" s="171"/>
      <c r="AU193" s="167"/>
      <c r="AV193" s="167"/>
      <c r="AW193" s="167"/>
      <c r="AX193" s="167"/>
      <c r="AY193" s="167"/>
      <c r="AZ193" s="167"/>
      <c r="BA193" s="167"/>
      <c r="BB193" s="167"/>
      <c r="BC193" s="167"/>
      <c r="BD193" s="167"/>
      <c r="BE193" s="167"/>
      <c r="BF193" s="167"/>
      <c r="BG193" s="167"/>
      <c r="BH193" s="167"/>
      <c r="BI193" s="167"/>
      <c r="BJ193" s="167"/>
      <c r="BK193" s="167"/>
      <c r="BL193" s="167"/>
      <c r="BM193" s="167"/>
      <c r="BN193" s="167"/>
      <c r="BO193" s="167"/>
    </row>
    <row r="194" spans="1:67">
      <c r="A194" s="143"/>
      <c r="B194" s="165"/>
      <c r="C194" s="166"/>
      <c r="D194" s="165"/>
      <c r="E194" s="135"/>
      <c r="F194" s="135"/>
      <c r="G194" s="135"/>
      <c r="H194" s="165"/>
      <c r="I194" s="465"/>
      <c r="J194" s="465"/>
      <c r="K194" s="514"/>
      <c r="L194" s="165"/>
      <c r="M194" s="166"/>
      <c r="N194" s="135"/>
      <c r="O194" s="135"/>
      <c r="P194" s="171" t="s">
        <v>3071</v>
      </c>
      <c r="Q194" s="245"/>
      <c r="R194" s="6"/>
      <c r="S194" s="167"/>
      <c r="T194" s="248"/>
      <c r="U194" s="165"/>
      <c r="V194" s="167"/>
      <c r="W194" s="248"/>
      <c r="X194" s="165"/>
      <c r="Y194" s="167"/>
      <c r="Z194" s="249"/>
      <c r="AA194" s="167"/>
      <c r="AB194" s="167"/>
      <c r="AC194" s="249"/>
      <c r="AD194" s="167"/>
      <c r="AE194" s="167"/>
      <c r="AF194" s="249"/>
      <c r="AG194" s="167"/>
      <c r="AH194" s="167"/>
      <c r="AI194" s="249"/>
      <c r="AJ194" s="167"/>
      <c r="AK194" s="167"/>
      <c r="AL194" s="167"/>
      <c r="AM194" s="167"/>
      <c r="AN194" s="167"/>
      <c r="AO194" s="167"/>
      <c r="AP194" s="167"/>
      <c r="AQ194" s="167"/>
      <c r="AR194" s="160"/>
      <c r="AS194" s="8"/>
      <c r="AT194" s="171"/>
      <c r="AU194" s="167"/>
      <c r="AV194" s="167"/>
      <c r="AW194" s="167"/>
      <c r="AX194" s="167"/>
      <c r="AY194" s="167"/>
      <c r="AZ194" s="167"/>
      <c r="BA194" s="167"/>
      <c r="BB194" s="167"/>
      <c r="BC194" s="167"/>
      <c r="BD194" s="167"/>
      <c r="BE194" s="167"/>
      <c r="BF194" s="167"/>
      <c r="BG194" s="167"/>
      <c r="BH194" s="167"/>
      <c r="BI194" s="167"/>
      <c r="BJ194" s="167"/>
      <c r="BK194" s="167"/>
      <c r="BL194" s="167"/>
      <c r="BM194" s="167"/>
      <c r="BN194" s="167"/>
      <c r="BO194" s="167"/>
    </row>
    <row r="195" spans="1:67">
      <c r="A195" s="143"/>
      <c r="B195" s="165"/>
      <c r="C195" s="166"/>
      <c r="D195" s="165"/>
      <c r="E195" s="135"/>
      <c r="F195" s="135"/>
      <c r="G195" s="135"/>
      <c r="H195" s="165"/>
      <c r="I195" s="465"/>
      <c r="J195" s="465"/>
      <c r="K195" s="514"/>
      <c r="L195" s="165"/>
      <c r="M195" s="166"/>
      <c r="N195" s="135"/>
      <c r="O195" s="135"/>
      <c r="P195" s="171" t="s">
        <v>3071</v>
      </c>
      <c r="Q195" s="245"/>
      <c r="R195" s="6"/>
      <c r="S195" s="167"/>
      <c r="T195" s="248"/>
      <c r="U195" s="165"/>
      <c r="V195" s="167"/>
      <c r="W195" s="248"/>
      <c r="X195" s="165"/>
      <c r="Y195" s="167"/>
      <c r="Z195" s="249"/>
      <c r="AA195" s="167"/>
      <c r="AB195" s="167"/>
      <c r="AC195" s="249"/>
      <c r="AD195" s="167"/>
      <c r="AE195" s="167"/>
      <c r="AF195" s="249"/>
      <c r="AG195" s="167"/>
      <c r="AH195" s="167"/>
      <c r="AI195" s="249"/>
      <c r="AJ195" s="167"/>
      <c r="AK195" s="167"/>
      <c r="AL195" s="167"/>
      <c r="AM195" s="167"/>
      <c r="AN195" s="167"/>
      <c r="AO195" s="167"/>
      <c r="AP195" s="167"/>
      <c r="AQ195" s="167"/>
      <c r="AR195" s="160"/>
      <c r="AS195" s="8"/>
      <c r="AT195" s="171"/>
      <c r="AU195" s="167"/>
      <c r="AV195" s="167"/>
      <c r="AW195" s="167"/>
      <c r="AX195" s="167"/>
      <c r="AY195" s="167"/>
      <c r="AZ195" s="167"/>
      <c r="BA195" s="167"/>
      <c r="BB195" s="167"/>
      <c r="BC195" s="167"/>
      <c r="BD195" s="167"/>
      <c r="BE195" s="167"/>
      <c r="BF195" s="167"/>
      <c r="BG195" s="167"/>
      <c r="BH195" s="167"/>
      <c r="BI195" s="167"/>
      <c r="BJ195" s="167"/>
      <c r="BK195" s="167"/>
      <c r="BL195" s="167"/>
      <c r="BM195" s="167"/>
      <c r="BN195" s="167"/>
      <c r="BO195" s="167"/>
    </row>
    <row r="196" spans="1:67">
      <c r="A196" s="143"/>
      <c r="B196" s="165"/>
      <c r="C196" s="166"/>
      <c r="D196" s="165"/>
      <c r="E196" s="135"/>
      <c r="F196" s="135"/>
      <c r="G196" s="135"/>
      <c r="H196" s="165"/>
      <c r="I196" s="465"/>
      <c r="J196" s="465"/>
      <c r="K196" s="514"/>
      <c r="L196" s="165"/>
      <c r="M196" s="166"/>
      <c r="N196" s="135"/>
      <c r="O196" s="135"/>
      <c r="P196" s="171" t="s">
        <v>3071</v>
      </c>
      <c r="Q196" s="245"/>
      <c r="R196" s="6"/>
      <c r="S196" s="167"/>
      <c r="T196" s="248"/>
      <c r="U196" s="165"/>
      <c r="V196" s="167"/>
      <c r="W196" s="248"/>
      <c r="X196" s="165"/>
      <c r="Y196" s="167"/>
      <c r="Z196" s="249"/>
      <c r="AA196" s="167"/>
      <c r="AB196" s="167"/>
      <c r="AC196" s="249"/>
      <c r="AD196" s="167"/>
      <c r="AE196" s="167"/>
      <c r="AF196" s="249"/>
      <c r="AG196" s="167"/>
      <c r="AH196" s="167"/>
      <c r="AI196" s="249"/>
      <c r="AJ196" s="167"/>
      <c r="AK196" s="167"/>
      <c r="AL196" s="167"/>
      <c r="AM196" s="167"/>
      <c r="AN196" s="167"/>
      <c r="AO196" s="167"/>
      <c r="AP196" s="167"/>
      <c r="AQ196" s="167"/>
      <c r="AR196" s="160"/>
      <c r="AS196" s="8"/>
      <c r="AT196" s="171"/>
      <c r="AU196" s="167"/>
      <c r="AV196" s="167"/>
      <c r="AW196" s="167"/>
      <c r="AX196" s="167"/>
      <c r="AY196" s="167"/>
      <c r="AZ196" s="167"/>
      <c r="BA196" s="167"/>
      <c r="BB196" s="167"/>
      <c r="BC196" s="167"/>
      <c r="BD196" s="167"/>
      <c r="BE196" s="167"/>
      <c r="BF196" s="167"/>
      <c r="BG196" s="167"/>
      <c r="BH196" s="167"/>
      <c r="BI196" s="167"/>
      <c r="BJ196" s="167"/>
      <c r="BK196" s="167"/>
      <c r="BL196" s="167"/>
      <c r="BM196" s="167"/>
      <c r="BN196" s="167"/>
      <c r="BO196" s="167"/>
    </row>
    <row r="197" spans="1:67">
      <c r="A197" s="143"/>
      <c r="B197" s="165"/>
      <c r="C197" s="166"/>
      <c r="D197" s="165"/>
      <c r="E197" s="135"/>
      <c r="F197" s="135"/>
      <c r="G197" s="135"/>
      <c r="H197" s="165"/>
      <c r="I197" s="465"/>
      <c r="J197" s="465"/>
      <c r="K197" s="514"/>
      <c r="L197" s="165"/>
      <c r="M197" s="166"/>
      <c r="N197" s="135"/>
      <c r="O197" s="135"/>
      <c r="P197" s="171" t="s">
        <v>3071</v>
      </c>
      <c r="Q197" s="245"/>
      <c r="R197" s="6"/>
      <c r="S197" s="167"/>
      <c r="T197" s="248"/>
      <c r="U197" s="165"/>
      <c r="V197" s="167"/>
      <c r="W197" s="248"/>
      <c r="X197" s="165"/>
      <c r="Y197" s="167"/>
      <c r="Z197" s="249"/>
      <c r="AA197" s="167"/>
      <c r="AB197" s="167"/>
      <c r="AC197" s="249"/>
      <c r="AD197" s="167"/>
      <c r="AE197" s="167"/>
      <c r="AF197" s="249"/>
      <c r="AG197" s="167"/>
      <c r="AH197" s="167"/>
      <c r="AI197" s="249"/>
      <c r="AJ197" s="167"/>
      <c r="AK197" s="167"/>
      <c r="AL197" s="167"/>
      <c r="AM197" s="167"/>
      <c r="AN197" s="167"/>
      <c r="AO197" s="167"/>
      <c r="AP197" s="167"/>
      <c r="AQ197" s="167"/>
      <c r="AR197" s="160"/>
      <c r="AS197" s="8"/>
      <c r="AT197" s="171"/>
      <c r="AU197" s="167"/>
      <c r="AV197" s="167"/>
      <c r="AW197" s="167"/>
      <c r="AX197" s="167"/>
      <c r="AY197" s="167"/>
      <c r="AZ197" s="167"/>
      <c r="BA197" s="167"/>
      <c r="BB197" s="167"/>
      <c r="BC197" s="167"/>
      <c r="BD197" s="167"/>
      <c r="BE197" s="167"/>
      <c r="BF197" s="167"/>
      <c r="BG197" s="167"/>
      <c r="BH197" s="167"/>
      <c r="BI197" s="167"/>
      <c r="BJ197" s="167"/>
      <c r="BK197" s="167"/>
      <c r="BL197" s="167"/>
      <c r="BM197" s="167"/>
      <c r="BN197" s="167"/>
      <c r="BO197" s="167"/>
    </row>
    <row r="198" spans="1:67">
      <c r="A198" s="143"/>
      <c r="B198" s="165"/>
      <c r="C198" s="166"/>
      <c r="D198" s="165"/>
      <c r="E198" s="135"/>
      <c r="F198" s="135"/>
      <c r="G198" s="135"/>
      <c r="H198" s="165"/>
      <c r="I198" s="465"/>
      <c r="J198" s="465"/>
      <c r="K198" s="514"/>
      <c r="L198" s="165"/>
      <c r="M198" s="166"/>
      <c r="N198" s="135"/>
      <c r="O198" s="135"/>
      <c r="P198" s="171" t="s">
        <v>3071</v>
      </c>
      <c r="Q198" s="245"/>
      <c r="R198" s="6"/>
      <c r="S198" s="167"/>
      <c r="T198" s="248"/>
      <c r="U198" s="165"/>
      <c r="V198" s="167"/>
      <c r="W198" s="248"/>
      <c r="X198" s="165"/>
      <c r="Y198" s="167"/>
      <c r="Z198" s="249"/>
      <c r="AA198" s="167"/>
      <c r="AB198" s="167"/>
      <c r="AC198" s="249"/>
      <c r="AD198" s="167"/>
      <c r="AE198" s="167"/>
      <c r="AF198" s="249"/>
      <c r="AG198" s="167"/>
      <c r="AH198" s="167"/>
      <c r="AI198" s="249"/>
      <c r="AJ198" s="167"/>
      <c r="AK198" s="167"/>
      <c r="AL198" s="167"/>
      <c r="AM198" s="167"/>
      <c r="AN198" s="167"/>
      <c r="AO198" s="167"/>
      <c r="AP198" s="167"/>
      <c r="AQ198" s="167"/>
      <c r="AR198" s="160"/>
      <c r="AS198" s="8"/>
      <c r="AT198" s="171"/>
      <c r="AU198" s="167"/>
      <c r="AV198" s="167"/>
      <c r="AW198" s="167"/>
      <c r="AX198" s="167"/>
      <c r="AY198" s="167"/>
      <c r="AZ198" s="167"/>
      <c r="BA198" s="167"/>
      <c r="BB198" s="167"/>
      <c r="BC198" s="167"/>
      <c r="BD198" s="167"/>
      <c r="BE198" s="167"/>
      <c r="BF198" s="167"/>
      <c r="BG198" s="167"/>
      <c r="BH198" s="167"/>
      <c r="BI198" s="167"/>
      <c r="BJ198" s="167"/>
      <c r="BK198" s="167"/>
      <c r="BL198" s="167"/>
      <c r="BM198" s="167"/>
      <c r="BN198" s="167"/>
      <c r="BO198" s="167"/>
    </row>
    <row r="199" spans="1:67">
      <c r="A199" s="143"/>
      <c r="B199" s="165"/>
      <c r="C199" s="166"/>
      <c r="D199" s="165"/>
      <c r="E199" s="135"/>
      <c r="F199" s="135"/>
      <c r="G199" s="135"/>
      <c r="H199" s="165"/>
      <c r="I199" s="465"/>
      <c r="J199" s="465"/>
      <c r="K199" s="514"/>
      <c r="L199" s="165"/>
      <c r="M199" s="166"/>
      <c r="N199" s="135"/>
      <c r="O199" s="135"/>
      <c r="P199" s="171" t="s">
        <v>3071</v>
      </c>
      <c r="Q199" s="245"/>
      <c r="R199" s="6"/>
      <c r="S199" s="167"/>
      <c r="T199" s="248"/>
      <c r="U199" s="165"/>
      <c r="V199" s="167"/>
      <c r="W199" s="248"/>
      <c r="X199" s="165"/>
      <c r="Y199" s="167"/>
      <c r="Z199" s="249"/>
      <c r="AA199" s="167"/>
      <c r="AB199" s="167"/>
      <c r="AC199" s="249"/>
      <c r="AD199" s="167"/>
      <c r="AE199" s="167"/>
      <c r="AF199" s="249"/>
      <c r="AG199" s="167"/>
      <c r="AH199" s="167"/>
      <c r="AI199" s="249"/>
      <c r="AJ199" s="167"/>
      <c r="AK199" s="167"/>
      <c r="AL199" s="167"/>
      <c r="AM199" s="167"/>
      <c r="AN199" s="167"/>
      <c r="AO199" s="167"/>
      <c r="AP199" s="167"/>
      <c r="AQ199" s="167"/>
      <c r="AR199" s="160"/>
      <c r="AS199" s="8"/>
      <c r="AT199" s="171"/>
      <c r="AU199" s="167"/>
      <c r="AV199" s="167"/>
      <c r="AW199" s="167"/>
      <c r="AX199" s="167"/>
      <c r="AY199" s="167"/>
      <c r="AZ199" s="167"/>
      <c r="BA199" s="167"/>
      <c r="BB199" s="167"/>
      <c r="BC199" s="167"/>
      <c r="BD199" s="167"/>
      <c r="BE199" s="167"/>
      <c r="BF199" s="167"/>
      <c r="BG199" s="167"/>
      <c r="BH199" s="167"/>
      <c r="BI199" s="167"/>
      <c r="BJ199" s="167"/>
      <c r="BK199" s="167"/>
      <c r="BL199" s="167"/>
      <c r="BM199" s="167"/>
      <c r="BN199" s="167"/>
      <c r="BO199" s="167"/>
    </row>
    <row r="200" spans="1:67">
      <c r="A200" s="143"/>
      <c r="B200" s="165"/>
      <c r="C200" s="166"/>
      <c r="D200" s="165"/>
      <c r="E200" s="135"/>
      <c r="F200" s="135"/>
      <c r="G200" s="135"/>
      <c r="H200" s="165"/>
      <c r="I200" s="465"/>
      <c r="J200" s="465"/>
      <c r="K200" s="514"/>
      <c r="L200" s="165"/>
      <c r="M200" s="166"/>
      <c r="N200" s="135"/>
      <c r="O200" s="135"/>
      <c r="P200" s="171" t="s">
        <v>3071</v>
      </c>
      <c r="Q200" s="245"/>
      <c r="R200" s="6"/>
      <c r="S200" s="167"/>
      <c r="T200" s="248"/>
      <c r="U200" s="165"/>
      <c r="V200" s="167"/>
      <c r="W200" s="248"/>
      <c r="X200" s="165"/>
      <c r="Y200" s="167"/>
      <c r="Z200" s="249"/>
      <c r="AA200" s="167"/>
      <c r="AB200" s="167"/>
      <c r="AC200" s="249"/>
      <c r="AD200" s="167"/>
      <c r="AE200" s="167"/>
      <c r="AF200" s="249"/>
      <c r="AG200" s="167"/>
      <c r="AH200" s="167"/>
      <c r="AI200" s="249"/>
      <c r="AJ200" s="167"/>
      <c r="AK200" s="167"/>
      <c r="AL200" s="167"/>
      <c r="AM200" s="167"/>
      <c r="AN200" s="167"/>
      <c r="AO200" s="167"/>
      <c r="AP200" s="167"/>
      <c r="AQ200" s="167"/>
      <c r="AR200" s="160"/>
      <c r="AS200" s="8"/>
      <c r="AT200" s="171"/>
      <c r="AU200" s="167"/>
      <c r="AV200" s="167"/>
      <c r="AW200" s="167"/>
      <c r="AX200" s="167"/>
      <c r="AY200" s="167"/>
      <c r="AZ200" s="167"/>
      <c r="BA200" s="167"/>
      <c r="BB200" s="167"/>
      <c r="BC200" s="167"/>
      <c r="BD200" s="167"/>
      <c r="BE200" s="167"/>
      <c r="BF200" s="167"/>
      <c r="BG200" s="167"/>
      <c r="BH200" s="167"/>
      <c r="BI200" s="167"/>
      <c r="BJ200" s="167"/>
      <c r="BK200" s="167"/>
      <c r="BL200" s="167"/>
      <c r="BM200" s="167"/>
      <c r="BN200" s="167"/>
      <c r="BO200" s="167"/>
    </row>
    <row r="201" spans="1:67">
      <c r="A201" s="143"/>
      <c r="B201" s="165"/>
      <c r="C201" s="166"/>
      <c r="D201" s="165"/>
      <c r="E201" s="135"/>
      <c r="F201" s="135"/>
      <c r="G201" s="135"/>
      <c r="H201" s="165"/>
      <c r="I201" s="465"/>
      <c r="J201" s="465"/>
      <c r="K201" s="514"/>
      <c r="L201" s="165"/>
      <c r="M201" s="166"/>
      <c r="N201" s="135"/>
      <c r="O201" s="135"/>
      <c r="P201" s="171" t="s">
        <v>3071</v>
      </c>
      <c r="Q201" s="245"/>
      <c r="R201" s="6"/>
      <c r="S201" s="167"/>
      <c r="T201" s="248"/>
      <c r="U201" s="165"/>
      <c r="V201" s="167"/>
      <c r="W201" s="248"/>
      <c r="X201" s="165"/>
      <c r="Y201" s="167"/>
      <c r="Z201" s="249"/>
      <c r="AA201" s="167"/>
      <c r="AB201" s="167"/>
      <c r="AC201" s="249"/>
      <c r="AD201" s="167"/>
      <c r="AE201" s="167"/>
      <c r="AF201" s="249"/>
      <c r="AG201" s="167"/>
      <c r="AH201" s="167"/>
      <c r="AI201" s="249"/>
      <c r="AJ201" s="167"/>
      <c r="AK201" s="167"/>
      <c r="AL201" s="167"/>
      <c r="AM201" s="167"/>
      <c r="AN201" s="167"/>
      <c r="AO201" s="167"/>
      <c r="AP201" s="167"/>
      <c r="AQ201" s="167"/>
      <c r="AR201" s="160"/>
      <c r="AS201" s="8"/>
      <c r="AT201" s="171"/>
      <c r="AU201" s="167"/>
      <c r="AV201" s="167"/>
      <c r="AW201" s="167"/>
      <c r="AX201" s="167"/>
      <c r="AY201" s="167"/>
      <c r="AZ201" s="167"/>
      <c r="BA201" s="167"/>
      <c r="BB201" s="167"/>
      <c r="BC201" s="167"/>
      <c r="BD201" s="167"/>
      <c r="BE201" s="167"/>
      <c r="BF201" s="167"/>
      <c r="BG201" s="167"/>
      <c r="BH201" s="167"/>
      <c r="BI201" s="167"/>
      <c r="BJ201" s="167"/>
      <c r="BK201" s="167"/>
      <c r="BL201" s="167"/>
      <c r="BM201" s="167"/>
      <c r="BN201" s="167"/>
      <c r="BO201" s="167"/>
    </row>
    <row r="202" spans="1:67">
      <c r="A202" s="143"/>
      <c r="B202" s="165"/>
      <c r="C202" s="166"/>
      <c r="D202" s="165"/>
      <c r="E202" s="135"/>
      <c r="F202" s="135"/>
      <c r="G202" s="135"/>
      <c r="H202" s="165"/>
      <c r="I202" s="465"/>
      <c r="J202" s="465"/>
      <c r="K202" s="514"/>
      <c r="L202" s="165"/>
      <c r="M202" s="166"/>
      <c r="N202" s="135"/>
      <c r="O202" s="135"/>
      <c r="P202" s="171" t="s">
        <v>3071</v>
      </c>
      <c r="Q202" s="245"/>
      <c r="R202" s="6"/>
      <c r="S202" s="167"/>
      <c r="T202" s="248"/>
      <c r="U202" s="165"/>
      <c r="V202" s="167"/>
      <c r="W202" s="248"/>
      <c r="X202" s="165"/>
      <c r="Y202" s="167"/>
      <c r="Z202" s="249"/>
      <c r="AA202" s="167"/>
      <c r="AB202" s="167"/>
      <c r="AC202" s="249"/>
      <c r="AD202" s="167"/>
      <c r="AE202" s="167"/>
      <c r="AF202" s="249"/>
      <c r="AG202" s="167"/>
      <c r="AH202" s="167"/>
      <c r="AI202" s="249"/>
      <c r="AJ202" s="167"/>
      <c r="AK202" s="167"/>
      <c r="AL202" s="167"/>
      <c r="AM202" s="167"/>
      <c r="AN202" s="167"/>
      <c r="AO202" s="167"/>
      <c r="AP202" s="167"/>
      <c r="AQ202" s="167"/>
      <c r="AR202" s="160"/>
      <c r="AS202" s="8"/>
      <c r="AT202" s="171"/>
      <c r="AU202" s="167"/>
      <c r="AV202" s="167"/>
      <c r="AW202" s="167"/>
      <c r="AX202" s="167"/>
      <c r="AY202" s="167"/>
      <c r="AZ202" s="167"/>
      <c r="BA202" s="167"/>
      <c r="BB202" s="167"/>
      <c r="BC202" s="167"/>
      <c r="BD202" s="167"/>
      <c r="BE202" s="167"/>
      <c r="BF202" s="167"/>
      <c r="BG202" s="167"/>
      <c r="BH202" s="167"/>
      <c r="BI202" s="167"/>
      <c r="BJ202" s="167"/>
      <c r="BK202" s="167"/>
      <c r="BL202" s="167"/>
      <c r="BM202" s="167"/>
      <c r="BN202" s="167"/>
      <c r="BO202" s="167"/>
    </row>
    <row r="203" spans="1:67">
      <c r="A203" s="143"/>
      <c r="B203" s="165"/>
      <c r="C203" s="166"/>
      <c r="D203" s="165"/>
      <c r="E203" s="135"/>
      <c r="F203" s="135"/>
      <c r="G203" s="135"/>
      <c r="H203" s="165"/>
      <c r="I203" s="465"/>
      <c r="J203" s="465"/>
      <c r="K203" s="514"/>
      <c r="L203" s="165"/>
      <c r="M203" s="166"/>
      <c r="N203" s="135"/>
      <c r="O203" s="135"/>
      <c r="P203" s="171" t="s">
        <v>3071</v>
      </c>
      <c r="Q203" s="245"/>
      <c r="R203" s="6"/>
      <c r="S203" s="167"/>
      <c r="T203" s="248"/>
      <c r="U203" s="165"/>
      <c r="V203" s="167"/>
      <c r="W203" s="248"/>
      <c r="X203" s="165"/>
      <c r="Y203" s="167"/>
      <c r="Z203" s="249"/>
      <c r="AA203" s="167"/>
      <c r="AB203" s="167"/>
      <c r="AC203" s="249"/>
      <c r="AD203" s="167"/>
      <c r="AE203" s="167"/>
      <c r="AF203" s="249"/>
      <c r="AG203" s="167"/>
      <c r="AH203" s="167"/>
      <c r="AI203" s="249"/>
      <c r="AJ203" s="167"/>
      <c r="AK203" s="167"/>
      <c r="AL203" s="167"/>
      <c r="AM203" s="167"/>
      <c r="AN203" s="167"/>
      <c r="AO203" s="167"/>
      <c r="AP203" s="167"/>
      <c r="AQ203" s="167"/>
      <c r="AR203" s="160"/>
      <c r="AS203" s="8"/>
      <c r="AT203" s="171"/>
      <c r="AU203" s="167"/>
      <c r="AV203" s="167"/>
      <c r="AW203" s="167"/>
      <c r="AX203" s="167"/>
      <c r="AY203" s="167"/>
      <c r="AZ203" s="167"/>
      <c r="BA203" s="167"/>
      <c r="BB203" s="167"/>
      <c r="BC203" s="167"/>
      <c r="BD203" s="167"/>
      <c r="BE203" s="167"/>
      <c r="BF203" s="167"/>
      <c r="BG203" s="167"/>
      <c r="BH203" s="167"/>
      <c r="BI203" s="167"/>
      <c r="BJ203" s="167"/>
      <c r="BK203" s="167"/>
      <c r="BL203" s="167"/>
      <c r="BM203" s="167"/>
      <c r="BN203" s="167"/>
      <c r="BO203" s="167"/>
    </row>
    <row r="204" spans="1:67">
      <c r="A204" s="143"/>
      <c r="B204" s="165"/>
      <c r="C204" s="166"/>
      <c r="D204" s="165"/>
      <c r="E204" s="135"/>
      <c r="F204" s="135"/>
      <c r="G204" s="135"/>
      <c r="H204" s="165"/>
      <c r="I204" s="465"/>
      <c r="J204" s="465"/>
      <c r="K204" s="514"/>
      <c r="L204" s="165"/>
      <c r="M204" s="166"/>
      <c r="N204" s="135"/>
      <c r="O204" s="135"/>
      <c r="P204" s="171" t="s">
        <v>3071</v>
      </c>
      <c r="Q204" s="245"/>
      <c r="R204" s="6"/>
      <c r="S204" s="167"/>
      <c r="T204" s="248"/>
      <c r="U204" s="165"/>
      <c r="V204" s="167"/>
      <c r="W204" s="248"/>
      <c r="X204" s="165"/>
      <c r="Y204" s="167"/>
      <c r="Z204" s="249"/>
      <c r="AA204" s="167"/>
      <c r="AB204" s="167"/>
      <c r="AC204" s="249"/>
      <c r="AD204" s="167"/>
      <c r="AE204" s="167"/>
      <c r="AF204" s="249"/>
      <c r="AG204" s="167"/>
      <c r="AH204" s="167"/>
      <c r="AI204" s="249"/>
      <c r="AJ204" s="167"/>
      <c r="AK204" s="167"/>
      <c r="AL204" s="167"/>
      <c r="AM204" s="167"/>
      <c r="AN204" s="167"/>
      <c r="AO204" s="167"/>
      <c r="AP204" s="167"/>
      <c r="AQ204" s="167"/>
      <c r="AR204" s="160"/>
      <c r="AS204" s="8"/>
      <c r="AT204" s="171"/>
      <c r="AU204" s="167"/>
      <c r="AV204" s="167"/>
      <c r="AW204" s="167"/>
      <c r="AX204" s="167"/>
      <c r="AY204" s="167"/>
      <c r="AZ204" s="167"/>
      <c r="BA204" s="167"/>
      <c r="BB204" s="167"/>
      <c r="BC204" s="167"/>
      <c r="BD204" s="167"/>
      <c r="BE204" s="167"/>
      <c r="BF204" s="167"/>
      <c r="BG204" s="167"/>
      <c r="BH204" s="167"/>
      <c r="BI204" s="167"/>
      <c r="BJ204" s="167"/>
      <c r="BK204" s="167"/>
      <c r="BL204" s="167"/>
      <c r="BM204" s="167"/>
      <c r="BN204" s="167"/>
      <c r="BO204" s="167"/>
    </row>
    <row r="205" spans="1:67">
      <c r="A205" s="143"/>
      <c r="B205" s="165"/>
      <c r="C205" s="166"/>
      <c r="D205" s="165"/>
      <c r="E205" s="135"/>
      <c r="F205" s="135"/>
      <c r="G205" s="135"/>
      <c r="H205" s="165"/>
      <c r="I205" s="465"/>
      <c r="J205" s="465"/>
      <c r="K205" s="514"/>
      <c r="L205" s="165"/>
      <c r="M205" s="166"/>
      <c r="N205" s="135"/>
      <c r="O205" s="135"/>
      <c r="P205" s="171" t="s">
        <v>3071</v>
      </c>
      <c r="Q205" s="245"/>
      <c r="R205" s="6"/>
      <c r="S205" s="167"/>
      <c r="T205" s="248"/>
      <c r="U205" s="165"/>
      <c r="V205" s="167"/>
      <c r="W205" s="248"/>
      <c r="X205" s="165"/>
      <c r="Y205" s="167"/>
      <c r="Z205" s="249"/>
      <c r="AA205" s="167"/>
      <c r="AB205" s="167"/>
      <c r="AC205" s="249"/>
      <c r="AD205" s="167"/>
      <c r="AE205" s="167"/>
      <c r="AF205" s="249"/>
      <c r="AG205" s="167"/>
      <c r="AH205" s="167"/>
      <c r="AI205" s="249"/>
      <c r="AJ205" s="167"/>
      <c r="AK205" s="167"/>
      <c r="AL205" s="167"/>
      <c r="AM205" s="167"/>
      <c r="AN205" s="167"/>
      <c r="AO205" s="167"/>
      <c r="AP205" s="167"/>
      <c r="AQ205" s="167"/>
      <c r="AR205" s="160"/>
      <c r="AS205" s="8"/>
      <c r="AT205" s="171"/>
      <c r="AU205" s="167"/>
      <c r="AV205" s="167"/>
      <c r="AW205" s="167"/>
      <c r="AX205" s="167"/>
      <c r="AY205" s="167"/>
      <c r="AZ205" s="167"/>
      <c r="BA205" s="167"/>
      <c r="BB205" s="167"/>
      <c r="BC205" s="167"/>
      <c r="BD205" s="167"/>
      <c r="BE205" s="167"/>
      <c r="BF205" s="167"/>
      <c r="BG205" s="167"/>
      <c r="BH205" s="167"/>
      <c r="BI205" s="167"/>
      <c r="BJ205" s="167"/>
      <c r="BK205" s="167"/>
      <c r="BL205" s="167"/>
      <c r="BM205" s="167"/>
      <c r="BN205" s="167"/>
      <c r="BO205" s="167"/>
    </row>
    <row r="206" spans="1:67">
      <c r="A206" s="143"/>
      <c r="B206" s="165"/>
      <c r="C206" s="166"/>
      <c r="D206" s="165"/>
      <c r="E206" s="135"/>
      <c r="F206" s="135"/>
      <c r="G206" s="135"/>
      <c r="H206" s="165"/>
      <c r="I206" s="465"/>
      <c r="J206" s="465"/>
      <c r="K206" s="514"/>
      <c r="L206" s="165"/>
      <c r="M206" s="166"/>
      <c r="N206" s="135"/>
      <c r="O206" s="135"/>
      <c r="P206" s="171" t="s">
        <v>3071</v>
      </c>
      <c r="Q206" s="245"/>
      <c r="R206" s="6"/>
      <c r="S206" s="167"/>
      <c r="T206" s="248"/>
      <c r="U206" s="165"/>
      <c r="V206" s="167"/>
      <c r="W206" s="248"/>
      <c r="X206" s="165"/>
      <c r="Y206" s="167"/>
      <c r="Z206" s="249"/>
      <c r="AA206" s="167"/>
      <c r="AB206" s="167"/>
      <c r="AC206" s="249"/>
      <c r="AD206" s="167"/>
      <c r="AE206" s="167"/>
      <c r="AF206" s="249"/>
      <c r="AG206" s="167"/>
      <c r="AH206" s="167"/>
      <c r="AI206" s="249"/>
      <c r="AJ206" s="167"/>
      <c r="AK206" s="167"/>
      <c r="AL206" s="167"/>
      <c r="AM206" s="167"/>
      <c r="AN206" s="167"/>
      <c r="AO206" s="167"/>
      <c r="AP206" s="167"/>
      <c r="AQ206" s="167"/>
      <c r="AR206" s="160"/>
      <c r="AS206" s="8"/>
      <c r="AT206" s="171"/>
      <c r="AU206" s="167"/>
      <c r="AV206" s="167"/>
      <c r="AW206" s="167"/>
      <c r="AX206" s="167"/>
      <c r="AY206" s="167"/>
      <c r="AZ206" s="167"/>
      <c r="BA206" s="167"/>
      <c r="BB206" s="167"/>
      <c r="BC206" s="167"/>
      <c r="BD206" s="167"/>
      <c r="BE206" s="167"/>
      <c r="BF206" s="167"/>
      <c r="BG206" s="167"/>
      <c r="BH206" s="167"/>
      <c r="BI206" s="167"/>
      <c r="BJ206" s="167"/>
      <c r="BK206" s="167"/>
      <c r="BL206" s="167"/>
      <c r="BM206" s="167"/>
      <c r="BN206" s="167"/>
      <c r="BO206" s="167"/>
    </row>
    <row r="212" spans="10:10">
      <c r="J212" s="469">
        <f>SUM(J165:J211)</f>
        <v>455249000</v>
      </c>
    </row>
  </sheetData>
  <phoneticPr fontId="7" type="noConversion"/>
  <hyperlinks>
    <hyperlink ref="A77" r:id="rId1" xr:uid="{00000000-0004-0000-0D00-000000000000}"/>
    <hyperlink ref="A78:A92" r:id="rId2" display="REK. 025/ABDI1/REK/II/2023" xr:uid="{00000000-0004-0000-0D00-000001000000}"/>
    <hyperlink ref="A93" r:id="rId3" xr:uid="{00000000-0004-0000-0D00-000002000000}"/>
    <hyperlink ref="A94" r:id="rId4" xr:uid="{00000000-0004-0000-0D00-000003000000}"/>
    <hyperlink ref="A95" r:id="rId5" xr:uid="{00000000-0004-0000-0D00-000004000000}"/>
    <hyperlink ref="A96" r:id="rId6" xr:uid="{00000000-0004-0000-0D00-000005000000}"/>
    <hyperlink ref="A97:A106" r:id="rId7" display="REK. 117/ABDI1/REK/VIII/2023" xr:uid="{00000000-0004-0000-0D00-000006000000}"/>
    <hyperlink ref="A107" r:id="rId8" xr:uid="{00000000-0004-0000-0D00-000007000000}"/>
    <hyperlink ref="A109" r:id="rId9" xr:uid="{00000000-0004-0000-0D00-000008000000}"/>
    <hyperlink ref="A39" r:id="rId10" xr:uid="{00000000-0004-0000-0D00-000009000000}"/>
    <hyperlink ref="A40:A55" r:id="rId11" display="REK.070/ABDI1/REK/II/2022" xr:uid="{00000000-0004-0000-0D00-00000A000000}"/>
    <hyperlink ref="A8" r:id="rId12" xr:uid="{00000000-0004-0000-0D00-00000B000000}"/>
    <hyperlink ref="A9:A18" r:id="rId13" display="REK.091/ABDI1/REK/III/2021" xr:uid="{00000000-0004-0000-0D00-00000C000000}"/>
    <hyperlink ref="A19" r:id="rId14" xr:uid="{00000000-0004-0000-0D00-00000D000000}"/>
    <hyperlink ref="A20" r:id="rId15" xr:uid="{00000000-0004-0000-0D00-00000E000000}"/>
    <hyperlink ref="A21:A24" r:id="rId16" display="REK.119/ABDI1/REK/V/2021" xr:uid="{00000000-0004-0000-0D00-00000F000000}"/>
    <hyperlink ref="A25" r:id="rId17" xr:uid="{00000000-0004-0000-0D00-000010000000}"/>
    <hyperlink ref="A26" r:id="rId18" xr:uid="{00000000-0004-0000-0D00-000011000000}"/>
    <hyperlink ref="A27:A35" r:id="rId19" display="REK.150/SAM4/REK/VIII/2021" xr:uid="{00000000-0004-0000-0D00-000012000000}"/>
    <hyperlink ref="A36" r:id="rId20" xr:uid="{00000000-0004-0000-0D00-000013000000}"/>
    <hyperlink ref="B77" r:id="rId21" xr:uid="{00000000-0004-0000-0D00-000014000000}"/>
    <hyperlink ref="B78" r:id="rId22" xr:uid="{00000000-0004-0000-0D00-000015000000}"/>
    <hyperlink ref="B79" r:id="rId23" xr:uid="{00000000-0004-0000-0D00-000016000000}"/>
    <hyperlink ref="B80" r:id="rId24" xr:uid="{00000000-0004-0000-0D00-000017000000}"/>
    <hyperlink ref="B81" r:id="rId25" xr:uid="{00000000-0004-0000-0D00-000018000000}"/>
    <hyperlink ref="B82" r:id="rId26" xr:uid="{00000000-0004-0000-0D00-000019000000}"/>
    <hyperlink ref="B83" r:id="rId27" xr:uid="{00000000-0004-0000-0D00-00001A000000}"/>
    <hyperlink ref="B84" r:id="rId28" xr:uid="{00000000-0004-0000-0D00-00001B000000}"/>
    <hyperlink ref="B85" r:id="rId29" xr:uid="{00000000-0004-0000-0D00-00001C000000}"/>
    <hyperlink ref="B86" r:id="rId30" xr:uid="{00000000-0004-0000-0D00-00001D000000}"/>
    <hyperlink ref="B87" r:id="rId31" xr:uid="{00000000-0004-0000-0D00-00001E000000}"/>
    <hyperlink ref="B88" r:id="rId32" xr:uid="{00000000-0004-0000-0D00-00001F000000}"/>
    <hyperlink ref="B89" r:id="rId33" xr:uid="{00000000-0004-0000-0D00-000020000000}"/>
    <hyperlink ref="B90" r:id="rId34" xr:uid="{00000000-0004-0000-0D00-000021000000}"/>
    <hyperlink ref="B91" r:id="rId35" xr:uid="{00000000-0004-0000-0D00-000022000000}"/>
    <hyperlink ref="B96" r:id="rId36" xr:uid="{00000000-0004-0000-0D00-000023000000}"/>
    <hyperlink ref="B97" r:id="rId37" xr:uid="{00000000-0004-0000-0D00-000024000000}"/>
    <hyperlink ref="B98" r:id="rId38" xr:uid="{00000000-0004-0000-0D00-000025000000}"/>
    <hyperlink ref="B99" r:id="rId39" xr:uid="{00000000-0004-0000-0D00-000026000000}"/>
    <hyperlink ref="B100" r:id="rId40" xr:uid="{00000000-0004-0000-0D00-000027000000}"/>
    <hyperlink ref="B101" r:id="rId41" xr:uid="{00000000-0004-0000-0D00-000028000000}"/>
    <hyperlink ref="B102" r:id="rId42" xr:uid="{00000000-0004-0000-0D00-000029000000}"/>
    <hyperlink ref="B103" r:id="rId43" xr:uid="{00000000-0004-0000-0D00-00002A000000}"/>
    <hyperlink ref="B104" r:id="rId44" xr:uid="{00000000-0004-0000-0D00-00002B000000}"/>
    <hyperlink ref="B105" r:id="rId45" xr:uid="{00000000-0004-0000-0D00-00002C000000}"/>
    <hyperlink ref="B92" r:id="rId46" xr:uid="{00000000-0004-0000-0D00-00002D000000}"/>
    <hyperlink ref="B106" r:id="rId47" xr:uid="{00000000-0004-0000-0D00-00002E000000}"/>
    <hyperlink ref="B107" r:id="rId48" xr:uid="{00000000-0004-0000-0D00-00002F000000}"/>
    <hyperlink ref="B40" r:id="rId49" xr:uid="{00000000-0004-0000-0D00-000030000000}"/>
    <hyperlink ref="B41" r:id="rId50" xr:uid="{00000000-0004-0000-0D00-000031000000}"/>
    <hyperlink ref="B42" r:id="rId51" xr:uid="{00000000-0004-0000-0D00-000032000000}"/>
    <hyperlink ref="B43" r:id="rId52" xr:uid="{00000000-0004-0000-0D00-000033000000}"/>
    <hyperlink ref="B44" r:id="rId53" xr:uid="{00000000-0004-0000-0D00-000034000000}"/>
    <hyperlink ref="B45" r:id="rId54" xr:uid="{00000000-0004-0000-0D00-000035000000}"/>
    <hyperlink ref="B46" r:id="rId55" xr:uid="{00000000-0004-0000-0D00-000036000000}"/>
    <hyperlink ref="B47" r:id="rId56" xr:uid="{00000000-0004-0000-0D00-000037000000}"/>
    <hyperlink ref="B48" r:id="rId57" xr:uid="{00000000-0004-0000-0D00-000038000000}"/>
    <hyperlink ref="B49" r:id="rId58" xr:uid="{00000000-0004-0000-0D00-000039000000}"/>
    <hyperlink ref="B50" r:id="rId59" xr:uid="{00000000-0004-0000-0D00-00003A000000}"/>
    <hyperlink ref="B51" r:id="rId60" xr:uid="{00000000-0004-0000-0D00-00003B000000}"/>
    <hyperlink ref="B52" r:id="rId61" xr:uid="{00000000-0004-0000-0D00-00003C000000}"/>
    <hyperlink ref="B53" r:id="rId62" xr:uid="{00000000-0004-0000-0D00-00003D000000}"/>
    <hyperlink ref="B55" r:id="rId63" xr:uid="{00000000-0004-0000-0D00-00003E000000}"/>
    <hyperlink ref="B56" r:id="rId64" xr:uid="{00000000-0004-0000-0D00-00003F000000}"/>
    <hyperlink ref="B57" r:id="rId65" xr:uid="{00000000-0004-0000-0D00-000040000000}"/>
    <hyperlink ref="B58" r:id="rId66" xr:uid="{00000000-0004-0000-0D00-000041000000}"/>
    <hyperlink ref="B59" r:id="rId67" xr:uid="{00000000-0004-0000-0D00-000042000000}"/>
    <hyperlink ref="B60" r:id="rId68" xr:uid="{00000000-0004-0000-0D00-000043000000}"/>
    <hyperlink ref="B61" r:id="rId69" xr:uid="{00000000-0004-0000-0D00-000044000000}"/>
    <hyperlink ref="B62" r:id="rId70" xr:uid="{00000000-0004-0000-0D00-000045000000}"/>
    <hyperlink ref="B65" r:id="rId71" xr:uid="{00000000-0004-0000-0D00-000046000000}"/>
    <hyperlink ref="B66" r:id="rId72" xr:uid="{00000000-0004-0000-0D00-000047000000}"/>
    <hyperlink ref="B8" r:id="rId73" xr:uid="{00000000-0004-0000-0D00-000048000000}"/>
    <hyperlink ref="B9" r:id="rId74" xr:uid="{00000000-0004-0000-0D00-000049000000}"/>
    <hyperlink ref="B10" r:id="rId75" xr:uid="{00000000-0004-0000-0D00-00004A000000}"/>
    <hyperlink ref="B11" r:id="rId76" xr:uid="{00000000-0004-0000-0D00-00004B000000}"/>
    <hyperlink ref="B12" r:id="rId77" xr:uid="{00000000-0004-0000-0D00-00004C000000}"/>
    <hyperlink ref="B13" r:id="rId78" xr:uid="{00000000-0004-0000-0D00-00004D000000}"/>
    <hyperlink ref="B14" r:id="rId79" xr:uid="{00000000-0004-0000-0D00-00004E000000}"/>
    <hyperlink ref="B15" r:id="rId80" xr:uid="{00000000-0004-0000-0D00-00004F000000}"/>
    <hyperlink ref="B16" r:id="rId81" xr:uid="{00000000-0004-0000-0D00-000050000000}"/>
    <hyperlink ref="B26" r:id="rId82" xr:uid="{00000000-0004-0000-0D00-000051000000}"/>
    <hyperlink ref="B27" r:id="rId83" xr:uid="{00000000-0004-0000-0D00-000052000000}"/>
    <hyperlink ref="B19" r:id="rId84" xr:uid="{00000000-0004-0000-0D00-000053000000}"/>
    <hyperlink ref="B20" r:id="rId85" xr:uid="{00000000-0004-0000-0D00-000054000000}"/>
    <hyperlink ref="B21" r:id="rId86" xr:uid="{00000000-0004-0000-0D00-000055000000}"/>
    <hyperlink ref="B22" r:id="rId87" xr:uid="{00000000-0004-0000-0D00-000056000000}"/>
    <hyperlink ref="B23" r:id="rId88" xr:uid="{00000000-0004-0000-0D00-000057000000}"/>
    <hyperlink ref="B17" r:id="rId89" xr:uid="{00000000-0004-0000-0D00-000058000000}"/>
    <hyperlink ref="B18" r:id="rId90" xr:uid="{00000000-0004-0000-0D00-000059000000}"/>
    <hyperlink ref="B93" r:id="rId91" xr:uid="{00000000-0004-0000-0D00-00005A000000}"/>
    <hyperlink ref="AR109" r:id="rId92" xr:uid="{00000000-0004-0000-0D00-00005B000000}"/>
    <hyperlink ref="AR107" r:id="rId93" xr:uid="{00000000-0004-0000-0D00-00005C000000}"/>
    <hyperlink ref="AS107" r:id="rId94" xr:uid="{00000000-0004-0000-0D00-00005D000000}"/>
    <hyperlink ref="AR106" r:id="rId95" xr:uid="{00000000-0004-0000-0D00-00005E000000}"/>
    <hyperlink ref="AR105" r:id="rId96" xr:uid="{00000000-0004-0000-0D00-00005F000000}"/>
    <hyperlink ref="AR104" r:id="rId97" xr:uid="{00000000-0004-0000-0D00-000060000000}"/>
    <hyperlink ref="AR103" r:id="rId98" xr:uid="{00000000-0004-0000-0D00-000061000000}"/>
    <hyperlink ref="AR99" r:id="rId99" xr:uid="{00000000-0004-0000-0D00-000065000000}"/>
    <hyperlink ref="AR98" r:id="rId100" xr:uid="{00000000-0004-0000-0D00-000066000000}"/>
    <hyperlink ref="AR97" r:id="rId101" xr:uid="{00000000-0004-0000-0D00-000067000000}"/>
    <hyperlink ref="AR96" r:id="rId102" xr:uid="{00000000-0004-0000-0D00-000068000000}"/>
    <hyperlink ref="AR92" r:id="rId103" xr:uid="{00000000-0004-0000-0D00-000069000000}"/>
    <hyperlink ref="AR91" r:id="rId104" xr:uid="{00000000-0004-0000-0D00-00006A000000}"/>
    <hyperlink ref="AS91" r:id="rId105" xr:uid="{00000000-0004-0000-0D00-00006B000000}"/>
    <hyperlink ref="AR90" r:id="rId106" xr:uid="{00000000-0004-0000-0D00-00006C000000}"/>
    <hyperlink ref="AS90" r:id="rId107" xr:uid="{00000000-0004-0000-0D00-00006D000000}"/>
    <hyperlink ref="AR89" r:id="rId108" xr:uid="{00000000-0004-0000-0D00-00006E000000}"/>
    <hyperlink ref="AS89" r:id="rId109" xr:uid="{00000000-0004-0000-0D00-00006F000000}"/>
    <hyperlink ref="AR88" r:id="rId110" xr:uid="{00000000-0004-0000-0D00-000070000000}"/>
    <hyperlink ref="AS88" r:id="rId111" xr:uid="{00000000-0004-0000-0D00-000071000000}"/>
    <hyperlink ref="AR86" r:id="rId112" xr:uid="{00000000-0004-0000-0D00-000074000000}"/>
    <hyperlink ref="AS86" r:id="rId113" xr:uid="{00000000-0004-0000-0D00-000075000000}"/>
    <hyperlink ref="AR85" r:id="rId114" xr:uid="{00000000-0004-0000-0D00-000076000000}"/>
    <hyperlink ref="AR83" r:id="rId115" xr:uid="{00000000-0004-0000-0D00-00007A000000}"/>
    <hyperlink ref="AS83" r:id="rId116" xr:uid="{00000000-0004-0000-0D00-00007B000000}"/>
    <hyperlink ref="AR82" r:id="rId117" xr:uid="{00000000-0004-0000-0D00-00007C000000}"/>
    <hyperlink ref="AS82" r:id="rId118" xr:uid="{00000000-0004-0000-0D00-00007D000000}"/>
    <hyperlink ref="AR81" r:id="rId119" xr:uid="{00000000-0004-0000-0D00-00007E000000}"/>
    <hyperlink ref="AS81" r:id="rId120" xr:uid="{00000000-0004-0000-0D00-00007F000000}"/>
    <hyperlink ref="AR80" r:id="rId121" xr:uid="{00000000-0004-0000-0D00-000080000000}"/>
    <hyperlink ref="AS80" r:id="rId122" xr:uid="{00000000-0004-0000-0D00-000081000000}"/>
    <hyperlink ref="AR79" r:id="rId123" xr:uid="{00000000-0004-0000-0D00-000082000000}"/>
    <hyperlink ref="AS79" r:id="rId124" xr:uid="{00000000-0004-0000-0D00-000083000000}"/>
    <hyperlink ref="AR78" r:id="rId125" xr:uid="{00000000-0004-0000-0D00-000084000000}"/>
    <hyperlink ref="AS78" r:id="rId126" xr:uid="{00000000-0004-0000-0D00-000085000000}"/>
    <hyperlink ref="AR77" r:id="rId127" xr:uid="{00000000-0004-0000-0D00-000086000000}"/>
    <hyperlink ref="AS77" r:id="rId128" xr:uid="{00000000-0004-0000-0D00-000087000000}"/>
    <hyperlink ref="AR54" r:id="rId129" xr:uid="{00000000-0004-0000-0D00-00009C000000}"/>
    <hyperlink ref="AS54" r:id="rId130" xr:uid="{00000000-0004-0000-0D00-00009D000000}"/>
    <hyperlink ref="AR68" r:id="rId131" xr:uid="{00000000-0004-0000-0D00-0000BA000000}"/>
    <hyperlink ref="AR35" r:id="rId132" xr:uid="{00000000-0004-0000-0D00-0000BB000000}"/>
    <hyperlink ref="AS35" r:id="rId133" xr:uid="{00000000-0004-0000-0D00-0000BC000000}"/>
    <hyperlink ref="AS34" r:id="rId134" xr:uid="{00000000-0004-0000-0D00-0000BD000000}"/>
    <hyperlink ref="AR34" r:id="rId135" xr:uid="{00000000-0004-0000-0D00-0000BE000000}"/>
    <hyperlink ref="AR33" r:id="rId136" xr:uid="{00000000-0004-0000-0D00-0000BF000000}"/>
    <hyperlink ref="AS33" r:id="rId137" xr:uid="{00000000-0004-0000-0D00-0000C0000000}"/>
    <hyperlink ref="AR32" r:id="rId138" xr:uid="{00000000-0004-0000-0D00-0000C1000000}"/>
    <hyperlink ref="AS32" r:id="rId139" xr:uid="{00000000-0004-0000-0D00-0000C2000000}"/>
    <hyperlink ref="AR31" r:id="rId140" xr:uid="{00000000-0004-0000-0D00-0000C3000000}"/>
    <hyperlink ref="AS31" r:id="rId141" xr:uid="{00000000-0004-0000-0D00-0000C4000000}"/>
    <hyperlink ref="AR30" r:id="rId142" xr:uid="{00000000-0004-0000-0D00-0000C5000000}"/>
    <hyperlink ref="AS30" r:id="rId143" xr:uid="{00000000-0004-0000-0D00-0000C6000000}"/>
    <hyperlink ref="AR29" r:id="rId144" xr:uid="{00000000-0004-0000-0D00-0000C7000000}"/>
    <hyperlink ref="AS29" r:id="rId145" xr:uid="{00000000-0004-0000-0D00-0000C8000000}"/>
    <hyperlink ref="AR28" r:id="rId146" xr:uid="{00000000-0004-0000-0D00-0000C9000000}"/>
    <hyperlink ref="AS28" r:id="rId147" xr:uid="{00000000-0004-0000-0D00-0000CA000000}"/>
    <hyperlink ref="AR27" r:id="rId148" xr:uid="{00000000-0004-0000-0D00-0000CB000000}"/>
    <hyperlink ref="AR26" r:id="rId149" xr:uid="{00000000-0004-0000-0D00-0000CC000000}"/>
    <hyperlink ref="AS26" r:id="rId150" xr:uid="{00000000-0004-0000-0D00-0000CD000000}"/>
    <hyperlink ref="AR24" r:id="rId151" xr:uid="{00000000-0004-0000-0D00-0000CE000000}"/>
    <hyperlink ref="AS24" r:id="rId152" xr:uid="{00000000-0004-0000-0D00-0000CF000000}"/>
    <hyperlink ref="AR23" r:id="rId153" xr:uid="{00000000-0004-0000-0D00-0000D0000000}"/>
    <hyperlink ref="AS23" r:id="rId154" xr:uid="{00000000-0004-0000-0D00-0000D1000000}"/>
    <hyperlink ref="AR22" r:id="rId155" xr:uid="{00000000-0004-0000-0D00-0000D2000000}"/>
    <hyperlink ref="AS22" r:id="rId156" xr:uid="{00000000-0004-0000-0D00-0000D3000000}"/>
    <hyperlink ref="AR21" r:id="rId157" xr:uid="{00000000-0004-0000-0D00-0000D4000000}"/>
    <hyperlink ref="AS21" r:id="rId158" xr:uid="{00000000-0004-0000-0D00-0000D5000000}"/>
    <hyperlink ref="AR20" r:id="rId159" xr:uid="{00000000-0004-0000-0D00-0000D6000000}"/>
    <hyperlink ref="AS20" r:id="rId160" xr:uid="{00000000-0004-0000-0D00-0000D7000000}"/>
    <hyperlink ref="AR19" r:id="rId161" xr:uid="{00000000-0004-0000-0D00-0000D8000000}"/>
    <hyperlink ref="AS19" r:id="rId162" xr:uid="{00000000-0004-0000-0D00-0000D9000000}"/>
    <hyperlink ref="AR18" r:id="rId163" xr:uid="{00000000-0004-0000-0D00-0000DA000000}"/>
    <hyperlink ref="AS18" r:id="rId164" xr:uid="{00000000-0004-0000-0D00-0000DB000000}"/>
    <hyperlink ref="AR17" r:id="rId165" xr:uid="{00000000-0004-0000-0D00-0000DC000000}"/>
    <hyperlink ref="AS17" r:id="rId166" xr:uid="{00000000-0004-0000-0D00-0000DD000000}"/>
    <hyperlink ref="AR16" r:id="rId167" xr:uid="{00000000-0004-0000-0D00-0000DE000000}"/>
    <hyperlink ref="AS16" r:id="rId168" xr:uid="{00000000-0004-0000-0D00-0000DF000000}"/>
    <hyperlink ref="AR15" r:id="rId169" xr:uid="{00000000-0004-0000-0D00-0000E0000000}"/>
    <hyperlink ref="AS15" r:id="rId170" xr:uid="{00000000-0004-0000-0D00-0000E1000000}"/>
    <hyperlink ref="AR14" r:id="rId171" xr:uid="{00000000-0004-0000-0D00-0000E2000000}"/>
    <hyperlink ref="AS14" r:id="rId172" xr:uid="{00000000-0004-0000-0D00-0000E3000000}"/>
    <hyperlink ref="AR13" r:id="rId173" xr:uid="{00000000-0004-0000-0D00-0000E4000000}"/>
    <hyperlink ref="AS13" r:id="rId174" xr:uid="{00000000-0004-0000-0D00-0000E5000000}"/>
    <hyperlink ref="AR12" r:id="rId175" xr:uid="{00000000-0004-0000-0D00-0000E6000000}"/>
    <hyperlink ref="AS12" r:id="rId176" xr:uid="{00000000-0004-0000-0D00-0000E7000000}"/>
    <hyperlink ref="AR11" r:id="rId177" xr:uid="{00000000-0004-0000-0D00-0000E8000000}"/>
    <hyperlink ref="AS11" r:id="rId178" xr:uid="{00000000-0004-0000-0D00-0000E9000000}"/>
    <hyperlink ref="AR10" r:id="rId179" xr:uid="{00000000-0004-0000-0D00-0000EA000000}"/>
    <hyperlink ref="AS10" r:id="rId180" xr:uid="{00000000-0004-0000-0D00-0000EB000000}"/>
    <hyperlink ref="AR9" r:id="rId181" xr:uid="{00000000-0004-0000-0D00-0000EC000000}"/>
    <hyperlink ref="AS9" r:id="rId182" xr:uid="{00000000-0004-0000-0D00-0000ED000000}"/>
    <hyperlink ref="AR8" r:id="rId183" xr:uid="{00000000-0004-0000-0D00-0000EE000000}"/>
    <hyperlink ref="AS8" r:id="rId184" xr:uid="{00000000-0004-0000-0D00-0000EF000000}"/>
    <hyperlink ref="AR6" r:id="rId185" xr:uid="{00000000-0004-0000-0D00-0000F0000000}"/>
    <hyperlink ref="AS6" r:id="rId186" xr:uid="{00000000-0004-0000-0D00-0000F1000000}"/>
    <hyperlink ref="AR5" r:id="rId187" xr:uid="{00000000-0004-0000-0D00-0000F2000000}"/>
    <hyperlink ref="AS5" r:id="rId188" xr:uid="{00000000-0004-0000-0D00-0000F3000000}"/>
    <hyperlink ref="AR4" r:id="rId189" xr:uid="{00000000-0004-0000-0D00-0000F4000000}"/>
    <hyperlink ref="AS4" r:id="rId190" xr:uid="{00000000-0004-0000-0D00-0000F5000000}"/>
    <hyperlink ref="AR2" r:id="rId191" xr:uid="{00000000-0004-0000-0D00-0000F6000000}"/>
    <hyperlink ref="AS2" r:id="rId192" xr:uid="{00000000-0004-0000-0D00-0000F7000000}"/>
    <hyperlink ref="AR3" r:id="rId193" xr:uid="{00000000-0004-0000-0D00-0000F8000000}"/>
    <hyperlink ref="AS3" r:id="rId194" xr:uid="{00000000-0004-0000-0D00-0000F9000000}"/>
    <hyperlink ref="A37" r:id="rId195" xr:uid="{00000000-0004-0000-0D00-0000FA000000}"/>
    <hyperlink ref="B39" r:id="rId196" xr:uid="{00000000-0004-0000-0D00-0000FB000000}"/>
    <hyperlink ref="A70" r:id="rId197" xr:uid="{00000000-0004-0000-0D00-0000FE000000}"/>
    <hyperlink ref="B34" r:id="rId198" xr:uid="{00000000-0004-0000-0D00-0000FF000000}"/>
    <hyperlink ref="B29" r:id="rId199" xr:uid="{00000000-0004-0000-0D00-000000010000}"/>
    <hyperlink ref="B30" r:id="rId200" xr:uid="{00000000-0004-0000-0D00-000001010000}"/>
    <hyperlink ref="B24" r:id="rId201" display="1821/ABDI1/LPPM/VIII/2021" xr:uid="{00000000-0004-0000-0D00-000002010000}"/>
    <hyperlink ref="B70" r:id="rId202" xr:uid="{00000000-0004-0000-0D00-000003010000}"/>
    <hyperlink ref="A72" r:id="rId203" xr:uid="{00000000-0004-0000-0D00-000004010000}"/>
    <hyperlink ref="B72" r:id="rId204" xr:uid="{00000000-0004-0000-0D00-000005010000}"/>
    <hyperlink ref="AS72" r:id="rId205" xr:uid="{00000000-0004-0000-0D00-000006010000}"/>
    <hyperlink ref="AR72" r:id="rId206" xr:uid="{00000000-0004-0000-0D00-000007010000}"/>
    <hyperlink ref="AS70" r:id="rId207" xr:uid="{00000000-0004-0000-0D00-000008010000}"/>
    <hyperlink ref="AR70" r:id="rId208" xr:uid="{00000000-0004-0000-0D00-000009010000}"/>
    <hyperlink ref="B94" r:id="rId209" xr:uid="{00000000-0004-0000-0D00-00000A010000}"/>
    <hyperlink ref="B95" r:id="rId210" xr:uid="{00000000-0004-0000-0D00-00000B010000}"/>
    <hyperlink ref="A108" r:id="rId211" xr:uid="{00000000-0004-0000-0D00-00000C010000}"/>
    <hyperlink ref="AR108" r:id="rId212" xr:uid="{00000000-0004-0000-0D00-00000D010000}"/>
    <hyperlink ref="AS108" r:id="rId213" xr:uid="{00000000-0004-0000-0D00-00000E010000}"/>
    <hyperlink ref="B108" r:id="rId214" xr:uid="{00000000-0004-0000-0D00-00000F010000}"/>
    <hyperlink ref="A122" r:id="rId215" display="https://yptorid-my.sharepoint.com/:b:/g/personal/lppm_ittelkom-sby_ac_id/EVmf0qXQaO1LvsHj6UcKHsMBOOYQB9GtgAeVzl_2orTDPg?e=9fZAvL" xr:uid="{00000000-0004-0000-0D00-000010010000}"/>
    <hyperlink ref="A123:A128" r:id="rId216" display="https://yptorid-my.sharepoint.com/:b:/g/personal/lppm_ittelkom-sby_ac_id/EVmf0qXQaO1LvsHj6UcKHsMBOOYQB9GtgAeVzl_2orTDPg?e=9fZAvL" xr:uid="{00000000-0004-0000-0D00-000011010000}"/>
    <hyperlink ref="AR126" r:id="rId217" xr:uid="{00000000-0004-0000-0D00-000012010000}"/>
    <hyperlink ref="AR128" r:id="rId218" xr:uid="{00000000-0004-0000-0D00-000013010000}"/>
    <hyperlink ref="AR123" r:id="rId219" xr:uid="{00000000-0004-0000-0D00-000014010000}"/>
    <hyperlink ref="AR122" r:id="rId220" xr:uid="{00000000-0004-0000-0D00-000015010000}"/>
    <hyperlink ref="AR124" r:id="rId221" xr:uid="{00000000-0004-0000-0D00-000016010000}"/>
    <hyperlink ref="AR125" r:id="rId222" xr:uid="{00000000-0004-0000-0D00-000017010000}"/>
    <hyperlink ref="AR127" r:id="rId223" xr:uid="{00000000-0004-0000-0D00-000018010000}"/>
    <hyperlink ref="AR129" r:id="rId224" xr:uid="{00000000-0004-0000-0D00-000019010000}"/>
    <hyperlink ref="AR130" r:id="rId225" xr:uid="{00000000-0004-0000-0D00-00001A010000}"/>
    <hyperlink ref="AR131" r:id="rId226" xr:uid="{00000000-0004-0000-0D00-00001B010000}"/>
    <hyperlink ref="B131" r:id="rId227" xr:uid="{00000000-0004-0000-0D00-00001C010000}"/>
    <hyperlink ref="B132" r:id="rId228" xr:uid="{00000000-0004-0000-0D00-00001D010000}"/>
    <hyperlink ref="AR132" r:id="rId229" xr:uid="{00000000-0004-0000-0D00-00001E010000}"/>
    <hyperlink ref="AR133" r:id="rId230" xr:uid="{00000000-0004-0000-0D00-00001F010000}"/>
    <hyperlink ref="AR134" r:id="rId231" xr:uid="{00000000-0004-0000-0D00-000020010000}"/>
    <hyperlink ref="AR135" r:id="rId232" xr:uid="{00000000-0004-0000-0D00-000021010000}"/>
    <hyperlink ref="AR136" r:id="rId233" xr:uid="{00000000-0004-0000-0D00-000022010000}"/>
    <hyperlink ref="B137" r:id="rId234" xr:uid="{00000000-0004-0000-0D00-000023010000}"/>
    <hyperlink ref="AR137" r:id="rId235" xr:uid="{00000000-0004-0000-0D00-000024010000}"/>
    <hyperlink ref="AR138" r:id="rId236" xr:uid="{00000000-0004-0000-0D00-000025010000}"/>
    <hyperlink ref="B139" r:id="rId237" xr:uid="{00000000-0004-0000-0D00-000026010000}"/>
    <hyperlink ref="AR139" r:id="rId238" xr:uid="{00000000-0004-0000-0D00-000027010000}"/>
    <hyperlink ref="AR140" r:id="rId239" xr:uid="{00000000-0004-0000-0D00-000028010000}"/>
    <hyperlink ref="B140" r:id="rId240" xr:uid="{00000000-0004-0000-0D00-000029010000}"/>
    <hyperlink ref="AR141" r:id="rId241" xr:uid="{00000000-0004-0000-0D00-00002A010000}"/>
    <hyperlink ref="AR142" r:id="rId242" xr:uid="{00000000-0004-0000-0D00-00002B010000}"/>
    <hyperlink ref="B142" r:id="rId243" xr:uid="{00000000-0004-0000-0D00-00002C010000}"/>
    <hyperlink ref="B143" r:id="rId244" xr:uid="{00000000-0004-0000-0D00-00002D010000}"/>
    <hyperlink ref="AR143" r:id="rId245" xr:uid="{00000000-0004-0000-0D00-00002E010000}"/>
    <hyperlink ref="AR144" r:id="rId246" xr:uid="{00000000-0004-0000-0D00-00002F010000}"/>
    <hyperlink ref="AR146" r:id="rId247" xr:uid="{00000000-0004-0000-0D00-000031010000}"/>
    <hyperlink ref="B147" r:id="rId248" xr:uid="{00000000-0004-0000-0D00-000032010000}"/>
    <hyperlink ref="AR147" r:id="rId249" xr:uid="{00000000-0004-0000-0D00-000033010000}"/>
    <hyperlink ref="AR148" r:id="rId250" xr:uid="{00000000-0004-0000-0D00-000034010000}"/>
    <hyperlink ref="AR149" r:id="rId251" xr:uid="{00000000-0004-0000-0D00-000035010000}"/>
    <hyperlink ref="B149" r:id="rId252" xr:uid="{00000000-0004-0000-0D00-000036010000}"/>
    <hyperlink ref="B129" r:id="rId253" xr:uid="{00000000-0004-0000-0D00-000037010000}"/>
    <hyperlink ref="B130" r:id="rId254" xr:uid="{00000000-0004-0000-0D00-000038010000}"/>
    <hyperlink ref="B133" r:id="rId255" xr:uid="{00000000-0004-0000-0D00-000039010000}"/>
    <hyperlink ref="B134" r:id="rId256" xr:uid="{00000000-0004-0000-0D00-00003A010000}"/>
    <hyperlink ref="B135" r:id="rId257" xr:uid="{00000000-0004-0000-0D00-00003B010000}"/>
    <hyperlink ref="B136" r:id="rId258" xr:uid="{00000000-0004-0000-0D00-00003C010000}"/>
    <hyperlink ref="B138" r:id="rId259" xr:uid="{00000000-0004-0000-0D00-00003D010000}"/>
    <hyperlink ref="B141" r:id="rId260" xr:uid="{00000000-0004-0000-0D00-00003E010000}"/>
    <hyperlink ref="B144" r:id="rId261" xr:uid="{00000000-0004-0000-0D00-00003F010000}"/>
    <hyperlink ref="B145" r:id="rId262" xr:uid="{00000000-0004-0000-0D00-000040010000}"/>
    <hyperlink ref="B146" r:id="rId263" xr:uid="{00000000-0004-0000-0D00-000041010000}"/>
    <hyperlink ref="B148" r:id="rId264" xr:uid="{00000000-0004-0000-0D00-000042010000}"/>
    <hyperlink ref="A112" r:id="rId265" xr:uid="{00000000-0004-0000-0D00-000044010000}"/>
    <hyperlink ref="AR110" r:id="rId266" xr:uid="{00000000-0004-0000-0D00-000047010000}"/>
    <hyperlink ref="AS110" r:id="rId267" xr:uid="{00000000-0004-0000-0D00-000048010000}"/>
    <hyperlink ref="B110" r:id="rId268" xr:uid="{00000000-0004-0000-0D00-000049010000}"/>
    <hyperlink ref="A111" r:id="rId269" xr:uid="{00000000-0004-0000-0D00-00004A010000}"/>
    <hyperlink ref="A110" r:id="rId270" xr:uid="{00000000-0004-0000-0D00-00004B010000}"/>
    <hyperlink ref="A115" r:id="rId271" xr:uid="{00000000-0004-0000-0D00-00004C010000}"/>
    <hyperlink ref="A116:A121" r:id="rId272" display="REK.259_ABDI1_REK_XII_2023" xr:uid="{00000000-0004-0000-0D00-00004D010000}"/>
    <hyperlink ref="AR150" r:id="rId273" xr:uid="{00000000-0004-0000-0D00-00004E010000}"/>
    <hyperlink ref="AR151" r:id="rId274" xr:uid="{00000000-0004-0000-0D00-00004F010000}"/>
    <hyperlink ref="AR152" r:id="rId275" xr:uid="{00000000-0004-0000-0D00-000050010000}"/>
    <hyperlink ref="AR153" r:id="rId276" xr:uid="{00000000-0004-0000-0D00-000051010000}"/>
    <hyperlink ref="AR154" r:id="rId277" xr:uid="{00000000-0004-0000-0D00-000052010000}"/>
    <hyperlink ref="A129" r:id="rId278" xr:uid="{00000000-0004-0000-0D00-000053010000}"/>
    <hyperlink ref="A130:A132" r:id="rId279" display="KWR4.063/ABD04/PPM-JPM/2024" xr:uid="{00000000-0004-0000-0D00-000054010000}"/>
    <hyperlink ref="A134" r:id="rId280" xr:uid="{00000000-0004-0000-0D00-000055010000}"/>
    <hyperlink ref="A137:A144" r:id="rId281" display="KWR4.063/ABD04/PPM-JPM/2024" xr:uid="{00000000-0004-0000-0D00-000056010000}"/>
    <hyperlink ref="A146" r:id="rId282" xr:uid="{00000000-0004-0000-0D00-000057010000}"/>
    <hyperlink ref="A147" r:id="rId283" xr:uid="{00000000-0004-0000-0D00-000058010000}"/>
    <hyperlink ref="A148" r:id="rId284" xr:uid="{00000000-0004-0000-0D00-000059010000}"/>
    <hyperlink ref="B150" r:id="rId285" xr:uid="{00000000-0004-0000-0D00-00005A010000}"/>
    <hyperlink ref="B151" r:id="rId286" xr:uid="{00000000-0004-0000-0D00-00005B010000}"/>
    <hyperlink ref="B152" r:id="rId287" xr:uid="{00000000-0004-0000-0D00-00005C010000}"/>
    <hyperlink ref="B153" r:id="rId288" xr:uid="{00000000-0004-0000-0D00-00005D010000}"/>
    <hyperlink ref="B154" r:id="rId289" xr:uid="{00000000-0004-0000-0D00-00005E010000}"/>
    <hyperlink ref="AR158" r:id="rId290" xr:uid="{00000000-0004-0000-0D00-00005F010000}"/>
    <hyperlink ref="AR159" r:id="rId291" xr:uid="{00000000-0004-0000-0D00-000060010000}"/>
    <hyperlink ref="AR160" r:id="rId292" xr:uid="{00000000-0004-0000-0D00-000061010000}"/>
    <hyperlink ref="AR161" r:id="rId293" xr:uid="{00000000-0004-0000-0D00-000062010000}"/>
    <hyperlink ref="AR162" r:id="rId294" xr:uid="{00000000-0004-0000-0D00-000063010000}"/>
    <hyperlink ref="AR163" r:id="rId295" xr:uid="{00000000-0004-0000-0D00-000064010000}"/>
    <hyperlink ref="AS158" r:id="rId296" xr:uid="{00000000-0004-0000-0D00-000065010000}"/>
    <hyperlink ref="AS159" r:id="rId297" xr:uid="{00000000-0004-0000-0D00-000066010000}"/>
    <hyperlink ref="B159" r:id="rId298" xr:uid="{00000000-0004-0000-0D00-000067010000}"/>
    <hyperlink ref="AS160" r:id="rId299" xr:uid="{00000000-0004-0000-0D00-000068010000}"/>
    <hyperlink ref="AS161" r:id="rId300" xr:uid="{00000000-0004-0000-0D00-000069010000}"/>
    <hyperlink ref="B161" r:id="rId301" xr:uid="{00000000-0004-0000-0D00-00006A010000}"/>
    <hyperlink ref="AS162" r:id="rId302" xr:uid="{00000000-0004-0000-0D00-00006B010000}"/>
    <hyperlink ref="B160" r:id="rId303" xr:uid="{00000000-0004-0000-0D00-00006C010000}"/>
    <hyperlink ref="B162" r:id="rId304" xr:uid="{00000000-0004-0000-0D00-00006D010000}"/>
    <hyperlink ref="B158" r:id="rId305" display=" 0387/ABD07/PPM-JPM/2024" xr:uid="{00000000-0004-0000-0D00-00006E010000}"/>
    <hyperlink ref="AS163" r:id="rId306" xr:uid="{00000000-0004-0000-0D00-00006F010000}"/>
    <hyperlink ref="B163" r:id="rId307" display="0392/ABD07/PPM-JPM/2024" xr:uid="{00000000-0004-0000-0D00-000070010000}"/>
    <hyperlink ref="AR171" r:id="rId308" xr:uid="{00000000-0004-0000-0D00-000071010000}"/>
    <hyperlink ref="AR172" r:id="rId309" xr:uid="{00000000-0004-0000-0D00-000072010000}"/>
    <hyperlink ref="AR173" r:id="rId310" xr:uid="{00000000-0004-0000-0D00-000073010000}"/>
    <hyperlink ref="AR174" r:id="rId311" xr:uid="{00000000-0004-0000-0D00-000074010000}"/>
    <hyperlink ref="AR176" r:id="rId312" xr:uid="{00000000-0004-0000-0D00-000075010000}"/>
    <hyperlink ref="AR175" r:id="rId313" xr:uid="{00000000-0004-0000-0D00-000076010000}"/>
    <hyperlink ref="AR177" r:id="rId314" xr:uid="{00000000-0004-0000-0D00-000077010000}"/>
    <hyperlink ref="AR178" r:id="rId315" xr:uid="{00000000-0004-0000-0D00-000078010000}"/>
    <hyperlink ref="AR179" r:id="rId316" xr:uid="{00000000-0004-0000-0D00-00007A010000}"/>
    <hyperlink ref="AR181" r:id="rId317" xr:uid="{00000000-0004-0000-0D00-00007B010000}"/>
    <hyperlink ref="AR182" r:id="rId318" xr:uid="{00000000-0004-0000-0D00-00007C010000}"/>
    <hyperlink ref="AR184" r:id="rId319" xr:uid="{00000000-0004-0000-0D00-00007D010000}"/>
    <hyperlink ref="AR183" r:id="rId320" xr:uid="{00000000-0004-0000-0D00-00007E010000}"/>
    <hyperlink ref="AR185" r:id="rId321" xr:uid="{00000000-0004-0000-0D00-00007F010000}"/>
    <hyperlink ref="AR186" r:id="rId322" xr:uid="{00000000-0004-0000-0D00-000080010000}"/>
    <hyperlink ref="AR187" r:id="rId323" xr:uid="{00000000-0004-0000-0D00-000081010000}"/>
    <hyperlink ref="AR188" r:id="rId324" xr:uid="{00000000-0004-0000-0D00-000082010000}"/>
    <hyperlink ref="AR189" r:id="rId325" xr:uid="{00000000-0004-0000-0D00-000083010000}"/>
    <hyperlink ref="AR190" r:id="rId326" xr:uid="{00000000-0004-0000-0D00-000084010000}"/>
    <hyperlink ref="AR191" r:id="rId327" xr:uid="{00000000-0004-0000-0D00-000085010000}"/>
    <hyperlink ref="AR165" r:id="rId328" xr:uid="{00000000-0004-0000-0D00-000086010000}"/>
    <hyperlink ref="AR166" r:id="rId329" xr:uid="{00000000-0004-0000-0D00-000087010000}"/>
    <hyperlink ref="AR167" r:id="rId330" xr:uid="{00000000-0004-0000-0D00-000088010000}"/>
    <hyperlink ref="AR168" r:id="rId331" xr:uid="{00000000-0004-0000-0D00-000089010000}"/>
    <hyperlink ref="AR169" r:id="rId332" xr:uid="{00000000-0004-0000-0D00-00008A010000}"/>
    <hyperlink ref="AR170" r:id="rId333" xr:uid="{00000000-0004-0000-0D00-00008B010000}"/>
    <hyperlink ref="AS133" r:id="rId334" xr:uid="{EFF97471-21EE-4BDE-A373-01A19EF3BBD7}"/>
    <hyperlink ref="AS134" r:id="rId335" xr:uid="{2A44DDFF-8215-469C-9D6B-6401C8458B4A}"/>
    <hyperlink ref="AS129" r:id="rId336" xr:uid="{694A71C9-5218-4C1A-9883-3AD7B11D0E4D}"/>
    <hyperlink ref="AS130" r:id="rId337" xr:uid="{775EAD88-F95E-4229-B549-1F4CC98DB64F}"/>
    <hyperlink ref="AS131" r:id="rId338" xr:uid="{11D4333A-1F5D-4960-95F7-CF2E5D853796}"/>
    <hyperlink ref="AS132" r:id="rId339" xr:uid="{A264DAE8-F4D8-4FCF-AEE9-B7817FA3215A}"/>
    <hyperlink ref="AS135" r:id="rId340" xr:uid="{6F1CFC46-2E3F-4E57-A445-10E25FE27371}"/>
    <hyperlink ref="AS136" r:id="rId341" xr:uid="{650E4B4E-AA7F-43D3-9A8B-812B22D9BF49}"/>
    <hyperlink ref="AS137" r:id="rId342" xr:uid="{3612FD43-F546-46E0-A5F2-F58A63BAB823}"/>
    <hyperlink ref="AS138" r:id="rId343" xr:uid="{3A3B280E-D3AD-4E6A-8674-B6CDAD91AF0C}"/>
    <hyperlink ref="AS139" r:id="rId344" xr:uid="{D9DE1243-BC00-434F-9CF8-BC766CC73924}"/>
    <hyperlink ref="AS140" r:id="rId345" xr:uid="{381FD150-C39D-4C64-BE26-6443FADF46E6}"/>
    <hyperlink ref="AS141" r:id="rId346" xr:uid="{FA136711-2520-4DB5-B1BA-6F4080C5B3B6}"/>
    <hyperlink ref="AS142" r:id="rId347" xr:uid="{4C9FDC8B-C5E1-4905-88E6-CE1A9EE31F3C}"/>
    <hyperlink ref="AS143" r:id="rId348" xr:uid="{D1500728-18AB-4913-8D4D-1CA8FC93D1DA}"/>
    <hyperlink ref="AS144" r:id="rId349" xr:uid="{E3BE9B46-659A-4F8C-A992-50E4E40F7E6A}"/>
    <hyperlink ref="AS145" r:id="rId350" xr:uid="{82A594E2-B248-4E22-BDA0-B109721687B6}"/>
    <hyperlink ref="AS146" r:id="rId351" xr:uid="{96BC0763-BCBE-461D-87C2-5B9078D1A588}"/>
    <hyperlink ref="AS147" r:id="rId352" xr:uid="{8F5C7305-0FB9-40E7-A719-9D718546EB34}"/>
    <hyperlink ref="AS148" r:id="rId353" xr:uid="{62F6303E-5EC8-48BF-8778-C4B20329E049}"/>
    <hyperlink ref="AS149" r:id="rId354" xr:uid="{F5368C22-F624-41AA-8C3B-8B8F0473A3EA}"/>
    <hyperlink ref="AS150" r:id="rId355" xr:uid="{56BC54A6-45A1-4BEC-AFAD-956582106345}"/>
    <hyperlink ref="AS151" r:id="rId356" xr:uid="{921A5BB4-48B3-4E85-8BF7-6B8724DA89FB}"/>
    <hyperlink ref="AS152" r:id="rId357" xr:uid="{92CCA359-A061-41CC-832F-CD081EDF5E73}"/>
    <hyperlink ref="AS153" r:id="rId358" xr:uid="{9344A3EC-530D-482B-AB38-9EEDC455CF57}"/>
    <hyperlink ref="AS154" r:id="rId359" xr:uid="{678F28C9-EBCD-43AA-B1C2-7F77FBFCAFCE}"/>
    <hyperlink ref="AS62" r:id="rId360" xr:uid="{7DC717A8-464E-4F92-A815-F05C53F325E4}"/>
    <hyperlink ref="AR62" r:id="rId361" xr:uid="{213E9D17-A42E-4309-8D5B-11CB6118E8A3}"/>
    <hyperlink ref="AS65" r:id="rId362" xr:uid="{008F6E99-E766-46E4-8728-12D8BB61D9E6}"/>
    <hyperlink ref="AR48" r:id="rId363" xr:uid="{6FF70D99-B9AF-49AD-AF1B-1362B4047DD2}"/>
    <hyperlink ref="AS53" r:id="rId364" xr:uid="{F769A687-8075-410E-9267-3F5902AE4B52}"/>
    <hyperlink ref="AR53" r:id="rId365" xr:uid="{CE2CB693-A262-41CE-80C8-F72AF16B01DD}"/>
    <hyperlink ref="AS44" r:id="rId366" xr:uid="{204176D0-0CBD-4B52-ACD5-C746F499F6AD}"/>
    <hyperlink ref="AR44" r:id="rId367" xr:uid="{2E0C8262-7737-4152-889A-0D81961C208D}"/>
    <hyperlink ref="AS64" r:id="rId368" xr:uid="{697AD27C-3255-410C-9445-DFCD55A77D55}"/>
    <hyperlink ref="AR56" r:id="rId369" xr:uid="{5B4C5370-499A-4847-929F-A46933065152}"/>
    <hyperlink ref="AS55" r:id="rId370" xr:uid="{D36CD8EE-DACD-48DE-B7C3-A1F6430CF472}"/>
    <hyperlink ref="AS57" r:id="rId371" xr:uid="{193A2B67-B9EB-46C1-A961-927D14909FEB}"/>
    <hyperlink ref="AR57" r:id="rId372" xr:uid="{4FE01F60-847F-4BBC-BFAA-834124CB0E72}"/>
    <hyperlink ref="AS58" r:id="rId373" xr:uid="{DB219C96-9783-4E80-A617-38CDED7CEAE9}"/>
    <hyperlink ref="AR58" r:id="rId374" xr:uid="{749DBB29-F123-4B13-A582-2210CAF66250}"/>
    <hyperlink ref="AR59" r:id="rId375" xr:uid="{D2C2C8E4-1D15-4FDA-899E-6534C9F4D409}"/>
    <hyperlink ref="AS60" r:id="rId376" xr:uid="{F4736DA3-9359-4174-96B8-AB53F9B5E401}"/>
    <hyperlink ref="AR60" r:id="rId377" xr:uid="{9C641F27-11AD-42E9-9E7E-5435B883913A}"/>
    <hyperlink ref="AS40" r:id="rId378" xr:uid="{99A0CD2A-F066-446C-944E-D0A78B8FBDF2}"/>
    <hyperlink ref="AR40" r:id="rId379" xr:uid="{9F4B1A92-005E-4C11-B452-DED529892166}"/>
    <hyperlink ref="AS45" r:id="rId380" xr:uid="{3A828548-3699-4A55-B21D-5B662AA8E4A6}"/>
    <hyperlink ref="AR45" r:id="rId381" xr:uid="{7AD9943B-9D2C-41EF-972A-9695989FC696}"/>
    <hyperlink ref="AS46" r:id="rId382" xr:uid="{F7853FF6-1C10-42E0-9D98-35097E8FB53C}"/>
    <hyperlink ref="AR46" r:id="rId383" xr:uid="{4C3DD36D-F831-4368-920D-7931FAE5F61A}"/>
    <hyperlink ref="AS47" r:id="rId384" xr:uid="{143B02BF-C2FC-4138-A365-F0B11ACC3699}"/>
    <hyperlink ref="AR47" r:id="rId385" xr:uid="{DC0D2AFE-2346-4672-BE65-8A2A0E18C233}"/>
    <hyperlink ref="AS61" r:id="rId386" xr:uid="{A9925B07-3864-4867-873E-2E4A3088D332}"/>
    <hyperlink ref="AR61" r:id="rId387" xr:uid="{28741510-4068-40A8-BD50-A55110878005}"/>
    <hyperlink ref="AR192" r:id="rId388" xr:uid="{04B573A2-4145-40FE-B9BE-3F1726F77ADC}"/>
    <hyperlink ref="AS100" r:id="rId389" xr:uid="{368C009F-406D-4627-B45D-6724782F561F}"/>
    <hyperlink ref="AR100" r:id="rId390" xr:uid="{348D76BE-DD2B-444E-B4FE-B025CA4855A3}"/>
    <hyperlink ref="AS101" r:id="rId391" xr:uid="{285A59AB-6EFA-416C-9BD8-DC8EFD002C16}"/>
    <hyperlink ref="AR101" r:id="rId392" xr:uid="{B1D47B8A-7960-4017-BE90-DB4953B3EFC8}"/>
    <hyperlink ref="AS104" r:id="rId393" xr:uid="{5642EC1A-82AD-490C-8F4D-CDB31DF0FC6F}"/>
    <hyperlink ref="AS98" r:id="rId394" xr:uid="{BB8F08CB-E11C-4AD5-8A31-71951B9B5897}"/>
    <hyperlink ref="AS103" r:id="rId395" xr:uid="{D5AA23C8-0C3F-40E8-908E-EE592C13E14F}"/>
    <hyperlink ref="AR157" r:id="rId396" xr:uid="{91F9C948-4833-41F7-AA81-9E857C273121}"/>
    <hyperlink ref="AR155" r:id="rId397" xr:uid="{F43E3931-70B0-4E30-937A-45250E3D37AA}"/>
    <hyperlink ref="AS97" r:id="rId398" xr:uid="{A158EF6B-16C8-4DEF-BA6D-22009668D743}"/>
    <hyperlink ref="AR156" r:id="rId399" xr:uid="{CD3E1E54-80EE-44FD-AB4D-6DE81F2EE14C}"/>
    <hyperlink ref="AS155" r:id="rId400" xr:uid="{BEB4A77F-4D8B-4E10-9C01-329CA8B2E2A0}"/>
    <hyperlink ref="AS156" r:id="rId401" xr:uid="{664C613B-AA43-4E70-930C-D2025D82ED36}"/>
    <hyperlink ref="AS157" r:id="rId402" xr:uid="{E65D00F5-B428-4DE2-BD30-AC0A5D9714B8}"/>
    <hyperlink ref="AS96" r:id="rId403" xr:uid="{5BBD7235-2BE9-428F-9D61-67FE57FBC6B5}"/>
    <hyperlink ref="AS87" r:id="rId404" xr:uid="{44EC376F-E5F9-4FCA-933D-05765A648613}"/>
    <hyperlink ref="AR87" r:id="rId405" xr:uid="{7D6CE9E0-F6B8-4D1E-A9A7-27F2A4806699}"/>
    <hyperlink ref="AR193" r:id="rId406" xr:uid="{BDECF244-3CAD-427B-A667-FF5EACA0F0D5}"/>
    <hyperlink ref="AS85" r:id="rId407" xr:uid="{00000000-0004-0000-0D00-000077000000}"/>
    <hyperlink ref="AS42" r:id="rId408" xr:uid="{B08A5679-5887-4382-8CD3-ED8DEB1D09AB}"/>
    <hyperlink ref="AS51" r:id="rId409" xr:uid="{35909607-C474-4FDC-8723-EBF9115E8230}"/>
    <hyperlink ref="AS111" r:id="rId410" xr:uid="{543A02AD-1209-4B18-B2FA-4AA6C4D7D6B5}"/>
    <hyperlink ref="AR111" r:id="rId411" xr:uid="{38B5CFA3-F500-4CF1-A21C-E4FF2CF460F1}"/>
    <hyperlink ref="AS112" r:id="rId412" xr:uid="{8241311F-90CE-401C-9FC6-B0F4CA4216DB}"/>
    <hyperlink ref="AS180" r:id="rId413" xr:uid="{3A10B1FA-96FE-4898-891B-AE15ADCB20F6}"/>
    <hyperlink ref="AR180" r:id="rId414" xr:uid="{D0AEA937-B137-4B61-8226-E974ED9B52F5}"/>
    <hyperlink ref="AS178" r:id="rId415" xr:uid="{E1715C2F-67A8-4752-904A-710C98B42AD0}"/>
    <hyperlink ref="AS189" r:id="rId416" xr:uid="{D9DFD9FE-CF8C-4434-A9DB-66EE738766AB}"/>
    <hyperlink ref="AS174" r:id="rId417" xr:uid="{748724CD-7A67-4B3D-B7AA-4B4F19356894}"/>
    <hyperlink ref="AS170" r:id="rId418" xr:uid="{C2281BC4-2629-4ED4-A382-F8D6AE556FB6}"/>
    <hyperlink ref="AS186" r:id="rId419" xr:uid="{179D0DB0-468F-46C0-A805-776EF637B20F}"/>
    <hyperlink ref="AS188" r:id="rId420" xr:uid="{222EE81D-1598-44A7-81E9-8ED1A72A81AB}"/>
    <hyperlink ref="AS182" r:id="rId421" xr:uid="{1621255B-2A4E-459E-8E86-B8E42AF59020}"/>
    <hyperlink ref="AS191" r:id="rId422" xr:uid="{A27A34AC-8C09-44C9-B6D8-4547074B565F}"/>
    <hyperlink ref="AS185" r:id="rId423" xr:uid="{ADA0A1A8-672B-4A2E-B59C-B9922685385A}"/>
    <hyperlink ref="AS176" r:id="rId424" xr:uid="{398323C8-6E7C-4CFF-AC6E-06A101778BA0}"/>
    <hyperlink ref="AS175" r:id="rId425" xr:uid="{E9FDE472-2616-4E62-B7AD-B6C8B245964D}"/>
    <hyperlink ref="AS173" r:id="rId426" xr:uid="{BC2645CB-D038-4B8F-AA3F-566303F8C3B6}"/>
    <hyperlink ref="AS190" r:id="rId427" xr:uid="{84228162-3CF3-471C-9C76-7D92ECF82F71}"/>
    <hyperlink ref="AS181" r:id="rId428" xr:uid="{EB1A104C-B964-494E-9ED9-92365499A9B5}"/>
    <hyperlink ref="AS183" r:id="rId429" xr:uid="{8DB2CE1A-B4C6-4017-8BCA-BF39C588CB5C}"/>
    <hyperlink ref="AS171" r:id="rId430" xr:uid="{6C5AEF4F-51A3-4D8C-B0EC-A9A3AA40460D}"/>
    <hyperlink ref="AS184" r:id="rId431" xr:uid="{0A6BE919-F60A-4297-9026-801A2FECBDC0}"/>
    <hyperlink ref="AS177" r:id="rId432" xr:uid="{5F67CF4E-6606-4FEA-A113-45F271312D8D}"/>
    <hyperlink ref="AS172" r:id="rId433" xr:uid="{EFA5879A-6DBC-4E83-83ED-9928A63DD4AC}"/>
    <hyperlink ref="AS179" r:id="rId434" xr:uid="{1A454F9B-5FF6-46AC-8234-2400BA6BA881}"/>
    <hyperlink ref="AS187" r:id="rId435" xr:uid="{C76508DD-7690-4806-A359-3340EE4353FD}"/>
    <hyperlink ref="AR145" r:id="rId436" xr:uid="{00000000-0004-0000-0D00-000030010000}"/>
  </hyperlinks>
  <pageMargins left="0.7" right="0.7" top="0.75" bottom="0.75" header="0.3" footer="0.3"/>
  <pageSetup orientation="portrait" r:id="rId437"/>
  <legacyDrawing r:id="rId438"/>
  <tableParts count="1">
    <tablePart r:id="rId43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Publikasi implementasi</vt:lpstr>
      <vt:lpstr>DATA PNLT KHUSUS AKRE 2025</vt:lpstr>
      <vt:lpstr>PKM AUDIT</vt:lpstr>
      <vt:lpstr>DATA PKM KHUSUS AKRE 2025</vt:lpstr>
      <vt:lpstr>KEUANGAN INTERNAL AKRE 2025</vt:lpstr>
      <vt:lpstr>PKM MASTER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IRENE</dc:creator>
  <cp:keywords/>
  <dc:description/>
  <cp:lastModifiedBy>Fahmi Rizkyanto</cp:lastModifiedBy>
  <cp:revision/>
  <dcterms:created xsi:type="dcterms:W3CDTF">2023-01-19T01:48:22Z</dcterms:created>
  <dcterms:modified xsi:type="dcterms:W3CDTF">2025-12-01T08:52:50Z</dcterms:modified>
  <cp:category/>
  <cp:contentStatus/>
</cp:coreProperties>
</file>